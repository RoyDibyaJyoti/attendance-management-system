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4" autoFilterDateGrouping="1"/>
  </bookViews>
  <sheets>
    <sheet xmlns:r="http://schemas.openxmlformats.org/officeDocument/2006/relationships" name="READ ME FIRST" sheetId="1" state="visible" r:id="rId1"/>
    <sheet xmlns:r="http://schemas.openxmlformats.org/officeDocument/2006/relationships" name="Monthly Guide" sheetId="2" state="visible" r:id="rId2"/>
    <sheet xmlns:r="http://schemas.openxmlformats.org/officeDocument/2006/relationships" name="Detailed Attendance" sheetId="3" state="visible" r:id="rId3"/>
    <sheet xmlns:r="http://schemas.openxmlformats.org/officeDocument/2006/relationships" name="Monthly Summary" sheetId="4" state="visible" r:id="rId4"/>
    <sheet xmlns:r="http://schemas.openxmlformats.org/officeDocument/2006/relationships" name="Subject-wise Summary" sheetId="5" state="visible" r:id="rId5"/>
    <sheet xmlns:r="http://schemas.openxmlformats.org/officeDocument/2006/relationships" name="Overall Summary" sheetId="6" state="visible" r:id="rId6"/>
    <sheet xmlns:r="http://schemas.openxmlformats.org/officeDocument/2006/relationships" name="MONTHLY TEMPLATE" sheetId="7" state="visible" r:id="rId7"/>
    <sheet xmlns:r="http://schemas.openxmlformats.org/officeDocument/2006/relationships" name="September 2026" sheetId="8" state="visible" r:id="rId8"/>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4">
    <font>
      <name val="Calibri"/>
      <charset val="1"/>
      <family val="2"/>
      <color theme="1"/>
      <sz val="11"/>
    </font>
    <font>
      <name val="Arial"/>
      <family val="0"/>
      <sz val="10"/>
    </font>
    <font>
      <name val="Arial"/>
      <family val="0"/>
      <sz val="10"/>
    </font>
    <font>
      <name val="Arial"/>
      <family val="0"/>
      <sz val="10"/>
    </font>
    <font>
      <name val="Calibri"/>
      <charset val="1"/>
      <family val="2"/>
      <b val="1"/>
      <sz val="14"/>
    </font>
    <font>
      <name val="Calibri"/>
      <charset val="1"/>
      <family val="2"/>
      <b val="1"/>
      <sz val="11"/>
    </font>
    <font>
      <name val="Calibri"/>
      <charset val="1"/>
      <family val="2"/>
      <b val="1"/>
      <sz val="12"/>
    </font>
    <font>
      <name val="Calibri"/>
      <charset val="1"/>
      <family val="0"/>
      <b val="1"/>
      <color rgb="FFFFFFFF"/>
      <sz val="10.5"/>
    </font>
    <font>
      <name val="Calibri"/>
      <charset val="1"/>
      <family val="0"/>
      <b val="1"/>
      <color rgb="FF1F1F1F"/>
      <sz val="10.5"/>
    </font>
    <font>
      <name val="Cambria"/>
      <charset val="1"/>
      <family val="0"/>
      <sz val="11"/>
    </font>
    <font>
      <name val="Calibri"/>
      <charset val="1"/>
      <family val="0"/>
      <b val="1"/>
      <sz val="11"/>
    </font>
    <font>
      <b val="1"/>
      <sz val="16"/>
    </font>
    <font>
      <b val="1"/>
    </font>
    <font>
      <b val="1"/>
      <sz val="12"/>
    </font>
  </fonts>
  <fills count="20">
    <fill>
      <patternFill/>
    </fill>
    <fill>
      <patternFill patternType="gray125"/>
    </fill>
    <fill>
      <patternFill patternType="solid">
        <fgColor rgb="FFD9E1F2"/>
        <bgColor rgb="FFD9E2F3"/>
      </patternFill>
    </fill>
    <fill>
      <patternFill patternType="solid">
        <fgColor rgb="FFFFF2CC"/>
        <bgColor rgb="FFFCE4D6"/>
      </patternFill>
    </fill>
    <fill>
      <patternFill patternType="solid">
        <fgColor rgb="FFF2F2F2"/>
        <bgColor rgb="FFFFFDE7"/>
      </patternFill>
    </fill>
    <fill>
      <patternFill patternType="solid">
        <fgColor rgb="FF2E75B6"/>
        <bgColor rgb="FF0066CC"/>
      </patternFill>
    </fill>
    <fill>
      <patternFill patternType="solid">
        <fgColor rgb="FF548235"/>
        <bgColor rgb="FF339966"/>
      </patternFill>
    </fill>
    <fill>
      <patternFill patternType="solid">
        <fgColor rgb="FFC55A11"/>
        <bgColor rgb="FF993300"/>
      </patternFill>
    </fill>
    <fill>
      <patternFill patternType="solid">
        <fgColor rgb="FF7030A0"/>
        <bgColor rgb="FF993366"/>
      </patternFill>
    </fill>
    <fill>
      <patternFill patternType="solid">
        <fgColor rgb="FF404040"/>
        <bgColor rgb="FF1F4E78"/>
      </patternFill>
    </fill>
    <fill>
      <patternFill patternType="solid">
        <fgColor rgb="FFDDEBF7"/>
        <bgColor rgb="FFD9E2F3"/>
      </patternFill>
    </fill>
    <fill>
      <patternFill patternType="solid">
        <fgColor rgb="FFE2EFDA"/>
        <bgColor rgb="FFDDEBF7"/>
      </patternFill>
    </fill>
    <fill>
      <patternFill patternType="solid">
        <fgColor rgb="FFFCE4D6"/>
        <bgColor rgb="FFFFF2CC"/>
      </patternFill>
    </fill>
    <fill>
      <patternFill patternType="solid">
        <fgColor rgb="FFE4DFEC"/>
        <bgColor rgb="FFD9E1F2"/>
      </patternFill>
    </fill>
    <fill>
      <patternFill patternType="solid">
        <fgColor rgb="FFD9D9D9"/>
        <bgColor rgb="FFE4DFEC"/>
      </patternFill>
    </fill>
    <fill>
      <patternFill patternType="solid">
        <fgColor rgb="FFFFFDE7"/>
        <bgColor rgb="FFFFFFFF"/>
      </patternFill>
    </fill>
    <fill>
      <patternFill patternType="solid">
        <fgColor rgb="FF1F4E78"/>
        <bgColor rgb="FF003366"/>
      </patternFill>
    </fill>
    <fill>
      <patternFill patternType="solid">
        <fgColor rgb="FFBF8F00"/>
        <bgColor rgb="FFC55A11"/>
      </patternFill>
    </fill>
    <fill>
      <patternFill patternType="solid">
        <fgColor rgb="FFD9E2F3"/>
        <bgColor rgb="FFD9E1F2"/>
      </patternFill>
    </fill>
    <fill>
      <patternFill patternType="solid">
        <fgColor rgb="00D9EAF7"/>
      </patternFill>
    </fill>
  </fills>
  <borders count="18">
    <border>
      <left/>
      <right/>
      <top/>
      <bottom/>
      <diagonal/>
    </border>
    <border>
      <left style="thin"/>
      <right style="thin"/>
      <top style="thin"/>
      <bottom style="thin"/>
      <diagonal/>
    </border>
    <border>
      <left style="thin">
        <color rgb="FFB0B0B0"/>
      </left>
      <right style="thin">
        <color rgb="FFB0B0B0"/>
      </right>
      <top style="thin">
        <color rgb="FFB0B0B0"/>
      </top>
      <bottom style="thin">
        <color rgb="FFB0B0B0"/>
      </bottom>
      <diagonal/>
    </border>
    <border>
      <left style="thin"/>
      <right/>
      <top/>
      <bottom/>
      <diagonal/>
    </border>
    <border>
      <left style="thin"/>
      <right style="thin"/>
      <top/>
      <bottom/>
      <diagonal/>
    </border>
    <border>
      <left style="thin"/>
      <right style="thin"/>
      <top/>
      <bottom style="thin"/>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thin">
        <color rgb="FFB0B0B0"/>
      </left>
      <right/>
      <top/>
      <bottom/>
      <diagonal/>
    </border>
    <border>
      <left style="thin">
        <color rgb="FFB0B0B0"/>
      </left>
      <right style="thin">
        <color rgb="FFB0B0B0"/>
      </right>
      <top/>
      <bottom/>
      <diagonal/>
    </border>
    <border>
      <left style="thin">
        <color rgb="FFB0B0B0"/>
      </left>
      <right style="thin">
        <color rgb="FFB0B0B0"/>
      </right>
      <top/>
      <bottom style="thin">
        <color rgb="FFB0B0B0"/>
      </bottom>
      <diagonal/>
    </border>
    <border>
      <left/>
      <right/>
      <top style="thin">
        <color rgb="FFB0B0B0"/>
      </top>
      <bottom/>
      <diagonal/>
    </border>
    <border>
      <left/>
      <right style="thin">
        <color rgb="FFB0B0B0"/>
      </right>
      <top style="thin">
        <color rgb="FFB0B0B0"/>
      </top>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
      <left style="thin"/>
      <right style="thin"/>
      <top style="thin"/>
      <bottom style="thin"/>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9">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0" fillId="0" borderId="0" applyAlignment="1" pivotButton="0" quotePrefix="0" xfId="0">
      <alignment horizontal="general" vertical="bottom"/>
    </xf>
    <xf numFmtId="0" fontId="5" fillId="0" borderId="1" applyAlignment="1" pivotButton="0" quotePrefix="0" xfId="0">
      <alignment horizontal="center" vertical="center" wrapText="1"/>
    </xf>
    <xf numFmtId="0" fontId="6"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general" vertical="bottom"/>
    </xf>
    <xf numFmtId="0" fontId="0" fillId="3" borderId="1" applyAlignment="1" pivotButton="0" quotePrefix="0" xfId="0">
      <alignment horizontal="center" vertical="center" wrapText="1"/>
    </xf>
    <xf numFmtId="0" fontId="0" fillId="4" borderId="2" applyAlignment="1" pivotButton="0" quotePrefix="0" xfId="0">
      <alignment horizontal="general" vertical="bottom"/>
    </xf>
    <xf numFmtId="0" fontId="7" fillId="5" borderId="2" applyAlignment="1" pivotButton="0" quotePrefix="0" xfId="0">
      <alignment horizontal="center" vertical="center" wrapText="1"/>
    </xf>
    <xf numFmtId="0" fontId="7" fillId="6" borderId="2" applyAlignment="1" pivotButton="0" quotePrefix="0" xfId="0">
      <alignment horizontal="center" vertical="center" wrapText="1"/>
    </xf>
    <xf numFmtId="0" fontId="7" fillId="7" borderId="2" applyAlignment="1" pivotButton="0" quotePrefix="0" xfId="0">
      <alignment horizontal="center" vertical="center" wrapText="1"/>
    </xf>
    <xf numFmtId="0" fontId="7" fillId="8" borderId="2" applyAlignment="1" pivotButton="0" quotePrefix="0" xfId="0">
      <alignment horizontal="center" vertical="center" wrapText="1"/>
    </xf>
    <xf numFmtId="0" fontId="7" fillId="9" borderId="2" applyAlignment="1" pivotButton="0" quotePrefix="0" xfId="0">
      <alignment horizontal="center" vertical="center" wrapText="1"/>
    </xf>
    <xf numFmtId="0" fontId="8" fillId="10" borderId="2" applyAlignment="1" pivotButton="0" quotePrefix="0" xfId="0">
      <alignment horizontal="center" vertical="center" wrapText="1"/>
    </xf>
    <xf numFmtId="0" fontId="8" fillId="3" borderId="2" applyAlignment="1" pivotButton="0" quotePrefix="0" xfId="0">
      <alignment horizontal="center" vertical="center" wrapText="1"/>
    </xf>
    <xf numFmtId="0" fontId="8" fillId="11" borderId="2" applyAlignment="1" pivotButton="0" quotePrefix="0" xfId="0">
      <alignment horizontal="center" vertical="center" wrapText="1"/>
    </xf>
    <xf numFmtId="0" fontId="8" fillId="12" borderId="2" applyAlignment="1" pivotButton="0" quotePrefix="0" xfId="0">
      <alignment horizontal="center" vertical="center" wrapText="1"/>
    </xf>
    <xf numFmtId="0" fontId="8" fillId="13" borderId="2" applyAlignment="1" pivotButton="0" quotePrefix="0" xfId="0">
      <alignment horizontal="center" vertical="center" wrapText="1"/>
    </xf>
    <xf numFmtId="0" fontId="8" fillId="14" borderId="2" applyAlignment="1" pivotButton="0" quotePrefix="0" xfId="0">
      <alignment horizontal="center" vertical="center" wrapText="1"/>
    </xf>
    <xf numFmtId="0" fontId="9" fillId="0" borderId="2" applyAlignment="1" pivotButton="0" quotePrefix="0" xfId="0">
      <alignment horizontal="center" vertical="center"/>
    </xf>
    <xf numFmtId="164" fontId="9" fillId="0" borderId="2" applyAlignment="1" pivotButton="0" quotePrefix="0" xfId="0">
      <alignment horizontal="center" vertical="center"/>
    </xf>
    <xf numFmtId="0" fontId="9" fillId="15" borderId="2" applyAlignment="1" pivotButton="0" quotePrefix="0" xfId="0">
      <alignment horizontal="center" vertical="center"/>
    </xf>
    <xf numFmtId="164" fontId="9" fillId="15" borderId="2" applyAlignment="1" pivotButton="0" quotePrefix="0" xfId="0">
      <alignment horizontal="center" vertical="center"/>
    </xf>
    <xf numFmtId="0" fontId="0" fillId="0" borderId="2" applyAlignment="1" pivotButton="0" quotePrefix="0" xfId="0">
      <alignment horizontal="center" vertical="center"/>
    </xf>
    <xf numFmtId="164" fontId="0" fillId="0" borderId="2" applyAlignment="1" pivotButton="0" quotePrefix="0" xfId="0">
      <alignment horizontal="center" vertical="center"/>
    </xf>
    <xf numFmtId="0" fontId="0" fillId="15" borderId="2" applyAlignment="1" pivotButton="0" quotePrefix="0" xfId="0">
      <alignment horizontal="center" vertical="center"/>
    </xf>
    <xf numFmtId="164" fontId="0" fillId="15" borderId="2" applyAlignment="1" pivotButton="0" quotePrefix="0" xfId="0">
      <alignment horizontal="center" vertical="center"/>
    </xf>
    <xf numFmtId="0" fontId="10" fillId="0" borderId="1" applyAlignment="1" pivotButton="0" quotePrefix="0" xfId="0">
      <alignment horizontal="center" vertical="center" wrapText="1"/>
    </xf>
    <xf numFmtId="164" fontId="0" fillId="0" borderId="0" applyAlignment="1" pivotButton="0" quotePrefix="0" xfId="0">
      <alignment horizontal="general" vertical="bottom"/>
    </xf>
    <xf numFmtId="164" fontId="0" fillId="0" borderId="1" applyAlignment="1" pivotButton="0" quotePrefix="0" xfId="0">
      <alignment horizontal="general" vertical="bottom"/>
    </xf>
    <xf numFmtId="0" fontId="7" fillId="16" borderId="2" applyAlignment="1" pivotButton="0" quotePrefix="0" xfId="0">
      <alignment horizontal="center" vertical="center" wrapText="1"/>
    </xf>
    <xf numFmtId="0" fontId="7" fillId="17" borderId="2" applyAlignment="1" pivotButton="0" quotePrefix="0" xfId="0">
      <alignment horizontal="center" vertical="center" wrapText="1"/>
    </xf>
    <xf numFmtId="0" fontId="8" fillId="18" borderId="2" applyAlignment="1" pivotButton="0" quotePrefix="0" xfId="0">
      <alignment horizontal="center" vertical="center" wrapText="1"/>
    </xf>
    <xf numFmtId="0" fontId="0" fillId="0" borderId="0" pivotButton="0" quotePrefix="0" xfId="0"/>
    <xf numFmtId="0" fontId="4" fillId="0" borderId="0" applyAlignment="1" pivotButton="0" quotePrefix="0" xfId="0">
      <alignment horizontal="general" vertical="bottom"/>
    </xf>
    <xf numFmtId="0" fontId="0" fillId="0" borderId="0" applyAlignment="1" pivotButton="0" quotePrefix="0" xfId="0">
      <alignment horizontal="general" vertical="bottom"/>
    </xf>
    <xf numFmtId="0" fontId="11" fillId="0" borderId="0" pivotButton="0" quotePrefix="0" xfId="0"/>
    <xf numFmtId="0" fontId="0" fillId="0" borderId="0" applyAlignment="1" pivotButton="0" quotePrefix="0" xfId="0">
      <alignment wrapText="1"/>
    </xf>
    <xf numFmtId="0" fontId="5" fillId="0" borderId="1" applyAlignment="1" pivotButton="0" quotePrefix="0" xfId="0">
      <alignment horizontal="center" vertical="center" wrapText="1"/>
    </xf>
    <xf numFmtId="0" fontId="6" fillId="2" borderId="1"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4" pivotButton="0" quotePrefix="0" xfId="0"/>
    <xf numFmtId="0" fontId="0" fillId="0" borderId="5" pivotButton="0" quotePrefix="0" xfId="0"/>
    <xf numFmtId="0" fontId="0" fillId="0" borderId="1" applyAlignment="1" pivotButton="0" quotePrefix="0" xfId="0">
      <alignment horizontal="center" vertical="center" wrapText="1"/>
    </xf>
    <xf numFmtId="0" fontId="0" fillId="0" borderId="1" applyAlignment="1" pivotButton="0" quotePrefix="0" xfId="0">
      <alignment horizontal="general" vertical="bottom"/>
    </xf>
    <xf numFmtId="0" fontId="0" fillId="3" borderId="1" applyAlignment="1" pivotButton="0" quotePrefix="0" xfId="0">
      <alignment horizontal="center" vertical="center" wrapText="1"/>
    </xf>
    <xf numFmtId="0" fontId="0" fillId="4" borderId="2" applyAlignment="1" pivotButton="0" quotePrefix="0" xfId="0">
      <alignment horizontal="general" vertical="bottom"/>
    </xf>
    <xf numFmtId="0" fontId="7" fillId="5" borderId="2" applyAlignment="1" pivotButton="0" quotePrefix="0" xfId="0">
      <alignment horizontal="center" vertical="center" wrapText="1"/>
    </xf>
    <xf numFmtId="0" fontId="0" fillId="0" borderId="15" pivotButton="0" quotePrefix="0" xfId="0"/>
    <xf numFmtId="0" fontId="0" fillId="0" borderId="16" pivotButton="0" quotePrefix="0" xfId="0"/>
    <xf numFmtId="0" fontId="7" fillId="6" borderId="2" applyAlignment="1" pivotButton="0" quotePrefix="0" xfId="0">
      <alignment horizontal="center" vertical="center" wrapText="1"/>
    </xf>
    <xf numFmtId="0" fontId="7" fillId="7" borderId="2" applyAlignment="1" pivotButton="0" quotePrefix="0" xfId="0">
      <alignment horizontal="center" vertical="center" wrapText="1"/>
    </xf>
    <xf numFmtId="0" fontId="7" fillId="8" borderId="2" applyAlignment="1" pivotButton="0" quotePrefix="0" xfId="0">
      <alignment horizontal="center" vertical="center" wrapText="1"/>
    </xf>
    <xf numFmtId="0" fontId="7" fillId="9" borderId="2" applyAlignment="1" pivotButton="0" quotePrefix="0" xfId="0">
      <alignment horizontal="center" vertical="center" wrapText="1"/>
    </xf>
    <xf numFmtId="0" fontId="0" fillId="0" borderId="12" pivotButton="0" quotePrefix="0" xfId="0"/>
    <xf numFmtId="0" fontId="8" fillId="10" borderId="2" applyAlignment="1" pivotButton="0" quotePrefix="0" xfId="0">
      <alignment horizontal="center" vertical="center" wrapText="1"/>
    </xf>
    <xf numFmtId="0" fontId="8" fillId="3" borderId="2" applyAlignment="1" pivotButton="0" quotePrefix="0" xfId="0">
      <alignment horizontal="center" vertical="center" wrapText="1"/>
    </xf>
    <xf numFmtId="0" fontId="8" fillId="11" borderId="2" applyAlignment="1" pivotButton="0" quotePrefix="0" xfId="0">
      <alignment horizontal="center" vertical="center" wrapText="1"/>
    </xf>
    <xf numFmtId="0" fontId="8" fillId="12" borderId="2" applyAlignment="1" pivotButton="0" quotePrefix="0" xfId="0">
      <alignment horizontal="center" vertical="center" wrapText="1"/>
    </xf>
    <xf numFmtId="0" fontId="8" fillId="13" borderId="2" applyAlignment="1" pivotButton="0" quotePrefix="0" xfId="0">
      <alignment horizontal="center" vertical="center" wrapText="1"/>
    </xf>
    <xf numFmtId="0" fontId="8" fillId="14" borderId="2" applyAlignment="1" pivotButton="0" quotePrefix="0" xfId="0">
      <alignment horizontal="center" vertical="center" wrapText="1"/>
    </xf>
    <xf numFmtId="0" fontId="9" fillId="0" borderId="2" applyAlignment="1" pivotButton="0" quotePrefix="0" xfId="0">
      <alignment horizontal="center" vertical="center"/>
    </xf>
    <xf numFmtId="164" fontId="9" fillId="0" borderId="2" applyAlignment="1" pivotButton="0" quotePrefix="0" xfId="0">
      <alignment horizontal="center" vertical="center"/>
    </xf>
    <xf numFmtId="0" fontId="9" fillId="15" borderId="2" applyAlignment="1" pivotButton="0" quotePrefix="0" xfId="0">
      <alignment horizontal="center" vertical="center"/>
    </xf>
    <xf numFmtId="164" fontId="9" fillId="15" borderId="2" applyAlignment="1" pivotButton="0" quotePrefix="0" xfId="0">
      <alignment horizontal="center" vertical="center"/>
    </xf>
    <xf numFmtId="0" fontId="0" fillId="0" borderId="2" applyAlignment="1" pivotButton="0" quotePrefix="0" xfId="0">
      <alignment horizontal="center" vertical="center"/>
    </xf>
    <xf numFmtId="164" fontId="0" fillId="0" borderId="2" applyAlignment="1" pivotButton="0" quotePrefix="0" xfId="0">
      <alignment horizontal="center" vertical="center"/>
    </xf>
    <xf numFmtId="0" fontId="0" fillId="15" borderId="2" applyAlignment="1" pivotButton="0" quotePrefix="0" xfId="0">
      <alignment horizontal="center" vertical="center"/>
    </xf>
    <xf numFmtId="164" fontId="0" fillId="15" borderId="2" applyAlignment="1" pivotButton="0" quotePrefix="0" xfId="0">
      <alignment horizontal="center" vertical="center"/>
    </xf>
    <xf numFmtId="0" fontId="10" fillId="0" borderId="1" applyAlignment="1" pivotButton="0" quotePrefix="0" xfId="0">
      <alignment horizontal="center" vertical="center" wrapText="1"/>
    </xf>
    <xf numFmtId="164" fontId="0" fillId="0" borderId="0" applyAlignment="1" pivotButton="0" quotePrefix="0" xfId="0">
      <alignment horizontal="general" vertical="bottom"/>
    </xf>
    <xf numFmtId="164" fontId="0" fillId="0" borderId="1" applyAlignment="1" pivotButton="0" quotePrefix="0" xfId="0">
      <alignment horizontal="general" vertical="bottom"/>
    </xf>
    <xf numFmtId="0" fontId="7" fillId="16" borderId="2" applyAlignment="1" pivotButton="0" quotePrefix="0" xfId="0">
      <alignment horizontal="center" vertical="center" wrapText="1"/>
    </xf>
    <xf numFmtId="0" fontId="7" fillId="17" borderId="2" applyAlignment="1" pivotButton="0" quotePrefix="0" xfId="0">
      <alignment horizontal="center" vertical="center" wrapText="1"/>
    </xf>
    <xf numFmtId="0" fontId="8" fillId="18" borderId="2" applyAlignment="1" pivotButton="0" quotePrefix="0" xfId="0">
      <alignment horizontal="center" vertical="center" wrapText="1"/>
    </xf>
    <xf numFmtId="0" fontId="11" fillId="0" borderId="17" applyAlignment="1" pivotButton="0" quotePrefix="0" xfId="0">
      <alignment horizontal="center"/>
    </xf>
    <xf numFmtId="0" fontId="0" fillId="0" borderId="17" applyAlignment="1" pivotButton="0" quotePrefix="0" xfId="0">
      <alignment horizontal="center"/>
    </xf>
    <xf numFmtId="0" fontId="0" fillId="0" borderId="17" pivotButton="0" quotePrefix="0" xfId="0"/>
    <xf numFmtId="0" fontId="0" fillId="0" borderId="17" applyAlignment="1" pivotButton="0" quotePrefix="0" xfId="0">
      <alignment vertical="center"/>
    </xf>
    <xf numFmtId="0" fontId="12" fillId="0" borderId="17" applyAlignment="1" pivotButton="0" quotePrefix="0" xfId="0">
      <alignment vertical="center"/>
    </xf>
    <xf numFmtId="0" fontId="13" fillId="0" borderId="17" pivotButton="0" quotePrefix="0" xfId="0"/>
    <xf numFmtId="0" fontId="12" fillId="0" borderId="17" pivotButton="0" quotePrefix="0" xfId="0"/>
    <xf numFmtId="10" fontId="0" fillId="0" borderId="17" pivotButton="0" quotePrefix="0" xfId="0"/>
    <xf numFmtId="0" fontId="0" fillId="0" borderId="17" applyAlignment="1" pivotButton="0" quotePrefix="0" xfId="0">
      <alignment horizontal="center" wrapText="1"/>
    </xf>
    <xf numFmtId="0" fontId="12" fillId="19" borderId="17" applyAlignment="1" pivotButton="0" quotePrefix="0" xfId="0">
      <alignment horizontal="center"/>
    </xf>
    <xf numFmtId="0" fontId="12" fillId="19" borderId="17" applyAlignment="1" pivotButton="0" quotePrefix="0" xfId="0">
      <alignment horizontal="center" vertical="center"/>
    </xf>
    <xf numFmtId="0" fontId="12" fillId="19" borderId="17" applyAlignment="1" pivotButton="0" quotePrefix="0" xfId="0">
      <alignment horizont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B0B0B0"/>
      <rgbColor rgb="FF808080"/>
      <rgbColor rgb="FF9999FF"/>
      <rgbColor rgb="FF7030A0"/>
      <rgbColor rgb="FFFFFDE7"/>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E2EFDA"/>
      <rgbColor rgb="FFFFF2CC"/>
      <rgbColor rgb="FFD9E1F2"/>
      <rgbColor rgb="FFD9E2F3"/>
      <rgbColor rgb="FFE4DFEC"/>
      <rgbColor rgb="FFFCE4D6"/>
      <rgbColor rgb="FF2E75B6"/>
      <rgbColor rgb="FF33CCCC"/>
      <rgbColor rgb="FF99CC00"/>
      <rgbColor rgb="FFFFCC00"/>
      <rgbColor rgb="FFBF8F00"/>
      <rgbColor rgb="FFC55A11"/>
      <rgbColor rgb="FF666699"/>
      <rgbColor rgb="FF969696"/>
      <rgbColor rgb="FF003366"/>
      <rgbColor rgb="FF339966"/>
      <rgbColor rgb="FF003300"/>
      <rgbColor rgb="FF1F1F1F"/>
      <rgbColor rgb="FF993300"/>
      <rgbColor rgb="FF993366"/>
      <rgbColor rgb="FF1F4E78"/>
      <rgbColor rgb="FF40404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96875" defaultRowHeight="14.25" zeroHeight="0" outlineLevelRow="0"/>
  <sheetData>
    <row r="1" ht="18" customHeight="1" s="34">
      <c r="A1" s="35" t="inlineStr">
        <is>
          <t>CSE A1 Master Attendance Workbook (Multi-Column Structure)</t>
        </is>
      </c>
    </row>
    <row r="3" ht="14.25" customHeight="1" s="34">
      <c r="A3" s="36" t="inlineStr">
        <is>
          <t>WHAT'S FIXED:</t>
        </is>
      </c>
    </row>
    <row r="4" ht="14.25" customHeight="1" s="34">
      <c r="A4" s="36" t="inlineStr">
        <is>
          <t>• Detailed Attendance now has MULTIPLE SUBJECT COLUMNS under each Date (based on the exact timetable).</t>
        </is>
      </c>
    </row>
    <row r="5" ht="14.25" customHeight="1" s="34">
      <c r="A5" s="36" t="inlineStr">
        <is>
          <t>• Monthly, Subject-wise, and Overall summaries are 100% formula-driven and linked to the new layout.</t>
        </is>
      </c>
    </row>
    <row r="6" ht="14.25" customHeight="1" s="34">
      <c r="A6" s="36" t="inlineStr">
        <is>
          <t>• Just type 'P' or 'A' in the yellow cells. All percentages and totals will update instantly.</t>
        </is>
      </c>
    </row>
    <row r="8" ht="14.25" customHeight="1" s="34">
      <c r="A8" s="36" t="inlineStr">
        <is>
          <t>NOTE: Subject-wise summary tracks core theory subjects (PSQT, OOPJ, OS, COA, DMS). Labs/Activities are tracked in Detailed Attendance.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outlinePr summaryBelow="1" summaryRight="1"/>
    <pageSetUpPr/>
  </sheetPr>
  <dimension ref="A1:A9"/>
  <sheetViews>
    <sheetView showGridLines="0" zoomScale="90" workbookViewId="0">
      <selection activeCell="A1" sqref="A1"/>
    </sheetView>
  </sheetViews>
  <sheetFormatPr baseColWidth="8" defaultRowHeight="15"/>
  <cols>
    <col width="110" customWidth="1" style="34" min="1" max="1"/>
  </cols>
  <sheetData>
    <row r="1">
      <c r="A1" s="37" t="inlineStr">
        <is>
          <t>HOW TO ADD SEPTEMBER, OCTOBER, NOVEMBER…</t>
        </is>
      </c>
    </row>
    <row r="3">
      <c r="A3" s="38" t="inlineStr">
        <is>
          <t>1. Keep the existing June–August workbook sheets unchanged.</t>
        </is>
      </c>
    </row>
    <row r="4">
      <c r="A4" s="38" t="inlineStr">
        <is>
          <t>2. Duplicate the 'MONTHLY TEMPLATE' sheet and rename it to the required month, e.g. 'October 2026'.</t>
        </is>
      </c>
    </row>
    <row r="5">
      <c r="A5" s="38" t="inlineStr">
        <is>
          <t>3. Use the official timetable to create the date/class columns. The September sheet is already populated as the worked example.</t>
        </is>
      </c>
    </row>
    <row r="6">
      <c r="A6" s="38" t="inlineStr">
        <is>
          <t>4. For each class, set the bulk status to ☑ Present, then change only the absent students to ☐.</t>
        </is>
      </c>
    </row>
    <row r="7">
      <c r="A7" s="38" t="inlineStr">
        <is>
          <t>5. Theory classes apply to all 124 students. Lab slots respect the existing Batch 1/2/3 allocation.</t>
        </is>
      </c>
    </row>
    <row r="8">
      <c r="A8" s="38" t="inlineStr">
        <is>
          <t>6. Do not put NCC/NSS, Remedial, Library/Self Study, or Swachh Bharat into subject attendance calculations.</t>
        </is>
      </c>
    </row>
    <row r="9">
      <c r="A9" s="38" t="inlineStr">
        <is>
          <t>7. The existing June–August output sheets are intentionally preserved. A future final version can connect the new monthly sheets to a dynamic semester summary.</t>
        </is>
      </c>
    </row>
  </sheetData>
  <pageMargins left="0.75" right="0.75" top="1" bottom="1" header="0.5" footer="0.5"/>
</worksheet>
</file>

<file path=xl/worksheets/sheet3.xml><?xml version="1.0" encoding="utf-8"?>
<worksheet xmlns="http://schemas.openxmlformats.org/spreadsheetml/2006/main">
  <sheetPr filterMode="0">
    <outlinePr summaryBelow="1" summaryRight="1"/>
    <pageSetUpPr fitToPage="0"/>
  </sheetPr>
  <dimension ref="A1:GI127"/>
  <sheetViews>
    <sheetView showFormulas="0" showGridLines="1" showRowColHeaders="1" showZeros="1" rightToLeft="0" tabSelected="0" showOutlineSymbols="1" defaultGridColor="1" view="normal" topLeftCell="A1" colorId="64" zoomScale="100" zoomScaleNormal="100" zoomScalePageLayoutView="100" workbookViewId="0">
      <pane xSplit="3" ySplit="3" topLeftCell="GB103" activePane="bottomRight" state="frozen"/>
      <selection pane="topLeft" activeCell="A1" activeCellId="0" sqref="A1"/>
      <selection pane="topRight" activeCell="GB1" activeCellId="0" sqref="GB1"/>
      <selection pane="bottomLeft" activeCell="A103" activeCellId="0" sqref="A103"/>
      <selection pane="bottomRight" activeCell="GG127" activeCellId="0" sqref="GG127"/>
    </sheetView>
  </sheetViews>
  <sheetFormatPr baseColWidth="8" defaultColWidth="8.796875" defaultRowHeight="14.25" zeroHeight="0" outlineLevelRow="0"/>
  <cols>
    <col width="6" customWidth="1" style="36" min="1" max="1"/>
    <col width="18" customWidth="1" style="36" min="2" max="2"/>
    <col width="35" customWidth="1" style="36" min="3" max="3"/>
    <col width="16" customWidth="1" style="36" min="4" max="191"/>
  </cols>
  <sheetData>
    <row r="1" ht="15" customHeight="1" s="34">
      <c r="A1" s="39" t="inlineStr">
        <is>
          <t>S.No</t>
        </is>
      </c>
      <c r="B1" s="39" t="inlineStr">
        <is>
          <t>Registration No</t>
        </is>
      </c>
      <c r="C1" s="39" t="inlineStr">
        <is>
          <t>Student Name</t>
        </is>
      </c>
      <c r="D1" s="40" t="inlineStr">
        <is>
          <t>29-Jun</t>
        </is>
      </c>
      <c r="E1" s="41" t="n"/>
      <c r="F1" s="41" t="n"/>
      <c r="G1" s="42" t="n"/>
      <c r="H1" s="40" t="inlineStr">
        <is>
          <t>30-Jun</t>
        </is>
      </c>
      <c r="I1" s="41" t="n"/>
      <c r="J1" s="41" t="n"/>
      <c r="K1" s="42" t="n"/>
      <c r="L1" s="40" t="inlineStr">
        <is>
          <t>01-Jul</t>
        </is>
      </c>
      <c r="M1" s="41" t="n"/>
      <c r="N1" s="41" t="n"/>
      <c r="O1" s="42" t="n"/>
      <c r="P1" s="40" t="inlineStr">
        <is>
          <t>02-Jul</t>
        </is>
      </c>
      <c r="Q1" s="41" t="n"/>
      <c r="R1" s="41" t="n"/>
      <c r="S1" s="42" t="n"/>
      <c r="T1" s="40" t="inlineStr">
        <is>
          <t>03-Jul</t>
        </is>
      </c>
      <c r="U1" s="41" t="n"/>
      <c r="V1" s="41" t="n"/>
      <c r="W1" s="42" t="n"/>
      <c r="X1" s="40" t="inlineStr">
        <is>
          <t>06-Jul</t>
        </is>
      </c>
      <c r="Y1" s="41" t="n"/>
      <c r="Z1" s="41" t="n"/>
      <c r="AA1" s="42" t="n"/>
      <c r="AB1" s="40" t="inlineStr">
        <is>
          <t>07-Jul</t>
        </is>
      </c>
      <c r="AC1" s="41" t="n"/>
      <c r="AD1" s="41" t="n"/>
      <c r="AE1" s="42" t="n"/>
      <c r="AF1" s="40" t="inlineStr">
        <is>
          <t>08-Jul</t>
        </is>
      </c>
      <c r="AG1" s="41" t="n"/>
      <c r="AH1" s="41" t="n"/>
      <c r="AI1" s="42" t="n"/>
      <c r="AJ1" s="40" t="inlineStr">
        <is>
          <t>09-Jul</t>
        </is>
      </c>
      <c r="AK1" s="41" t="n"/>
      <c r="AL1" s="41" t="n"/>
      <c r="AM1" s="42" t="n"/>
      <c r="AN1" s="40" t="inlineStr">
        <is>
          <t>10-Jul</t>
        </is>
      </c>
      <c r="AO1" s="41" t="n"/>
      <c r="AP1" s="41" t="n"/>
      <c r="AQ1" s="42" t="n"/>
      <c r="AR1" s="40" t="inlineStr">
        <is>
          <t>13-Jul</t>
        </is>
      </c>
      <c r="AS1" s="41" t="n"/>
      <c r="AT1" s="41" t="n"/>
      <c r="AU1" s="42" t="n"/>
      <c r="AV1" s="40" t="inlineStr">
        <is>
          <t>14-Jul</t>
        </is>
      </c>
      <c r="AW1" s="41" t="n"/>
      <c r="AX1" s="41" t="n"/>
      <c r="AY1" s="42" t="n"/>
      <c r="AZ1" s="40" t="inlineStr">
        <is>
          <t>15-Jul</t>
        </is>
      </c>
      <c r="BA1" s="41" t="n"/>
      <c r="BB1" s="41" t="n"/>
      <c r="BC1" s="42" t="n"/>
      <c r="BD1" s="40" t="inlineStr">
        <is>
          <t>16-Jul</t>
        </is>
      </c>
      <c r="BE1" s="41" t="n"/>
      <c r="BF1" s="41" t="n"/>
      <c r="BG1" s="42" t="n"/>
      <c r="BH1" s="40" t="inlineStr">
        <is>
          <t>17-Jul</t>
        </is>
      </c>
      <c r="BI1" s="41" t="n"/>
      <c r="BJ1" s="41" t="n"/>
      <c r="BK1" s="42" t="n"/>
      <c r="BL1" s="40" t="inlineStr">
        <is>
          <t>20-Jul</t>
        </is>
      </c>
      <c r="BM1" s="41" t="n"/>
      <c r="BN1" s="41" t="n"/>
      <c r="BO1" s="42" t="n"/>
      <c r="BP1" s="40" t="inlineStr">
        <is>
          <t>21-Jul</t>
        </is>
      </c>
      <c r="BQ1" s="41" t="n"/>
      <c r="BR1" s="41" t="n"/>
      <c r="BS1" s="42" t="n"/>
      <c r="BT1" s="40" t="inlineStr">
        <is>
          <t>22-Jul</t>
        </is>
      </c>
      <c r="BU1" s="41" t="n"/>
      <c r="BV1" s="41" t="n"/>
      <c r="BW1" s="42" t="n"/>
      <c r="BX1" s="40" t="inlineStr">
        <is>
          <t>23-Jul</t>
        </is>
      </c>
      <c r="BY1" s="41" t="n"/>
      <c r="BZ1" s="41" t="n"/>
      <c r="CA1" s="42" t="n"/>
      <c r="CB1" s="40" t="inlineStr">
        <is>
          <t>24-Jul</t>
        </is>
      </c>
      <c r="CC1" s="41" t="n"/>
      <c r="CD1" s="41" t="n"/>
      <c r="CE1" s="42" t="n"/>
      <c r="CF1" s="40" t="inlineStr">
        <is>
          <t>25-Jul</t>
        </is>
      </c>
      <c r="CG1" s="41" t="n"/>
      <c r="CH1" s="42" t="n"/>
      <c r="CI1" s="40" t="inlineStr">
        <is>
          <t>27-Jul</t>
        </is>
      </c>
      <c r="CJ1" s="41" t="n"/>
      <c r="CK1" s="41" t="n"/>
      <c r="CL1" s="42" t="n"/>
      <c r="CM1" s="40" t="inlineStr">
        <is>
          <t>28-Jul</t>
        </is>
      </c>
      <c r="CN1" s="41" t="n"/>
      <c r="CO1" s="41" t="n"/>
      <c r="CP1" s="42" t="n"/>
      <c r="CQ1" s="40" t="inlineStr">
        <is>
          <t>29-Jul</t>
        </is>
      </c>
      <c r="CR1" s="41" t="n"/>
      <c r="CS1" s="41" t="n"/>
      <c r="CT1" s="42" t="n"/>
      <c r="CU1" s="40" t="inlineStr">
        <is>
          <t>30-Jul</t>
        </is>
      </c>
      <c r="CV1" s="41" t="n"/>
      <c r="CW1" s="41" t="n"/>
      <c r="CX1" s="42" t="n"/>
      <c r="CY1" s="40" t="inlineStr">
        <is>
          <t>31-Jul</t>
        </is>
      </c>
      <c r="CZ1" s="41" t="n"/>
      <c r="DA1" s="41" t="n"/>
      <c r="DB1" s="42" t="n"/>
      <c r="DC1" s="40" t="inlineStr">
        <is>
          <t>01-Aug</t>
        </is>
      </c>
      <c r="DD1" s="41" t="n"/>
      <c r="DE1" s="42" t="n"/>
      <c r="DF1" s="40" t="inlineStr">
        <is>
          <t>03-Aug</t>
        </is>
      </c>
      <c r="DG1" s="41" t="n"/>
      <c r="DH1" s="41" t="n"/>
      <c r="DI1" s="42" t="n"/>
      <c r="DJ1" s="40" t="inlineStr">
        <is>
          <t>04-Aug</t>
        </is>
      </c>
      <c r="DK1" s="41" t="n"/>
      <c r="DL1" s="41" t="n"/>
      <c r="DM1" s="42" t="n"/>
      <c r="DN1" s="40" t="inlineStr">
        <is>
          <t>05-Aug</t>
        </is>
      </c>
      <c r="DO1" s="41" t="n"/>
      <c r="DP1" s="41" t="n"/>
      <c r="DQ1" s="42" t="n"/>
      <c r="DR1" s="40" t="inlineStr">
        <is>
          <t>06-Aug</t>
        </is>
      </c>
      <c r="DS1" s="41" t="n"/>
      <c r="DT1" s="41" t="n"/>
      <c r="DU1" s="42" t="n"/>
      <c r="DV1" s="40" t="inlineStr">
        <is>
          <t>07-Aug</t>
        </is>
      </c>
      <c r="DW1" s="41" t="n"/>
      <c r="DX1" s="41" t="n"/>
      <c r="DY1" s="42" t="n"/>
      <c r="DZ1" s="40" t="inlineStr">
        <is>
          <t>08-Aug</t>
        </is>
      </c>
      <c r="EA1" s="41" t="n"/>
      <c r="EB1" s="42" t="n"/>
      <c r="EC1" s="40" t="inlineStr">
        <is>
          <t>10-Aug</t>
        </is>
      </c>
      <c r="ED1" s="41" t="n"/>
      <c r="EE1" s="41" t="n"/>
      <c r="EF1" s="42" t="n"/>
      <c r="EG1" s="40" t="inlineStr">
        <is>
          <t>11-Aug</t>
        </is>
      </c>
      <c r="EH1" s="41" t="n"/>
      <c r="EI1" s="41" t="n"/>
      <c r="EJ1" s="42" t="n"/>
      <c r="EK1" s="40" t="inlineStr">
        <is>
          <t>12-Aug</t>
        </is>
      </c>
      <c r="EL1" s="41" t="n"/>
      <c r="EM1" s="41" t="n"/>
      <c r="EN1" s="42" t="n"/>
      <c r="EO1" s="40" t="inlineStr">
        <is>
          <t>13-Aug</t>
        </is>
      </c>
      <c r="EP1" s="41" t="n"/>
      <c r="EQ1" s="41" t="n"/>
      <c r="ER1" s="42" t="n"/>
      <c r="ES1" s="40" t="inlineStr">
        <is>
          <t>14-Aug</t>
        </is>
      </c>
      <c r="ET1" s="41" t="n"/>
      <c r="EU1" s="41" t="n"/>
      <c r="EV1" s="42" t="n"/>
      <c r="EW1" s="40" t="inlineStr">
        <is>
          <t>17-Aug</t>
        </is>
      </c>
      <c r="EX1" s="41" t="n"/>
      <c r="EY1" s="41" t="n"/>
      <c r="EZ1" s="42" t="n"/>
      <c r="FA1" s="40" t="inlineStr">
        <is>
          <t>18-Aug</t>
        </is>
      </c>
      <c r="FB1" s="41" t="n"/>
      <c r="FC1" s="41" t="n"/>
      <c r="FD1" s="42" t="n"/>
      <c r="FE1" s="40" t="inlineStr">
        <is>
          <t>19-Aug</t>
        </is>
      </c>
      <c r="FF1" s="41" t="n"/>
      <c r="FG1" s="41" t="n"/>
      <c r="FH1" s="42" t="n"/>
      <c r="FI1" s="40" t="inlineStr">
        <is>
          <t>20-Aug</t>
        </is>
      </c>
      <c r="FJ1" s="41" t="n"/>
      <c r="FK1" s="41" t="n"/>
      <c r="FL1" s="42" t="n"/>
      <c r="FM1" s="40" t="inlineStr">
        <is>
          <t>24-Aug</t>
        </is>
      </c>
      <c r="FN1" s="41" t="n"/>
      <c r="FO1" s="41" t="n"/>
      <c r="FP1" s="42" t="n"/>
      <c r="FQ1" s="40" t="inlineStr">
        <is>
          <t>25-Aug</t>
        </is>
      </c>
      <c r="FR1" s="41" t="n"/>
      <c r="FS1" s="41" t="n"/>
      <c r="FT1" s="42" t="n"/>
      <c r="FU1" s="40" t="inlineStr">
        <is>
          <t>26-Aug</t>
        </is>
      </c>
      <c r="FV1" s="41" t="n"/>
      <c r="FW1" s="41" t="n"/>
      <c r="FX1" s="42" t="n"/>
      <c r="FY1" s="40" t="inlineStr">
        <is>
          <t>27-Aug</t>
        </is>
      </c>
      <c r="FZ1" s="41" t="n"/>
      <c r="GA1" s="41" t="n"/>
      <c r="GB1" s="42" t="n"/>
      <c r="GC1" s="40" t="inlineStr">
        <is>
          <t>28-Aug</t>
        </is>
      </c>
      <c r="GD1" s="41" t="n"/>
      <c r="GE1" s="41" t="n"/>
      <c r="GF1" s="42" t="n"/>
      <c r="GG1" s="40" t="inlineStr">
        <is>
          <t>29-Aug</t>
        </is>
      </c>
      <c r="GH1" s="41" t="n"/>
      <c r="GI1" s="42" t="n"/>
    </row>
    <row r="2" ht="28.5" customHeight="1" s="34">
      <c r="A2" s="43" t="n"/>
      <c r="B2" s="43" t="n"/>
      <c r="C2" s="43" t="n"/>
      <c r="D2" s="39" t="inlineStr">
        <is>
          <t>COA</t>
        </is>
      </c>
      <c r="E2" s="39" t="inlineStr">
        <is>
          <t>COA LAB-1 / OS LAB-3</t>
        </is>
      </c>
      <c r="F2" s="39" t="inlineStr">
        <is>
          <t>REMEDIAL CLASS</t>
        </is>
      </c>
      <c r="G2" s="39" t="inlineStr">
        <is>
          <t>NCC/NSS</t>
        </is>
      </c>
      <c r="H2" s="39" t="inlineStr">
        <is>
          <t>OOPJ LAB-3</t>
        </is>
      </c>
      <c r="I2" s="39" t="inlineStr">
        <is>
          <t>OOPJ</t>
        </is>
      </c>
      <c r="J2" s="39" t="inlineStr">
        <is>
          <t>LIBRARY / SELF STUDY</t>
        </is>
      </c>
      <c r="K2" s="39" t="inlineStr">
        <is>
          <t>NCC/NSS</t>
        </is>
      </c>
      <c r="L2" s="39" t="inlineStr">
        <is>
          <t>OS</t>
        </is>
      </c>
      <c r="M2" s="39" t="inlineStr">
        <is>
          <t>DMS</t>
        </is>
      </c>
      <c r="N2" s="39" t="inlineStr">
        <is>
          <t>SWATCH BHARAT</t>
        </is>
      </c>
      <c r="O2" s="39" t="inlineStr">
        <is>
          <t>NCC/NSS</t>
        </is>
      </c>
      <c r="P2" s="39" t="inlineStr">
        <is>
          <t>OS</t>
        </is>
      </c>
      <c r="Q2" s="39" t="inlineStr">
        <is>
          <t>OOPJ</t>
        </is>
      </c>
      <c r="R2" s="39" t="inlineStr">
        <is>
          <t>PSQT</t>
        </is>
      </c>
      <c r="S2" s="39" t="inlineStr">
        <is>
          <t>NCC/NSS</t>
        </is>
      </c>
      <c r="T2" s="39" t="inlineStr">
        <is>
          <t>COA</t>
        </is>
      </c>
      <c r="U2" s="39" t="inlineStr">
        <is>
          <t>DMS</t>
        </is>
      </c>
      <c r="V2" s="39" t="inlineStr">
        <is>
          <t>OS LAB-1 / OOPJ LAB-2</t>
        </is>
      </c>
      <c r="W2" s="39" t="inlineStr">
        <is>
          <t>NCC/NSS</t>
        </is>
      </c>
      <c r="X2" s="39" t="inlineStr">
        <is>
          <t>PSQT</t>
        </is>
      </c>
      <c r="Y2" s="39" t="inlineStr">
        <is>
          <t>COA LAB-1 / OS LAB-3</t>
        </is>
      </c>
      <c r="Z2" s="39" t="inlineStr">
        <is>
          <t>REMEDIAL CLASS</t>
        </is>
      </c>
      <c r="AA2" s="39" t="inlineStr">
        <is>
          <t>NCC/NSS</t>
        </is>
      </c>
      <c r="AB2" s="39" t="inlineStr">
        <is>
          <t>OOPJ LAB-3</t>
        </is>
      </c>
      <c r="AC2" s="39" t="inlineStr">
        <is>
          <t>OOPJ</t>
        </is>
      </c>
      <c r="AD2" s="39" t="inlineStr">
        <is>
          <t>LIBRARY / SELF STUDY</t>
        </is>
      </c>
      <c r="AE2" s="39" t="inlineStr">
        <is>
          <t>NCC/NSS</t>
        </is>
      </c>
      <c r="AF2" s="39" t="inlineStr">
        <is>
          <t>OS</t>
        </is>
      </c>
      <c r="AG2" s="39" t="inlineStr">
        <is>
          <t>DMS</t>
        </is>
      </c>
      <c r="AH2" s="39" t="inlineStr">
        <is>
          <t>SWATCH BHARAT</t>
        </is>
      </c>
      <c r="AI2" s="39" t="inlineStr">
        <is>
          <t>NCC/NSS</t>
        </is>
      </c>
      <c r="AJ2" s="39" t="inlineStr">
        <is>
          <t>OS</t>
        </is>
      </c>
      <c r="AK2" s="39" t="inlineStr">
        <is>
          <t>OOPJ</t>
        </is>
      </c>
      <c r="AL2" s="39" t="inlineStr">
        <is>
          <t>PSQT</t>
        </is>
      </c>
      <c r="AM2" s="39" t="inlineStr">
        <is>
          <t>NCC/NSS</t>
        </is>
      </c>
      <c r="AN2" s="39" t="inlineStr">
        <is>
          <t>COA</t>
        </is>
      </c>
      <c r="AO2" s="39" t="inlineStr">
        <is>
          <t>DMS</t>
        </is>
      </c>
      <c r="AP2" s="39" t="inlineStr">
        <is>
          <t>OS LAB-1 / OOPJ LAB-2</t>
        </is>
      </c>
      <c r="AQ2" s="39" t="inlineStr">
        <is>
          <t>NCC/NSS</t>
        </is>
      </c>
      <c r="AR2" s="39" t="inlineStr">
        <is>
          <t>COA</t>
        </is>
      </c>
      <c r="AS2" s="39" t="inlineStr">
        <is>
          <t>COA LAB-1 / OS LAB-3</t>
        </is>
      </c>
      <c r="AT2" s="39" t="inlineStr">
        <is>
          <t>REMEDIAL CLASS</t>
        </is>
      </c>
      <c r="AU2" s="39" t="inlineStr">
        <is>
          <t>NCC/NSS</t>
        </is>
      </c>
      <c r="AV2" s="39" t="inlineStr">
        <is>
          <t>OOPJ LAB-3</t>
        </is>
      </c>
      <c r="AW2" s="39" t="inlineStr">
        <is>
          <t>OOPJ</t>
        </is>
      </c>
      <c r="AX2" s="39" t="inlineStr">
        <is>
          <t>LIBRARY / SELF STUDY</t>
        </is>
      </c>
      <c r="AY2" s="39" t="inlineStr">
        <is>
          <t>NCC/NSS</t>
        </is>
      </c>
      <c r="AZ2" s="39" t="inlineStr">
        <is>
          <t>OS</t>
        </is>
      </c>
      <c r="BA2" s="39" t="inlineStr">
        <is>
          <t>DMS</t>
        </is>
      </c>
      <c r="BB2" s="39" t="inlineStr">
        <is>
          <t>SWATCH BHARAT</t>
        </is>
      </c>
      <c r="BC2" s="39" t="inlineStr">
        <is>
          <t>NCC/NSS</t>
        </is>
      </c>
      <c r="BD2" s="39" t="inlineStr">
        <is>
          <t>OS</t>
        </is>
      </c>
      <c r="BE2" s="39" t="inlineStr">
        <is>
          <t>OOPJ</t>
        </is>
      </c>
      <c r="BF2" s="39" t="inlineStr">
        <is>
          <t>PSQT</t>
        </is>
      </c>
      <c r="BG2" s="39" t="inlineStr">
        <is>
          <t>NCC/NSS</t>
        </is>
      </c>
      <c r="BH2" s="39" t="inlineStr">
        <is>
          <t>COA</t>
        </is>
      </c>
      <c r="BI2" s="39" t="inlineStr">
        <is>
          <t>DMS</t>
        </is>
      </c>
      <c r="BJ2" s="39" t="inlineStr">
        <is>
          <t>OS LAB-1 / OOPJ LAB-2</t>
        </is>
      </c>
      <c r="BK2" s="39" t="inlineStr">
        <is>
          <t>NCC/NSS</t>
        </is>
      </c>
      <c r="BL2" s="39" t="inlineStr">
        <is>
          <t>PSQT</t>
        </is>
      </c>
      <c r="BM2" s="39" t="inlineStr">
        <is>
          <t>COA LAB-1 / OS LAB-3</t>
        </is>
      </c>
      <c r="BN2" s="39" t="inlineStr">
        <is>
          <t>REMEDIAL CLASS</t>
        </is>
      </c>
      <c r="BO2" s="39" t="inlineStr">
        <is>
          <t>NCC/NSS</t>
        </is>
      </c>
      <c r="BP2" s="39" t="inlineStr">
        <is>
          <t>OOPJ LAB-3</t>
        </is>
      </c>
      <c r="BQ2" s="39" t="inlineStr">
        <is>
          <t>OOPJ</t>
        </is>
      </c>
      <c r="BR2" s="39" t="inlineStr">
        <is>
          <t>LIBRARY / SELF STUDY</t>
        </is>
      </c>
      <c r="BS2" s="39" t="inlineStr">
        <is>
          <t>NCC/NSS</t>
        </is>
      </c>
      <c r="BT2" s="39" t="inlineStr">
        <is>
          <t>OS</t>
        </is>
      </c>
      <c r="BU2" s="39" t="inlineStr">
        <is>
          <t>DMS</t>
        </is>
      </c>
      <c r="BV2" s="39" t="inlineStr">
        <is>
          <t>SWATCH BHARAT</t>
        </is>
      </c>
      <c r="BW2" s="39" t="inlineStr">
        <is>
          <t>NCC/NSS</t>
        </is>
      </c>
      <c r="BX2" s="39" t="inlineStr">
        <is>
          <t>OS</t>
        </is>
      </c>
      <c r="BY2" s="39" t="inlineStr">
        <is>
          <t>OOPJ</t>
        </is>
      </c>
      <c r="BZ2" s="39" t="inlineStr">
        <is>
          <t>PSQT</t>
        </is>
      </c>
      <c r="CA2" s="39" t="inlineStr">
        <is>
          <t>NCC/NSS</t>
        </is>
      </c>
      <c r="CB2" s="39" t="inlineStr">
        <is>
          <t>COA</t>
        </is>
      </c>
      <c r="CC2" s="39" t="inlineStr">
        <is>
          <t>DMS</t>
        </is>
      </c>
      <c r="CD2" s="39" t="inlineStr">
        <is>
          <t>OS LAB-1 / OOPJ LAB-2</t>
        </is>
      </c>
      <c r="CE2" s="39" t="inlineStr">
        <is>
          <t>NCC/NSS</t>
        </is>
      </c>
      <c r="CF2" s="39" t="inlineStr">
        <is>
          <t>COA</t>
        </is>
      </c>
      <c r="CG2" s="39" t="inlineStr">
        <is>
          <t>COA LAB-2</t>
        </is>
      </c>
      <c r="CH2" s="39" t="inlineStr">
        <is>
          <t>OS LAB-2 / OOPJ LAB-1 / COA LAB-3</t>
        </is>
      </c>
      <c r="CI2" s="39" t="inlineStr">
        <is>
          <t>PSQT</t>
        </is>
      </c>
      <c r="CJ2" s="39" t="inlineStr">
        <is>
          <t>COA LAB-1 / OS LAB-3</t>
        </is>
      </c>
      <c r="CK2" s="39" t="inlineStr">
        <is>
          <t>REMEDIAL CLASS</t>
        </is>
      </c>
      <c r="CL2" s="39" t="inlineStr">
        <is>
          <t>NCC/NSS</t>
        </is>
      </c>
      <c r="CM2" s="39" t="inlineStr">
        <is>
          <t>OOPJ LAB-3</t>
        </is>
      </c>
      <c r="CN2" s="39" t="inlineStr">
        <is>
          <t>OOPJ</t>
        </is>
      </c>
      <c r="CO2" s="39" t="inlineStr">
        <is>
          <t>LIBRARY / SELF STUDY</t>
        </is>
      </c>
      <c r="CP2" s="39" t="inlineStr">
        <is>
          <t>NCC/NSS</t>
        </is>
      </c>
      <c r="CQ2" s="39" t="inlineStr">
        <is>
          <t>OS</t>
        </is>
      </c>
      <c r="CR2" s="39" t="inlineStr">
        <is>
          <t>DMS</t>
        </is>
      </c>
      <c r="CS2" s="39" t="inlineStr">
        <is>
          <t>SWATCH BHARAT</t>
        </is>
      </c>
      <c r="CT2" s="39" t="inlineStr">
        <is>
          <t>NCC/NSS</t>
        </is>
      </c>
      <c r="CU2" s="39" t="inlineStr">
        <is>
          <t>OS</t>
        </is>
      </c>
      <c r="CV2" s="39" t="inlineStr">
        <is>
          <t>OOPJ</t>
        </is>
      </c>
      <c r="CW2" s="39" t="inlineStr">
        <is>
          <t>PSQT</t>
        </is>
      </c>
      <c r="CX2" s="39" t="inlineStr">
        <is>
          <t>NCC/NSS</t>
        </is>
      </c>
      <c r="CY2" s="39" t="inlineStr">
        <is>
          <t>COA</t>
        </is>
      </c>
      <c r="CZ2" s="39" t="inlineStr">
        <is>
          <t>DMS</t>
        </is>
      </c>
      <c r="DA2" s="39" t="inlineStr">
        <is>
          <t>OS LAB-1 / OOPJ LAB-2</t>
        </is>
      </c>
      <c r="DB2" s="39" t="inlineStr">
        <is>
          <t>NCC/NSS</t>
        </is>
      </c>
      <c r="DC2" s="39" t="inlineStr">
        <is>
          <t>COA</t>
        </is>
      </c>
      <c r="DD2" s="39" t="inlineStr">
        <is>
          <t>COA LAB-2</t>
        </is>
      </c>
      <c r="DE2" s="39" t="inlineStr">
        <is>
          <t>OS LAB-2 / OOPJ LAB-1 / COA LAB-3</t>
        </is>
      </c>
      <c r="DF2" s="39" t="inlineStr">
        <is>
          <t>PSQT</t>
        </is>
      </c>
      <c r="DG2" s="39" t="inlineStr">
        <is>
          <t>COA LAB-1 / OS LAB-3</t>
        </is>
      </c>
      <c r="DH2" s="39" t="inlineStr">
        <is>
          <t>REMEDIAL CLASS</t>
        </is>
      </c>
      <c r="DI2" s="39" t="inlineStr">
        <is>
          <t>NCC/NSS</t>
        </is>
      </c>
      <c r="DJ2" s="39" t="inlineStr">
        <is>
          <t>OOPJ LAB-3</t>
        </is>
      </c>
      <c r="DK2" s="39" t="inlineStr">
        <is>
          <t>OOPJ</t>
        </is>
      </c>
      <c r="DL2" s="39" t="inlineStr">
        <is>
          <t>LIBRARY / SELF STUDY</t>
        </is>
      </c>
      <c r="DM2" s="39" t="inlineStr">
        <is>
          <t>NCC/NSS</t>
        </is>
      </c>
      <c r="DN2" s="39" t="inlineStr">
        <is>
          <t>OS</t>
        </is>
      </c>
      <c r="DO2" s="39" t="inlineStr">
        <is>
          <t>DMS</t>
        </is>
      </c>
      <c r="DP2" s="39" t="inlineStr">
        <is>
          <t>SWATCH BHARAT</t>
        </is>
      </c>
      <c r="DQ2" s="39" t="inlineStr">
        <is>
          <t>NCC/NSS</t>
        </is>
      </c>
      <c r="DR2" s="39" t="inlineStr">
        <is>
          <t>OS</t>
        </is>
      </c>
      <c r="DS2" s="39" t="inlineStr">
        <is>
          <t>OOPJ</t>
        </is>
      </c>
      <c r="DT2" s="39" t="inlineStr">
        <is>
          <t>PSQT</t>
        </is>
      </c>
      <c r="DU2" s="39" t="inlineStr">
        <is>
          <t>NCC/NSS</t>
        </is>
      </c>
      <c r="DV2" s="39" t="inlineStr">
        <is>
          <t>COA</t>
        </is>
      </c>
      <c r="DW2" s="39" t="inlineStr">
        <is>
          <t>DMS</t>
        </is>
      </c>
      <c r="DX2" s="39" t="inlineStr">
        <is>
          <t>OS LAB-1 / OOPJ LAB-2</t>
        </is>
      </c>
      <c r="DY2" s="39" t="inlineStr">
        <is>
          <t>NCC/NSS</t>
        </is>
      </c>
      <c r="DZ2" s="39" t="inlineStr">
        <is>
          <t>COA</t>
        </is>
      </c>
      <c r="EA2" s="39" t="inlineStr">
        <is>
          <t>COA LAB-2</t>
        </is>
      </c>
      <c r="EB2" s="39" t="inlineStr">
        <is>
          <t>OS LAB-2 / OOPJ LAB-1 / COA LAB-3</t>
        </is>
      </c>
      <c r="EC2" s="39" t="inlineStr">
        <is>
          <t>PSQT</t>
        </is>
      </c>
      <c r="ED2" s="39" t="inlineStr">
        <is>
          <t>COA LAB-1 / OS LAB-3</t>
        </is>
      </c>
      <c r="EE2" s="39" t="inlineStr">
        <is>
          <t>REMEDIAL CLASS</t>
        </is>
      </c>
      <c r="EF2" s="39" t="inlineStr">
        <is>
          <t>NCC/NSS</t>
        </is>
      </c>
      <c r="EG2" s="39" t="inlineStr">
        <is>
          <t>OOPJ LAB-3</t>
        </is>
      </c>
      <c r="EH2" s="39" t="inlineStr">
        <is>
          <t>OOPJ</t>
        </is>
      </c>
      <c r="EI2" s="39" t="inlineStr">
        <is>
          <t>LIBRARY / SELF STUDY</t>
        </is>
      </c>
      <c r="EJ2" s="39" t="inlineStr">
        <is>
          <t>NCC/NSS</t>
        </is>
      </c>
      <c r="EK2" s="39" t="inlineStr">
        <is>
          <t>OS</t>
        </is>
      </c>
      <c r="EL2" s="39" t="inlineStr">
        <is>
          <t>DMS</t>
        </is>
      </c>
      <c r="EM2" s="39" t="inlineStr">
        <is>
          <t>SWATCH BHARAT</t>
        </is>
      </c>
      <c r="EN2" s="39" t="inlineStr">
        <is>
          <t>NCC/NSS</t>
        </is>
      </c>
      <c r="EO2" s="39" t="inlineStr">
        <is>
          <t>OS</t>
        </is>
      </c>
      <c r="EP2" s="39" t="inlineStr">
        <is>
          <t>OOPJ</t>
        </is>
      </c>
      <c r="EQ2" s="39" t="inlineStr">
        <is>
          <t>PSQT</t>
        </is>
      </c>
      <c r="ER2" s="39" t="inlineStr">
        <is>
          <t>NCC/NSS</t>
        </is>
      </c>
      <c r="ES2" s="39" t="inlineStr">
        <is>
          <t>COA</t>
        </is>
      </c>
      <c r="ET2" s="39" t="inlineStr">
        <is>
          <t>DMS</t>
        </is>
      </c>
      <c r="EU2" s="39" t="inlineStr">
        <is>
          <t>OS LAB-1 / OOPJ LAB-2</t>
        </is>
      </c>
      <c r="EV2" s="39" t="inlineStr">
        <is>
          <t>NCC/NSS</t>
        </is>
      </c>
      <c r="EW2" s="39" t="inlineStr">
        <is>
          <t>PSQT</t>
        </is>
      </c>
      <c r="EX2" s="39" t="inlineStr">
        <is>
          <t>COA LAB-1 / OS LAB-3</t>
        </is>
      </c>
      <c r="EY2" s="39" t="inlineStr">
        <is>
          <t>REMEDIAL CLASS</t>
        </is>
      </c>
      <c r="EZ2" s="39" t="inlineStr">
        <is>
          <t>NCC/NSS</t>
        </is>
      </c>
      <c r="FA2" s="39" t="inlineStr">
        <is>
          <t>OOPJ LAB-3</t>
        </is>
      </c>
      <c r="FB2" s="39" t="inlineStr">
        <is>
          <t>OOPJ</t>
        </is>
      </c>
      <c r="FC2" s="39" t="inlineStr">
        <is>
          <t>LIBRARY / SELF STUDY</t>
        </is>
      </c>
      <c r="FD2" s="39" t="inlineStr">
        <is>
          <t>NCC/NSS</t>
        </is>
      </c>
      <c r="FE2" s="39" t="inlineStr">
        <is>
          <t>OS</t>
        </is>
      </c>
      <c r="FF2" s="39" t="inlineStr">
        <is>
          <t>DMS</t>
        </is>
      </c>
      <c r="FG2" s="39" t="inlineStr">
        <is>
          <t>SWATCH BHARAT</t>
        </is>
      </c>
      <c r="FH2" s="39" t="inlineStr">
        <is>
          <t>NCC/NSS</t>
        </is>
      </c>
      <c r="FI2" s="39" t="inlineStr">
        <is>
          <t>OS</t>
        </is>
      </c>
      <c r="FJ2" s="39" t="inlineStr">
        <is>
          <t>OOPJ</t>
        </is>
      </c>
      <c r="FK2" s="39" t="inlineStr">
        <is>
          <t>PSQT</t>
        </is>
      </c>
      <c r="FL2" s="39" t="inlineStr">
        <is>
          <t>NCC/NSS</t>
        </is>
      </c>
      <c r="FM2" s="39" t="inlineStr">
        <is>
          <t>PSQT</t>
        </is>
      </c>
      <c r="FN2" s="39" t="inlineStr">
        <is>
          <t>COA LAB-1 / OS LAB-3</t>
        </is>
      </c>
      <c r="FO2" s="39" t="inlineStr">
        <is>
          <t>REMEDIAL CLASS</t>
        </is>
      </c>
      <c r="FP2" s="39" t="inlineStr">
        <is>
          <t>NCC/NSS</t>
        </is>
      </c>
      <c r="FQ2" s="39" t="inlineStr">
        <is>
          <t>OOPJ LAB-3</t>
        </is>
      </c>
      <c r="FR2" s="39" t="inlineStr">
        <is>
          <t>OOPJ</t>
        </is>
      </c>
      <c r="FS2" s="39" t="inlineStr">
        <is>
          <t>LIBRARY / SELF STUDY</t>
        </is>
      </c>
      <c r="FT2" s="39" t="inlineStr">
        <is>
          <t>NCC/NSS</t>
        </is>
      </c>
      <c r="FU2" s="39" t="inlineStr">
        <is>
          <t>OS</t>
        </is>
      </c>
      <c r="FV2" s="39" t="inlineStr">
        <is>
          <t>DMS</t>
        </is>
      </c>
      <c r="FW2" s="39" t="inlineStr">
        <is>
          <t>SWATCH BHARAT</t>
        </is>
      </c>
      <c r="FX2" s="39" t="inlineStr">
        <is>
          <t>NCC/NSS</t>
        </is>
      </c>
      <c r="FY2" s="39" t="inlineStr">
        <is>
          <t>OS</t>
        </is>
      </c>
      <c r="FZ2" s="39" t="inlineStr">
        <is>
          <t>OOPJ</t>
        </is>
      </c>
      <c r="GA2" s="39" t="inlineStr">
        <is>
          <t>PSQT</t>
        </is>
      </c>
      <c r="GB2" s="39" t="inlineStr">
        <is>
          <t>NCC/NSS</t>
        </is>
      </c>
      <c r="GC2" s="39" t="inlineStr">
        <is>
          <t>COA</t>
        </is>
      </c>
      <c r="GD2" s="39" t="inlineStr">
        <is>
          <t>DMS</t>
        </is>
      </c>
      <c r="GE2" s="39" t="inlineStr">
        <is>
          <t>OS LAB-1 / OOPJ LAB-2</t>
        </is>
      </c>
      <c r="GF2" s="39" t="inlineStr">
        <is>
          <t>NCC/NSS</t>
        </is>
      </c>
      <c r="GG2" s="39" t="inlineStr">
        <is>
          <t>COA</t>
        </is>
      </c>
      <c r="GH2" s="39" t="inlineStr">
        <is>
          <t>COA LAB-2</t>
        </is>
      </c>
      <c r="GI2" s="39" t="inlineStr">
        <is>
          <t>OS LAB-2 / OOPJ LAB-1 / COA LAB-3</t>
        </is>
      </c>
    </row>
    <row r="3" ht="14.25" customHeight="1" s="34">
      <c r="A3" s="44" t="n"/>
      <c r="B3" s="44" t="n"/>
      <c r="C3" s="44" t="n"/>
      <c r="D3" s="45" t="inlineStr">
        <is>
          <t>Mon</t>
        </is>
      </c>
      <c r="E3" s="45" t="inlineStr">
        <is>
          <t>Mon</t>
        </is>
      </c>
      <c r="F3" s="45" t="inlineStr">
        <is>
          <t>Mon</t>
        </is>
      </c>
      <c r="G3" s="45" t="inlineStr">
        <is>
          <t>Mon</t>
        </is>
      </c>
      <c r="H3" s="45" t="inlineStr">
        <is>
          <t>Tue</t>
        </is>
      </c>
      <c r="I3" s="45" t="inlineStr">
        <is>
          <t>Tue</t>
        </is>
      </c>
      <c r="J3" s="45" t="inlineStr">
        <is>
          <t>Tue</t>
        </is>
      </c>
      <c r="K3" s="45" t="inlineStr">
        <is>
          <t>Tue</t>
        </is>
      </c>
      <c r="L3" s="45" t="inlineStr">
        <is>
          <t>Wed</t>
        </is>
      </c>
      <c r="M3" s="45" t="inlineStr">
        <is>
          <t>Wed</t>
        </is>
      </c>
      <c r="N3" s="45" t="inlineStr">
        <is>
          <t>Wed</t>
        </is>
      </c>
      <c r="O3" s="45" t="inlineStr">
        <is>
          <t>Wed</t>
        </is>
      </c>
      <c r="P3" s="45" t="inlineStr">
        <is>
          <t>Thu</t>
        </is>
      </c>
      <c r="Q3" s="45" t="inlineStr">
        <is>
          <t>Thu</t>
        </is>
      </c>
      <c r="R3" s="45" t="inlineStr">
        <is>
          <t>Thu</t>
        </is>
      </c>
      <c r="S3" s="45" t="inlineStr">
        <is>
          <t>Thu</t>
        </is>
      </c>
      <c r="T3" s="45" t="inlineStr">
        <is>
          <t>Fri</t>
        </is>
      </c>
      <c r="U3" s="45" t="inlineStr">
        <is>
          <t>Fri</t>
        </is>
      </c>
      <c r="V3" s="45" t="inlineStr">
        <is>
          <t>Fri</t>
        </is>
      </c>
      <c r="W3" s="45" t="inlineStr">
        <is>
          <t>Fri</t>
        </is>
      </c>
      <c r="X3" s="45" t="inlineStr">
        <is>
          <t>Mon</t>
        </is>
      </c>
      <c r="Y3" s="45" t="inlineStr">
        <is>
          <t>Mon</t>
        </is>
      </c>
      <c r="Z3" s="45" t="inlineStr">
        <is>
          <t>Mon</t>
        </is>
      </c>
      <c r="AA3" s="45" t="inlineStr">
        <is>
          <t>Mon</t>
        </is>
      </c>
      <c r="AB3" s="45" t="inlineStr">
        <is>
          <t>Tue</t>
        </is>
      </c>
      <c r="AC3" s="45" t="inlineStr">
        <is>
          <t>Tue</t>
        </is>
      </c>
      <c r="AD3" s="45" t="inlineStr">
        <is>
          <t>Tue</t>
        </is>
      </c>
      <c r="AE3" s="45" t="inlineStr">
        <is>
          <t>Tue</t>
        </is>
      </c>
      <c r="AF3" s="45" t="inlineStr">
        <is>
          <t>Wed</t>
        </is>
      </c>
      <c r="AG3" s="45" t="inlineStr">
        <is>
          <t>Wed</t>
        </is>
      </c>
      <c r="AH3" s="45" t="inlineStr">
        <is>
          <t>Wed</t>
        </is>
      </c>
      <c r="AI3" s="45" t="inlineStr">
        <is>
          <t>Wed</t>
        </is>
      </c>
      <c r="AJ3" s="45" t="inlineStr">
        <is>
          <t>Thu</t>
        </is>
      </c>
      <c r="AK3" s="45" t="inlineStr">
        <is>
          <t>Thu</t>
        </is>
      </c>
      <c r="AL3" s="45" t="inlineStr">
        <is>
          <t>Thu</t>
        </is>
      </c>
      <c r="AM3" s="45" t="inlineStr">
        <is>
          <t>Thu</t>
        </is>
      </c>
      <c r="AN3" s="45" t="inlineStr">
        <is>
          <t>Fri</t>
        </is>
      </c>
      <c r="AO3" s="45" t="inlineStr">
        <is>
          <t>Fri</t>
        </is>
      </c>
      <c r="AP3" s="45" t="inlineStr">
        <is>
          <t>Fri</t>
        </is>
      </c>
      <c r="AQ3" s="45" t="inlineStr">
        <is>
          <t>Fri</t>
        </is>
      </c>
      <c r="AR3" s="45" t="inlineStr">
        <is>
          <t>Mon</t>
        </is>
      </c>
      <c r="AS3" s="45" t="inlineStr">
        <is>
          <t>Mon</t>
        </is>
      </c>
      <c r="AT3" s="45" t="inlineStr">
        <is>
          <t>Mon</t>
        </is>
      </c>
      <c r="AU3" s="45" t="inlineStr">
        <is>
          <t>Mon</t>
        </is>
      </c>
      <c r="AV3" s="45" t="inlineStr">
        <is>
          <t>Tue</t>
        </is>
      </c>
      <c r="AW3" s="45" t="inlineStr">
        <is>
          <t>Tue</t>
        </is>
      </c>
      <c r="AX3" s="45" t="inlineStr">
        <is>
          <t>Tue</t>
        </is>
      </c>
      <c r="AY3" s="45" t="inlineStr">
        <is>
          <t>Tue</t>
        </is>
      </c>
      <c r="AZ3" s="45" t="inlineStr">
        <is>
          <t>Wed</t>
        </is>
      </c>
      <c r="BA3" s="45" t="inlineStr">
        <is>
          <t>Wed</t>
        </is>
      </c>
      <c r="BB3" s="45" t="inlineStr">
        <is>
          <t>Wed</t>
        </is>
      </c>
      <c r="BC3" s="45" t="inlineStr">
        <is>
          <t>Wed</t>
        </is>
      </c>
      <c r="BD3" s="45" t="inlineStr">
        <is>
          <t>Thu</t>
        </is>
      </c>
      <c r="BE3" s="45" t="inlineStr">
        <is>
          <t>Thu</t>
        </is>
      </c>
      <c r="BF3" s="45" t="inlineStr">
        <is>
          <t>Thu</t>
        </is>
      </c>
      <c r="BG3" s="45" t="inlineStr">
        <is>
          <t>Thu</t>
        </is>
      </c>
      <c r="BH3" s="45" t="inlineStr">
        <is>
          <t>Fri</t>
        </is>
      </c>
      <c r="BI3" s="45" t="inlineStr">
        <is>
          <t>Fri</t>
        </is>
      </c>
      <c r="BJ3" s="45" t="inlineStr">
        <is>
          <t>Fri</t>
        </is>
      </c>
      <c r="BK3" s="45" t="inlineStr">
        <is>
          <t>Fri</t>
        </is>
      </c>
      <c r="BL3" s="45" t="inlineStr">
        <is>
          <t>Mon</t>
        </is>
      </c>
      <c r="BM3" s="45" t="inlineStr">
        <is>
          <t>Mon</t>
        </is>
      </c>
      <c r="BN3" s="45" t="inlineStr">
        <is>
          <t>Mon</t>
        </is>
      </c>
      <c r="BO3" s="45" t="inlineStr">
        <is>
          <t>Mon</t>
        </is>
      </c>
      <c r="BP3" s="45" t="inlineStr">
        <is>
          <t>Tue</t>
        </is>
      </c>
      <c r="BQ3" s="45" t="inlineStr">
        <is>
          <t>Tue</t>
        </is>
      </c>
      <c r="BR3" s="45" t="inlineStr">
        <is>
          <t>Tue</t>
        </is>
      </c>
      <c r="BS3" s="45" t="inlineStr">
        <is>
          <t>Tue</t>
        </is>
      </c>
      <c r="BT3" s="45" t="inlineStr">
        <is>
          <t>Wed</t>
        </is>
      </c>
      <c r="BU3" s="45" t="inlineStr">
        <is>
          <t>Wed</t>
        </is>
      </c>
      <c r="BV3" s="45" t="inlineStr">
        <is>
          <t>Wed</t>
        </is>
      </c>
      <c r="BW3" s="45" t="inlineStr">
        <is>
          <t>Wed</t>
        </is>
      </c>
      <c r="BX3" s="45" t="inlineStr">
        <is>
          <t>Thu</t>
        </is>
      </c>
      <c r="BY3" s="45" t="inlineStr">
        <is>
          <t>Thu</t>
        </is>
      </c>
      <c r="BZ3" s="45" t="inlineStr">
        <is>
          <t>Thu</t>
        </is>
      </c>
      <c r="CA3" s="45" t="inlineStr">
        <is>
          <t>Thu</t>
        </is>
      </c>
      <c r="CB3" s="45" t="inlineStr">
        <is>
          <t>Fri</t>
        </is>
      </c>
      <c r="CC3" s="45" t="inlineStr">
        <is>
          <t>Fri</t>
        </is>
      </c>
      <c r="CD3" s="45" t="inlineStr">
        <is>
          <t>Fri</t>
        </is>
      </c>
      <c r="CE3" s="45" t="inlineStr">
        <is>
          <t>Fri</t>
        </is>
      </c>
      <c r="CF3" s="45" t="inlineStr">
        <is>
          <t>Sat</t>
        </is>
      </c>
      <c r="CG3" s="45" t="inlineStr">
        <is>
          <t>Sat</t>
        </is>
      </c>
      <c r="CH3" s="45" t="inlineStr">
        <is>
          <t>Sat</t>
        </is>
      </c>
      <c r="CI3" s="45" t="inlineStr">
        <is>
          <t>Mon</t>
        </is>
      </c>
      <c r="CJ3" s="45" t="inlineStr">
        <is>
          <t>Mon</t>
        </is>
      </c>
      <c r="CK3" s="45" t="inlineStr">
        <is>
          <t>Mon</t>
        </is>
      </c>
      <c r="CL3" s="45" t="inlineStr">
        <is>
          <t>Mon</t>
        </is>
      </c>
      <c r="CM3" s="45" t="inlineStr">
        <is>
          <t>Tue</t>
        </is>
      </c>
      <c r="CN3" s="45" t="inlineStr">
        <is>
          <t>Tue</t>
        </is>
      </c>
      <c r="CO3" s="45" t="inlineStr">
        <is>
          <t>Tue</t>
        </is>
      </c>
      <c r="CP3" s="45" t="inlineStr">
        <is>
          <t>Tue</t>
        </is>
      </c>
      <c r="CQ3" s="45" t="inlineStr">
        <is>
          <t>Wed</t>
        </is>
      </c>
      <c r="CR3" s="45" t="inlineStr">
        <is>
          <t>Wed</t>
        </is>
      </c>
      <c r="CS3" s="45" t="inlineStr">
        <is>
          <t>Wed</t>
        </is>
      </c>
      <c r="CT3" s="45" t="inlineStr">
        <is>
          <t>Wed</t>
        </is>
      </c>
      <c r="CU3" s="45" t="inlineStr">
        <is>
          <t>Thu</t>
        </is>
      </c>
      <c r="CV3" s="45" t="inlineStr">
        <is>
          <t>Thu</t>
        </is>
      </c>
      <c r="CW3" s="45" t="inlineStr">
        <is>
          <t>Thu</t>
        </is>
      </c>
      <c r="CX3" s="45" t="inlineStr">
        <is>
          <t>Thu</t>
        </is>
      </c>
      <c r="CY3" s="45" t="inlineStr">
        <is>
          <t>Fri</t>
        </is>
      </c>
      <c r="CZ3" s="45" t="inlineStr">
        <is>
          <t>Fri</t>
        </is>
      </c>
      <c r="DA3" s="45" t="inlineStr">
        <is>
          <t>Fri</t>
        </is>
      </c>
      <c r="DB3" s="45" t="inlineStr">
        <is>
          <t>Fri</t>
        </is>
      </c>
      <c r="DC3" s="45" t="inlineStr">
        <is>
          <t>Sat</t>
        </is>
      </c>
      <c r="DD3" s="45" t="inlineStr">
        <is>
          <t>Sat</t>
        </is>
      </c>
      <c r="DE3" s="45" t="inlineStr">
        <is>
          <t>Sat</t>
        </is>
      </c>
      <c r="DF3" s="45" t="inlineStr">
        <is>
          <t>Mon</t>
        </is>
      </c>
      <c r="DG3" s="45" t="inlineStr">
        <is>
          <t>Mon</t>
        </is>
      </c>
      <c r="DH3" s="45" t="inlineStr">
        <is>
          <t>Mon</t>
        </is>
      </c>
      <c r="DI3" s="45" t="inlineStr">
        <is>
          <t>Mon</t>
        </is>
      </c>
      <c r="DJ3" s="45" t="inlineStr">
        <is>
          <t>Tue</t>
        </is>
      </c>
      <c r="DK3" s="45" t="inlineStr">
        <is>
          <t>Tue</t>
        </is>
      </c>
      <c r="DL3" s="45" t="inlineStr">
        <is>
          <t>Tue</t>
        </is>
      </c>
      <c r="DM3" s="45" t="inlineStr">
        <is>
          <t>Tue</t>
        </is>
      </c>
      <c r="DN3" s="45" t="inlineStr">
        <is>
          <t>Wed</t>
        </is>
      </c>
      <c r="DO3" s="45" t="inlineStr">
        <is>
          <t>Wed</t>
        </is>
      </c>
      <c r="DP3" s="45" t="inlineStr">
        <is>
          <t>Wed</t>
        </is>
      </c>
      <c r="DQ3" s="45" t="inlineStr">
        <is>
          <t>Wed</t>
        </is>
      </c>
      <c r="DR3" s="45" t="inlineStr">
        <is>
          <t>Thu</t>
        </is>
      </c>
      <c r="DS3" s="45" t="inlineStr">
        <is>
          <t>Thu</t>
        </is>
      </c>
      <c r="DT3" s="45" t="inlineStr">
        <is>
          <t>Thu</t>
        </is>
      </c>
      <c r="DU3" s="45" t="inlineStr">
        <is>
          <t>Thu</t>
        </is>
      </c>
      <c r="DV3" s="45" t="inlineStr">
        <is>
          <t>Fri</t>
        </is>
      </c>
      <c r="DW3" s="45" t="inlineStr">
        <is>
          <t>Fri</t>
        </is>
      </c>
      <c r="DX3" s="45" t="inlineStr">
        <is>
          <t>Fri</t>
        </is>
      </c>
      <c r="DY3" s="45" t="inlineStr">
        <is>
          <t>Fri</t>
        </is>
      </c>
      <c r="DZ3" s="45" t="inlineStr">
        <is>
          <t>Sat</t>
        </is>
      </c>
      <c r="EA3" s="45" t="inlineStr">
        <is>
          <t>Sat</t>
        </is>
      </c>
      <c r="EB3" s="45" t="inlineStr">
        <is>
          <t>Sat</t>
        </is>
      </c>
      <c r="EC3" s="45" t="inlineStr">
        <is>
          <t>Mon</t>
        </is>
      </c>
      <c r="ED3" s="45" t="inlineStr">
        <is>
          <t>Mon</t>
        </is>
      </c>
      <c r="EE3" s="45" t="inlineStr">
        <is>
          <t>Mon</t>
        </is>
      </c>
      <c r="EF3" s="45" t="inlineStr">
        <is>
          <t>Mon</t>
        </is>
      </c>
      <c r="EG3" s="45" t="inlineStr">
        <is>
          <t>Tue</t>
        </is>
      </c>
      <c r="EH3" s="45" t="inlineStr">
        <is>
          <t>Tue</t>
        </is>
      </c>
      <c r="EI3" s="45" t="inlineStr">
        <is>
          <t>Tue</t>
        </is>
      </c>
      <c r="EJ3" s="45" t="inlineStr">
        <is>
          <t>Tue</t>
        </is>
      </c>
      <c r="EK3" s="45" t="inlineStr">
        <is>
          <t>Wed</t>
        </is>
      </c>
      <c r="EL3" s="45" t="inlineStr">
        <is>
          <t>Wed</t>
        </is>
      </c>
      <c r="EM3" s="45" t="inlineStr">
        <is>
          <t>Wed</t>
        </is>
      </c>
      <c r="EN3" s="45" t="inlineStr">
        <is>
          <t>Wed</t>
        </is>
      </c>
      <c r="EO3" s="45" t="inlineStr">
        <is>
          <t>Thu</t>
        </is>
      </c>
      <c r="EP3" s="45" t="inlineStr">
        <is>
          <t>Thu</t>
        </is>
      </c>
      <c r="EQ3" s="45" t="inlineStr">
        <is>
          <t>Thu</t>
        </is>
      </c>
      <c r="ER3" s="45" t="inlineStr">
        <is>
          <t>Thu</t>
        </is>
      </c>
      <c r="ES3" s="45" t="inlineStr">
        <is>
          <t>Fri</t>
        </is>
      </c>
      <c r="ET3" s="45" t="inlineStr">
        <is>
          <t>Fri</t>
        </is>
      </c>
      <c r="EU3" s="45" t="inlineStr">
        <is>
          <t>Fri</t>
        </is>
      </c>
      <c r="EV3" s="45" t="inlineStr">
        <is>
          <t>Fri</t>
        </is>
      </c>
      <c r="EW3" s="45" t="inlineStr">
        <is>
          <t>Mon</t>
        </is>
      </c>
      <c r="EX3" s="45" t="inlineStr">
        <is>
          <t>Mon</t>
        </is>
      </c>
      <c r="EY3" s="45" t="inlineStr">
        <is>
          <t>Mon</t>
        </is>
      </c>
      <c r="EZ3" s="45" t="inlineStr">
        <is>
          <t>Mon</t>
        </is>
      </c>
      <c r="FA3" s="45" t="inlineStr">
        <is>
          <t>Tue</t>
        </is>
      </c>
      <c r="FB3" s="45" t="inlineStr">
        <is>
          <t>Tue</t>
        </is>
      </c>
      <c r="FC3" s="45" t="inlineStr">
        <is>
          <t>Tue</t>
        </is>
      </c>
      <c r="FD3" s="45" t="inlineStr">
        <is>
          <t>Tue</t>
        </is>
      </c>
      <c r="FE3" s="45" t="inlineStr">
        <is>
          <t>Wed</t>
        </is>
      </c>
      <c r="FF3" s="45" t="inlineStr">
        <is>
          <t>Wed</t>
        </is>
      </c>
      <c r="FG3" s="45" t="inlineStr">
        <is>
          <t>Wed</t>
        </is>
      </c>
      <c r="FH3" s="45" t="inlineStr">
        <is>
          <t>Wed</t>
        </is>
      </c>
      <c r="FI3" s="45" t="inlineStr">
        <is>
          <t>Thu</t>
        </is>
      </c>
      <c r="FJ3" s="45" t="inlineStr">
        <is>
          <t>Thu</t>
        </is>
      </c>
      <c r="FK3" s="45" t="inlineStr">
        <is>
          <t>Thu</t>
        </is>
      </c>
      <c r="FL3" s="45" t="inlineStr">
        <is>
          <t>Thu</t>
        </is>
      </c>
      <c r="FM3" s="45" t="inlineStr">
        <is>
          <t>Mon</t>
        </is>
      </c>
      <c r="FN3" s="45" t="inlineStr">
        <is>
          <t>Mon</t>
        </is>
      </c>
      <c r="FO3" s="45" t="inlineStr">
        <is>
          <t>Mon</t>
        </is>
      </c>
      <c r="FP3" s="45" t="inlineStr">
        <is>
          <t>Mon</t>
        </is>
      </c>
      <c r="FQ3" s="45" t="inlineStr">
        <is>
          <t>Tue</t>
        </is>
      </c>
      <c r="FR3" s="45" t="inlineStr">
        <is>
          <t>Tue</t>
        </is>
      </c>
      <c r="FS3" s="45" t="inlineStr">
        <is>
          <t>Tue</t>
        </is>
      </c>
      <c r="FT3" s="45" t="inlineStr">
        <is>
          <t>Tue</t>
        </is>
      </c>
      <c r="FU3" s="45" t="inlineStr">
        <is>
          <t>Wed</t>
        </is>
      </c>
      <c r="FV3" s="45" t="inlineStr">
        <is>
          <t>Wed</t>
        </is>
      </c>
      <c r="FW3" s="45" t="inlineStr">
        <is>
          <t>Wed</t>
        </is>
      </c>
      <c r="FX3" s="45" t="inlineStr">
        <is>
          <t>Wed</t>
        </is>
      </c>
      <c r="FY3" s="45" t="inlineStr">
        <is>
          <t>Thu</t>
        </is>
      </c>
      <c r="FZ3" s="45" t="inlineStr">
        <is>
          <t>Thu</t>
        </is>
      </c>
      <c r="GA3" s="45" t="inlineStr">
        <is>
          <t>Thu</t>
        </is>
      </c>
      <c r="GB3" s="45" t="inlineStr">
        <is>
          <t>Thu</t>
        </is>
      </c>
      <c r="GC3" s="45" t="inlineStr">
        <is>
          <t>Fri</t>
        </is>
      </c>
      <c r="GD3" s="45" t="inlineStr">
        <is>
          <t>Fri</t>
        </is>
      </c>
      <c r="GE3" s="45" t="inlineStr">
        <is>
          <t>Fri</t>
        </is>
      </c>
      <c r="GF3" s="45" t="inlineStr">
        <is>
          <t>Fri</t>
        </is>
      </c>
      <c r="GG3" s="45" t="inlineStr">
        <is>
          <t>Sat</t>
        </is>
      </c>
      <c r="GH3" s="45" t="inlineStr">
        <is>
          <t>Sat</t>
        </is>
      </c>
      <c r="GI3" s="45" t="inlineStr">
        <is>
          <t>Sat</t>
        </is>
      </c>
    </row>
    <row r="4" ht="14.25" customHeight="1" s="34">
      <c r="A4" s="46" t="n">
        <v>1</v>
      </c>
      <c r="B4" s="46" t="inlineStr">
        <is>
          <t>325106410001</t>
        </is>
      </c>
      <c r="C4" s="46" t="inlineStr">
        <is>
          <t>RATISH SHARMA</t>
        </is>
      </c>
      <c r="D4" s="47" t="inlineStr">
        <is>
          <t>P</t>
        </is>
      </c>
      <c r="E4" s="47" t="n"/>
      <c r="F4" s="47" t="n"/>
      <c r="G4" s="47" t="n"/>
      <c r="H4" s="47" t="n"/>
      <c r="I4" s="47" t="inlineStr">
        <is>
          <t>A</t>
        </is>
      </c>
      <c r="J4" s="47" t="n"/>
      <c r="K4" s="47" t="n"/>
      <c r="L4" s="47" t="inlineStr">
        <is>
          <t>A</t>
        </is>
      </c>
      <c r="M4" s="47" t="n"/>
      <c r="N4" s="47" t="n"/>
      <c r="O4" s="47" t="n"/>
      <c r="P4" s="47" t="inlineStr">
        <is>
          <t>P</t>
        </is>
      </c>
      <c r="Q4" s="47" t="inlineStr">
        <is>
          <t>P</t>
        </is>
      </c>
      <c r="R4" s="47" t="n"/>
      <c r="S4" s="47" t="n"/>
      <c r="T4" s="47" t="inlineStr">
        <is>
          <t>P</t>
        </is>
      </c>
      <c r="U4" s="47" t="n"/>
      <c r="V4" s="47" t="n"/>
      <c r="W4" s="47" t="n"/>
      <c r="X4" s="47" t="n"/>
      <c r="Y4" s="47" t="n"/>
      <c r="Z4" s="47" t="n"/>
      <c r="AA4" s="47" t="n"/>
      <c r="AB4" s="47" t="n"/>
      <c r="AC4" s="47" t="inlineStr">
        <is>
          <t>P</t>
        </is>
      </c>
      <c r="AD4" s="47" t="n"/>
      <c r="AE4" s="47" t="n"/>
      <c r="AF4" s="47" t="inlineStr">
        <is>
          <t>P</t>
        </is>
      </c>
      <c r="AG4" s="47" t="n"/>
      <c r="AH4" s="47" t="n"/>
      <c r="AI4" s="47" t="n"/>
      <c r="AJ4" s="47" t="inlineStr">
        <is>
          <t>P</t>
        </is>
      </c>
      <c r="AK4" s="47" t="inlineStr">
        <is>
          <t>P</t>
        </is>
      </c>
      <c r="AL4" s="47" t="n"/>
      <c r="AM4" s="47" t="n"/>
      <c r="AN4" s="47" t="inlineStr">
        <is>
          <t>P</t>
        </is>
      </c>
      <c r="AO4" s="47" t="n"/>
      <c r="AP4" s="47" t="n"/>
      <c r="AQ4" s="47" t="n"/>
      <c r="AR4" s="47" t="inlineStr">
        <is>
          <t>A</t>
        </is>
      </c>
      <c r="AS4" s="47" t="n"/>
      <c r="AT4" s="47" t="n"/>
      <c r="AU4" s="47" t="n"/>
      <c r="AV4" s="47" t="n"/>
      <c r="AW4" s="47" t="inlineStr">
        <is>
          <t>P</t>
        </is>
      </c>
      <c r="AX4" s="47" t="n"/>
      <c r="AY4" s="47" t="n"/>
      <c r="AZ4" s="47" t="inlineStr">
        <is>
          <t>P</t>
        </is>
      </c>
      <c r="BA4" s="47" t="inlineStr">
        <is>
          <t>P</t>
        </is>
      </c>
      <c r="BB4" s="47" t="n"/>
      <c r="BC4" s="47" t="n"/>
      <c r="BD4" s="47" t="inlineStr">
        <is>
          <t>P</t>
        </is>
      </c>
      <c r="BE4" s="47" t="inlineStr">
        <is>
          <t>P</t>
        </is>
      </c>
      <c r="BF4" s="47" t="n"/>
      <c r="BG4" s="47" t="n"/>
      <c r="BH4" s="47" t="inlineStr">
        <is>
          <t>P</t>
        </is>
      </c>
      <c r="BI4" s="47" t="inlineStr">
        <is>
          <t>A</t>
        </is>
      </c>
      <c r="BJ4" s="47" t="n"/>
      <c r="BK4" s="47" t="n"/>
      <c r="BL4" s="47" t="n"/>
      <c r="BM4" s="47" t="n"/>
      <c r="BN4" s="47" t="n"/>
      <c r="BO4" s="47" t="n"/>
      <c r="BP4" s="47" t="n"/>
      <c r="BQ4" s="47" t="inlineStr">
        <is>
          <t>P</t>
        </is>
      </c>
      <c r="BR4" s="47" t="n"/>
      <c r="BS4" s="47" t="n"/>
      <c r="BT4" s="47" t="inlineStr">
        <is>
          <t>P</t>
        </is>
      </c>
      <c r="BU4" s="47" t="inlineStr">
        <is>
          <t>P</t>
        </is>
      </c>
      <c r="BV4" s="47" t="n"/>
      <c r="BW4" s="47" t="n"/>
      <c r="BX4" s="47" t="inlineStr">
        <is>
          <t>P</t>
        </is>
      </c>
      <c r="BY4" s="47" t="inlineStr">
        <is>
          <t>P</t>
        </is>
      </c>
      <c r="BZ4" s="47" t="n"/>
      <c r="CA4" s="47" t="n"/>
      <c r="CB4" s="47" t="inlineStr">
        <is>
          <t>P</t>
        </is>
      </c>
      <c r="CC4" s="47" t="n"/>
      <c r="CD4" s="47" t="n"/>
      <c r="CE4" s="47" t="n"/>
      <c r="CF4" s="47" t="inlineStr">
        <is>
          <t>P</t>
        </is>
      </c>
      <c r="CG4" s="47" t="n"/>
      <c r="CH4" s="47" t="n"/>
      <c r="CI4" s="47" t="n"/>
      <c r="CJ4" s="47" t="n"/>
      <c r="CK4" s="47" t="n"/>
      <c r="CL4" s="47" t="n"/>
      <c r="CM4" s="47" t="n"/>
      <c r="CN4" s="47" t="inlineStr">
        <is>
          <t>P</t>
        </is>
      </c>
      <c r="CO4" s="47" t="n"/>
      <c r="CP4" s="47" t="n"/>
      <c r="CQ4" s="47" t="inlineStr">
        <is>
          <t>P</t>
        </is>
      </c>
      <c r="CR4" s="47" t="inlineStr">
        <is>
          <t>P</t>
        </is>
      </c>
      <c r="CS4" s="47" t="n"/>
      <c r="CT4" s="47" t="n"/>
      <c r="CU4" s="47" t="inlineStr">
        <is>
          <t>P</t>
        </is>
      </c>
      <c r="CV4" s="47" t="inlineStr">
        <is>
          <t>P</t>
        </is>
      </c>
      <c r="CW4" s="47" t="n"/>
      <c r="CX4" s="47" t="n"/>
      <c r="CY4" s="47" t="n"/>
      <c r="CZ4" s="47" t="inlineStr">
        <is>
          <t>P</t>
        </is>
      </c>
      <c r="DA4" s="47" t="n"/>
      <c r="DB4" s="47" t="n"/>
      <c r="DC4" s="47" t="inlineStr">
        <is>
          <t>P</t>
        </is>
      </c>
      <c r="DD4" s="47" t="n"/>
      <c r="DE4" s="47" t="n"/>
      <c r="DF4" s="47" t="n"/>
      <c r="DG4" s="47" t="n"/>
      <c r="DH4" s="47" t="n"/>
      <c r="DI4" s="47" t="n"/>
      <c r="DJ4" s="47" t="n"/>
      <c r="DK4" s="47" t="inlineStr">
        <is>
          <t>P</t>
        </is>
      </c>
      <c r="DL4" s="47" t="n"/>
      <c r="DM4" s="47" t="n"/>
      <c r="DN4" s="47" t="inlineStr">
        <is>
          <t>P</t>
        </is>
      </c>
      <c r="DO4" s="47" t="inlineStr">
        <is>
          <t>P</t>
        </is>
      </c>
      <c r="DP4" s="47" t="n"/>
      <c r="DQ4" s="47" t="n"/>
      <c r="DR4" s="47" t="inlineStr">
        <is>
          <t>P</t>
        </is>
      </c>
      <c r="DS4" s="47" t="inlineStr">
        <is>
          <t>P</t>
        </is>
      </c>
      <c r="DT4" s="47" t="n"/>
      <c r="DU4" s="47" t="n"/>
      <c r="DV4" s="47" t="inlineStr">
        <is>
          <t>P</t>
        </is>
      </c>
      <c r="DW4" s="47" t="inlineStr">
        <is>
          <t>P</t>
        </is>
      </c>
      <c r="DX4" s="47" t="n"/>
      <c r="DY4" s="47" t="n"/>
      <c r="DZ4" s="47" t="inlineStr">
        <is>
          <t>A</t>
        </is>
      </c>
      <c r="EA4" s="47" t="n"/>
      <c r="EB4" s="47" t="n"/>
      <c r="EC4" s="47" t="n"/>
      <c r="ED4" s="47" t="n"/>
      <c r="EE4" s="47" t="n"/>
      <c r="EF4" s="47" t="n"/>
      <c r="EG4" s="47" t="n"/>
      <c r="EH4" s="47" t="inlineStr">
        <is>
          <t>A</t>
        </is>
      </c>
      <c r="EI4" s="47" t="n"/>
      <c r="EJ4" s="47" t="n"/>
      <c r="EK4" s="47" t="inlineStr">
        <is>
          <t>P</t>
        </is>
      </c>
      <c r="EL4" s="47" t="inlineStr">
        <is>
          <t>P</t>
        </is>
      </c>
      <c r="EM4" s="47" t="n"/>
      <c r="EN4" s="47" t="n"/>
      <c r="EO4" s="47" t="inlineStr">
        <is>
          <t>P</t>
        </is>
      </c>
      <c r="EP4" s="47" t="inlineStr">
        <is>
          <t>P</t>
        </is>
      </c>
      <c r="EQ4" s="47" t="n"/>
      <c r="ER4" s="47" t="n"/>
      <c r="ES4" s="47" t="inlineStr">
        <is>
          <t>P</t>
        </is>
      </c>
      <c r="ET4" s="47" t="inlineStr">
        <is>
          <t>P</t>
        </is>
      </c>
      <c r="EU4" s="47" t="n"/>
      <c r="EV4" s="47" t="n"/>
      <c r="EW4" s="47" t="n"/>
      <c r="EX4" s="47" t="n"/>
      <c r="EY4" s="47" t="n"/>
      <c r="EZ4" s="47" t="n"/>
      <c r="FA4" s="47" t="n"/>
      <c r="FB4" s="47" t="inlineStr">
        <is>
          <t>P</t>
        </is>
      </c>
      <c r="FD4" s="47" t="n"/>
      <c r="FE4" s="47" t="inlineStr">
        <is>
          <t>P</t>
        </is>
      </c>
      <c r="FF4" s="47" t="inlineStr">
        <is>
          <t>P</t>
        </is>
      </c>
      <c r="FG4" s="47" t="n"/>
      <c r="FH4" s="47" t="n"/>
      <c r="FI4" s="47" t="inlineStr">
        <is>
          <t>P</t>
        </is>
      </c>
      <c r="FJ4" s="47" t="inlineStr">
        <is>
          <t>P</t>
        </is>
      </c>
      <c r="FK4" s="47" t="n"/>
      <c r="FL4" s="47" t="n"/>
      <c r="FM4" s="47" t="n"/>
      <c r="FN4" s="47" t="n"/>
      <c r="FO4" s="47" t="n"/>
      <c r="FP4" s="47" t="n"/>
      <c r="FQ4" s="47" t="n"/>
      <c r="FR4" s="47" t="inlineStr">
        <is>
          <t>P</t>
        </is>
      </c>
      <c r="FS4" s="47" t="n"/>
      <c r="FT4" s="47" t="n"/>
      <c r="FU4" s="47" t="n"/>
      <c r="FV4" s="47" t="n"/>
      <c r="FW4" s="47" t="n"/>
      <c r="FX4" s="47" t="n"/>
      <c r="FY4" s="47" t="inlineStr">
        <is>
          <t>P</t>
        </is>
      </c>
      <c r="FZ4" s="47" t="inlineStr">
        <is>
          <t>P</t>
        </is>
      </c>
      <c r="GA4" s="47" t="n"/>
      <c r="GB4" s="47" t="n"/>
      <c r="GC4" s="47" t="n"/>
      <c r="GD4" s="47" t="inlineStr">
        <is>
          <t>P</t>
        </is>
      </c>
      <c r="GE4" s="47" t="n"/>
      <c r="GF4" s="47" t="n"/>
      <c r="GG4" s="47" t="inlineStr">
        <is>
          <t>P</t>
        </is>
      </c>
      <c r="GH4" s="47" t="n"/>
      <c r="GI4" s="47" t="n"/>
    </row>
    <row r="5" ht="14.25" customHeight="1" s="34">
      <c r="A5" s="46" t="n">
        <v>2</v>
      </c>
      <c r="B5" s="46" t="inlineStr">
        <is>
          <t>325106410002</t>
        </is>
      </c>
      <c r="C5" s="46" t="inlineStr">
        <is>
          <t>ABDUL REHMAN</t>
        </is>
      </c>
      <c r="D5" s="47" t="inlineStr">
        <is>
          <t>A</t>
        </is>
      </c>
      <c r="E5" s="47" t="n"/>
      <c r="F5" s="47" t="n"/>
      <c r="G5" s="47" t="n"/>
      <c r="H5" s="47" t="n"/>
      <c r="I5" s="47" t="inlineStr">
        <is>
          <t>A</t>
        </is>
      </c>
      <c r="J5" s="47" t="n"/>
      <c r="K5" s="47" t="n"/>
      <c r="L5" s="47" t="inlineStr">
        <is>
          <t>A</t>
        </is>
      </c>
      <c r="M5" s="47" t="n"/>
      <c r="N5" s="47" t="n"/>
      <c r="O5" s="47" t="n"/>
      <c r="P5" s="47" t="inlineStr">
        <is>
          <t>A</t>
        </is>
      </c>
      <c r="Q5" s="47" t="inlineStr">
        <is>
          <t>A</t>
        </is>
      </c>
      <c r="R5" s="47" t="n"/>
      <c r="S5" s="47" t="n"/>
      <c r="T5" s="47" t="inlineStr">
        <is>
          <t>P</t>
        </is>
      </c>
      <c r="U5" s="47" t="n"/>
      <c r="V5" s="47" t="n"/>
      <c r="W5" s="47" t="n"/>
      <c r="X5" s="47" t="n"/>
      <c r="Y5" s="47" t="n"/>
      <c r="Z5" s="47" t="n"/>
      <c r="AA5" s="47" t="n"/>
      <c r="AB5" s="47" t="n"/>
      <c r="AC5" s="47" t="inlineStr">
        <is>
          <t>P</t>
        </is>
      </c>
      <c r="AD5" s="47" t="n"/>
      <c r="AE5" s="47" t="n"/>
      <c r="AF5" s="47" t="inlineStr">
        <is>
          <t>P</t>
        </is>
      </c>
      <c r="AG5" s="47" t="n"/>
      <c r="AH5" s="47" t="n"/>
      <c r="AI5" s="47" t="n"/>
      <c r="AJ5" s="47" t="inlineStr">
        <is>
          <t>A</t>
        </is>
      </c>
      <c r="AK5" s="47" t="inlineStr">
        <is>
          <t>A</t>
        </is>
      </c>
      <c r="AL5" s="47" t="n"/>
      <c r="AM5" s="47" t="n"/>
      <c r="AN5" s="47" t="inlineStr">
        <is>
          <t>P</t>
        </is>
      </c>
      <c r="AO5" s="47" t="n"/>
      <c r="AP5" s="47" t="n"/>
      <c r="AQ5" s="47" t="n"/>
      <c r="AR5" s="47" t="inlineStr">
        <is>
          <t>A</t>
        </is>
      </c>
      <c r="AS5" s="47" t="n"/>
      <c r="AT5" s="47" t="n"/>
      <c r="AU5" s="47" t="n"/>
      <c r="AV5" s="47" t="n"/>
      <c r="AW5" s="47" t="inlineStr">
        <is>
          <t>P</t>
        </is>
      </c>
      <c r="AX5" s="47" t="n"/>
      <c r="AY5" s="47" t="n"/>
      <c r="AZ5" s="47" t="inlineStr">
        <is>
          <t>A</t>
        </is>
      </c>
      <c r="BA5" s="47" t="inlineStr">
        <is>
          <t>A</t>
        </is>
      </c>
      <c r="BB5" s="47" t="n"/>
      <c r="BC5" s="47" t="n"/>
      <c r="BD5" s="47" t="inlineStr">
        <is>
          <t>P</t>
        </is>
      </c>
      <c r="BE5" s="47" t="inlineStr">
        <is>
          <t>P</t>
        </is>
      </c>
      <c r="BF5" s="47" t="n"/>
      <c r="BG5" s="47" t="n"/>
      <c r="BH5" s="47" t="inlineStr">
        <is>
          <t>P</t>
        </is>
      </c>
      <c r="BI5" s="47" t="inlineStr">
        <is>
          <t>A</t>
        </is>
      </c>
      <c r="BJ5" s="47" t="n"/>
      <c r="BK5" s="47" t="n"/>
      <c r="BL5" s="47" t="n"/>
      <c r="BM5" s="47" t="n"/>
      <c r="BN5" s="47" t="n"/>
      <c r="BO5" s="47" t="n"/>
      <c r="BP5" s="47" t="n"/>
      <c r="BQ5" s="47" t="inlineStr">
        <is>
          <t>P</t>
        </is>
      </c>
      <c r="BR5" s="47" t="n"/>
      <c r="BS5" s="47" t="n"/>
      <c r="BT5" s="47" t="inlineStr">
        <is>
          <t>P</t>
        </is>
      </c>
      <c r="BU5" s="47" t="inlineStr">
        <is>
          <t>P</t>
        </is>
      </c>
      <c r="BV5" s="47" t="n"/>
      <c r="BW5" s="47" t="n"/>
      <c r="BX5" s="47" t="inlineStr">
        <is>
          <t>P</t>
        </is>
      </c>
      <c r="BY5" s="47" t="inlineStr">
        <is>
          <t>P</t>
        </is>
      </c>
      <c r="BZ5" s="47" t="n"/>
      <c r="CA5" s="47" t="n"/>
      <c r="CB5" s="47" t="inlineStr">
        <is>
          <t>A</t>
        </is>
      </c>
      <c r="CC5" s="47" t="n"/>
      <c r="CD5" s="47" t="n"/>
      <c r="CE5" s="47" t="n"/>
      <c r="CF5" s="47" t="inlineStr">
        <is>
          <t>A</t>
        </is>
      </c>
      <c r="CG5" s="47" t="n"/>
      <c r="CH5" s="47" t="n"/>
      <c r="CI5" s="47" t="n"/>
      <c r="CJ5" s="47" t="n"/>
      <c r="CK5" s="47" t="n"/>
      <c r="CL5" s="47" t="n"/>
      <c r="CM5" s="47" t="n"/>
      <c r="CN5" s="47" t="inlineStr">
        <is>
          <t>P</t>
        </is>
      </c>
      <c r="CO5" s="47" t="n"/>
      <c r="CP5" s="47" t="n"/>
      <c r="CQ5" s="47" t="inlineStr">
        <is>
          <t>P</t>
        </is>
      </c>
      <c r="CR5" s="47" t="inlineStr">
        <is>
          <t>P</t>
        </is>
      </c>
      <c r="CS5" s="47" t="n"/>
      <c r="CT5" s="47" t="n"/>
      <c r="CU5" s="47" t="inlineStr">
        <is>
          <t>P</t>
        </is>
      </c>
      <c r="CV5" s="47" t="inlineStr">
        <is>
          <t>P</t>
        </is>
      </c>
      <c r="CW5" s="47" t="n"/>
      <c r="CX5" s="47" t="n"/>
      <c r="CY5" s="47" t="n"/>
      <c r="CZ5" s="47" t="inlineStr">
        <is>
          <t>A</t>
        </is>
      </c>
      <c r="DA5" s="47" t="n"/>
      <c r="DB5" s="47" t="n"/>
      <c r="DC5" s="47" t="inlineStr">
        <is>
          <t>P</t>
        </is>
      </c>
      <c r="DD5" s="47" t="n"/>
      <c r="DE5" s="47" t="n"/>
      <c r="DF5" s="47" t="n"/>
      <c r="DG5" s="47" t="n"/>
      <c r="DH5" s="47" t="n"/>
      <c r="DI5" s="47" t="n"/>
      <c r="DJ5" s="47" t="n"/>
      <c r="DK5" s="47" t="inlineStr">
        <is>
          <t>P</t>
        </is>
      </c>
      <c r="DL5" s="47" t="n"/>
      <c r="DM5" s="47" t="n"/>
      <c r="DN5" s="47" t="inlineStr">
        <is>
          <t>P</t>
        </is>
      </c>
      <c r="DO5" s="47" t="inlineStr">
        <is>
          <t>P</t>
        </is>
      </c>
      <c r="DP5" s="47" t="n"/>
      <c r="DQ5" s="47" t="n"/>
      <c r="DR5" s="47" t="inlineStr">
        <is>
          <t>P</t>
        </is>
      </c>
      <c r="DS5" s="47" t="inlineStr">
        <is>
          <t>P</t>
        </is>
      </c>
      <c r="DT5" s="47" t="n"/>
      <c r="DU5" s="47" t="n"/>
      <c r="DV5" s="47" t="inlineStr">
        <is>
          <t>A</t>
        </is>
      </c>
      <c r="DW5" s="47" t="inlineStr">
        <is>
          <t>A</t>
        </is>
      </c>
      <c r="DX5" s="47" t="n"/>
      <c r="DY5" s="47" t="n"/>
      <c r="DZ5" s="47" t="inlineStr">
        <is>
          <t>P</t>
        </is>
      </c>
      <c r="EA5" s="47" t="n"/>
      <c r="EB5" s="47" t="n"/>
      <c r="EC5" s="47" t="n"/>
      <c r="ED5" s="47" t="n"/>
      <c r="EE5" s="47" t="n"/>
      <c r="EF5" s="47" t="n"/>
      <c r="EG5" s="47" t="n"/>
      <c r="EH5" s="47" t="inlineStr">
        <is>
          <t>P</t>
        </is>
      </c>
      <c r="EI5" s="47" t="n"/>
      <c r="EJ5" s="47" t="n"/>
      <c r="EK5" s="47" t="inlineStr">
        <is>
          <t>P</t>
        </is>
      </c>
      <c r="EL5" s="47" t="inlineStr">
        <is>
          <t>P</t>
        </is>
      </c>
      <c r="EM5" s="47" t="n"/>
      <c r="EN5" s="47" t="n"/>
      <c r="EO5" s="47" t="inlineStr">
        <is>
          <t>A</t>
        </is>
      </c>
      <c r="EP5" s="47" t="inlineStr">
        <is>
          <t>A</t>
        </is>
      </c>
      <c r="EQ5" s="47" t="n"/>
      <c r="ER5" s="47" t="n"/>
      <c r="ES5" s="47" t="inlineStr">
        <is>
          <t>P</t>
        </is>
      </c>
      <c r="ET5" s="47" t="inlineStr">
        <is>
          <t>P</t>
        </is>
      </c>
      <c r="EU5" s="47" t="n"/>
      <c r="EV5" s="47" t="n"/>
      <c r="EW5" s="47" t="n"/>
      <c r="EX5" s="47" t="n"/>
      <c r="EY5" s="47" t="n"/>
      <c r="EZ5" s="47" t="n"/>
      <c r="FA5" s="47" t="n"/>
      <c r="FB5" s="47" t="inlineStr">
        <is>
          <t>P</t>
        </is>
      </c>
      <c r="FC5" s="47" t="n"/>
      <c r="FD5" s="47" t="n"/>
      <c r="FE5" s="47" t="inlineStr">
        <is>
          <t>P</t>
        </is>
      </c>
      <c r="FF5" s="47" t="inlineStr">
        <is>
          <t>P</t>
        </is>
      </c>
      <c r="FG5" s="47" t="n"/>
      <c r="FH5" s="47" t="n"/>
      <c r="FI5" s="47" t="inlineStr">
        <is>
          <t>P</t>
        </is>
      </c>
      <c r="FJ5" s="47" t="inlineStr">
        <is>
          <t>P</t>
        </is>
      </c>
      <c r="FK5" s="47" t="n"/>
      <c r="FL5" s="47" t="n"/>
      <c r="FM5" s="47" t="n"/>
      <c r="FN5" s="47" t="n"/>
      <c r="FO5" s="47" t="n"/>
      <c r="FP5" s="47" t="n"/>
      <c r="FQ5" s="47" t="n"/>
      <c r="FR5" s="47" t="inlineStr">
        <is>
          <t>P</t>
        </is>
      </c>
      <c r="FS5" s="47" t="n"/>
      <c r="FT5" s="47" t="n"/>
      <c r="FU5" s="47" t="n"/>
      <c r="FV5" s="47" t="n"/>
      <c r="FW5" s="47" t="n"/>
      <c r="FX5" s="47" t="n"/>
      <c r="FY5" s="47" t="inlineStr">
        <is>
          <t>A</t>
        </is>
      </c>
      <c r="FZ5" s="47" t="inlineStr">
        <is>
          <t>A</t>
        </is>
      </c>
      <c r="GA5" s="47" t="n"/>
      <c r="GB5" s="47" t="n"/>
      <c r="GC5" s="47" t="n"/>
      <c r="GD5" s="47" t="inlineStr">
        <is>
          <t>A</t>
        </is>
      </c>
      <c r="GE5" s="47" t="n"/>
      <c r="GF5" s="47" t="n"/>
      <c r="GG5" s="47" t="inlineStr">
        <is>
          <t>P</t>
        </is>
      </c>
      <c r="GH5" s="47" t="n"/>
      <c r="GI5" s="47" t="n"/>
    </row>
    <row r="6" ht="14.25" customHeight="1" s="34">
      <c r="A6" s="46" t="n">
        <v>3</v>
      </c>
      <c r="B6" s="46" t="inlineStr">
        <is>
          <t>325106410003</t>
        </is>
      </c>
      <c r="C6" s="46" t="inlineStr">
        <is>
          <t>RISHITHA AKUMARTHI</t>
        </is>
      </c>
      <c r="D6" s="47" t="inlineStr">
        <is>
          <t>A</t>
        </is>
      </c>
      <c r="E6" s="47" t="n"/>
      <c r="F6" s="47" t="n"/>
      <c r="G6" s="47" t="n"/>
      <c r="H6" s="47" t="n"/>
      <c r="I6" s="47" t="inlineStr">
        <is>
          <t>A</t>
        </is>
      </c>
      <c r="J6" s="47" t="n"/>
      <c r="K6" s="47" t="n"/>
      <c r="L6" s="47" t="inlineStr">
        <is>
          <t>A</t>
        </is>
      </c>
      <c r="M6" s="47" t="n"/>
      <c r="N6" s="47" t="n"/>
      <c r="O6" s="47" t="n"/>
      <c r="P6" s="47" t="inlineStr">
        <is>
          <t>A</t>
        </is>
      </c>
      <c r="Q6" s="47" t="inlineStr">
        <is>
          <t>A</t>
        </is>
      </c>
      <c r="R6" s="47" t="n"/>
      <c r="S6" s="47" t="n"/>
      <c r="T6" s="47" t="inlineStr">
        <is>
          <t>A</t>
        </is>
      </c>
      <c r="U6" s="47" t="n"/>
      <c r="V6" s="47" t="n"/>
      <c r="W6" s="47" t="n"/>
      <c r="X6" s="47" t="n"/>
      <c r="Y6" s="47" t="n"/>
      <c r="Z6" s="47" t="n"/>
      <c r="AA6" s="47" t="n"/>
      <c r="AB6" s="47" t="n"/>
      <c r="AC6" s="47" t="inlineStr">
        <is>
          <t>A</t>
        </is>
      </c>
      <c r="AD6" s="47" t="n"/>
      <c r="AE6" s="47" t="n"/>
      <c r="AF6" s="47" t="inlineStr">
        <is>
          <t>A</t>
        </is>
      </c>
      <c r="AG6" s="47" t="n"/>
      <c r="AH6" s="47" t="n"/>
      <c r="AI6" s="47" t="n"/>
      <c r="AJ6" s="47" t="inlineStr">
        <is>
          <t>A</t>
        </is>
      </c>
      <c r="AK6" s="47" t="inlineStr">
        <is>
          <t>A</t>
        </is>
      </c>
      <c r="AL6" s="47" t="n"/>
      <c r="AM6" s="47" t="n"/>
      <c r="AN6" s="47" t="inlineStr">
        <is>
          <t>A</t>
        </is>
      </c>
      <c r="AO6" s="47" t="n"/>
      <c r="AP6" s="47" t="n"/>
      <c r="AQ6" s="47" t="n"/>
      <c r="AR6" s="47" t="inlineStr">
        <is>
          <t>P</t>
        </is>
      </c>
      <c r="AS6" s="47" t="n"/>
      <c r="AT6" s="47" t="n"/>
      <c r="AU6" s="47" t="n"/>
      <c r="AV6" s="47" t="n"/>
      <c r="AW6" s="47" t="inlineStr">
        <is>
          <t>P</t>
        </is>
      </c>
      <c r="AX6" s="47" t="n"/>
      <c r="AY6" s="47" t="n"/>
      <c r="AZ6" s="47" t="inlineStr">
        <is>
          <t>P</t>
        </is>
      </c>
      <c r="BA6" s="47" t="inlineStr">
        <is>
          <t>P</t>
        </is>
      </c>
      <c r="BB6" s="47" t="n"/>
      <c r="BC6" s="47" t="n"/>
      <c r="BD6" s="47" t="inlineStr">
        <is>
          <t>P</t>
        </is>
      </c>
      <c r="BE6" s="47" t="inlineStr">
        <is>
          <t>P</t>
        </is>
      </c>
      <c r="BF6" s="47" t="n"/>
      <c r="BG6" s="47" t="n"/>
      <c r="BH6" s="47" t="inlineStr">
        <is>
          <t>P</t>
        </is>
      </c>
      <c r="BI6" s="47" t="inlineStr">
        <is>
          <t>P</t>
        </is>
      </c>
      <c r="BJ6" s="47" t="n"/>
      <c r="BK6" s="47" t="n"/>
      <c r="BL6" s="47" t="n"/>
      <c r="BM6" s="47" t="n"/>
      <c r="BN6" s="47" t="n"/>
      <c r="BO6" s="47" t="n"/>
      <c r="BP6" s="47" t="n"/>
      <c r="BQ6" s="47" t="inlineStr">
        <is>
          <t>P</t>
        </is>
      </c>
      <c r="BR6" s="47" t="n"/>
      <c r="BS6" s="47" t="n"/>
      <c r="BT6" s="47" t="inlineStr">
        <is>
          <t>P</t>
        </is>
      </c>
      <c r="BU6" s="47" t="inlineStr">
        <is>
          <t>P</t>
        </is>
      </c>
      <c r="BV6" s="47" t="n"/>
      <c r="BW6" s="47" t="n"/>
      <c r="BX6" s="47" t="inlineStr">
        <is>
          <t>P</t>
        </is>
      </c>
      <c r="BY6" s="47" t="inlineStr">
        <is>
          <t>P</t>
        </is>
      </c>
      <c r="BZ6" s="47" t="n"/>
      <c r="CA6" s="47" t="n"/>
      <c r="CB6" s="47" t="inlineStr">
        <is>
          <t>A</t>
        </is>
      </c>
      <c r="CC6" s="47" t="n"/>
      <c r="CD6" s="47" t="n"/>
      <c r="CE6" s="47" t="n"/>
      <c r="CF6" s="47" t="inlineStr">
        <is>
          <t>P</t>
        </is>
      </c>
      <c r="CG6" s="47" t="n"/>
      <c r="CH6" s="47" t="n"/>
      <c r="CI6" s="47" t="n"/>
      <c r="CJ6" s="47" t="n"/>
      <c r="CK6" s="47" t="n"/>
      <c r="CL6" s="47" t="n"/>
      <c r="CM6" s="47" t="n"/>
      <c r="CN6" s="47" t="inlineStr">
        <is>
          <t>P</t>
        </is>
      </c>
      <c r="CO6" s="47" t="n"/>
      <c r="CP6" s="47" t="n"/>
      <c r="CQ6" s="47" t="inlineStr">
        <is>
          <t>P</t>
        </is>
      </c>
      <c r="CR6" s="47" t="inlineStr">
        <is>
          <t>A</t>
        </is>
      </c>
      <c r="CS6" s="47" t="n"/>
      <c r="CT6" s="47" t="n"/>
      <c r="CU6" s="47" t="inlineStr">
        <is>
          <t>P</t>
        </is>
      </c>
      <c r="CV6" s="47" t="inlineStr">
        <is>
          <t>P</t>
        </is>
      </c>
      <c r="CW6" s="47" t="n"/>
      <c r="CX6" s="47" t="n"/>
      <c r="CY6" s="47" t="n"/>
      <c r="CZ6" s="47" t="inlineStr">
        <is>
          <t>P</t>
        </is>
      </c>
      <c r="DA6" s="47" t="n"/>
      <c r="DB6" s="47" t="n"/>
      <c r="DC6" s="47" t="inlineStr">
        <is>
          <t>P</t>
        </is>
      </c>
      <c r="DD6" s="47" t="n"/>
      <c r="DE6" s="47" t="n"/>
      <c r="DF6" s="47" t="n"/>
      <c r="DG6" s="47" t="n"/>
      <c r="DH6" s="47" t="n"/>
      <c r="DI6" s="47" t="n"/>
      <c r="DJ6" s="47" t="n"/>
      <c r="DK6" s="47" t="inlineStr">
        <is>
          <t>P</t>
        </is>
      </c>
      <c r="DL6" s="47" t="n"/>
      <c r="DM6" s="47" t="n"/>
      <c r="DN6" s="47" t="inlineStr">
        <is>
          <t>A</t>
        </is>
      </c>
      <c r="DO6" s="47" t="inlineStr">
        <is>
          <t>P</t>
        </is>
      </c>
      <c r="DP6" s="47" t="n"/>
      <c r="DQ6" s="47" t="n"/>
      <c r="DR6" s="47" t="inlineStr">
        <is>
          <t>A</t>
        </is>
      </c>
      <c r="DS6" s="47" t="inlineStr">
        <is>
          <t>P</t>
        </is>
      </c>
      <c r="DT6" s="47" t="n"/>
      <c r="DU6" s="47" t="n"/>
      <c r="DV6" s="47" t="inlineStr">
        <is>
          <t>P</t>
        </is>
      </c>
      <c r="DW6" s="47" t="inlineStr">
        <is>
          <t>P</t>
        </is>
      </c>
      <c r="DX6" s="47" t="n"/>
      <c r="DY6" s="47" t="n"/>
      <c r="DZ6" s="47" t="inlineStr">
        <is>
          <t>A</t>
        </is>
      </c>
      <c r="EA6" s="47" t="n"/>
      <c r="EB6" s="47" t="n"/>
      <c r="EC6" s="47" t="n"/>
      <c r="ED6" s="47" t="n"/>
      <c r="EE6" s="47" t="n"/>
      <c r="EF6" s="47" t="n"/>
      <c r="EG6" s="47" t="n"/>
      <c r="EH6" s="47" t="inlineStr">
        <is>
          <t>P</t>
        </is>
      </c>
      <c r="EI6" s="47" t="n"/>
      <c r="EJ6" s="47" t="n"/>
      <c r="EK6" s="47" t="inlineStr">
        <is>
          <t>P</t>
        </is>
      </c>
      <c r="EL6" s="47" t="inlineStr">
        <is>
          <t>P</t>
        </is>
      </c>
      <c r="EM6" s="47" t="n"/>
      <c r="EN6" s="47" t="n"/>
      <c r="EO6" s="47" t="inlineStr">
        <is>
          <t>P</t>
        </is>
      </c>
      <c r="EP6" s="47" t="inlineStr">
        <is>
          <t>P</t>
        </is>
      </c>
      <c r="EQ6" s="47" t="n"/>
      <c r="ER6" s="47" t="n"/>
      <c r="ES6" s="47" t="inlineStr">
        <is>
          <t>P</t>
        </is>
      </c>
      <c r="ET6" s="47" t="inlineStr">
        <is>
          <t>P</t>
        </is>
      </c>
      <c r="EU6" s="47" t="n"/>
      <c r="EV6" s="47" t="n"/>
      <c r="EW6" s="47" t="n"/>
      <c r="EX6" s="47" t="n"/>
      <c r="EY6" s="47" t="n"/>
      <c r="EZ6" s="47" t="n"/>
      <c r="FA6" s="47" t="n"/>
      <c r="FB6" s="47" t="inlineStr">
        <is>
          <t>P</t>
        </is>
      </c>
      <c r="FC6" s="47" t="n"/>
      <c r="FD6" s="47" t="n"/>
      <c r="FE6" s="47" t="inlineStr">
        <is>
          <t>P</t>
        </is>
      </c>
      <c r="FF6" s="47" t="inlineStr">
        <is>
          <t>P</t>
        </is>
      </c>
      <c r="FG6" s="47" t="n"/>
      <c r="FH6" s="47" t="n"/>
      <c r="FI6" s="47" t="inlineStr">
        <is>
          <t>P</t>
        </is>
      </c>
      <c r="FJ6" s="47" t="inlineStr">
        <is>
          <t>P</t>
        </is>
      </c>
      <c r="FK6" s="47" t="n"/>
      <c r="FL6" s="47" t="n"/>
      <c r="FM6" s="47" t="n"/>
      <c r="FN6" s="47" t="n"/>
      <c r="FO6" s="47" t="n"/>
      <c r="FP6" s="47" t="n"/>
      <c r="FQ6" s="47" t="n"/>
      <c r="FR6" s="47" t="inlineStr">
        <is>
          <t>P</t>
        </is>
      </c>
      <c r="FS6" s="47" t="n"/>
      <c r="FT6" s="47" t="n"/>
      <c r="FU6" s="47" t="n"/>
      <c r="FV6" s="47" t="n"/>
      <c r="FW6" s="47" t="n"/>
      <c r="FX6" s="47" t="n"/>
      <c r="FY6" s="47" t="inlineStr">
        <is>
          <t>A</t>
        </is>
      </c>
      <c r="FZ6" s="47" t="inlineStr">
        <is>
          <t>A</t>
        </is>
      </c>
      <c r="GA6" s="47" t="n"/>
      <c r="GB6" s="47" t="n"/>
      <c r="GC6" s="47" t="n"/>
      <c r="GD6" s="47" t="inlineStr">
        <is>
          <t>P</t>
        </is>
      </c>
      <c r="GE6" s="47" t="n"/>
      <c r="GF6" s="47" t="n"/>
      <c r="GG6" s="47" t="inlineStr">
        <is>
          <t>A</t>
        </is>
      </c>
      <c r="GH6" s="47" t="n"/>
      <c r="GI6" s="47" t="n"/>
    </row>
    <row r="7" ht="14.25" customHeight="1" s="34">
      <c r="A7" s="46" t="n">
        <v>4</v>
      </c>
      <c r="B7" s="46" t="inlineStr">
        <is>
          <t>325106410004</t>
        </is>
      </c>
      <c r="C7" s="46" t="inlineStr">
        <is>
          <t>SIREESHA BADANA</t>
        </is>
      </c>
      <c r="D7" s="47" t="inlineStr">
        <is>
          <t>A</t>
        </is>
      </c>
      <c r="E7" s="47" t="n"/>
      <c r="F7" s="47" t="n"/>
      <c r="G7" s="47" t="n"/>
      <c r="H7" s="47" t="n"/>
      <c r="I7" s="47" t="inlineStr">
        <is>
          <t>A</t>
        </is>
      </c>
      <c r="J7" s="47" t="n"/>
      <c r="K7" s="47" t="n"/>
      <c r="L7" s="47" t="inlineStr">
        <is>
          <t>A</t>
        </is>
      </c>
      <c r="M7" s="47" t="n"/>
      <c r="N7" s="47" t="n"/>
      <c r="O7" s="47" t="n"/>
      <c r="P7" s="47" t="inlineStr">
        <is>
          <t>A</t>
        </is>
      </c>
      <c r="Q7" s="47" t="inlineStr">
        <is>
          <t>A</t>
        </is>
      </c>
      <c r="R7" s="47" t="n"/>
      <c r="S7" s="47" t="n"/>
      <c r="T7" s="47" t="inlineStr">
        <is>
          <t>A</t>
        </is>
      </c>
      <c r="U7" s="47" t="n"/>
      <c r="V7" s="47" t="n"/>
      <c r="W7" s="47" t="n"/>
      <c r="X7" s="47" t="n"/>
      <c r="Y7" s="47" t="n"/>
      <c r="Z7" s="47" t="n"/>
      <c r="AA7" s="47" t="n"/>
      <c r="AB7" s="47" t="n"/>
      <c r="AC7" s="47" t="inlineStr">
        <is>
          <t>A</t>
        </is>
      </c>
      <c r="AD7" s="47" t="n"/>
      <c r="AE7" s="47" t="n"/>
      <c r="AF7" s="47" t="inlineStr">
        <is>
          <t>A</t>
        </is>
      </c>
      <c r="AG7" s="47" t="n"/>
      <c r="AH7" s="47" t="n"/>
      <c r="AI7" s="47" t="n"/>
      <c r="AJ7" s="47" t="inlineStr">
        <is>
          <t>A</t>
        </is>
      </c>
      <c r="AK7" s="47" t="inlineStr">
        <is>
          <t>A</t>
        </is>
      </c>
      <c r="AL7" s="47" t="n"/>
      <c r="AM7" s="47" t="n"/>
      <c r="AN7" s="47" t="inlineStr">
        <is>
          <t>A</t>
        </is>
      </c>
      <c r="AO7" s="47" t="n"/>
      <c r="AP7" s="47" t="n"/>
      <c r="AQ7" s="47" t="n"/>
      <c r="AR7" s="47" t="inlineStr">
        <is>
          <t>A</t>
        </is>
      </c>
      <c r="AS7" s="47" t="n"/>
      <c r="AT7" s="47" t="n"/>
      <c r="AU7" s="47" t="n"/>
      <c r="AV7" s="47" t="n"/>
      <c r="AW7" s="47" t="inlineStr">
        <is>
          <t>A</t>
        </is>
      </c>
      <c r="AX7" s="47" t="n"/>
      <c r="AY7" s="47" t="n"/>
      <c r="AZ7" s="47" t="inlineStr">
        <is>
          <t>A</t>
        </is>
      </c>
      <c r="BA7" s="47" t="inlineStr">
        <is>
          <t>A</t>
        </is>
      </c>
      <c r="BB7" s="47" t="n"/>
      <c r="BC7" s="47" t="n"/>
      <c r="BD7" s="47" t="inlineStr">
        <is>
          <t>A</t>
        </is>
      </c>
      <c r="BE7" s="47" t="inlineStr">
        <is>
          <t>A</t>
        </is>
      </c>
      <c r="BF7" s="47" t="n"/>
      <c r="BG7" s="47" t="n"/>
      <c r="BH7" s="47" t="inlineStr">
        <is>
          <t>A</t>
        </is>
      </c>
      <c r="BI7" s="47" t="inlineStr">
        <is>
          <t>A</t>
        </is>
      </c>
      <c r="BJ7" s="47" t="n"/>
      <c r="BK7" s="47" t="n"/>
      <c r="BL7" s="47" t="n"/>
      <c r="BM7" s="47" t="n"/>
      <c r="BN7" s="47" t="n"/>
      <c r="BO7" s="47" t="n"/>
      <c r="BP7" s="47" t="n"/>
      <c r="BQ7" s="47" t="inlineStr">
        <is>
          <t>A</t>
        </is>
      </c>
      <c r="BR7" s="47" t="n"/>
      <c r="BS7" s="47" t="n"/>
      <c r="BT7" s="47" t="inlineStr">
        <is>
          <t>A</t>
        </is>
      </c>
      <c r="BU7" s="47" t="inlineStr">
        <is>
          <t>A</t>
        </is>
      </c>
      <c r="BV7" s="47" t="n"/>
      <c r="BW7" s="47" t="n"/>
      <c r="BX7" s="47" t="inlineStr">
        <is>
          <t>A</t>
        </is>
      </c>
      <c r="BY7" s="47" t="inlineStr">
        <is>
          <t>A</t>
        </is>
      </c>
      <c r="BZ7" s="47" t="n"/>
      <c r="CA7" s="47" t="n"/>
      <c r="CB7" s="47" t="inlineStr">
        <is>
          <t>A</t>
        </is>
      </c>
      <c r="CC7" s="47" t="n"/>
      <c r="CD7" s="47" t="n"/>
      <c r="CE7" s="47" t="n"/>
      <c r="CF7" s="47" t="inlineStr">
        <is>
          <t>A</t>
        </is>
      </c>
      <c r="CG7" s="47" t="n"/>
      <c r="CH7" s="47" t="n"/>
      <c r="CI7" s="47" t="n"/>
      <c r="CJ7" s="47" t="n"/>
      <c r="CK7" s="47" t="n"/>
      <c r="CL7" s="47" t="n"/>
      <c r="CM7" s="47" t="n"/>
      <c r="CN7" s="47" t="inlineStr">
        <is>
          <t>A</t>
        </is>
      </c>
      <c r="CO7" s="47" t="n"/>
      <c r="CP7" s="47" t="n"/>
      <c r="CQ7" s="47" t="inlineStr">
        <is>
          <t>A</t>
        </is>
      </c>
      <c r="CR7" s="47" t="inlineStr">
        <is>
          <t>A</t>
        </is>
      </c>
      <c r="CS7" s="47" t="n"/>
      <c r="CT7" s="47" t="n"/>
      <c r="CU7" s="47" t="inlineStr">
        <is>
          <t>A</t>
        </is>
      </c>
      <c r="CV7" s="47" t="inlineStr">
        <is>
          <t>A</t>
        </is>
      </c>
      <c r="CW7" s="47" t="n"/>
      <c r="CX7" s="47" t="n"/>
      <c r="CY7" s="47" t="n"/>
      <c r="CZ7" s="47" t="inlineStr">
        <is>
          <t>A</t>
        </is>
      </c>
      <c r="DA7" s="47" t="n"/>
      <c r="DB7" s="47" t="n"/>
      <c r="DC7" s="47" t="inlineStr">
        <is>
          <t>A</t>
        </is>
      </c>
      <c r="DD7" s="47" t="n"/>
      <c r="DE7" s="47" t="n"/>
      <c r="DF7" s="47" t="n"/>
      <c r="DG7" s="47" t="n"/>
      <c r="DH7" s="47" t="n"/>
      <c r="DI7" s="47" t="n"/>
      <c r="DJ7" s="47" t="n"/>
      <c r="DK7" s="47" t="inlineStr">
        <is>
          <t>A</t>
        </is>
      </c>
      <c r="DL7" s="47" t="n"/>
      <c r="DM7" s="47" t="n"/>
      <c r="DN7" s="47" t="inlineStr">
        <is>
          <t>A</t>
        </is>
      </c>
      <c r="DO7" s="47" t="inlineStr">
        <is>
          <t>A</t>
        </is>
      </c>
      <c r="DP7" s="47" t="n"/>
      <c r="DQ7" s="47" t="n"/>
      <c r="DR7" s="47" t="inlineStr">
        <is>
          <t>A</t>
        </is>
      </c>
      <c r="DS7" s="47" t="inlineStr">
        <is>
          <t>A</t>
        </is>
      </c>
      <c r="DT7" s="47" t="n"/>
      <c r="DU7" s="47" t="n"/>
      <c r="DV7" s="47" t="inlineStr">
        <is>
          <t>A</t>
        </is>
      </c>
      <c r="DW7" s="47" t="inlineStr">
        <is>
          <t>A</t>
        </is>
      </c>
      <c r="DX7" s="47" t="n"/>
      <c r="DY7" s="47" t="n"/>
      <c r="DZ7" s="47" t="inlineStr">
        <is>
          <t>P</t>
        </is>
      </c>
      <c r="EA7" s="47" t="n"/>
      <c r="EB7" s="47" t="n"/>
      <c r="EC7" s="47" t="n"/>
      <c r="ED7" s="47" t="n"/>
      <c r="EE7" s="47" t="n"/>
      <c r="EF7" s="47" t="n"/>
      <c r="EG7" s="47" t="n"/>
      <c r="EH7" s="47" t="inlineStr">
        <is>
          <t>A</t>
        </is>
      </c>
      <c r="EI7" s="47" t="n"/>
      <c r="EJ7" s="47" t="n"/>
      <c r="EK7" s="47" t="inlineStr">
        <is>
          <t>A</t>
        </is>
      </c>
      <c r="EL7" s="47" t="inlineStr">
        <is>
          <t>A</t>
        </is>
      </c>
      <c r="EM7" s="47" t="n"/>
      <c r="EN7" s="47" t="n"/>
      <c r="EO7" s="47" t="inlineStr">
        <is>
          <t>A</t>
        </is>
      </c>
      <c r="EP7" s="47" t="inlineStr">
        <is>
          <t>A</t>
        </is>
      </c>
      <c r="EQ7" s="47" t="n"/>
      <c r="ER7" s="47" t="n"/>
      <c r="ES7" s="47" t="inlineStr">
        <is>
          <t>A</t>
        </is>
      </c>
      <c r="ET7" s="47" t="inlineStr">
        <is>
          <t>A</t>
        </is>
      </c>
      <c r="EU7" s="47" t="n"/>
      <c r="EV7" s="47" t="n"/>
      <c r="EW7" s="47" t="n"/>
      <c r="EX7" s="47" t="n"/>
      <c r="EY7" s="47" t="n"/>
      <c r="EZ7" s="47" t="n"/>
      <c r="FA7" s="47" t="n"/>
      <c r="FB7" s="47" t="inlineStr">
        <is>
          <t>A</t>
        </is>
      </c>
      <c r="FC7" s="47" t="n"/>
      <c r="FD7" s="47" t="n"/>
      <c r="FE7" s="47" t="inlineStr">
        <is>
          <t>A</t>
        </is>
      </c>
      <c r="FF7" s="47" t="inlineStr">
        <is>
          <t>A</t>
        </is>
      </c>
      <c r="FG7" s="47" t="n"/>
      <c r="FH7" s="47" t="n"/>
      <c r="FI7" s="47" t="inlineStr">
        <is>
          <t>A</t>
        </is>
      </c>
      <c r="FJ7" s="47" t="inlineStr">
        <is>
          <t>A</t>
        </is>
      </c>
      <c r="FK7" s="47" t="n"/>
      <c r="FL7" s="47" t="n"/>
      <c r="FM7" s="47" t="n"/>
      <c r="FN7" s="47" t="n"/>
      <c r="FO7" s="47" t="n"/>
      <c r="FP7" s="47" t="n"/>
      <c r="FQ7" s="47" t="n"/>
      <c r="FR7" s="47" t="inlineStr">
        <is>
          <t>A</t>
        </is>
      </c>
      <c r="FS7" s="47" t="n"/>
      <c r="FT7" s="47" t="n"/>
      <c r="FU7" s="47" t="n"/>
      <c r="FV7" s="47" t="n"/>
      <c r="FW7" s="47" t="n"/>
      <c r="FX7" s="47" t="n"/>
      <c r="FY7" s="47" t="inlineStr">
        <is>
          <t>A</t>
        </is>
      </c>
      <c r="FZ7" s="47" t="inlineStr">
        <is>
          <t>A</t>
        </is>
      </c>
      <c r="GA7" s="47" t="n"/>
      <c r="GB7" s="47" t="n"/>
      <c r="GC7" s="47" t="n"/>
      <c r="GD7" s="47" t="inlineStr">
        <is>
          <t>A</t>
        </is>
      </c>
      <c r="GE7" s="47" t="n"/>
      <c r="GF7" s="47" t="n"/>
      <c r="GG7" s="47" t="inlineStr">
        <is>
          <t>A</t>
        </is>
      </c>
      <c r="GH7" s="47" t="n"/>
      <c r="GI7" s="47" t="n"/>
    </row>
    <row r="8" ht="14.25" customHeight="1" s="34">
      <c r="A8" s="46" t="n">
        <v>5</v>
      </c>
      <c r="B8" s="46" t="inlineStr">
        <is>
          <t>325106410005</t>
        </is>
      </c>
      <c r="C8" s="46" t="inlineStr">
        <is>
          <t>LAKSHMANA KUMAR BATHULA</t>
        </is>
      </c>
      <c r="D8" s="47" t="inlineStr">
        <is>
          <t>A</t>
        </is>
      </c>
      <c r="E8" s="47" t="n"/>
      <c r="F8" s="47" t="n"/>
      <c r="G8" s="47" t="n"/>
      <c r="H8" s="47" t="n"/>
      <c r="I8" s="47" t="inlineStr">
        <is>
          <t>A</t>
        </is>
      </c>
      <c r="J8" s="47" t="n"/>
      <c r="K8" s="47" t="n"/>
      <c r="L8" s="47" t="inlineStr">
        <is>
          <t>A</t>
        </is>
      </c>
      <c r="M8" s="47" t="n"/>
      <c r="N8" s="47" t="n"/>
      <c r="O8" s="47" t="n"/>
      <c r="P8" s="47" t="inlineStr">
        <is>
          <t>A</t>
        </is>
      </c>
      <c r="Q8" s="47" t="inlineStr">
        <is>
          <t>A</t>
        </is>
      </c>
      <c r="R8" s="47" t="n"/>
      <c r="S8" s="47" t="n"/>
      <c r="T8" s="47" t="inlineStr">
        <is>
          <t>A</t>
        </is>
      </c>
      <c r="U8" s="47" t="n"/>
      <c r="V8" s="47" t="n"/>
      <c r="W8" s="47" t="n"/>
      <c r="X8" s="47" t="n"/>
      <c r="Y8" s="47" t="n"/>
      <c r="Z8" s="47" t="n"/>
      <c r="AA8" s="47" t="n"/>
      <c r="AB8" s="47" t="n"/>
      <c r="AC8" s="47" t="inlineStr">
        <is>
          <t>P</t>
        </is>
      </c>
      <c r="AD8" s="47" t="n"/>
      <c r="AE8" s="47" t="n"/>
      <c r="AF8" s="47" t="inlineStr">
        <is>
          <t>P</t>
        </is>
      </c>
      <c r="AG8" s="47" t="n"/>
      <c r="AH8" s="47" t="n"/>
      <c r="AI8" s="47" t="n"/>
      <c r="AJ8" s="47" t="inlineStr">
        <is>
          <t>P</t>
        </is>
      </c>
      <c r="AK8" s="47" t="inlineStr">
        <is>
          <t>P</t>
        </is>
      </c>
      <c r="AL8" s="47" t="n"/>
      <c r="AM8" s="47" t="n"/>
      <c r="AN8" s="47" t="inlineStr">
        <is>
          <t>P</t>
        </is>
      </c>
      <c r="AO8" s="47" t="n"/>
      <c r="AP8" s="47" t="n"/>
      <c r="AQ8" s="47" t="n"/>
      <c r="AR8" s="47" t="inlineStr">
        <is>
          <t>A</t>
        </is>
      </c>
      <c r="AS8" s="47" t="n"/>
      <c r="AT8" s="47" t="n"/>
      <c r="AU8" s="47" t="n"/>
      <c r="AV8" s="47" t="n"/>
      <c r="AW8" s="47" t="inlineStr">
        <is>
          <t>P</t>
        </is>
      </c>
      <c r="AX8" s="47" t="n"/>
      <c r="AY8" s="47" t="n"/>
      <c r="AZ8" s="47" t="inlineStr">
        <is>
          <t>P</t>
        </is>
      </c>
      <c r="BA8" s="47" t="inlineStr">
        <is>
          <t>P</t>
        </is>
      </c>
      <c r="BB8" s="47" t="n"/>
      <c r="BC8" s="47" t="n"/>
      <c r="BD8" s="47" t="inlineStr">
        <is>
          <t>P</t>
        </is>
      </c>
      <c r="BE8" s="47" t="inlineStr">
        <is>
          <t>P</t>
        </is>
      </c>
      <c r="BF8" s="47" t="n"/>
      <c r="BG8" s="47" t="n"/>
      <c r="BH8" s="47" t="inlineStr">
        <is>
          <t>P</t>
        </is>
      </c>
      <c r="BI8" s="47" t="inlineStr">
        <is>
          <t>P</t>
        </is>
      </c>
      <c r="BJ8" s="47" t="n"/>
      <c r="BK8" s="47" t="n"/>
      <c r="BL8" s="47" t="n"/>
      <c r="BM8" s="47" t="n"/>
      <c r="BN8" s="47" t="n"/>
      <c r="BO8" s="47" t="n"/>
      <c r="BP8" s="47" t="n"/>
      <c r="BQ8" s="47" t="inlineStr">
        <is>
          <t>P</t>
        </is>
      </c>
      <c r="BR8" s="47" t="n"/>
      <c r="BS8" s="47" t="n"/>
      <c r="BT8" s="47" t="inlineStr">
        <is>
          <t>P</t>
        </is>
      </c>
      <c r="BU8" s="47" t="inlineStr">
        <is>
          <t>P</t>
        </is>
      </c>
      <c r="BV8" s="47" t="n"/>
      <c r="BW8" s="47" t="n"/>
      <c r="BX8" s="47" t="inlineStr">
        <is>
          <t>P</t>
        </is>
      </c>
      <c r="BY8" s="47" t="inlineStr">
        <is>
          <t>P</t>
        </is>
      </c>
      <c r="BZ8" s="47" t="n"/>
      <c r="CA8" s="47" t="n"/>
      <c r="CB8" s="47" t="inlineStr">
        <is>
          <t>P</t>
        </is>
      </c>
      <c r="CC8" s="47" t="n"/>
      <c r="CD8" s="47" t="n"/>
      <c r="CE8" s="47" t="n"/>
      <c r="CF8" s="47" t="inlineStr">
        <is>
          <t>P</t>
        </is>
      </c>
      <c r="CG8" s="47" t="n"/>
      <c r="CH8" s="47" t="n"/>
      <c r="CI8" s="47" t="n"/>
      <c r="CJ8" s="47" t="n"/>
      <c r="CK8" s="47" t="n"/>
      <c r="CL8" s="47" t="n"/>
      <c r="CM8" s="47" t="n"/>
      <c r="CN8" s="47" t="inlineStr">
        <is>
          <t>P</t>
        </is>
      </c>
      <c r="CO8" s="47" t="n"/>
      <c r="CP8" s="47" t="n"/>
      <c r="CQ8" s="47" t="inlineStr">
        <is>
          <t>P</t>
        </is>
      </c>
      <c r="CR8" s="47" t="inlineStr">
        <is>
          <t>P</t>
        </is>
      </c>
      <c r="CS8" s="47" t="n"/>
      <c r="CT8" s="47" t="n"/>
      <c r="CU8" s="47" t="inlineStr">
        <is>
          <t>P</t>
        </is>
      </c>
      <c r="CV8" s="47" t="inlineStr">
        <is>
          <t>P</t>
        </is>
      </c>
      <c r="CW8" s="47" t="n"/>
      <c r="CX8" s="47" t="n"/>
      <c r="CY8" s="47" t="n"/>
      <c r="CZ8" s="47" t="inlineStr">
        <is>
          <t>P</t>
        </is>
      </c>
      <c r="DA8" s="47" t="n"/>
      <c r="DB8" s="47" t="n"/>
      <c r="DC8" s="47" t="inlineStr">
        <is>
          <t>P</t>
        </is>
      </c>
      <c r="DD8" s="47" t="n"/>
      <c r="DE8" s="47" t="n"/>
      <c r="DF8" s="47" t="n"/>
      <c r="DG8" s="47" t="n"/>
      <c r="DH8" s="47" t="n"/>
      <c r="DI8" s="47" t="n"/>
      <c r="DJ8" s="47" t="n"/>
      <c r="DK8" s="47" t="inlineStr">
        <is>
          <t>P</t>
        </is>
      </c>
      <c r="DL8" s="47" t="n"/>
      <c r="DM8" s="47" t="n"/>
      <c r="DN8" s="47" t="inlineStr">
        <is>
          <t>P</t>
        </is>
      </c>
      <c r="DO8" s="47" t="inlineStr">
        <is>
          <t>P</t>
        </is>
      </c>
      <c r="DP8" s="47" t="n"/>
      <c r="DQ8" s="47" t="n"/>
      <c r="DR8" s="47" t="inlineStr">
        <is>
          <t>P</t>
        </is>
      </c>
      <c r="DS8" s="47" t="inlineStr">
        <is>
          <t>P</t>
        </is>
      </c>
      <c r="DT8" s="47" t="n"/>
      <c r="DU8" s="47" t="n"/>
      <c r="DV8" s="47" t="inlineStr">
        <is>
          <t>P</t>
        </is>
      </c>
      <c r="DW8" s="47" t="inlineStr">
        <is>
          <t>P</t>
        </is>
      </c>
      <c r="DX8" s="47" t="n"/>
      <c r="DY8" s="47" t="n"/>
      <c r="DZ8" s="47" t="inlineStr">
        <is>
          <t>P</t>
        </is>
      </c>
      <c r="EA8" s="47" t="n"/>
      <c r="EB8" s="47" t="n"/>
      <c r="EC8" s="47" t="n"/>
      <c r="ED8" s="47" t="n"/>
      <c r="EE8" s="47" t="n"/>
      <c r="EF8" s="47" t="n"/>
      <c r="EG8" s="47" t="n"/>
      <c r="EH8" s="47" t="inlineStr">
        <is>
          <t>P</t>
        </is>
      </c>
      <c r="EI8" s="47" t="n"/>
      <c r="EJ8" s="47" t="n"/>
      <c r="EK8" s="47" t="inlineStr">
        <is>
          <t>P</t>
        </is>
      </c>
      <c r="EL8" s="47" t="inlineStr">
        <is>
          <t>P</t>
        </is>
      </c>
      <c r="EM8" s="47" t="n"/>
      <c r="EN8" s="47" t="n"/>
      <c r="EO8" s="47" t="inlineStr">
        <is>
          <t>P</t>
        </is>
      </c>
      <c r="EP8" s="47" t="inlineStr">
        <is>
          <t>P</t>
        </is>
      </c>
      <c r="EQ8" s="47" t="n"/>
      <c r="ER8" s="47" t="n"/>
      <c r="ES8" s="47" t="inlineStr">
        <is>
          <t>P</t>
        </is>
      </c>
      <c r="ET8" s="47" t="inlineStr">
        <is>
          <t>P</t>
        </is>
      </c>
      <c r="EU8" s="47" t="n"/>
      <c r="EV8" s="47" t="n"/>
      <c r="EW8" s="47" t="n"/>
      <c r="EX8" s="47" t="n"/>
      <c r="EY8" s="47" t="n"/>
      <c r="EZ8" s="47" t="n"/>
      <c r="FA8" s="47" t="n"/>
      <c r="FB8" s="47" t="inlineStr">
        <is>
          <t>A</t>
        </is>
      </c>
      <c r="FC8" s="47" t="n"/>
      <c r="FD8" s="47" t="n"/>
      <c r="FE8" s="47" t="inlineStr">
        <is>
          <t>P</t>
        </is>
      </c>
      <c r="FF8" s="47" t="inlineStr">
        <is>
          <t>P</t>
        </is>
      </c>
      <c r="FG8" s="47" t="n"/>
      <c r="FH8" s="47" t="n"/>
      <c r="FI8" s="47" t="inlineStr">
        <is>
          <t>P</t>
        </is>
      </c>
      <c r="FJ8" s="47" t="inlineStr">
        <is>
          <t>P</t>
        </is>
      </c>
      <c r="FK8" s="47" t="n"/>
      <c r="FL8" s="47" t="n"/>
      <c r="FM8" s="47" t="n"/>
      <c r="FN8" s="47" t="n"/>
      <c r="FO8" s="47" t="n"/>
      <c r="FP8" s="47" t="n"/>
      <c r="FQ8" s="47" t="n"/>
      <c r="FR8" s="47" t="inlineStr">
        <is>
          <t>P</t>
        </is>
      </c>
      <c r="FS8" s="47" t="n"/>
      <c r="FT8" s="47" t="n"/>
      <c r="FU8" s="47" t="n"/>
      <c r="FV8" s="47" t="n"/>
      <c r="FW8" s="47" t="n"/>
      <c r="FX8" s="47" t="n"/>
      <c r="FY8" s="47" t="inlineStr">
        <is>
          <t>P</t>
        </is>
      </c>
      <c r="FZ8" s="47" t="inlineStr">
        <is>
          <t>P</t>
        </is>
      </c>
      <c r="GA8" s="47" t="n"/>
      <c r="GB8" s="47" t="n"/>
      <c r="GC8" s="47" t="n"/>
      <c r="GD8" s="47" t="inlineStr">
        <is>
          <t>P</t>
        </is>
      </c>
      <c r="GE8" s="47" t="n"/>
      <c r="GF8" s="47" t="n"/>
      <c r="GG8" s="47" t="inlineStr">
        <is>
          <t>P</t>
        </is>
      </c>
      <c r="GH8" s="47" t="n"/>
      <c r="GI8" s="47" t="n"/>
    </row>
    <row r="9" ht="14.25" customHeight="1" s="34">
      <c r="A9" s="46" t="n">
        <v>6</v>
      </c>
      <c r="B9" s="46" t="inlineStr">
        <is>
          <t>325106410006</t>
        </is>
      </c>
      <c r="C9" s="46" t="inlineStr">
        <is>
          <t>PADMA KUMARI CHIKKALA</t>
        </is>
      </c>
      <c r="D9" s="47" t="inlineStr">
        <is>
          <t>A</t>
        </is>
      </c>
      <c r="E9" s="47" t="n"/>
      <c r="F9" s="47" t="n"/>
      <c r="G9" s="47" t="n"/>
      <c r="H9" s="47" t="n"/>
      <c r="I9" s="47" t="inlineStr">
        <is>
          <t>A</t>
        </is>
      </c>
      <c r="J9" s="47" t="n"/>
      <c r="K9" s="47" t="n"/>
      <c r="L9" s="47" t="inlineStr">
        <is>
          <t>A</t>
        </is>
      </c>
      <c r="M9" s="47" t="n"/>
      <c r="N9" s="47" t="n"/>
      <c r="O9" s="47" t="n"/>
      <c r="P9" s="47" t="inlineStr">
        <is>
          <t>A</t>
        </is>
      </c>
      <c r="Q9" s="47" t="inlineStr">
        <is>
          <t>A</t>
        </is>
      </c>
      <c r="R9" s="47" t="n"/>
      <c r="S9" s="47" t="n"/>
      <c r="T9" s="47" t="inlineStr">
        <is>
          <t>A</t>
        </is>
      </c>
      <c r="U9" s="47" t="n"/>
      <c r="V9" s="47" t="n"/>
      <c r="W9" s="47" t="n"/>
      <c r="X9" s="47" t="n"/>
      <c r="Y9" s="47" t="n"/>
      <c r="Z9" s="47" t="n"/>
      <c r="AA9" s="47" t="n"/>
      <c r="AB9" s="47" t="n"/>
      <c r="AC9" s="47" t="inlineStr">
        <is>
          <t>A</t>
        </is>
      </c>
      <c r="AD9" s="47" t="n"/>
      <c r="AE9" s="47" t="n"/>
      <c r="AF9" s="47" t="inlineStr">
        <is>
          <t>P</t>
        </is>
      </c>
      <c r="AG9" s="47" t="n"/>
      <c r="AH9" s="47" t="n"/>
      <c r="AI9" s="47" t="n"/>
      <c r="AJ9" s="47" t="inlineStr">
        <is>
          <t>P</t>
        </is>
      </c>
      <c r="AK9" s="47" t="inlineStr">
        <is>
          <t>P</t>
        </is>
      </c>
      <c r="AL9" s="47" t="n"/>
      <c r="AM9" s="47" t="n"/>
      <c r="AN9" s="47" t="inlineStr">
        <is>
          <t>A</t>
        </is>
      </c>
      <c r="AO9" s="47" t="n"/>
      <c r="AP9" s="47" t="n"/>
      <c r="AQ9" s="47" t="n"/>
      <c r="AR9" s="47" t="inlineStr">
        <is>
          <t>A</t>
        </is>
      </c>
      <c r="AS9" s="47" t="n"/>
      <c r="AT9" s="47" t="n"/>
      <c r="AU9" s="47" t="n"/>
      <c r="AV9" s="47" t="n"/>
      <c r="AW9" s="47" t="inlineStr">
        <is>
          <t>P</t>
        </is>
      </c>
      <c r="AX9" s="47" t="n"/>
      <c r="AY9" s="47" t="n"/>
      <c r="AZ9" s="47" t="inlineStr">
        <is>
          <t>P</t>
        </is>
      </c>
      <c r="BA9" s="47" t="inlineStr">
        <is>
          <t>P</t>
        </is>
      </c>
      <c r="BB9" s="47" t="n"/>
      <c r="BC9" s="47" t="n"/>
      <c r="BD9" s="47" t="inlineStr">
        <is>
          <t>P</t>
        </is>
      </c>
      <c r="BE9" s="47" t="inlineStr">
        <is>
          <t>P</t>
        </is>
      </c>
      <c r="BF9" s="47" t="n"/>
      <c r="BG9" s="47" t="n"/>
      <c r="BH9" s="47" t="inlineStr">
        <is>
          <t>P</t>
        </is>
      </c>
      <c r="BI9" s="47" t="inlineStr">
        <is>
          <t>P</t>
        </is>
      </c>
      <c r="BJ9" s="47" t="n"/>
      <c r="BK9" s="47" t="n"/>
      <c r="BL9" s="47" t="n"/>
      <c r="BM9" s="47" t="n"/>
      <c r="BN9" s="47" t="n"/>
      <c r="BO9" s="47" t="n"/>
      <c r="BP9" s="47" t="n"/>
      <c r="BQ9" s="47" t="inlineStr">
        <is>
          <t>P</t>
        </is>
      </c>
      <c r="BR9" s="47" t="n"/>
      <c r="BS9" s="47" t="n"/>
      <c r="BT9" s="47" t="inlineStr">
        <is>
          <t>P</t>
        </is>
      </c>
      <c r="BU9" s="47" t="inlineStr">
        <is>
          <t>P</t>
        </is>
      </c>
      <c r="BV9" s="47" t="n"/>
      <c r="BW9" s="47" t="n"/>
      <c r="BX9" s="47" t="inlineStr">
        <is>
          <t>P</t>
        </is>
      </c>
      <c r="BY9" s="47" t="inlineStr">
        <is>
          <t>P</t>
        </is>
      </c>
      <c r="BZ9" s="47" t="n"/>
      <c r="CA9" s="47" t="n"/>
      <c r="CB9" s="47" t="inlineStr">
        <is>
          <t>P</t>
        </is>
      </c>
      <c r="CC9" s="47" t="n"/>
      <c r="CD9" s="47" t="n"/>
      <c r="CE9" s="47" t="n"/>
      <c r="CF9" s="47" t="inlineStr">
        <is>
          <t>P</t>
        </is>
      </c>
      <c r="CG9" s="47" t="n"/>
      <c r="CH9" s="47" t="n"/>
      <c r="CI9" s="47" t="n"/>
      <c r="CJ9" s="47" t="n"/>
      <c r="CK9" s="47" t="n"/>
      <c r="CL9" s="47" t="n"/>
      <c r="CM9" s="47" t="n"/>
      <c r="CN9" s="47" t="inlineStr">
        <is>
          <t>P</t>
        </is>
      </c>
      <c r="CO9" s="47" t="n"/>
      <c r="CP9" s="47" t="n"/>
      <c r="CQ9" s="47" t="inlineStr">
        <is>
          <t>P</t>
        </is>
      </c>
      <c r="CR9" s="47" t="inlineStr">
        <is>
          <t>P</t>
        </is>
      </c>
      <c r="CS9" s="47" t="n"/>
      <c r="CT9" s="47" t="n"/>
      <c r="CU9" s="47" t="inlineStr">
        <is>
          <t>P</t>
        </is>
      </c>
      <c r="CV9" s="47" t="inlineStr">
        <is>
          <t>P</t>
        </is>
      </c>
      <c r="CW9" s="47" t="n"/>
      <c r="CX9" s="47" t="n"/>
      <c r="CY9" s="47" t="n"/>
      <c r="CZ9" s="47" t="inlineStr">
        <is>
          <t>P</t>
        </is>
      </c>
      <c r="DA9" s="47" t="n"/>
      <c r="DB9" s="47" t="n"/>
      <c r="DC9" s="47" t="inlineStr">
        <is>
          <t>P</t>
        </is>
      </c>
      <c r="DD9" s="47" t="n"/>
      <c r="DE9" s="47" t="n"/>
      <c r="DF9" s="47" t="n"/>
      <c r="DG9" s="47" t="n"/>
      <c r="DH9" s="47" t="n"/>
      <c r="DI9" s="47" t="n"/>
      <c r="DJ9" s="47" t="n"/>
      <c r="DK9" s="47" t="inlineStr">
        <is>
          <t>P</t>
        </is>
      </c>
      <c r="DL9" s="47" t="n"/>
      <c r="DM9" s="47" t="n"/>
      <c r="DN9" s="47" t="inlineStr">
        <is>
          <t>P</t>
        </is>
      </c>
      <c r="DO9" s="47" t="inlineStr">
        <is>
          <t>P</t>
        </is>
      </c>
      <c r="DP9" s="47" t="n"/>
      <c r="DQ9" s="47" t="n"/>
      <c r="DR9" s="47" t="inlineStr">
        <is>
          <t>P</t>
        </is>
      </c>
      <c r="DS9" s="47" t="inlineStr">
        <is>
          <t>P</t>
        </is>
      </c>
      <c r="DT9" s="47" t="n"/>
      <c r="DU9" s="47" t="n"/>
      <c r="DV9" s="47" t="inlineStr">
        <is>
          <t>P</t>
        </is>
      </c>
      <c r="DW9" s="47" t="inlineStr">
        <is>
          <t>P</t>
        </is>
      </c>
      <c r="DX9" s="47" t="n"/>
      <c r="DY9" s="47" t="n"/>
      <c r="DZ9" s="47" t="inlineStr">
        <is>
          <t>A</t>
        </is>
      </c>
      <c r="EA9" s="47" t="n"/>
      <c r="EB9" s="47" t="n"/>
      <c r="EC9" s="47" t="n"/>
      <c r="ED9" s="47" t="n"/>
      <c r="EE9" s="47" t="n"/>
      <c r="EF9" s="47" t="n"/>
      <c r="EG9" s="47" t="n"/>
      <c r="EH9" s="47" t="inlineStr">
        <is>
          <t>P</t>
        </is>
      </c>
      <c r="EI9" s="47" t="n"/>
      <c r="EJ9" s="47" t="n"/>
      <c r="EK9" s="47" t="inlineStr">
        <is>
          <t>A</t>
        </is>
      </c>
      <c r="EL9" s="47" t="inlineStr">
        <is>
          <t>P</t>
        </is>
      </c>
      <c r="EM9" s="47" t="n"/>
      <c r="EN9" s="47" t="n"/>
      <c r="EO9" s="47" t="inlineStr">
        <is>
          <t>P</t>
        </is>
      </c>
      <c r="EP9" s="47" t="inlineStr">
        <is>
          <t>P</t>
        </is>
      </c>
      <c r="EQ9" s="47" t="n"/>
      <c r="ER9" s="47" t="n"/>
      <c r="ES9" s="47" t="inlineStr">
        <is>
          <t>P</t>
        </is>
      </c>
      <c r="ET9" s="47" t="inlineStr">
        <is>
          <t>P</t>
        </is>
      </c>
      <c r="EU9" s="47" t="n"/>
      <c r="EV9" s="47" t="n"/>
      <c r="EW9" s="47" t="n"/>
      <c r="EX9" s="47" t="n"/>
      <c r="EY9" s="47" t="n"/>
      <c r="EZ9" s="47" t="n"/>
      <c r="FA9" s="47" t="n"/>
      <c r="FB9" s="47" t="inlineStr">
        <is>
          <t>P</t>
        </is>
      </c>
      <c r="FC9" s="47" t="n"/>
      <c r="FD9" s="47" t="n"/>
      <c r="FE9" s="47" t="inlineStr">
        <is>
          <t>P</t>
        </is>
      </c>
      <c r="FF9" s="47" t="inlineStr">
        <is>
          <t>P</t>
        </is>
      </c>
      <c r="FG9" s="47" t="n"/>
      <c r="FH9" s="47" t="n"/>
      <c r="FI9" s="47" t="inlineStr">
        <is>
          <t>P</t>
        </is>
      </c>
      <c r="FJ9" s="47" t="inlineStr">
        <is>
          <t>P</t>
        </is>
      </c>
      <c r="FK9" s="47" t="n"/>
      <c r="FL9" s="47" t="n"/>
      <c r="FM9" s="47" t="n"/>
      <c r="FN9" s="47" t="n"/>
      <c r="FO9" s="47" t="n"/>
      <c r="FP9" s="47" t="n"/>
      <c r="FQ9" s="47" t="n"/>
      <c r="FR9" s="47" t="inlineStr">
        <is>
          <t>P</t>
        </is>
      </c>
      <c r="FS9" s="47" t="n"/>
      <c r="FT9" s="47" t="n"/>
      <c r="FU9" s="47" t="n"/>
      <c r="FV9" s="47" t="n"/>
      <c r="FW9" s="47" t="n"/>
      <c r="FX9" s="47" t="n"/>
      <c r="FY9" s="47" t="inlineStr">
        <is>
          <t>A</t>
        </is>
      </c>
      <c r="FZ9" s="47" t="inlineStr">
        <is>
          <t>A</t>
        </is>
      </c>
      <c r="GA9" s="47" t="n"/>
      <c r="GB9" s="47" t="n"/>
      <c r="GC9" s="47" t="n"/>
      <c r="GD9" s="47" t="inlineStr">
        <is>
          <t>P</t>
        </is>
      </c>
      <c r="GE9" s="47" t="n"/>
      <c r="GF9" s="47" t="n"/>
      <c r="GG9" s="47" t="inlineStr">
        <is>
          <t>P</t>
        </is>
      </c>
      <c r="GH9" s="47" t="n"/>
      <c r="GI9" s="47" t="n"/>
    </row>
    <row r="10" ht="14.25" customHeight="1" s="34">
      <c r="A10" s="46" t="n">
        <v>7</v>
      </c>
      <c r="B10" s="46" t="inlineStr">
        <is>
          <t>325106410007</t>
        </is>
      </c>
      <c r="C10" s="46" t="inlineStr">
        <is>
          <t>RAKESH CHOPPA</t>
        </is>
      </c>
      <c r="D10" s="47" t="inlineStr">
        <is>
          <t>A</t>
        </is>
      </c>
      <c r="E10" s="47" t="n"/>
      <c r="F10" s="47" t="n"/>
      <c r="G10" s="47" t="n"/>
      <c r="H10" s="47" t="n"/>
      <c r="I10" s="47" t="inlineStr">
        <is>
          <t>A</t>
        </is>
      </c>
      <c r="J10" s="47" t="n"/>
      <c r="K10" s="47" t="n"/>
      <c r="L10" s="47" t="inlineStr">
        <is>
          <t>P</t>
        </is>
      </c>
      <c r="M10" s="47" t="n"/>
      <c r="N10" s="47" t="n"/>
      <c r="O10" s="47" t="n"/>
      <c r="P10" s="47" t="inlineStr">
        <is>
          <t>P</t>
        </is>
      </c>
      <c r="Q10" s="47" t="inlineStr">
        <is>
          <t>P</t>
        </is>
      </c>
      <c r="R10" s="47" t="n"/>
      <c r="S10" s="47" t="n"/>
      <c r="T10" s="47" t="inlineStr">
        <is>
          <t>P</t>
        </is>
      </c>
      <c r="U10" s="47" t="n"/>
      <c r="V10" s="47" t="n"/>
      <c r="W10" s="47" t="n"/>
      <c r="X10" s="47" t="n"/>
      <c r="Y10" s="47" t="n"/>
      <c r="Z10" s="47" t="n"/>
      <c r="AA10" s="47" t="n"/>
      <c r="AB10" s="47" t="n"/>
      <c r="AC10" s="47" t="inlineStr">
        <is>
          <t>P</t>
        </is>
      </c>
      <c r="AD10" s="47" t="n"/>
      <c r="AE10" s="47" t="n"/>
      <c r="AF10" s="47" t="inlineStr">
        <is>
          <t>P</t>
        </is>
      </c>
      <c r="AG10" s="47" t="n"/>
      <c r="AH10" s="47" t="n"/>
      <c r="AI10" s="47" t="n"/>
      <c r="AJ10" s="47" t="inlineStr">
        <is>
          <t>P</t>
        </is>
      </c>
      <c r="AK10" s="47" t="inlineStr">
        <is>
          <t>P</t>
        </is>
      </c>
      <c r="AL10" s="47" t="n"/>
      <c r="AM10" s="47" t="n"/>
      <c r="AN10" s="47" t="inlineStr">
        <is>
          <t>P</t>
        </is>
      </c>
      <c r="AO10" s="47" t="n"/>
      <c r="AP10" s="47" t="n"/>
      <c r="AQ10" s="47" t="n"/>
      <c r="AR10" s="47" t="inlineStr">
        <is>
          <t>P</t>
        </is>
      </c>
      <c r="AS10" s="47" t="n"/>
      <c r="AT10" s="47" t="n"/>
      <c r="AU10" s="47" t="n"/>
      <c r="AV10" s="47" t="n"/>
      <c r="AW10" s="47" t="inlineStr">
        <is>
          <t>P</t>
        </is>
      </c>
      <c r="AX10" s="47" t="n"/>
      <c r="AY10" s="47" t="n"/>
      <c r="AZ10" s="47" t="inlineStr">
        <is>
          <t>P</t>
        </is>
      </c>
      <c r="BA10" s="47" t="inlineStr">
        <is>
          <t>P</t>
        </is>
      </c>
      <c r="BB10" s="47" t="n"/>
      <c r="BC10" s="47" t="n"/>
      <c r="BD10" s="47" t="inlineStr">
        <is>
          <t>P</t>
        </is>
      </c>
      <c r="BE10" s="47" t="inlineStr">
        <is>
          <t>P</t>
        </is>
      </c>
      <c r="BF10" s="47" t="n"/>
      <c r="BG10" s="47" t="n"/>
      <c r="BH10" s="47" t="inlineStr">
        <is>
          <t>P</t>
        </is>
      </c>
      <c r="BI10" s="47" t="inlineStr">
        <is>
          <t>P</t>
        </is>
      </c>
      <c r="BJ10" s="47" t="n"/>
      <c r="BK10" s="47" t="n"/>
      <c r="BL10" s="47" t="n"/>
      <c r="BM10" s="47" t="n"/>
      <c r="BN10" s="47" t="n"/>
      <c r="BO10" s="47" t="n"/>
      <c r="BP10" s="47" t="n"/>
      <c r="BQ10" s="47" t="inlineStr">
        <is>
          <t>P</t>
        </is>
      </c>
      <c r="BR10" s="47" t="n"/>
      <c r="BS10" s="47" t="n"/>
      <c r="BT10" s="47" t="inlineStr">
        <is>
          <t>P</t>
        </is>
      </c>
      <c r="BU10" s="47" t="inlineStr">
        <is>
          <t>P</t>
        </is>
      </c>
      <c r="BV10" s="47" t="n"/>
      <c r="BW10" s="47" t="n"/>
      <c r="BX10" s="47" t="inlineStr">
        <is>
          <t>A</t>
        </is>
      </c>
      <c r="BY10" s="47" t="inlineStr">
        <is>
          <t>A</t>
        </is>
      </c>
      <c r="BZ10" s="47" t="n"/>
      <c r="CA10" s="47" t="n"/>
      <c r="CB10" s="47" t="inlineStr">
        <is>
          <t>P</t>
        </is>
      </c>
      <c r="CC10" s="47" t="n"/>
      <c r="CD10" s="47" t="n"/>
      <c r="CE10" s="47" t="n"/>
      <c r="CF10" s="47" t="inlineStr">
        <is>
          <t>P</t>
        </is>
      </c>
      <c r="CG10" s="47" t="n"/>
      <c r="CH10" s="47" t="n"/>
      <c r="CI10" s="47" t="n"/>
      <c r="CJ10" s="47" t="n"/>
      <c r="CK10" s="47" t="n"/>
      <c r="CL10" s="47" t="n"/>
      <c r="CM10" s="47" t="n"/>
      <c r="CN10" s="47" t="inlineStr">
        <is>
          <t>P</t>
        </is>
      </c>
      <c r="CO10" s="47" t="n"/>
      <c r="CP10" s="47" t="n"/>
      <c r="CQ10" s="47" t="inlineStr">
        <is>
          <t>P</t>
        </is>
      </c>
      <c r="CR10" s="47" t="inlineStr">
        <is>
          <t>P</t>
        </is>
      </c>
      <c r="CS10" s="47" t="n"/>
      <c r="CT10" s="47" t="n"/>
      <c r="CU10" s="47" t="inlineStr">
        <is>
          <t>P</t>
        </is>
      </c>
      <c r="CV10" s="47" t="inlineStr">
        <is>
          <t>P</t>
        </is>
      </c>
      <c r="CW10" s="47" t="n"/>
      <c r="CX10" s="47" t="n"/>
      <c r="CY10" s="47" t="n"/>
      <c r="CZ10" s="47" t="inlineStr">
        <is>
          <t>P</t>
        </is>
      </c>
      <c r="DA10" s="47" t="n"/>
      <c r="DB10" s="47" t="n"/>
      <c r="DC10" s="47" t="inlineStr">
        <is>
          <t>A</t>
        </is>
      </c>
      <c r="DD10" s="47" t="n"/>
      <c r="DE10" s="47" t="n"/>
      <c r="DF10" s="47" t="n"/>
      <c r="DG10" s="47" t="n"/>
      <c r="DH10" s="47" t="n"/>
      <c r="DI10" s="47" t="n"/>
      <c r="DJ10" s="47" t="n"/>
      <c r="DK10" s="47" t="inlineStr">
        <is>
          <t>P</t>
        </is>
      </c>
      <c r="DL10" s="47" t="n"/>
      <c r="DM10" s="47" t="n"/>
      <c r="DN10" s="47" t="inlineStr">
        <is>
          <t>P</t>
        </is>
      </c>
      <c r="DO10" s="47" t="inlineStr">
        <is>
          <t>P</t>
        </is>
      </c>
      <c r="DP10" s="47" t="n"/>
      <c r="DQ10" s="47" t="n"/>
      <c r="DR10" s="47" t="inlineStr">
        <is>
          <t>P</t>
        </is>
      </c>
      <c r="DS10" s="47" t="inlineStr">
        <is>
          <t>P</t>
        </is>
      </c>
      <c r="DT10" s="47" t="n"/>
      <c r="DU10" s="47" t="n"/>
      <c r="DV10" s="47" t="inlineStr">
        <is>
          <t>P</t>
        </is>
      </c>
      <c r="DW10" s="47" t="inlineStr">
        <is>
          <t>P</t>
        </is>
      </c>
      <c r="DX10" s="47" t="n"/>
      <c r="DY10" s="47" t="n"/>
      <c r="DZ10" s="47" t="inlineStr">
        <is>
          <t>P</t>
        </is>
      </c>
      <c r="EA10" s="47" t="n"/>
      <c r="EB10" s="47" t="n"/>
      <c r="EC10" s="47" t="n"/>
      <c r="ED10" s="47" t="n"/>
      <c r="EE10" s="47" t="n"/>
      <c r="EF10" s="47" t="n"/>
      <c r="EG10" s="47" t="n"/>
      <c r="EH10" s="47" t="inlineStr">
        <is>
          <t>A</t>
        </is>
      </c>
      <c r="EI10" s="47" t="n"/>
      <c r="EJ10" s="47" t="n"/>
      <c r="EK10" s="47" t="inlineStr">
        <is>
          <t>P</t>
        </is>
      </c>
      <c r="EL10" s="47" t="inlineStr">
        <is>
          <t>P</t>
        </is>
      </c>
      <c r="EM10" s="47" t="n"/>
      <c r="EN10" s="47" t="n"/>
      <c r="EO10" s="47" t="inlineStr">
        <is>
          <t>P</t>
        </is>
      </c>
      <c r="EP10" s="47" t="inlineStr">
        <is>
          <t>P</t>
        </is>
      </c>
      <c r="EQ10" s="47" t="n"/>
      <c r="ER10" s="47" t="n"/>
      <c r="ES10" s="47" t="inlineStr">
        <is>
          <t>P</t>
        </is>
      </c>
      <c r="ET10" s="47" t="inlineStr">
        <is>
          <t>P</t>
        </is>
      </c>
      <c r="EU10" s="47" t="n"/>
      <c r="EV10" s="47" t="n"/>
      <c r="EW10" s="47" t="n"/>
      <c r="EX10" s="47" t="n"/>
      <c r="EY10" s="47" t="n"/>
      <c r="EZ10" s="47" t="n"/>
      <c r="FA10" s="47" t="n"/>
      <c r="FB10" s="47" t="inlineStr">
        <is>
          <t>P</t>
        </is>
      </c>
      <c r="FC10" s="47" t="n"/>
      <c r="FD10" s="47" t="n"/>
      <c r="FE10" s="47" t="inlineStr">
        <is>
          <t>P</t>
        </is>
      </c>
      <c r="FF10" s="47" t="inlineStr">
        <is>
          <t>P</t>
        </is>
      </c>
      <c r="FG10" s="47" t="n"/>
      <c r="FH10" s="47" t="n"/>
      <c r="FI10" s="47" t="inlineStr">
        <is>
          <t>P</t>
        </is>
      </c>
      <c r="FJ10" s="47" t="inlineStr">
        <is>
          <t>P</t>
        </is>
      </c>
      <c r="FK10" s="47" t="n"/>
      <c r="FL10" s="47" t="n"/>
      <c r="FM10" s="47" t="n"/>
      <c r="FN10" s="47" t="n"/>
      <c r="FO10" s="47" t="n"/>
      <c r="FP10" s="47" t="n"/>
      <c r="FQ10" s="47" t="n"/>
      <c r="FR10" s="47" t="inlineStr">
        <is>
          <t>P</t>
        </is>
      </c>
      <c r="FS10" s="47" t="n"/>
      <c r="FT10" s="47" t="n"/>
      <c r="FU10" s="47" t="n"/>
      <c r="FV10" s="47" t="n"/>
      <c r="FW10" s="47" t="n"/>
      <c r="FX10" s="47" t="n"/>
      <c r="FY10" s="47" t="inlineStr">
        <is>
          <t>P</t>
        </is>
      </c>
      <c r="FZ10" s="47" t="inlineStr">
        <is>
          <t>P</t>
        </is>
      </c>
      <c r="GA10" s="47" t="n"/>
      <c r="GB10" s="47" t="n"/>
      <c r="GC10" s="47" t="n"/>
      <c r="GD10" s="47" t="inlineStr">
        <is>
          <t>P</t>
        </is>
      </c>
      <c r="GE10" s="47" t="n"/>
      <c r="GF10" s="47" t="n"/>
      <c r="GG10" s="47" t="inlineStr">
        <is>
          <t>P</t>
        </is>
      </c>
      <c r="GH10" s="47" t="n"/>
      <c r="GI10" s="47" t="n"/>
    </row>
    <row r="11" ht="14.25" customHeight="1" s="34">
      <c r="A11" s="46" t="n">
        <v>8</v>
      </c>
      <c r="B11" s="46" t="inlineStr">
        <is>
          <t>325106410008</t>
        </is>
      </c>
      <c r="C11" s="46" t="inlineStr">
        <is>
          <t>SUBHASH DHULIPUDI</t>
        </is>
      </c>
      <c r="D11" s="47" t="inlineStr">
        <is>
          <t>A</t>
        </is>
      </c>
      <c r="E11" s="47" t="n"/>
      <c r="F11" s="47" t="n"/>
      <c r="G11" s="47" t="n"/>
      <c r="H11" s="47" t="n"/>
      <c r="I11" s="47" t="inlineStr">
        <is>
          <t>A</t>
        </is>
      </c>
      <c r="J11" s="47" t="n"/>
      <c r="K11" s="47" t="n"/>
      <c r="L11" s="47" t="inlineStr">
        <is>
          <t>A</t>
        </is>
      </c>
      <c r="M11" s="47" t="n"/>
      <c r="N11" s="47" t="n"/>
      <c r="O11" s="47" t="n"/>
      <c r="P11" s="47" t="inlineStr">
        <is>
          <t>P</t>
        </is>
      </c>
      <c r="Q11" s="47" t="inlineStr">
        <is>
          <t>P</t>
        </is>
      </c>
      <c r="R11" s="47" t="n"/>
      <c r="S11" s="47" t="n"/>
      <c r="T11" s="47" t="inlineStr">
        <is>
          <t>P</t>
        </is>
      </c>
      <c r="U11" s="47" t="n"/>
      <c r="V11" s="47" t="n"/>
      <c r="W11" s="47" t="n"/>
      <c r="X11" s="47" t="n"/>
      <c r="Y11" s="47" t="n"/>
      <c r="Z11" s="47" t="n"/>
      <c r="AA11" s="47" t="n"/>
      <c r="AB11" s="47" t="n"/>
      <c r="AC11" s="47" t="inlineStr">
        <is>
          <t>P</t>
        </is>
      </c>
      <c r="AD11" s="47" t="n"/>
      <c r="AE11" s="47" t="n"/>
      <c r="AF11" s="47" t="inlineStr">
        <is>
          <t>P</t>
        </is>
      </c>
      <c r="AG11" s="47" t="n"/>
      <c r="AH11" s="47" t="n"/>
      <c r="AI11" s="47" t="n"/>
      <c r="AJ11" s="47" t="inlineStr">
        <is>
          <t>P</t>
        </is>
      </c>
      <c r="AK11" s="47" t="inlineStr">
        <is>
          <t>P</t>
        </is>
      </c>
      <c r="AL11" s="47" t="n"/>
      <c r="AM11" s="47" t="n"/>
      <c r="AN11" s="47" t="inlineStr">
        <is>
          <t>P</t>
        </is>
      </c>
      <c r="AO11" s="47" t="n"/>
      <c r="AP11" s="47" t="n"/>
      <c r="AQ11" s="47" t="n"/>
      <c r="AR11" s="47" t="inlineStr">
        <is>
          <t>P</t>
        </is>
      </c>
      <c r="AS11" s="47" t="n"/>
      <c r="AT11" s="47" t="n"/>
      <c r="AU11" s="47" t="n"/>
      <c r="AV11" s="47" t="n"/>
      <c r="AW11" s="47" t="inlineStr">
        <is>
          <t>P</t>
        </is>
      </c>
      <c r="AX11" s="47" t="n"/>
      <c r="AY11" s="47" t="n"/>
      <c r="AZ11" s="47" t="inlineStr">
        <is>
          <t>P</t>
        </is>
      </c>
      <c r="BA11" s="47" t="inlineStr">
        <is>
          <t>P</t>
        </is>
      </c>
      <c r="BB11" s="47" t="n"/>
      <c r="BC11" s="47" t="n"/>
      <c r="BD11" s="47" t="inlineStr">
        <is>
          <t>P</t>
        </is>
      </c>
      <c r="BE11" s="47" t="inlineStr">
        <is>
          <t>P</t>
        </is>
      </c>
      <c r="BF11" s="47" t="n"/>
      <c r="BG11" s="47" t="n"/>
      <c r="BH11" s="47" t="inlineStr">
        <is>
          <t>P</t>
        </is>
      </c>
      <c r="BI11" s="47" t="inlineStr">
        <is>
          <t>P</t>
        </is>
      </c>
      <c r="BJ11" s="47" t="n"/>
      <c r="BK11" s="47" t="n"/>
      <c r="BL11" s="47" t="n"/>
      <c r="BM11" s="47" t="n"/>
      <c r="BN11" s="47" t="n"/>
      <c r="BO11" s="47" t="n"/>
      <c r="BP11" s="47" t="n"/>
      <c r="BQ11" s="47" t="inlineStr">
        <is>
          <t>P</t>
        </is>
      </c>
      <c r="BR11" s="47" t="n"/>
      <c r="BS11" s="47" t="n"/>
      <c r="BT11" s="47" t="inlineStr">
        <is>
          <t>P</t>
        </is>
      </c>
      <c r="BU11" s="47" t="inlineStr">
        <is>
          <t>P</t>
        </is>
      </c>
      <c r="BV11" s="47" t="n"/>
      <c r="BW11" s="47" t="n"/>
      <c r="BX11" s="47" t="inlineStr">
        <is>
          <t>P</t>
        </is>
      </c>
      <c r="BY11" s="47" t="inlineStr">
        <is>
          <t>P</t>
        </is>
      </c>
      <c r="BZ11" s="47" t="n"/>
      <c r="CA11" s="47" t="n"/>
      <c r="CB11" s="47" t="inlineStr">
        <is>
          <t>P</t>
        </is>
      </c>
      <c r="CC11" s="47" t="n"/>
      <c r="CD11" s="47" t="n"/>
      <c r="CE11" s="47" t="n"/>
      <c r="CF11" s="47" t="inlineStr">
        <is>
          <t>P</t>
        </is>
      </c>
      <c r="CG11" s="47" t="n"/>
      <c r="CH11" s="47" t="n"/>
      <c r="CI11" s="47" t="n"/>
      <c r="CJ11" s="47" t="n"/>
      <c r="CK11" s="47" t="n"/>
      <c r="CL11" s="47" t="n"/>
      <c r="CM11" s="47" t="n"/>
      <c r="CN11" s="47" t="inlineStr">
        <is>
          <t>P</t>
        </is>
      </c>
      <c r="CO11" s="47" t="n"/>
      <c r="CP11" s="47" t="n"/>
      <c r="CQ11" s="47" t="inlineStr">
        <is>
          <t>P</t>
        </is>
      </c>
      <c r="CR11" s="47" t="inlineStr">
        <is>
          <t>P</t>
        </is>
      </c>
      <c r="CS11" s="47" t="n"/>
      <c r="CT11" s="47" t="n"/>
      <c r="CU11" s="47" t="inlineStr">
        <is>
          <t>A</t>
        </is>
      </c>
      <c r="CV11" s="47" t="inlineStr">
        <is>
          <t>P</t>
        </is>
      </c>
      <c r="CW11" s="47" t="n"/>
      <c r="CX11" s="47" t="n"/>
      <c r="CY11" s="47" t="n"/>
      <c r="CZ11" s="47" t="inlineStr">
        <is>
          <t>P</t>
        </is>
      </c>
      <c r="DA11" s="47" t="n"/>
      <c r="DB11" s="47" t="n"/>
      <c r="DC11" s="47" t="inlineStr">
        <is>
          <t>P</t>
        </is>
      </c>
      <c r="DD11" s="47" t="n"/>
      <c r="DE11" s="47" t="n"/>
      <c r="DF11" s="47" t="n"/>
      <c r="DG11" s="47" t="n"/>
      <c r="DH11" s="47" t="n"/>
      <c r="DI11" s="47" t="n"/>
      <c r="DJ11" s="47" t="n"/>
      <c r="DK11" s="47" t="inlineStr">
        <is>
          <t>P</t>
        </is>
      </c>
      <c r="DL11" s="47" t="n"/>
      <c r="DM11" s="47" t="n"/>
      <c r="DN11" s="47" t="inlineStr">
        <is>
          <t>P</t>
        </is>
      </c>
      <c r="DO11" s="47" t="inlineStr">
        <is>
          <t>P</t>
        </is>
      </c>
      <c r="DP11" s="47" t="n"/>
      <c r="DQ11" s="47" t="n"/>
      <c r="DR11" s="47" t="inlineStr">
        <is>
          <t>P</t>
        </is>
      </c>
      <c r="DS11" s="47" t="inlineStr">
        <is>
          <t>P</t>
        </is>
      </c>
      <c r="DT11" s="47" t="n"/>
      <c r="DU11" s="47" t="n"/>
      <c r="DV11" s="47" t="inlineStr">
        <is>
          <t>P</t>
        </is>
      </c>
      <c r="DW11" s="47" t="inlineStr">
        <is>
          <t>P</t>
        </is>
      </c>
      <c r="DX11" s="47" t="n"/>
      <c r="DY11" s="47" t="n"/>
      <c r="DZ11" s="47" t="inlineStr">
        <is>
          <t>A</t>
        </is>
      </c>
      <c r="EA11" s="47" t="n"/>
      <c r="EB11" s="47" t="n"/>
      <c r="EC11" s="47" t="n"/>
      <c r="ED11" s="47" t="n"/>
      <c r="EE11" s="47" t="n"/>
      <c r="EF11" s="47" t="n"/>
      <c r="EG11" s="47" t="n"/>
      <c r="EH11" s="47" t="inlineStr">
        <is>
          <t>P</t>
        </is>
      </c>
      <c r="EI11" s="47" t="n"/>
      <c r="EJ11" s="47" t="n"/>
      <c r="EK11" s="47" t="inlineStr">
        <is>
          <t>P</t>
        </is>
      </c>
      <c r="EL11" s="47" t="inlineStr">
        <is>
          <t>P</t>
        </is>
      </c>
      <c r="EM11" s="47" t="n"/>
      <c r="EN11" s="47" t="n"/>
      <c r="EO11" s="47" t="inlineStr">
        <is>
          <t>P</t>
        </is>
      </c>
      <c r="EP11" s="47" t="inlineStr">
        <is>
          <t>P</t>
        </is>
      </c>
      <c r="EQ11" s="47" t="n"/>
      <c r="ER11" s="47" t="n"/>
      <c r="ES11" s="47" t="inlineStr">
        <is>
          <t>P</t>
        </is>
      </c>
      <c r="ET11" s="47" t="inlineStr">
        <is>
          <t>P</t>
        </is>
      </c>
      <c r="EU11" s="47" t="n"/>
      <c r="EV11" s="47" t="n"/>
      <c r="EW11" s="47" t="n"/>
      <c r="EX11" s="47" t="n"/>
      <c r="EY11" s="47" t="n"/>
      <c r="EZ11" s="47" t="n"/>
      <c r="FA11" s="47" t="n"/>
      <c r="FB11" s="47" t="inlineStr">
        <is>
          <t>P</t>
        </is>
      </c>
      <c r="FC11" s="47" t="n"/>
      <c r="FD11" s="47" t="n"/>
      <c r="FE11" s="47" t="inlineStr">
        <is>
          <t>P</t>
        </is>
      </c>
      <c r="FF11" s="47" t="inlineStr">
        <is>
          <t>P</t>
        </is>
      </c>
      <c r="FG11" s="47" t="n"/>
      <c r="FH11" s="47" t="n"/>
      <c r="FI11" s="47" t="inlineStr">
        <is>
          <t>P</t>
        </is>
      </c>
      <c r="FJ11" s="47" t="inlineStr">
        <is>
          <t>P</t>
        </is>
      </c>
      <c r="FK11" s="47" t="n"/>
      <c r="FL11" s="47" t="n"/>
      <c r="FM11" s="47" t="n"/>
      <c r="FN11" s="47" t="n"/>
      <c r="FO11" s="47" t="n"/>
      <c r="FP11" s="47" t="n"/>
      <c r="FQ11" s="47" t="n"/>
      <c r="FR11" s="47" t="inlineStr">
        <is>
          <t>P</t>
        </is>
      </c>
      <c r="FS11" s="47" t="n"/>
      <c r="FT11" s="47" t="n"/>
      <c r="FU11" s="47" t="n"/>
      <c r="FV11" s="47" t="n"/>
      <c r="FW11" s="47" t="n"/>
      <c r="FX11" s="47" t="n"/>
      <c r="FY11" s="47" t="inlineStr">
        <is>
          <t>P</t>
        </is>
      </c>
      <c r="FZ11" s="47" t="inlineStr">
        <is>
          <t>P</t>
        </is>
      </c>
      <c r="GA11" s="47" t="n"/>
      <c r="GB11" s="47" t="n"/>
      <c r="GC11" s="47" t="n"/>
      <c r="GD11" s="47" t="inlineStr">
        <is>
          <t>P</t>
        </is>
      </c>
      <c r="GE11" s="47" t="n"/>
      <c r="GF11" s="47" t="n"/>
      <c r="GG11" s="47" t="inlineStr">
        <is>
          <t>P</t>
        </is>
      </c>
      <c r="GH11" s="47" t="n"/>
      <c r="GI11" s="47" t="n"/>
    </row>
    <row r="12" ht="14.25" customHeight="1" s="34">
      <c r="A12" s="46" t="n">
        <v>9</v>
      </c>
      <c r="B12" s="46" t="inlineStr">
        <is>
          <t>325106410009</t>
        </is>
      </c>
      <c r="C12" s="46" t="inlineStr">
        <is>
          <t>SRAVANI DUMMU</t>
        </is>
      </c>
      <c r="D12" s="47" t="inlineStr">
        <is>
          <t>A</t>
        </is>
      </c>
      <c r="E12" s="47" t="n"/>
      <c r="F12" s="47" t="n"/>
      <c r="G12" s="47" t="n"/>
      <c r="H12" s="47" t="n"/>
      <c r="I12" s="47" t="inlineStr">
        <is>
          <t>A</t>
        </is>
      </c>
      <c r="J12" s="47" t="n"/>
      <c r="K12" s="47" t="n"/>
      <c r="L12" s="47" t="inlineStr">
        <is>
          <t>P</t>
        </is>
      </c>
      <c r="M12" s="47" t="n"/>
      <c r="N12" s="47" t="n"/>
      <c r="O12" s="47" t="n"/>
      <c r="P12" s="47" t="inlineStr">
        <is>
          <t>A</t>
        </is>
      </c>
      <c r="Q12" s="47" t="inlineStr">
        <is>
          <t>A</t>
        </is>
      </c>
      <c r="R12" s="47" t="n"/>
      <c r="S12" s="47" t="n"/>
      <c r="T12" s="47" t="inlineStr">
        <is>
          <t>A</t>
        </is>
      </c>
      <c r="U12" s="47" t="n"/>
      <c r="V12" s="47" t="n"/>
      <c r="W12" s="47" t="n"/>
      <c r="X12" s="47" t="n"/>
      <c r="Y12" s="47" t="n"/>
      <c r="Z12" s="47" t="n"/>
      <c r="AA12" s="47" t="n"/>
      <c r="AB12" s="47" t="n"/>
      <c r="AC12" s="47" t="inlineStr">
        <is>
          <t>A</t>
        </is>
      </c>
      <c r="AD12" s="47" t="n"/>
      <c r="AE12" s="47" t="n"/>
      <c r="AF12" s="47" t="inlineStr">
        <is>
          <t>P</t>
        </is>
      </c>
      <c r="AG12" s="47" t="n"/>
      <c r="AH12" s="47" t="n"/>
      <c r="AI12" s="47" t="n"/>
      <c r="AJ12" s="47" t="inlineStr">
        <is>
          <t>P</t>
        </is>
      </c>
      <c r="AK12" s="47" t="inlineStr">
        <is>
          <t>P</t>
        </is>
      </c>
      <c r="AL12" s="47" t="n"/>
      <c r="AM12" s="47" t="n"/>
      <c r="AN12" s="47" t="inlineStr">
        <is>
          <t>P</t>
        </is>
      </c>
      <c r="AO12" s="47" t="n"/>
      <c r="AP12" s="47" t="n"/>
      <c r="AQ12" s="47" t="n"/>
      <c r="AR12" s="47" t="inlineStr">
        <is>
          <t>P</t>
        </is>
      </c>
      <c r="AS12" s="47" t="n"/>
      <c r="AT12" s="47" t="n"/>
      <c r="AU12" s="47" t="n"/>
      <c r="AV12" s="47" t="n"/>
      <c r="AW12" s="47" t="inlineStr">
        <is>
          <t>P</t>
        </is>
      </c>
      <c r="AX12" s="47" t="n"/>
      <c r="AY12" s="47" t="n"/>
      <c r="AZ12" s="47" t="inlineStr">
        <is>
          <t>P</t>
        </is>
      </c>
      <c r="BA12" s="47" t="inlineStr">
        <is>
          <t>P</t>
        </is>
      </c>
      <c r="BB12" s="47" t="n"/>
      <c r="BC12" s="47" t="n"/>
      <c r="BD12" s="47" t="inlineStr">
        <is>
          <t>P</t>
        </is>
      </c>
      <c r="BE12" s="47" t="inlineStr">
        <is>
          <t>P</t>
        </is>
      </c>
      <c r="BF12" s="47" t="n"/>
      <c r="BG12" s="47" t="n"/>
      <c r="BH12" s="47" t="inlineStr">
        <is>
          <t>P</t>
        </is>
      </c>
      <c r="BI12" s="47" t="inlineStr">
        <is>
          <t>P</t>
        </is>
      </c>
      <c r="BJ12" s="47" t="n"/>
      <c r="BK12" s="47" t="n"/>
      <c r="BL12" s="47" t="n"/>
      <c r="BM12" s="47" t="n"/>
      <c r="BN12" s="47" t="n"/>
      <c r="BO12" s="47" t="n"/>
      <c r="BP12" s="47" t="n"/>
      <c r="BQ12" s="47" t="inlineStr">
        <is>
          <t>P</t>
        </is>
      </c>
      <c r="BR12" s="47" t="n"/>
      <c r="BS12" s="47" t="n"/>
      <c r="BT12" s="47" t="inlineStr">
        <is>
          <t>P</t>
        </is>
      </c>
      <c r="BU12" s="47" t="inlineStr">
        <is>
          <t>P</t>
        </is>
      </c>
      <c r="BV12" s="47" t="n"/>
      <c r="BW12" s="47" t="n"/>
      <c r="BX12" s="47" t="inlineStr">
        <is>
          <t>P</t>
        </is>
      </c>
      <c r="BY12" s="47" t="inlineStr">
        <is>
          <t>P</t>
        </is>
      </c>
      <c r="BZ12" s="47" t="n"/>
      <c r="CA12" s="47" t="n"/>
      <c r="CB12" s="47" t="inlineStr">
        <is>
          <t>P</t>
        </is>
      </c>
      <c r="CC12" s="47" t="n"/>
      <c r="CD12" s="47" t="n"/>
      <c r="CE12" s="47" t="n"/>
      <c r="CF12" s="47" t="inlineStr">
        <is>
          <t>P</t>
        </is>
      </c>
      <c r="CG12" s="47" t="n"/>
      <c r="CH12" s="47" t="n"/>
      <c r="CI12" s="47" t="n"/>
      <c r="CJ12" s="47" t="n"/>
      <c r="CK12" s="47" t="n"/>
      <c r="CL12" s="47" t="n"/>
      <c r="CM12" s="47" t="n"/>
      <c r="CN12" s="47" t="inlineStr">
        <is>
          <t>P</t>
        </is>
      </c>
      <c r="CO12" s="47" t="n"/>
      <c r="CP12" s="47" t="n"/>
      <c r="CQ12" s="47" t="inlineStr">
        <is>
          <t>P</t>
        </is>
      </c>
      <c r="CR12" s="47" t="inlineStr">
        <is>
          <t>P</t>
        </is>
      </c>
      <c r="CS12" s="47" t="n"/>
      <c r="CT12" s="47" t="n"/>
      <c r="CU12" s="47" t="inlineStr">
        <is>
          <t>P</t>
        </is>
      </c>
      <c r="CV12" s="47" t="inlineStr">
        <is>
          <t>P</t>
        </is>
      </c>
      <c r="CW12" s="47" t="n"/>
      <c r="CX12" s="47" t="n"/>
      <c r="CY12" s="47" t="n"/>
      <c r="CZ12" s="47" t="inlineStr">
        <is>
          <t>A</t>
        </is>
      </c>
      <c r="DA12" s="47" t="n"/>
      <c r="DB12" s="47" t="n"/>
      <c r="DC12" s="47" t="inlineStr">
        <is>
          <t>P</t>
        </is>
      </c>
      <c r="DD12" s="47" t="n"/>
      <c r="DE12" s="47" t="n"/>
      <c r="DF12" s="47" t="n"/>
      <c r="DG12" s="47" t="n"/>
      <c r="DH12" s="47" t="n"/>
      <c r="DI12" s="47" t="n"/>
      <c r="DJ12" s="47" t="n"/>
      <c r="DK12" s="47" t="inlineStr">
        <is>
          <t>P</t>
        </is>
      </c>
      <c r="DL12" s="47" t="n"/>
      <c r="DM12" s="47" t="n"/>
      <c r="DN12" s="47" t="inlineStr">
        <is>
          <t>P</t>
        </is>
      </c>
      <c r="DO12" s="47" t="inlineStr">
        <is>
          <t>P</t>
        </is>
      </c>
      <c r="DP12" s="47" t="n"/>
      <c r="DQ12" s="47" t="n"/>
      <c r="DR12" s="47" t="inlineStr">
        <is>
          <t>P</t>
        </is>
      </c>
      <c r="DS12" s="47" t="inlineStr">
        <is>
          <t>P</t>
        </is>
      </c>
      <c r="DT12" s="47" t="n"/>
      <c r="DU12" s="47" t="n"/>
      <c r="DV12" s="47" t="inlineStr">
        <is>
          <t>P</t>
        </is>
      </c>
      <c r="DW12" s="47" t="inlineStr">
        <is>
          <t>P</t>
        </is>
      </c>
      <c r="DX12" s="47" t="n"/>
      <c r="DY12" s="47" t="n"/>
      <c r="DZ12" s="47" t="inlineStr">
        <is>
          <t>P</t>
        </is>
      </c>
      <c r="EA12" s="47" t="n"/>
      <c r="EB12" s="47" t="n"/>
      <c r="EC12" s="47" t="n"/>
      <c r="ED12" s="47" t="n"/>
      <c r="EE12" s="47" t="n"/>
      <c r="EF12" s="47" t="n"/>
      <c r="EG12" s="47" t="n"/>
      <c r="EH12" s="47" t="inlineStr">
        <is>
          <t>P</t>
        </is>
      </c>
      <c r="EI12" s="47" t="n"/>
      <c r="EJ12" s="47" t="n"/>
      <c r="EK12" s="47" t="inlineStr">
        <is>
          <t>P</t>
        </is>
      </c>
      <c r="EL12" s="47" t="inlineStr">
        <is>
          <t>P</t>
        </is>
      </c>
      <c r="EM12" s="47" t="n"/>
      <c r="EN12" s="47" t="n"/>
      <c r="EO12" s="47" t="inlineStr">
        <is>
          <t>P</t>
        </is>
      </c>
      <c r="EP12" s="47" t="inlineStr">
        <is>
          <t>P</t>
        </is>
      </c>
      <c r="EQ12" s="47" t="n"/>
      <c r="ER12" s="47" t="n"/>
      <c r="ES12" s="47" t="inlineStr">
        <is>
          <t>P</t>
        </is>
      </c>
      <c r="ET12" s="47" t="inlineStr">
        <is>
          <t>P</t>
        </is>
      </c>
      <c r="EU12" s="47" t="n"/>
      <c r="EV12" s="47" t="n"/>
      <c r="EW12" s="47" t="n"/>
      <c r="EX12" s="47" t="n"/>
      <c r="EY12" s="47" t="n"/>
      <c r="EZ12" s="47" t="n"/>
      <c r="FA12" s="47" t="n"/>
      <c r="FB12" s="47" t="inlineStr">
        <is>
          <t>P</t>
        </is>
      </c>
      <c r="FC12" s="47" t="n"/>
      <c r="FD12" s="47" t="n"/>
      <c r="FE12" s="47" t="inlineStr">
        <is>
          <t>P</t>
        </is>
      </c>
      <c r="FF12" s="47" t="inlineStr">
        <is>
          <t>P</t>
        </is>
      </c>
      <c r="FG12" s="47" t="n"/>
      <c r="FH12" s="47" t="n"/>
      <c r="FI12" s="47" t="inlineStr">
        <is>
          <t>P</t>
        </is>
      </c>
      <c r="FJ12" s="47" t="inlineStr">
        <is>
          <t>P</t>
        </is>
      </c>
      <c r="FK12" s="47" t="n"/>
      <c r="FL12" s="47" t="n"/>
      <c r="FM12" s="47" t="n"/>
      <c r="FN12" s="47" t="n"/>
      <c r="FO12" s="47" t="n"/>
      <c r="FP12" s="47" t="n"/>
      <c r="FQ12" s="47" t="n"/>
      <c r="FR12" s="47" t="inlineStr">
        <is>
          <t>P</t>
        </is>
      </c>
      <c r="FS12" s="47" t="n"/>
      <c r="FT12" s="47" t="n"/>
      <c r="FU12" s="47" t="n"/>
      <c r="FV12" s="47" t="n"/>
      <c r="FW12" s="47" t="n"/>
      <c r="FX12" s="47" t="n"/>
      <c r="FY12" s="47" t="inlineStr">
        <is>
          <t>P</t>
        </is>
      </c>
      <c r="FZ12" s="47" t="inlineStr">
        <is>
          <t>P</t>
        </is>
      </c>
      <c r="GA12" s="47" t="n"/>
      <c r="GB12" s="47" t="n"/>
      <c r="GC12" s="47" t="n"/>
      <c r="GD12" s="47" t="inlineStr">
        <is>
          <t>A</t>
        </is>
      </c>
      <c r="GE12" s="47" t="n"/>
      <c r="GF12" s="47" t="n"/>
      <c r="GG12" s="47" t="inlineStr">
        <is>
          <t>A</t>
        </is>
      </c>
      <c r="GH12" s="47" t="n"/>
      <c r="GI12" s="47" t="n"/>
    </row>
    <row r="13" ht="14.25" customHeight="1" s="34">
      <c r="A13" s="46" t="n">
        <v>10</v>
      </c>
      <c r="B13" s="46" t="inlineStr">
        <is>
          <t>325106410010</t>
        </is>
      </c>
      <c r="C13" s="46" t="inlineStr">
        <is>
          <t>EESHAAN URLAM</t>
        </is>
      </c>
      <c r="D13" s="47" t="inlineStr">
        <is>
          <t>A</t>
        </is>
      </c>
      <c r="E13" s="47" t="n"/>
      <c r="F13" s="47" t="n"/>
      <c r="G13" s="47" t="n"/>
      <c r="H13" s="47" t="n"/>
      <c r="I13" s="47" t="inlineStr">
        <is>
          <t>A</t>
        </is>
      </c>
      <c r="J13" s="47" t="n"/>
      <c r="K13" s="47" t="n"/>
      <c r="L13" s="47" t="inlineStr">
        <is>
          <t>A</t>
        </is>
      </c>
      <c r="M13" s="47" t="n"/>
      <c r="N13" s="47" t="n"/>
      <c r="O13" s="47" t="n"/>
      <c r="P13" s="47" t="inlineStr">
        <is>
          <t>A</t>
        </is>
      </c>
      <c r="Q13" s="47" t="inlineStr">
        <is>
          <t>A</t>
        </is>
      </c>
      <c r="R13" s="47" t="n"/>
      <c r="S13" s="47" t="n"/>
      <c r="T13" s="47" t="inlineStr">
        <is>
          <t>A</t>
        </is>
      </c>
      <c r="U13" s="47" t="n"/>
      <c r="V13" s="47" t="n"/>
      <c r="W13" s="47" t="n"/>
      <c r="X13" s="47" t="n"/>
      <c r="Y13" s="47" t="n"/>
      <c r="Z13" s="47" t="n"/>
      <c r="AA13" s="47" t="n"/>
      <c r="AB13" s="47" t="n"/>
      <c r="AC13" s="47" t="inlineStr">
        <is>
          <t>P</t>
        </is>
      </c>
      <c r="AD13" s="47" t="n"/>
      <c r="AE13" s="47" t="n"/>
      <c r="AF13" s="47" t="inlineStr">
        <is>
          <t>P</t>
        </is>
      </c>
      <c r="AG13" s="47" t="n"/>
      <c r="AH13" s="47" t="n"/>
      <c r="AI13" s="47" t="n"/>
      <c r="AJ13" s="47" t="inlineStr">
        <is>
          <t>P</t>
        </is>
      </c>
      <c r="AK13" s="47" t="inlineStr">
        <is>
          <t>P</t>
        </is>
      </c>
      <c r="AL13" s="47" t="n"/>
      <c r="AM13" s="47" t="n"/>
      <c r="AN13" s="47" t="inlineStr">
        <is>
          <t>P</t>
        </is>
      </c>
      <c r="AO13" s="47" t="n"/>
      <c r="AP13" s="47" t="n"/>
      <c r="AQ13" s="47" t="n"/>
      <c r="AR13" s="47" t="inlineStr">
        <is>
          <t>A</t>
        </is>
      </c>
      <c r="AS13" s="47" t="n"/>
      <c r="AT13" s="47" t="n"/>
      <c r="AU13" s="47" t="n"/>
      <c r="AV13" s="47" t="n"/>
      <c r="AW13" s="47" t="inlineStr">
        <is>
          <t>P</t>
        </is>
      </c>
      <c r="AX13" s="47" t="n"/>
      <c r="AY13" s="47" t="n"/>
      <c r="AZ13" s="47" t="inlineStr">
        <is>
          <t>P</t>
        </is>
      </c>
      <c r="BA13" s="47" t="inlineStr">
        <is>
          <t>P</t>
        </is>
      </c>
      <c r="BB13" s="47" t="n"/>
      <c r="BC13" s="47" t="n"/>
      <c r="BD13" s="47" t="inlineStr">
        <is>
          <t>P</t>
        </is>
      </c>
      <c r="BE13" s="47" t="inlineStr">
        <is>
          <t>P</t>
        </is>
      </c>
      <c r="BF13" s="47" t="n"/>
      <c r="BG13" s="47" t="n"/>
      <c r="BH13" s="47" t="inlineStr">
        <is>
          <t>P</t>
        </is>
      </c>
      <c r="BI13" s="47" t="inlineStr">
        <is>
          <t>P</t>
        </is>
      </c>
      <c r="BJ13" s="47" t="n"/>
      <c r="BK13" s="47" t="n"/>
      <c r="BL13" s="47" t="n"/>
      <c r="BM13" s="47" t="n"/>
      <c r="BN13" s="47" t="n"/>
      <c r="BO13" s="47" t="n"/>
      <c r="BP13" s="47" t="n"/>
      <c r="BQ13" s="47" t="inlineStr">
        <is>
          <t>P</t>
        </is>
      </c>
      <c r="BR13" s="47" t="n"/>
      <c r="BS13" s="47" t="n"/>
      <c r="BT13" s="47" t="inlineStr">
        <is>
          <t>P</t>
        </is>
      </c>
      <c r="BU13" s="47" t="inlineStr">
        <is>
          <t>P</t>
        </is>
      </c>
      <c r="BV13" s="47" t="n"/>
      <c r="BW13" s="47" t="n"/>
      <c r="BX13" s="47" t="inlineStr">
        <is>
          <t>P</t>
        </is>
      </c>
      <c r="BY13" s="47" t="inlineStr">
        <is>
          <t>P</t>
        </is>
      </c>
      <c r="BZ13" s="47" t="n"/>
      <c r="CA13" s="47" t="n"/>
      <c r="CB13" s="47" t="inlineStr">
        <is>
          <t>P</t>
        </is>
      </c>
      <c r="CC13" s="47" t="n"/>
      <c r="CD13" s="47" t="n"/>
      <c r="CE13" s="47" t="n"/>
      <c r="CF13" s="47" t="inlineStr">
        <is>
          <t>P</t>
        </is>
      </c>
      <c r="CG13" s="47" t="n"/>
      <c r="CH13" s="47" t="n"/>
      <c r="CI13" s="47" t="n"/>
      <c r="CJ13" s="47" t="n"/>
      <c r="CK13" s="47" t="n"/>
      <c r="CL13" s="47" t="n"/>
      <c r="CM13" s="47" t="n"/>
      <c r="CN13" s="47" t="inlineStr">
        <is>
          <t>P</t>
        </is>
      </c>
      <c r="CO13" s="47" t="n"/>
      <c r="CP13" s="47" t="n"/>
      <c r="CQ13" s="47" t="inlineStr">
        <is>
          <t>P</t>
        </is>
      </c>
      <c r="CR13" s="47" t="inlineStr">
        <is>
          <t>P</t>
        </is>
      </c>
      <c r="CS13" s="47" t="n"/>
      <c r="CT13" s="47" t="n"/>
      <c r="CU13" s="47" t="inlineStr">
        <is>
          <t>A</t>
        </is>
      </c>
      <c r="CV13" s="47" t="inlineStr">
        <is>
          <t>A</t>
        </is>
      </c>
      <c r="CW13" s="47" t="n"/>
      <c r="CX13" s="47" t="n"/>
      <c r="CY13" s="47" t="n"/>
      <c r="CZ13" s="47" t="inlineStr">
        <is>
          <t>P</t>
        </is>
      </c>
      <c r="DA13" s="47" t="n"/>
      <c r="DB13" s="47" t="n"/>
      <c r="DC13" s="47" t="inlineStr">
        <is>
          <t>P</t>
        </is>
      </c>
      <c r="DD13" s="47" t="n"/>
      <c r="DE13" s="47" t="n"/>
      <c r="DF13" s="47" t="n"/>
      <c r="DG13" s="47" t="n"/>
      <c r="DH13" s="47" t="n"/>
      <c r="DI13" s="47" t="n"/>
      <c r="DJ13" s="47" t="n"/>
      <c r="DK13" s="47" t="inlineStr">
        <is>
          <t>P</t>
        </is>
      </c>
      <c r="DL13" s="47" t="n"/>
      <c r="DM13" s="47" t="n"/>
      <c r="DN13" s="47" t="inlineStr">
        <is>
          <t>P</t>
        </is>
      </c>
      <c r="DO13" s="47" t="inlineStr">
        <is>
          <t>P</t>
        </is>
      </c>
      <c r="DP13" s="47" t="n"/>
      <c r="DQ13" s="47" t="n"/>
      <c r="DR13" s="47" t="inlineStr">
        <is>
          <t>P</t>
        </is>
      </c>
      <c r="DS13" s="47" t="inlineStr">
        <is>
          <t>P</t>
        </is>
      </c>
      <c r="DT13" s="47" t="n"/>
      <c r="DU13" s="47" t="n"/>
      <c r="DV13" s="47" t="inlineStr">
        <is>
          <t>P</t>
        </is>
      </c>
      <c r="DW13" s="47" t="inlineStr">
        <is>
          <t>P</t>
        </is>
      </c>
      <c r="DX13" s="47" t="n"/>
      <c r="DY13" s="47" t="n"/>
      <c r="DZ13" s="47" t="inlineStr">
        <is>
          <t>A</t>
        </is>
      </c>
      <c r="EA13" s="47" t="n"/>
      <c r="EB13" s="47" t="n"/>
      <c r="EC13" s="47" t="n"/>
      <c r="ED13" s="47" t="n"/>
      <c r="EE13" s="47" t="n"/>
      <c r="EF13" s="47" t="n"/>
      <c r="EG13" s="47" t="n"/>
      <c r="EH13" s="47" t="inlineStr">
        <is>
          <t>P</t>
        </is>
      </c>
      <c r="EI13" s="47" t="n"/>
      <c r="EJ13" s="47" t="n"/>
      <c r="EK13" s="47" t="inlineStr">
        <is>
          <t>P</t>
        </is>
      </c>
      <c r="EL13" s="47" t="inlineStr">
        <is>
          <t>P</t>
        </is>
      </c>
      <c r="EM13" s="47" t="n"/>
      <c r="EN13" s="47" t="n"/>
      <c r="EO13" s="47" t="inlineStr">
        <is>
          <t>P</t>
        </is>
      </c>
      <c r="EP13" s="47" t="inlineStr">
        <is>
          <t>P</t>
        </is>
      </c>
      <c r="EQ13" s="47" t="n"/>
      <c r="ER13" s="47" t="n"/>
      <c r="ES13" s="47" t="inlineStr">
        <is>
          <t>P</t>
        </is>
      </c>
      <c r="ET13" s="47" t="inlineStr">
        <is>
          <t>P</t>
        </is>
      </c>
      <c r="EU13" s="47" t="n"/>
      <c r="EV13" s="47" t="n"/>
      <c r="EW13" s="47" t="n"/>
      <c r="EX13" s="47" t="n"/>
      <c r="EY13" s="47" t="n"/>
      <c r="EZ13" s="47" t="n"/>
      <c r="FA13" s="47" t="n"/>
      <c r="FB13" s="47" t="inlineStr">
        <is>
          <t>P</t>
        </is>
      </c>
      <c r="FC13" s="47" t="n"/>
      <c r="FD13" s="47" t="n"/>
      <c r="FE13" s="47" t="inlineStr">
        <is>
          <t>P</t>
        </is>
      </c>
      <c r="FF13" s="47" t="inlineStr">
        <is>
          <t>P</t>
        </is>
      </c>
      <c r="FG13" s="47" t="n"/>
      <c r="FH13" s="47" t="n"/>
      <c r="FI13" s="47" t="inlineStr">
        <is>
          <t>P</t>
        </is>
      </c>
      <c r="FJ13" s="47" t="inlineStr">
        <is>
          <t>P</t>
        </is>
      </c>
      <c r="FK13" s="47" t="n"/>
      <c r="FL13" s="47" t="n"/>
      <c r="FM13" s="47" t="n"/>
      <c r="FN13" s="47" t="n"/>
      <c r="FO13" s="47" t="n"/>
      <c r="FP13" s="47" t="n"/>
      <c r="FQ13" s="47" t="n"/>
      <c r="FR13" s="47" t="inlineStr">
        <is>
          <t>P</t>
        </is>
      </c>
      <c r="FS13" s="47" t="n"/>
      <c r="FT13" s="47" t="n"/>
      <c r="FU13" s="47" t="n"/>
      <c r="FV13" s="47" t="n"/>
      <c r="FW13" s="47" t="n"/>
      <c r="FX13" s="47" t="n"/>
      <c r="FY13" s="47" t="inlineStr">
        <is>
          <t>P</t>
        </is>
      </c>
      <c r="FZ13" s="47" t="inlineStr">
        <is>
          <t>A</t>
        </is>
      </c>
      <c r="GA13" s="47" t="n"/>
      <c r="GB13" s="47" t="n"/>
      <c r="GC13" s="47" t="n"/>
      <c r="GD13" s="47" t="inlineStr">
        <is>
          <t>A</t>
        </is>
      </c>
      <c r="GE13" s="47" t="n"/>
      <c r="GF13" s="47" t="n"/>
      <c r="GG13" s="47" t="inlineStr">
        <is>
          <t>P</t>
        </is>
      </c>
      <c r="GH13" s="47" t="n"/>
      <c r="GI13" s="47" t="n"/>
    </row>
    <row r="14" ht="14.25" customHeight="1" s="34">
      <c r="A14" s="46" t="n">
        <v>11</v>
      </c>
      <c r="B14" s="46" t="inlineStr">
        <is>
          <t>325106410011</t>
        </is>
      </c>
      <c r="C14" s="46" t="inlineStr">
        <is>
          <t>KAILASH REDDY GADI</t>
        </is>
      </c>
      <c r="D14" s="47" t="inlineStr">
        <is>
          <t>A</t>
        </is>
      </c>
      <c r="E14" s="47" t="n"/>
      <c r="F14" s="47" t="n"/>
      <c r="G14" s="47" t="n"/>
      <c r="H14" s="47" t="n"/>
      <c r="I14" s="47" t="inlineStr">
        <is>
          <t>A</t>
        </is>
      </c>
      <c r="J14" s="47" t="n"/>
      <c r="K14" s="47" t="n"/>
      <c r="L14" s="47" t="inlineStr">
        <is>
          <t>P</t>
        </is>
      </c>
      <c r="M14" s="47" t="n"/>
      <c r="N14" s="47" t="n"/>
      <c r="O14" s="47" t="n"/>
      <c r="P14" s="47" t="inlineStr">
        <is>
          <t>P</t>
        </is>
      </c>
      <c r="Q14" s="47" t="inlineStr">
        <is>
          <t>P</t>
        </is>
      </c>
      <c r="R14" s="47" t="n"/>
      <c r="S14" s="47" t="n"/>
      <c r="T14" s="47" t="inlineStr">
        <is>
          <t>A</t>
        </is>
      </c>
      <c r="U14" s="47" t="n"/>
      <c r="V14" s="47" t="n"/>
      <c r="W14" s="47" t="n"/>
      <c r="X14" s="47" t="n"/>
      <c r="Y14" s="47" t="n"/>
      <c r="Z14" s="47" t="n"/>
      <c r="AA14" s="47" t="n"/>
      <c r="AB14" s="47" t="n"/>
      <c r="AC14" s="47" t="inlineStr">
        <is>
          <t>P</t>
        </is>
      </c>
      <c r="AD14" s="47" t="n"/>
      <c r="AE14" s="47" t="n"/>
      <c r="AF14" s="47" t="inlineStr">
        <is>
          <t>P</t>
        </is>
      </c>
      <c r="AG14" s="47" t="n"/>
      <c r="AH14" s="47" t="n"/>
      <c r="AI14" s="47" t="n"/>
      <c r="AJ14" s="47" t="inlineStr">
        <is>
          <t>P</t>
        </is>
      </c>
      <c r="AK14" s="47" t="inlineStr">
        <is>
          <t>P</t>
        </is>
      </c>
      <c r="AL14" s="47" t="n"/>
      <c r="AM14" s="47" t="n"/>
      <c r="AN14" s="47" t="inlineStr">
        <is>
          <t>P</t>
        </is>
      </c>
      <c r="AO14" s="47" t="n"/>
      <c r="AP14" s="47" t="n"/>
      <c r="AQ14" s="47" t="n"/>
      <c r="AR14" s="47" t="inlineStr">
        <is>
          <t>P</t>
        </is>
      </c>
      <c r="AS14" s="47" t="n"/>
      <c r="AT14" s="47" t="n"/>
      <c r="AU14" s="47" t="n"/>
      <c r="AV14" s="47" t="n"/>
      <c r="AW14" s="47" t="inlineStr">
        <is>
          <t>P</t>
        </is>
      </c>
      <c r="AX14" s="47" t="n"/>
      <c r="AY14" s="47" t="n"/>
      <c r="AZ14" s="47" t="inlineStr">
        <is>
          <t>P</t>
        </is>
      </c>
      <c r="BA14" s="47" t="inlineStr">
        <is>
          <t>P</t>
        </is>
      </c>
      <c r="BB14" s="47" t="n"/>
      <c r="BC14" s="47" t="n"/>
      <c r="BD14" s="47" t="inlineStr">
        <is>
          <t>P</t>
        </is>
      </c>
      <c r="BE14" s="47" t="inlineStr">
        <is>
          <t>P</t>
        </is>
      </c>
      <c r="BF14" s="47" t="n"/>
      <c r="BG14" s="47" t="n"/>
      <c r="BH14" s="47" t="inlineStr">
        <is>
          <t>P</t>
        </is>
      </c>
      <c r="BI14" s="47" t="inlineStr">
        <is>
          <t>P</t>
        </is>
      </c>
      <c r="BJ14" s="47" t="n"/>
      <c r="BK14" s="47" t="n"/>
      <c r="BL14" s="47" t="n"/>
      <c r="BM14" s="47" t="n"/>
      <c r="BN14" s="47" t="n"/>
      <c r="BO14" s="47" t="n"/>
      <c r="BP14" s="47" t="n"/>
      <c r="BQ14" s="47" t="inlineStr">
        <is>
          <t>P</t>
        </is>
      </c>
      <c r="BR14" s="47" t="n"/>
      <c r="BS14" s="47" t="n"/>
      <c r="BT14" s="47" t="inlineStr">
        <is>
          <t>A</t>
        </is>
      </c>
      <c r="BU14" s="47" t="inlineStr">
        <is>
          <t>A</t>
        </is>
      </c>
      <c r="BV14" s="47" t="n"/>
      <c r="BW14" s="47" t="n"/>
      <c r="BX14" s="47" t="inlineStr">
        <is>
          <t>P</t>
        </is>
      </c>
      <c r="BY14" s="47" t="inlineStr">
        <is>
          <t>P</t>
        </is>
      </c>
      <c r="BZ14" s="47" t="n"/>
      <c r="CA14" s="47" t="n"/>
      <c r="CB14" s="47" t="inlineStr">
        <is>
          <t>P</t>
        </is>
      </c>
      <c r="CC14" s="47" t="n"/>
      <c r="CD14" s="47" t="n"/>
      <c r="CE14" s="47" t="n"/>
      <c r="CF14" s="47" t="inlineStr">
        <is>
          <t>A</t>
        </is>
      </c>
      <c r="CG14" s="47" t="n"/>
      <c r="CH14" s="47" t="n"/>
      <c r="CI14" s="47" t="n"/>
      <c r="CJ14" s="47" t="n"/>
      <c r="CK14" s="47" t="n"/>
      <c r="CL14" s="47" t="n"/>
      <c r="CM14" s="47" t="n"/>
      <c r="CN14" s="47" t="inlineStr">
        <is>
          <t>P</t>
        </is>
      </c>
      <c r="CO14" s="47" t="n"/>
      <c r="CP14" s="47" t="n"/>
      <c r="CQ14" s="47" t="inlineStr">
        <is>
          <t>P</t>
        </is>
      </c>
      <c r="CR14" s="47" t="inlineStr">
        <is>
          <t>P</t>
        </is>
      </c>
      <c r="CS14" s="47" t="n"/>
      <c r="CT14" s="47" t="n"/>
      <c r="CU14" s="47" t="inlineStr">
        <is>
          <t>A</t>
        </is>
      </c>
      <c r="CV14" s="47" t="inlineStr">
        <is>
          <t>A</t>
        </is>
      </c>
      <c r="CW14" s="47" t="n"/>
      <c r="CX14" s="47" t="n"/>
      <c r="CY14" s="47" t="n"/>
      <c r="CZ14" s="47" t="inlineStr">
        <is>
          <t>P</t>
        </is>
      </c>
      <c r="DA14" s="47" t="n"/>
      <c r="DB14" s="47" t="n"/>
      <c r="DC14" s="47" t="inlineStr">
        <is>
          <t>P</t>
        </is>
      </c>
      <c r="DD14" s="47" t="n"/>
      <c r="DE14" s="47" t="n"/>
      <c r="DF14" s="47" t="n"/>
      <c r="DG14" s="47" t="n"/>
      <c r="DH14" s="47" t="n"/>
      <c r="DI14" s="47" t="n"/>
      <c r="DJ14" s="47" t="n"/>
      <c r="DK14" s="47" t="inlineStr">
        <is>
          <t>P</t>
        </is>
      </c>
      <c r="DL14" s="47" t="n"/>
      <c r="DM14" s="47" t="n"/>
      <c r="DN14" s="47" t="inlineStr">
        <is>
          <t>P</t>
        </is>
      </c>
      <c r="DO14" s="47" t="inlineStr">
        <is>
          <t>P</t>
        </is>
      </c>
      <c r="DP14" s="47" t="n"/>
      <c r="DQ14" s="47" t="n"/>
      <c r="DR14" s="47" t="inlineStr">
        <is>
          <t>P</t>
        </is>
      </c>
      <c r="DS14" s="47" t="inlineStr">
        <is>
          <t>P</t>
        </is>
      </c>
      <c r="DT14" s="47" t="n"/>
      <c r="DU14" s="47" t="n"/>
      <c r="DV14" s="47" t="inlineStr">
        <is>
          <t>P</t>
        </is>
      </c>
      <c r="DW14" s="47" t="inlineStr">
        <is>
          <t>P</t>
        </is>
      </c>
      <c r="DX14" s="47" t="n"/>
      <c r="DY14" s="47" t="n"/>
      <c r="DZ14" s="47" t="inlineStr">
        <is>
          <t>P</t>
        </is>
      </c>
      <c r="EA14" s="47" t="n"/>
      <c r="EB14" s="47" t="n"/>
      <c r="EC14" s="47" t="n"/>
      <c r="ED14" s="47" t="n"/>
      <c r="EE14" s="47" t="n"/>
      <c r="EF14" s="47" t="n"/>
      <c r="EG14" s="47" t="n"/>
      <c r="EH14" s="47" t="inlineStr">
        <is>
          <t>P</t>
        </is>
      </c>
      <c r="EI14" s="47" t="n"/>
      <c r="EJ14" s="47" t="n"/>
      <c r="EK14" s="47" t="inlineStr">
        <is>
          <t>P</t>
        </is>
      </c>
      <c r="EL14" s="47" t="inlineStr">
        <is>
          <t>P</t>
        </is>
      </c>
      <c r="EM14" s="47" t="n"/>
      <c r="EN14" s="47" t="n"/>
      <c r="EO14" s="47" t="inlineStr">
        <is>
          <t>P</t>
        </is>
      </c>
      <c r="EP14" s="47" t="inlineStr">
        <is>
          <t>P</t>
        </is>
      </c>
      <c r="EQ14" s="47" t="n"/>
      <c r="ER14" s="47" t="n"/>
      <c r="ES14" s="47" t="inlineStr">
        <is>
          <t>P</t>
        </is>
      </c>
      <c r="ET14" s="47" t="inlineStr">
        <is>
          <t>P</t>
        </is>
      </c>
      <c r="EU14" s="47" t="n"/>
      <c r="EV14" s="47" t="n"/>
      <c r="EW14" s="47" t="n"/>
      <c r="EX14" s="47" t="n"/>
      <c r="EY14" s="47" t="n"/>
      <c r="EZ14" s="47" t="n"/>
      <c r="FA14" s="47" t="n"/>
      <c r="FB14" s="47" t="inlineStr">
        <is>
          <t>P</t>
        </is>
      </c>
      <c r="FC14" s="47" t="n"/>
      <c r="FD14" s="47" t="n"/>
      <c r="FE14" s="47" t="inlineStr">
        <is>
          <t>P</t>
        </is>
      </c>
      <c r="FF14" s="47" t="inlineStr">
        <is>
          <t>P</t>
        </is>
      </c>
      <c r="FG14" s="47" t="n"/>
      <c r="FH14" s="47" t="n"/>
      <c r="FI14" s="47" t="inlineStr">
        <is>
          <t>P</t>
        </is>
      </c>
      <c r="FJ14" s="47" t="inlineStr">
        <is>
          <t>P</t>
        </is>
      </c>
      <c r="FK14" s="47" t="n"/>
      <c r="FL14" s="47" t="n"/>
      <c r="FM14" s="47" t="n"/>
      <c r="FN14" s="47" t="n"/>
      <c r="FO14" s="47" t="n"/>
      <c r="FP14" s="47" t="n"/>
      <c r="FQ14" s="47" t="n"/>
      <c r="FR14" s="47" t="inlineStr">
        <is>
          <t>P</t>
        </is>
      </c>
      <c r="FS14" s="47" t="n"/>
      <c r="FT14" s="47" t="n"/>
      <c r="FU14" s="47" t="n"/>
      <c r="FV14" s="47" t="n"/>
      <c r="FW14" s="47" t="n"/>
      <c r="FX14" s="47" t="n"/>
      <c r="FY14" s="47" t="inlineStr">
        <is>
          <t>P</t>
        </is>
      </c>
      <c r="FZ14" s="47" t="inlineStr">
        <is>
          <t>P</t>
        </is>
      </c>
      <c r="GA14" s="47" t="n"/>
      <c r="GB14" s="47" t="n"/>
      <c r="GC14" s="47" t="n"/>
      <c r="GD14" s="47" t="inlineStr">
        <is>
          <t>P</t>
        </is>
      </c>
      <c r="GE14" s="47" t="n"/>
      <c r="GF14" s="47" t="n"/>
      <c r="GG14" s="47" t="inlineStr">
        <is>
          <t>P</t>
        </is>
      </c>
      <c r="GH14" s="47" t="n"/>
      <c r="GI14" s="47" t="n"/>
    </row>
    <row r="15" ht="14.25" customHeight="1" s="34">
      <c r="A15" s="46" t="n">
        <v>12</v>
      </c>
      <c r="B15" s="46" t="inlineStr">
        <is>
          <t>325106410012</t>
        </is>
      </c>
      <c r="C15" s="46" t="inlineStr">
        <is>
          <t>DEEPIKA GANTA</t>
        </is>
      </c>
      <c r="D15" s="47" t="inlineStr">
        <is>
          <t>A</t>
        </is>
      </c>
      <c r="E15" s="47" t="n"/>
      <c r="F15" s="47" t="n"/>
      <c r="G15" s="47" t="n"/>
      <c r="H15" s="47" t="n"/>
      <c r="I15" s="47" t="inlineStr">
        <is>
          <t>A</t>
        </is>
      </c>
      <c r="J15" s="47" t="n"/>
      <c r="K15" s="47" t="n"/>
      <c r="L15" s="47" t="inlineStr">
        <is>
          <t>A</t>
        </is>
      </c>
      <c r="M15" s="47" t="n"/>
      <c r="N15" s="47" t="n"/>
      <c r="O15" s="47" t="n"/>
      <c r="P15" s="47" t="inlineStr">
        <is>
          <t>A</t>
        </is>
      </c>
      <c r="Q15" s="47" t="inlineStr">
        <is>
          <t>A</t>
        </is>
      </c>
      <c r="R15" s="47" t="n"/>
      <c r="S15" s="47" t="n"/>
      <c r="T15" s="47" t="inlineStr">
        <is>
          <t>A</t>
        </is>
      </c>
      <c r="U15" s="47" t="n"/>
      <c r="V15" s="47" t="n"/>
      <c r="W15" s="47" t="n"/>
      <c r="X15" s="47" t="n"/>
      <c r="Y15" s="47" t="n"/>
      <c r="Z15" s="47" t="n"/>
      <c r="AA15" s="47" t="n"/>
      <c r="AB15" s="47" t="n"/>
      <c r="AC15" s="47" t="inlineStr">
        <is>
          <t>A</t>
        </is>
      </c>
      <c r="AD15" s="47" t="n"/>
      <c r="AE15" s="47" t="n"/>
      <c r="AF15" s="47" t="inlineStr">
        <is>
          <t>A</t>
        </is>
      </c>
      <c r="AG15" s="47" t="n"/>
      <c r="AH15" s="47" t="n"/>
      <c r="AI15" s="47" t="n"/>
      <c r="AJ15" s="47" t="inlineStr">
        <is>
          <t>A</t>
        </is>
      </c>
      <c r="AK15" s="47" t="inlineStr">
        <is>
          <t>A</t>
        </is>
      </c>
      <c r="AL15" s="47" t="n"/>
      <c r="AM15" s="47" t="n"/>
      <c r="AN15" s="47" t="inlineStr">
        <is>
          <t>A</t>
        </is>
      </c>
      <c r="AO15" s="47" t="n"/>
      <c r="AP15" s="47" t="n"/>
      <c r="AQ15" s="47" t="n"/>
      <c r="AR15" s="47" t="inlineStr">
        <is>
          <t>A</t>
        </is>
      </c>
      <c r="AS15" s="47" t="n"/>
      <c r="AT15" s="47" t="n"/>
      <c r="AU15" s="47" t="n"/>
      <c r="AV15" s="47" t="n"/>
      <c r="AW15" s="47" t="inlineStr">
        <is>
          <t>P</t>
        </is>
      </c>
      <c r="AX15" s="47" t="n"/>
      <c r="AY15" s="47" t="n"/>
      <c r="AZ15" s="47" t="inlineStr">
        <is>
          <t>P</t>
        </is>
      </c>
      <c r="BA15" s="47" t="inlineStr">
        <is>
          <t>P</t>
        </is>
      </c>
      <c r="BB15" s="47" t="n"/>
      <c r="BC15" s="47" t="n"/>
      <c r="BD15" s="47" t="inlineStr">
        <is>
          <t>P</t>
        </is>
      </c>
      <c r="BE15" s="47" t="inlineStr">
        <is>
          <t>P</t>
        </is>
      </c>
      <c r="BF15" s="47" t="n"/>
      <c r="BG15" s="47" t="n"/>
      <c r="BH15" s="47" t="inlineStr">
        <is>
          <t>P</t>
        </is>
      </c>
      <c r="BI15" s="47" t="inlineStr">
        <is>
          <t>P</t>
        </is>
      </c>
      <c r="BJ15" s="47" t="n"/>
      <c r="BK15" s="47" t="n"/>
      <c r="BL15" s="47" t="n"/>
      <c r="BM15" s="47" t="n"/>
      <c r="BN15" s="47" t="n"/>
      <c r="BO15" s="47" t="n"/>
      <c r="BP15" s="47" t="n"/>
      <c r="BQ15" s="47" t="inlineStr">
        <is>
          <t>P</t>
        </is>
      </c>
      <c r="BR15" s="47" t="n"/>
      <c r="BS15" s="47" t="n"/>
      <c r="BT15" s="47" t="inlineStr">
        <is>
          <t>P</t>
        </is>
      </c>
      <c r="BU15" s="47" t="inlineStr">
        <is>
          <t>P</t>
        </is>
      </c>
      <c r="BV15" s="47" t="n"/>
      <c r="BW15" s="47" t="n"/>
      <c r="BX15" s="47" t="inlineStr">
        <is>
          <t>P</t>
        </is>
      </c>
      <c r="BY15" s="47" t="inlineStr">
        <is>
          <t>P</t>
        </is>
      </c>
      <c r="BZ15" s="47" t="n"/>
      <c r="CA15" s="47" t="n"/>
      <c r="CB15" s="47" t="inlineStr">
        <is>
          <t>P</t>
        </is>
      </c>
      <c r="CC15" s="47" t="n"/>
      <c r="CD15" s="47" t="n"/>
      <c r="CE15" s="47" t="n"/>
      <c r="CF15" s="47" t="inlineStr">
        <is>
          <t>P</t>
        </is>
      </c>
      <c r="CG15" s="47" t="n"/>
      <c r="CH15" s="47" t="n"/>
      <c r="CI15" s="47" t="n"/>
      <c r="CJ15" s="47" t="n"/>
      <c r="CK15" s="47" t="n"/>
      <c r="CL15" s="47" t="n"/>
      <c r="CM15" s="47" t="n"/>
      <c r="CN15" s="47" t="inlineStr">
        <is>
          <t>P</t>
        </is>
      </c>
      <c r="CO15" s="47" t="n"/>
      <c r="CP15" s="47" t="n"/>
      <c r="CQ15" s="47" t="inlineStr">
        <is>
          <t>P</t>
        </is>
      </c>
      <c r="CR15" s="47" t="inlineStr">
        <is>
          <t>P</t>
        </is>
      </c>
      <c r="CS15" s="47" t="n"/>
      <c r="CT15" s="47" t="n"/>
      <c r="CU15" s="47" t="inlineStr">
        <is>
          <t>P</t>
        </is>
      </c>
      <c r="CV15" s="47" t="inlineStr">
        <is>
          <t>P</t>
        </is>
      </c>
      <c r="CW15" s="47" t="n"/>
      <c r="CX15" s="47" t="n"/>
      <c r="CY15" s="47" t="n"/>
      <c r="CZ15" s="47" t="inlineStr">
        <is>
          <t>P</t>
        </is>
      </c>
      <c r="DA15" s="47" t="n"/>
      <c r="DB15" s="47" t="n"/>
      <c r="DC15" s="47" t="inlineStr">
        <is>
          <t>P</t>
        </is>
      </c>
      <c r="DD15" s="47" t="n"/>
      <c r="DE15" s="47" t="n"/>
      <c r="DF15" s="47" t="n"/>
      <c r="DG15" s="47" t="n"/>
      <c r="DH15" s="47" t="n"/>
      <c r="DI15" s="47" t="n"/>
      <c r="DJ15" s="47" t="n"/>
      <c r="DK15" s="47" t="inlineStr">
        <is>
          <t>P</t>
        </is>
      </c>
      <c r="DL15" s="47" t="n"/>
      <c r="DM15" s="47" t="n"/>
      <c r="DN15" s="47" t="inlineStr">
        <is>
          <t>P</t>
        </is>
      </c>
      <c r="DO15" s="47" t="inlineStr">
        <is>
          <t>P</t>
        </is>
      </c>
      <c r="DP15" s="47" t="n"/>
      <c r="DQ15" s="47" t="n"/>
      <c r="DR15" s="47" t="inlineStr">
        <is>
          <t>P</t>
        </is>
      </c>
      <c r="DS15" s="47" t="inlineStr">
        <is>
          <t>P</t>
        </is>
      </c>
      <c r="DT15" s="47" t="n"/>
      <c r="DU15" s="47" t="n"/>
      <c r="DV15" s="47" t="inlineStr">
        <is>
          <t>P</t>
        </is>
      </c>
      <c r="DW15" s="47" t="inlineStr">
        <is>
          <t>P</t>
        </is>
      </c>
      <c r="DX15" s="47" t="n"/>
      <c r="DY15" s="47" t="n"/>
      <c r="DZ15" s="47" t="inlineStr">
        <is>
          <t>P</t>
        </is>
      </c>
      <c r="EA15" s="47" t="n"/>
      <c r="EB15" s="47" t="n"/>
      <c r="EC15" s="47" t="n"/>
      <c r="ED15" s="47" t="n"/>
      <c r="EE15" s="47" t="n"/>
      <c r="EF15" s="47" t="n"/>
      <c r="EG15" s="47" t="n"/>
      <c r="EH15" s="47" t="inlineStr">
        <is>
          <t>P</t>
        </is>
      </c>
      <c r="EI15" s="47" t="n"/>
      <c r="EJ15" s="47" t="n"/>
      <c r="EK15" s="47" t="inlineStr">
        <is>
          <t>P</t>
        </is>
      </c>
      <c r="EL15" s="47" t="inlineStr">
        <is>
          <t>P</t>
        </is>
      </c>
      <c r="EM15" s="47" t="n"/>
      <c r="EN15" s="47" t="n"/>
      <c r="EO15" s="47" t="inlineStr">
        <is>
          <t>P</t>
        </is>
      </c>
      <c r="EP15" s="47" t="inlineStr">
        <is>
          <t>P</t>
        </is>
      </c>
      <c r="EQ15" s="47" t="n"/>
      <c r="ER15" s="47" t="n"/>
      <c r="ES15" s="47" t="inlineStr">
        <is>
          <t>P</t>
        </is>
      </c>
      <c r="ET15" s="47" t="inlineStr">
        <is>
          <t>P</t>
        </is>
      </c>
      <c r="EU15" s="47" t="n"/>
      <c r="EV15" s="47" t="n"/>
      <c r="EW15" s="47" t="n"/>
      <c r="EX15" s="47" t="n"/>
      <c r="EY15" s="47" t="n"/>
      <c r="EZ15" s="47" t="n"/>
      <c r="FA15" s="47" t="n"/>
      <c r="FB15" s="47" t="inlineStr">
        <is>
          <t>P</t>
        </is>
      </c>
      <c r="FC15" s="47" t="n"/>
      <c r="FD15" s="47" t="n"/>
      <c r="FE15" s="47" t="inlineStr">
        <is>
          <t>P</t>
        </is>
      </c>
      <c r="FF15" s="47" t="inlineStr">
        <is>
          <t>P</t>
        </is>
      </c>
      <c r="FG15" s="47" t="n"/>
      <c r="FH15" s="47" t="n"/>
      <c r="FI15" s="47" t="inlineStr">
        <is>
          <t>P</t>
        </is>
      </c>
      <c r="FJ15" s="47" t="inlineStr">
        <is>
          <t>P</t>
        </is>
      </c>
      <c r="FK15" s="47" t="n"/>
      <c r="FL15" s="47" t="n"/>
      <c r="FM15" s="47" t="n"/>
      <c r="FN15" s="47" t="n"/>
      <c r="FO15" s="47" t="n"/>
      <c r="FP15" s="47" t="n"/>
      <c r="FQ15" s="47" t="n"/>
      <c r="FR15" s="47" t="inlineStr">
        <is>
          <t>P</t>
        </is>
      </c>
      <c r="FS15" s="47" t="n"/>
      <c r="FT15" s="47" t="n"/>
      <c r="FU15" s="47" t="n"/>
      <c r="FV15" s="47" t="n"/>
      <c r="FW15" s="47" t="n"/>
      <c r="FX15" s="47" t="n"/>
      <c r="FY15" s="47" t="inlineStr">
        <is>
          <t>P</t>
        </is>
      </c>
      <c r="FZ15" s="47" t="inlineStr">
        <is>
          <t>P</t>
        </is>
      </c>
      <c r="GA15" s="47" t="n"/>
      <c r="GB15" s="47" t="n"/>
      <c r="GC15" s="47" t="n"/>
      <c r="GD15" s="47" t="inlineStr">
        <is>
          <t>A</t>
        </is>
      </c>
      <c r="GE15" s="47" t="n"/>
      <c r="GF15" s="47" t="n"/>
      <c r="GG15" s="47" t="inlineStr">
        <is>
          <t>P</t>
        </is>
      </c>
      <c r="GH15" s="47" t="n"/>
      <c r="GI15" s="47" t="n"/>
    </row>
    <row r="16" ht="14.25" customHeight="1" s="34">
      <c r="A16" s="46" t="n">
        <v>13</v>
      </c>
      <c r="B16" s="46" t="inlineStr">
        <is>
          <t>325106410013</t>
        </is>
      </c>
      <c r="C16" s="46" t="inlineStr">
        <is>
          <t>HIMAVANTHKUMAR GUTTA</t>
        </is>
      </c>
      <c r="D16" s="47" t="inlineStr">
        <is>
          <t>A</t>
        </is>
      </c>
      <c r="E16" s="47" t="n"/>
      <c r="F16" s="47" t="n"/>
      <c r="G16" s="47" t="n"/>
      <c r="H16" s="47" t="n"/>
      <c r="I16" s="47" t="inlineStr">
        <is>
          <t>P</t>
        </is>
      </c>
      <c r="J16" s="47" t="n"/>
      <c r="K16" s="47" t="n"/>
      <c r="L16" s="47" t="inlineStr">
        <is>
          <t>P</t>
        </is>
      </c>
      <c r="M16" s="47" t="n"/>
      <c r="N16" s="47" t="n"/>
      <c r="O16" s="47" t="n"/>
      <c r="P16" s="47" t="inlineStr">
        <is>
          <t>P</t>
        </is>
      </c>
      <c r="Q16" s="47" t="inlineStr">
        <is>
          <t>P</t>
        </is>
      </c>
      <c r="R16" s="47" t="n"/>
      <c r="S16" s="47" t="n"/>
      <c r="T16" s="47" t="inlineStr">
        <is>
          <t>P</t>
        </is>
      </c>
      <c r="U16" s="47" t="n"/>
      <c r="V16" s="47" t="n"/>
      <c r="W16" s="47" t="n"/>
      <c r="X16" s="47" t="n"/>
      <c r="Y16" s="47" t="n"/>
      <c r="Z16" s="47" t="n"/>
      <c r="AA16" s="47" t="n"/>
      <c r="AB16" s="47" t="n"/>
      <c r="AC16" s="47" t="inlineStr">
        <is>
          <t>P</t>
        </is>
      </c>
      <c r="AD16" s="47" t="n"/>
      <c r="AE16" s="47" t="n"/>
      <c r="AF16" s="47" t="inlineStr">
        <is>
          <t>P</t>
        </is>
      </c>
      <c r="AG16" s="47" t="n"/>
      <c r="AH16" s="47" t="n"/>
      <c r="AI16" s="47" t="n"/>
      <c r="AJ16" s="47" t="inlineStr">
        <is>
          <t>P</t>
        </is>
      </c>
      <c r="AK16" s="47" t="inlineStr">
        <is>
          <t>P</t>
        </is>
      </c>
      <c r="AL16" s="47" t="n"/>
      <c r="AM16" s="47" t="n"/>
      <c r="AN16" s="47" t="inlineStr">
        <is>
          <t>P</t>
        </is>
      </c>
      <c r="AO16" s="47" t="n"/>
      <c r="AP16" s="47" t="n"/>
      <c r="AQ16" s="47" t="n"/>
      <c r="AR16" s="47" t="inlineStr">
        <is>
          <t>P</t>
        </is>
      </c>
      <c r="AS16" s="47" t="n"/>
      <c r="AT16" s="47" t="n"/>
      <c r="AU16" s="47" t="n"/>
      <c r="AV16" s="47" t="n"/>
      <c r="AW16" s="47" t="inlineStr">
        <is>
          <t>P</t>
        </is>
      </c>
      <c r="AX16" s="47" t="n"/>
      <c r="AY16" s="47" t="n"/>
      <c r="AZ16" s="47" t="inlineStr">
        <is>
          <t>P</t>
        </is>
      </c>
      <c r="BA16" s="47" t="inlineStr">
        <is>
          <t>P</t>
        </is>
      </c>
      <c r="BB16" s="47" t="n"/>
      <c r="BC16" s="47" t="n"/>
      <c r="BD16" s="47" t="inlineStr">
        <is>
          <t>P</t>
        </is>
      </c>
      <c r="BE16" s="47" t="inlineStr">
        <is>
          <t>P</t>
        </is>
      </c>
      <c r="BF16" s="47" t="n"/>
      <c r="BG16" s="47" t="n"/>
      <c r="BH16" s="47" t="inlineStr">
        <is>
          <t>P</t>
        </is>
      </c>
      <c r="BI16" s="47" t="inlineStr">
        <is>
          <t>P</t>
        </is>
      </c>
      <c r="BJ16" s="47" t="n"/>
      <c r="BK16" s="47" t="n"/>
      <c r="BL16" s="47" t="n"/>
      <c r="BM16" s="47" t="n"/>
      <c r="BN16" s="47" t="n"/>
      <c r="BO16" s="47" t="n"/>
      <c r="BP16" s="47" t="n"/>
      <c r="BQ16" s="47" t="inlineStr">
        <is>
          <t>P</t>
        </is>
      </c>
      <c r="BR16" s="47" t="n"/>
      <c r="BS16" s="47" t="n"/>
      <c r="BT16" s="47" t="inlineStr">
        <is>
          <t>P</t>
        </is>
      </c>
      <c r="BU16" s="47" t="inlineStr">
        <is>
          <t>P</t>
        </is>
      </c>
      <c r="BV16" s="47" t="n"/>
      <c r="BW16" s="47" t="n"/>
      <c r="BX16" s="47" t="inlineStr">
        <is>
          <t>P</t>
        </is>
      </c>
      <c r="BY16" s="47" t="inlineStr">
        <is>
          <t>P</t>
        </is>
      </c>
      <c r="BZ16" s="47" t="n"/>
      <c r="CA16" s="47" t="n"/>
      <c r="CB16" s="47" t="inlineStr">
        <is>
          <t>P</t>
        </is>
      </c>
      <c r="CC16" s="47" t="n"/>
      <c r="CD16" s="47" t="n"/>
      <c r="CE16" s="47" t="n"/>
      <c r="CF16" s="47" t="inlineStr">
        <is>
          <t>P</t>
        </is>
      </c>
      <c r="CG16" s="47" t="n"/>
      <c r="CH16" s="47" t="n"/>
      <c r="CI16" s="47" t="n"/>
      <c r="CJ16" s="47" t="n"/>
      <c r="CK16" s="47" t="n"/>
      <c r="CL16" s="47" t="n"/>
      <c r="CM16" s="47" t="n"/>
      <c r="CN16" s="47" t="inlineStr">
        <is>
          <t>P</t>
        </is>
      </c>
      <c r="CO16" s="47" t="n"/>
      <c r="CP16" s="47" t="n"/>
      <c r="CQ16" s="47" t="inlineStr">
        <is>
          <t>P</t>
        </is>
      </c>
      <c r="CR16" s="47" t="inlineStr">
        <is>
          <t>P</t>
        </is>
      </c>
      <c r="CS16" s="47" t="n"/>
      <c r="CT16" s="47" t="n"/>
      <c r="CU16" s="47" t="inlineStr">
        <is>
          <t>A</t>
        </is>
      </c>
      <c r="CV16" s="47" t="inlineStr">
        <is>
          <t>P</t>
        </is>
      </c>
      <c r="CW16" s="47" t="n"/>
      <c r="CX16" s="47" t="n"/>
      <c r="CY16" s="47" t="n"/>
      <c r="CZ16" s="47" t="inlineStr">
        <is>
          <t>P</t>
        </is>
      </c>
      <c r="DA16" s="47" t="n"/>
      <c r="DB16" s="47" t="n"/>
      <c r="DC16" s="47" t="inlineStr">
        <is>
          <t>P</t>
        </is>
      </c>
      <c r="DD16" s="47" t="n"/>
      <c r="DE16" s="47" t="n"/>
      <c r="DF16" s="47" t="n"/>
      <c r="DG16" s="47" t="n"/>
      <c r="DH16" s="47" t="n"/>
      <c r="DI16" s="47" t="n"/>
      <c r="DJ16" s="47" t="n"/>
      <c r="DK16" s="47" t="inlineStr">
        <is>
          <t>P</t>
        </is>
      </c>
      <c r="DL16" s="47" t="n"/>
      <c r="DM16" s="47" t="n"/>
      <c r="DN16" s="47" t="inlineStr">
        <is>
          <t>P</t>
        </is>
      </c>
      <c r="DO16" s="47" t="inlineStr">
        <is>
          <t>P</t>
        </is>
      </c>
      <c r="DP16" s="47" t="n"/>
      <c r="DQ16" s="47" t="n"/>
      <c r="DR16" s="47" t="inlineStr">
        <is>
          <t>P</t>
        </is>
      </c>
      <c r="DS16" s="47" t="inlineStr">
        <is>
          <t>P</t>
        </is>
      </c>
      <c r="DT16" s="47" t="n"/>
      <c r="DU16" s="47" t="n"/>
      <c r="DV16" s="47" t="inlineStr">
        <is>
          <t>P</t>
        </is>
      </c>
      <c r="DW16" s="47" t="inlineStr">
        <is>
          <t>P</t>
        </is>
      </c>
      <c r="DX16" s="47" t="n"/>
      <c r="DY16" s="47" t="n"/>
      <c r="DZ16" s="47" t="inlineStr">
        <is>
          <t>P</t>
        </is>
      </c>
      <c r="EA16" s="47" t="n"/>
      <c r="EB16" s="47" t="n"/>
      <c r="EC16" s="47" t="n"/>
      <c r="ED16" s="47" t="n"/>
      <c r="EE16" s="47" t="n"/>
      <c r="EF16" s="47" t="n"/>
      <c r="EG16" s="47" t="n"/>
      <c r="EH16" s="47" t="inlineStr">
        <is>
          <t>A</t>
        </is>
      </c>
      <c r="EI16" s="47" t="n"/>
      <c r="EJ16" s="47" t="n"/>
      <c r="EK16" s="47" t="inlineStr">
        <is>
          <t>P</t>
        </is>
      </c>
      <c r="EL16" s="47" t="inlineStr">
        <is>
          <t>P</t>
        </is>
      </c>
      <c r="EM16" s="47" t="n"/>
      <c r="EN16" s="47" t="n"/>
      <c r="EO16" s="47" t="inlineStr">
        <is>
          <t>P</t>
        </is>
      </c>
      <c r="EP16" s="47" t="inlineStr">
        <is>
          <t>P</t>
        </is>
      </c>
      <c r="EQ16" s="47" t="n"/>
      <c r="ER16" s="47" t="n"/>
      <c r="ES16" s="47" t="inlineStr">
        <is>
          <t>P</t>
        </is>
      </c>
      <c r="ET16" s="47" t="inlineStr">
        <is>
          <t>P</t>
        </is>
      </c>
      <c r="EU16" s="47" t="n"/>
      <c r="EV16" s="47" t="n"/>
      <c r="EW16" s="47" t="n"/>
      <c r="EX16" s="47" t="n"/>
      <c r="EY16" s="47" t="n"/>
      <c r="EZ16" s="47" t="n"/>
      <c r="FA16" s="47" t="n"/>
      <c r="FB16" s="47" t="inlineStr">
        <is>
          <t>P</t>
        </is>
      </c>
      <c r="FC16" s="47" t="n"/>
      <c r="FD16" s="47" t="n"/>
      <c r="FE16" s="47" t="inlineStr">
        <is>
          <t>P</t>
        </is>
      </c>
      <c r="FF16" s="47" t="inlineStr">
        <is>
          <t>P</t>
        </is>
      </c>
      <c r="FG16" s="47" t="n"/>
      <c r="FH16" s="47" t="n"/>
      <c r="FI16" s="47" t="inlineStr">
        <is>
          <t>P</t>
        </is>
      </c>
      <c r="FJ16" s="47" t="inlineStr">
        <is>
          <t>P</t>
        </is>
      </c>
      <c r="FK16" s="47" t="n"/>
      <c r="FL16" s="47" t="n"/>
      <c r="FM16" s="47" t="n"/>
      <c r="FN16" s="47" t="n"/>
      <c r="FO16" s="47" t="n"/>
      <c r="FP16" s="47" t="n"/>
      <c r="FQ16" s="47" t="n"/>
      <c r="FR16" s="47" t="inlineStr">
        <is>
          <t>P</t>
        </is>
      </c>
      <c r="FS16" s="47" t="n"/>
      <c r="FT16" s="47" t="n"/>
      <c r="FU16" s="47" t="n"/>
      <c r="FV16" s="47" t="n"/>
      <c r="FW16" s="47" t="n"/>
      <c r="FX16" s="47" t="n"/>
      <c r="FY16" s="47" t="inlineStr">
        <is>
          <t>P</t>
        </is>
      </c>
      <c r="FZ16" s="47" t="inlineStr">
        <is>
          <t>P</t>
        </is>
      </c>
      <c r="GA16" s="47" t="n"/>
      <c r="GB16" s="47" t="n"/>
      <c r="GC16" s="47" t="n"/>
      <c r="GD16" s="47" t="inlineStr">
        <is>
          <t>P</t>
        </is>
      </c>
      <c r="GE16" s="47" t="n"/>
      <c r="GF16" s="47" t="n"/>
      <c r="GG16" s="47" t="inlineStr">
        <is>
          <t>P</t>
        </is>
      </c>
      <c r="GH16" s="47" t="n"/>
      <c r="GI16" s="47" t="n"/>
    </row>
    <row r="17" ht="14.25" customHeight="1" s="34">
      <c r="A17" s="46" t="n">
        <v>14</v>
      </c>
      <c r="B17" s="46" t="inlineStr">
        <is>
          <t>325106410014</t>
        </is>
      </c>
      <c r="C17" s="46" t="inlineStr">
        <is>
          <t>SNEHITHA REDDY JEERU</t>
        </is>
      </c>
      <c r="D17" s="47" t="inlineStr">
        <is>
          <t>A</t>
        </is>
      </c>
      <c r="E17" s="47" t="n"/>
      <c r="F17" s="47" t="n"/>
      <c r="G17" s="47" t="n"/>
      <c r="H17" s="47" t="n"/>
      <c r="I17" s="47" t="inlineStr">
        <is>
          <t>A</t>
        </is>
      </c>
      <c r="J17" s="47" t="n"/>
      <c r="K17" s="47" t="n"/>
      <c r="L17" s="47" t="inlineStr">
        <is>
          <t>A</t>
        </is>
      </c>
      <c r="M17" s="47" t="n"/>
      <c r="N17" s="47" t="n"/>
      <c r="O17" s="47" t="n"/>
      <c r="P17" s="47" t="inlineStr">
        <is>
          <t>A</t>
        </is>
      </c>
      <c r="Q17" s="47" t="inlineStr">
        <is>
          <t>A</t>
        </is>
      </c>
      <c r="R17" s="47" t="n"/>
      <c r="S17" s="47" t="n"/>
      <c r="T17" s="47" t="inlineStr">
        <is>
          <t>A</t>
        </is>
      </c>
      <c r="U17" s="47" t="n"/>
      <c r="V17" s="47" t="n"/>
      <c r="W17" s="47" t="n"/>
      <c r="X17" s="47" t="n"/>
      <c r="Y17" s="47" t="n"/>
      <c r="Z17" s="47" t="n"/>
      <c r="AA17" s="47" t="n"/>
      <c r="AB17" s="47" t="n"/>
      <c r="AC17" s="47" t="inlineStr">
        <is>
          <t>A</t>
        </is>
      </c>
      <c r="AD17" s="47" t="n"/>
      <c r="AE17" s="47" t="n"/>
      <c r="AF17" s="47" t="inlineStr">
        <is>
          <t>A</t>
        </is>
      </c>
      <c r="AG17" s="47" t="n"/>
      <c r="AH17" s="47" t="n"/>
      <c r="AI17" s="47" t="n"/>
      <c r="AJ17" s="47" t="inlineStr">
        <is>
          <t>A</t>
        </is>
      </c>
      <c r="AK17" s="47" t="inlineStr">
        <is>
          <t>A</t>
        </is>
      </c>
      <c r="AL17" s="47" t="n"/>
      <c r="AM17" s="47" t="n"/>
      <c r="AN17" s="47" t="inlineStr">
        <is>
          <t>A</t>
        </is>
      </c>
      <c r="AO17" s="47" t="n"/>
      <c r="AP17" s="47" t="n"/>
      <c r="AQ17" s="47" t="n"/>
      <c r="AR17" s="47" t="inlineStr">
        <is>
          <t>A</t>
        </is>
      </c>
      <c r="AS17" s="47" t="n"/>
      <c r="AT17" s="47" t="n"/>
      <c r="AU17" s="47" t="n"/>
      <c r="AV17" s="47" t="n"/>
      <c r="AW17" s="47" t="inlineStr">
        <is>
          <t>A</t>
        </is>
      </c>
      <c r="AX17" s="47" t="n"/>
      <c r="AY17" s="47" t="n"/>
      <c r="AZ17" s="47" t="inlineStr">
        <is>
          <t>A</t>
        </is>
      </c>
      <c r="BA17" s="47" t="inlineStr">
        <is>
          <t>A</t>
        </is>
      </c>
      <c r="BB17" s="47" t="n"/>
      <c r="BC17" s="47" t="n"/>
      <c r="BD17" s="47" t="inlineStr">
        <is>
          <t>A</t>
        </is>
      </c>
      <c r="BE17" s="47" t="inlineStr">
        <is>
          <t>A</t>
        </is>
      </c>
      <c r="BF17" s="47" t="n"/>
      <c r="BG17" s="47" t="n"/>
      <c r="BH17" s="47" t="inlineStr">
        <is>
          <t>A</t>
        </is>
      </c>
      <c r="BI17" s="47" t="inlineStr">
        <is>
          <t>A</t>
        </is>
      </c>
      <c r="BJ17" s="47" t="n"/>
      <c r="BK17" s="47" t="n"/>
      <c r="BL17" s="47" t="n"/>
      <c r="BM17" s="47" t="n"/>
      <c r="BN17" s="47" t="n"/>
      <c r="BO17" s="47" t="n"/>
      <c r="BP17" s="47" t="n"/>
      <c r="BQ17" s="47" t="inlineStr">
        <is>
          <t>A</t>
        </is>
      </c>
      <c r="BR17" s="47" t="n"/>
      <c r="BS17" s="47" t="n"/>
      <c r="BT17" s="47" t="inlineStr">
        <is>
          <t>A</t>
        </is>
      </c>
      <c r="BU17" s="47" t="inlineStr">
        <is>
          <t>A</t>
        </is>
      </c>
      <c r="BV17" s="47" t="n"/>
      <c r="BW17" s="47" t="n"/>
      <c r="BX17" s="47" t="inlineStr">
        <is>
          <t>A</t>
        </is>
      </c>
      <c r="BY17" s="47" t="inlineStr">
        <is>
          <t>A</t>
        </is>
      </c>
      <c r="BZ17" s="47" t="n"/>
      <c r="CA17" s="47" t="n"/>
      <c r="CB17" s="47" t="inlineStr">
        <is>
          <t>A</t>
        </is>
      </c>
      <c r="CC17" s="47" t="n"/>
      <c r="CD17" s="47" t="n"/>
      <c r="CE17" s="47" t="n"/>
      <c r="CF17" s="47" t="inlineStr">
        <is>
          <t>A</t>
        </is>
      </c>
      <c r="CG17" s="47" t="n"/>
      <c r="CH17" s="47" t="n"/>
      <c r="CI17" s="47" t="n"/>
      <c r="CJ17" s="47" t="n"/>
      <c r="CK17" s="47" t="n"/>
      <c r="CL17" s="47" t="n"/>
      <c r="CM17" s="47" t="n"/>
      <c r="CN17" s="47" t="inlineStr">
        <is>
          <t>A</t>
        </is>
      </c>
      <c r="CO17" s="47" t="n"/>
      <c r="CP17" s="47" t="n"/>
      <c r="CQ17" s="47" t="inlineStr">
        <is>
          <t>A</t>
        </is>
      </c>
      <c r="CR17" s="47" t="inlineStr">
        <is>
          <t>A</t>
        </is>
      </c>
      <c r="CS17" s="47" t="n"/>
      <c r="CT17" s="47" t="n"/>
      <c r="CU17" s="47" t="inlineStr">
        <is>
          <t>A</t>
        </is>
      </c>
      <c r="CV17" s="47" t="inlineStr">
        <is>
          <t>A</t>
        </is>
      </c>
      <c r="CW17" s="47" t="n"/>
      <c r="CX17" s="47" t="n"/>
      <c r="CY17" s="47" t="n"/>
      <c r="CZ17" s="47" t="inlineStr">
        <is>
          <t>A</t>
        </is>
      </c>
      <c r="DA17" s="47" t="n"/>
      <c r="DB17" s="47" t="n"/>
      <c r="DC17" s="47" t="inlineStr">
        <is>
          <t>A</t>
        </is>
      </c>
      <c r="DD17" s="47" t="n"/>
      <c r="DE17" s="47" t="n"/>
      <c r="DF17" s="47" t="n"/>
      <c r="DG17" s="47" t="n"/>
      <c r="DH17" s="47" t="n"/>
      <c r="DI17" s="47" t="n"/>
      <c r="DJ17" s="47" t="n"/>
      <c r="DK17" s="47" t="inlineStr">
        <is>
          <t>A</t>
        </is>
      </c>
      <c r="DL17" s="47" t="n"/>
      <c r="DM17" s="47" t="n"/>
      <c r="DN17" s="47" t="inlineStr">
        <is>
          <t>A</t>
        </is>
      </c>
      <c r="DO17" s="47" t="inlineStr">
        <is>
          <t>A</t>
        </is>
      </c>
      <c r="DP17" s="47" t="n"/>
      <c r="DQ17" s="47" t="n"/>
      <c r="DR17" s="47" t="inlineStr">
        <is>
          <t>A</t>
        </is>
      </c>
      <c r="DS17" s="47" t="inlineStr">
        <is>
          <t>A</t>
        </is>
      </c>
      <c r="DT17" s="47" t="n"/>
      <c r="DU17" s="47" t="n"/>
      <c r="DV17" s="47" t="inlineStr">
        <is>
          <t>A</t>
        </is>
      </c>
      <c r="DW17" s="47" t="inlineStr">
        <is>
          <t>A</t>
        </is>
      </c>
      <c r="DX17" s="47" t="n"/>
      <c r="DY17" s="47" t="n"/>
      <c r="DZ17" s="47" t="inlineStr">
        <is>
          <t>P</t>
        </is>
      </c>
      <c r="EA17" s="47" t="n"/>
      <c r="EB17" s="47" t="n"/>
      <c r="EC17" s="47" t="n"/>
      <c r="ED17" s="47" t="n"/>
      <c r="EE17" s="47" t="n"/>
      <c r="EF17" s="47" t="n"/>
      <c r="EG17" s="47" t="n"/>
      <c r="EH17" s="47" t="inlineStr">
        <is>
          <t>A</t>
        </is>
      </c>
      <c r="EI17" s="47" t="n"/>
      <c r="EJ17" s="47" t="n"/>
      <c r="EK17" s="47" t="inlineStr">
        <is>
          <t>A</t>
        </is>
      </c>
      <c r="EL17" s="47" t="inlineStr">
        <is>
          <t>A</t>
        </is>
      </c>
      <c r="EM17" s="47" t="n"/>
      <c r="EN17" s="47" t="n"/>
      <c r="EO17" s="47" t="inlineStr">
        <is>
          <t>A</t>
        </is>
      </c>
      <c r="EP17" s="47" t="inlineStr">
        <is>
          <t>A</t>
        </is>
      </c>
      <c r="EQ17" s="47" t="n"/>
      <c r="ER17" s="47" t="n"/>
      <c r="ES17" s="47" t="inlineStr">
        <is>
          <t>A</t>
        </is>
      </c>
      <c r="ET17" s="47" t="inlineStr">
        <is>
          <t>A</t>
        </is>
      </c>
      <c r="EU17" s="47" t="n"/>
      <c r="EV17" s="47" t="n"/>
      <c r="EW17" s="47" t="n"/>
      <c r="EX17" s="47" t="n"/>
      <c r="EY17" s="47" t="n"/>
      <c r="EZ17" s="47" t="n"/>
      <c r="FA17" s="47" t="n"/>
      <c r="FB17" s="47" t="inlineStr">
        <is>
          <t>A</t>
        </is>
      </c>
      <c r="FC17" s="47" t="n"/>
      <c r="FD17" s="47" t="n"/>
      <c r="FE17" s="47" t="inlineStr">
        <is>
          <t>A</t>
        </is>
      </c>
      <c r="FF17" s="47" t="inlineStr">
        <is>
          <t>A</t>
        </is>
      </c>
      <c r="FG17" s="47" t="n"/>
      <c r="FH17" s="47" t="n"/>
      <c r="FI17" s="47" t="inlineStr">
        <is>
          <t>A</t>
        </is>
      </c>
      <c r="FJ17" s="47" t="inlineStr">
        <is>
          <t>A</t>
        </is>
      </c>
      <c r="FK17" s="47" t="n"/>
      <c r="FL17" s="47" t="n"/>
      <c r="FM17" s="47" t="n"/>
      <c r="FN17" s="47" t="n"/>
      <c r="FO17" s="47" t="n"/>
      <c r="FP17" s="47" t="n"/>
      <c r="FQ17" s="47" t="n"/>
      <c r="FR17" s="47" t="inlineStr">
        <is>
          <t>A</t>
        </is>
      </c>
      <c r="FS17" s="47" t="n"/>
      <c r="FT17" s="47" t="n"/>
      <c r="FU17" s="47" t="n"/>
      <c r="FV17" s="47" t="n"/>
      <c r="FW17" s="47" t="n"/>
      <c r="FX17" s="47" t="n"/>
      <c r="FY17" s="47" t="inlineStr">
        <is>
          <t>A</t>
        </is>
      </c>
      <c r="FZ17" s="47" t="inlineStr">
        <is>
          <t>A</t>
        </is>
      </c>
      <c r="GA17" s="47" t="n"/>
      <c r="GB17" s="47" t="n"/>
      <c r="GC17" s="47" t="n"/>
      <c r="GD17" s="47" t="inlineStr">
        <is>
          <t>A</t>
        </is>
      </c>
      <c r="GE17" s="47" t="n"/>
      <c r="GF17" s="47" t="n"/>
      <c r="GG17" s="47" t="inlineStr">
        <is>
          <t>P</t>
        </is>
      </c>
      <c r="GH17" s="47" t="n"/>
      <c r="GI17" s="47" t="n"/>
    </row>
    <row r="18" ht="14.25" customHeight="1" s="34">
      <c r="A18" s="46" t="n">
        <v>15</v>
      </c>
      <c r="B18" s="46" t="inlineStr">
        <is>
          <t>325106410015</t>
        </is>
      </c>
      <c r="C18" s="46" t="inlineStr">
        <is>
          <t>NEERAJ KUMAR JUTTADA</t>
        </is>
      </c>
      <c r="D18" s="47" t="inlineStr">
        <is>
          <t>A</t>
        </is>
      </c>
      <c r="E18" s="47" t="n"/>
      <c r="F18" s="47" t="n"/>
      <c r="G18" s="47" t="n"/>
      <c r="H18" s="47" t="n"/>
      <c r="I18" s="47" t="inlineStr">
        <is>
          <t>A</t>
        </is>
      </c>
      <c r="J18" s="47" t="n"/>
      <c r="K18" s="47" t="n"/>
      <c r="L18" s="47" t="inlineStr">
        <is>
          <t>A</t>
        </is>
      </c>
      <c r="M18" s="47" t="n"/>
      <c r="N18" s="47" t="n"/>
      <c r="O18" s="47" t="n"/>
      <c r="P18" s="47" t="inlineStr">
        <is>
          <t>A</t>
        </is>
      </c>
      <c r="Q18" s="47" t="inlineStr">
        <is>
          <t>A</t>
        </is>
      </c>
      <c r="R18" s="47" t="n"/>
      <c r="S18" s="47" t="n"/>
      <c r="T18" s="47" t="inlineStr">
        <is>
          <t>A</t>
        </is>
      </c>
      <c r="U18" s="47" t="n"/>
      <c r="V18" s="47" t="n"/>
      <c r="W18" s="47" t="n"/>
      <c r="X18" s="47" t="n"/>
      <c r="Y18" s="47" t="n"/>
      <c r="Z18" s="47" t="n"/>
      <c r="AA18" s="47" t="n"/>
      <c r="AB18" s="47" t="n"/>
      <c r="AC18" s="47" t="inlineStr">
        <is>
          <t>P</t>
        </is>
      </c>
      <c r="AD18" s="47" t="n"/>
      <c r="AE18" s="47" t="n"/>
      <c r="AF18" s="47" t="inlineStr">
        <is>
          <t>P</t>
        </is>
      </c>
      <c r="AG18" s="47" t="n"/>
      <c r="AH18" s="47" t="n"/>
      <c r="AI18" s="47" t="n"/>
      <c r="AJ18" s="47" t="inlineStr">
        <is>
          <t>P</t>
        </is>
      </c>
      <c r="AK18" s="47" t="inlineStr">
        <is>
          <t>P</t>
        </is>
      </c>
      <c r="AL18" s="47" t="n"/>
      <c r="AM18" s="47" t="n"/>
      <c r="AN18" s="47" t="inlineStr">
        <is>
          <t>P</t>
        </is>
      </c>
      <c r="AO18" s="47" t="n"/>
      <c r="AP18" s="47" t="n"/>
      <c r="AQ18" s="47" t="n"/>
      <c r="AR18" s="47" t="inlineStr">
        <is>
          <t>A</t>
        </is>
      </c>
      <c r="AS18" s="47" t="n"/>
      <c r="AT18" s="47" t="n"/>
      <c r="AU18" s="47" t="n"/>
      <c r="AV18" s="47" t="n"/>
      <c r="AW18" s="47" t="inlineStr">
        <is>
          <t>A</t>
        </is>
      </c>
      <c r="AX18" s="47" t="n"/>
      <c r="AY18" s="47" t="n"/>
      <c r="AZ18" s="47" t="inlineStr">
        <is>
          <t>A</t>
        </is>
      </c>
      <c r="BA18" s="47" t="inlineStr">
        <is>
          <t>A</t>
        </is>
      </c>
      <c r="BB18" s="47" t="n"/>
      <c r="BC18" s="47" t="n"/>
      <c r="BD18" s="47" t="inlineStr">
        <is>
          <t>P</t>
        </is>
      </c>
      <c r="BE18" s="47" t="inlineStr">
        <is>
          <t>P</t>
        </is>
      </c>
      <c r="BF18" s="47" t="n"/>
      <c r="BG18" s="47" t="n"/>
      <c r="BH18" s="47" t="inlineStr">
        <is>
          <t>P</t>
        </is>
      </c>
      <c r="BI18" s="47" t="inlineStr">
        <is>
          <t>P</t>
        </is>
      </c>
      <c r="BJ18" s="47" t="n"/>
      <c r="BK18" s="47" t="n"/>
      <c r="BL18" s="47" t="n"/>
      <c r="BM18" s="47" t="n"/>
      <c r="BN18" s="47" t="n"/>
      <c r="BO18" s="47" t="n"/>
      <c r="BP18" s="47" t="n"/>
      <c r="BQ18" s="47" t="inlineStr">
        <is>
          <t>P</t>
        </is>
      </c>
      <c r="BR18" s="47" t="n"/>
      <c r="BS18" s="47" t="n"/>
      <c r="BT18" s="47" t="inlineStr">
        <is>
          <t>P</t>
        </is>
      </c>
      <c r="BU18" s="47" t="inlineStr">
        <is>
          <t>P</t>
        </is>
      </c>
      <c r="BV18" s="47" t="n"/>
      <c r="BW18" s="47" t="n"/>
      <c r="BX18" s="47" t="inlineStr">
        <is>
          <t>P</t>
        </is>
      </c>
      <c r="BY18" s="47" t="inlineStr">
        <is>
          <t>P</t>
        </is>
      </c>
      <c r="BZ18" s="47" t="n"/>
      <c r="CA18" s="47" t="n"/>
      <c r="CB18" s="47" t="inlineStr">
        <is>
          <t>P</t>
        </is>
      </c>
      <c r="CC18" s="47" t="n"/>
      <c r="CD18" s="47" t="n"/>
      <c r="CE18" s="47" t="n"/>
      <c r="CF18" s="47" t="inlineStr">
        <is>
          <t>P</t>
        </is>
      </c>
      <c r="CG18" s="47" t="n"/>
      <c r="CH18" s="47" t="n"/>
      <c r="CI18" s="47" t="n"/>
      <c r="CJ18" s="47" t="n"/>
      <c r="CK18" s="47" t="n"/>
      <c r="CL18" s="47" t="n"/>
      <c r="CM18" s="47" t="n"/>
      <c r="CN18" s="47" t="inlineStr">
        <is>
          <t>A</t>
        </is>
      </c>
      <c r="CO18" s="47" t="n"/>
      <c r="CP18" s="47" t="n"/>
      <c r="CQ18" s="47" t="inlineStr">
        <is>
          <t>P</t>
        </is>
      </c>
      <c r="CR18" s="47" t="inlineStr">
        <is>
          <t>A</t>
        </is>
      </c>
      <c r="CS18" s="47" t="n"/>
      <c r="CT18" s="47" t="n"/>
      <c r="CU18" s="47" t="inlineStr">
        <is>
          <t>A</t>
        </is>
      </c>
      <c r="CV18" s="47" t="inlineStr">
        <is>
          <t>P</t>
        </is>
      </c>
      <c r="CW18" s="47" t="n"/>
      <c r="CX18" s="47" t="n"/>
      <c r="CY18" s="47" t="n"/>
      <c r="CZ18" s="47" t="inlineStr">
        <is>
          <t>P</t>
        </is>
      </c>
      <c r="DA18" s="47" t="n"/>
      <c r="DB18" s="47" t="n"/>
      <c r="DC18" s="47" t="inlineStr">
        <is>
          <t>P</t>
        </is>
      </c>
      <c r="DD18" s="47" t="n"/>
      <c r="DE18" s="47" t="n"/>
      <c r="DF18" s="47" t="n"/>
      <c r="DG18" s="47" t="n"/>
      <c r="DH18" s="47" t="n"/>
      <c r="DI18" s="47" t="n"/>
      <c r="DJ18" s="47" t="n"/>
      <c r="DK18" s="47" t="inlineStr">
        <is>
          <t>P</t>
        </is>
      </c>
      <c r="DL18" s="47" t="n"/>
      <c r="DM18" s="47" t="n"/>
      <c r="DN18" s="47" t="inlineStr">
        <is>
          <t>P</t>
        </is>
      </c>
      <c r="DO18" s="47" t="inlineStr">
        <is>
          <t>P</t>
        </is>
      </c>
      <c r="DP18" s="47" t="n"/>
      <c r="DQ18" s="47" t="n"/>
      <c r="DR18" s="47" t="inlineStr">
        <is>
          <t>P</t>
        </is>
      </c>
      <c r="DS18" s="47" t="inlineStr">
        <is>
          <t>P</t>
        </is>
      </c>
      <c r="DT18" s="47" t="n"/>
      <c r="DU18" s="47" t="n"/>
      <c r="DV18" s="47" t="inlineStr">
        <is>
          <t>P</t>
        </is>
      </c>
      <c r="DW18" s="47" t="inlineStr">
        <is>
          <t>P</t>
        </is>
      </c>
      <c r="DX18" s="47" t="n"/>
      <c r="DY18" s="47" t="n"/>
      <c r="DZ18" s="47" t="inlineStr">
        <is>
          <t>P</t>
        </is>
      </c>
      <c r="EA18" s="47" t="n"/>
      <c r="EB18" s="47" t="n"/>
      <c r="EC18" s="47" t="n"/>
      <c r="ED18" s="47" t="n"/>
      <c r="EE18" s="47" t="n"/>
      <c r="EF18" s="47" t="n"/>
      <c r="EG18" s="47" t="n"/>
      <c r="EH18" s="47" t="inlineStr">
        <is>
          <t>P</t>
        </is>
      </c>
      <c r="EI18" s="47" t="n"/>
      <c r="EJ18" s="47" t="n"/>
      <c r="EK18" s="47" t="inlineStr">
        <is>
          <t>P</t>
        </is>
      </c>
      <c r="EL18" s="47" t="inlineStr">
        <is>
          <t>P</t>
        </is>
      </c>
      <c r="EM18" s="47" t="n"/>
      <c r="EN18" s="47" t="n"/>
      <c r="EO18" s="47" t="inlineStr">
        <is>
          <t>P</t>
        </is>
      </c>
      <c r="EP18" s="47" t="inlineStr">
        <is>
          <t>P</t>
        </is>
      </c>
      <c r="EQ18" s="47" t="n"/>
      <c r="ER18" s="47" t="n"/>
      <c r="ES18" s="47" t="inlineStr">
        <is>
          <t>A</t>
        </is>
      </c>
      <c r="ET18" s="47" t="inlineStr">
        <is>
          <t>P</t>
        </is>
      </c>
      <c r="EU18" s="47" t="n"/>
      <c r="EV18" s="47" t="n"/>
      <c r="EW18" s="47" t="n"/>
      <c r="EX18" s="47" t="n"/>
      <c r="EY18" s="47" t="n"/>
      <c r="EZ18" s="47" t="n"/>
      <c r="FA18" s="47" t="n"/>
      <c r="FB18" s="47" t="inlineStr">
        <is>
          <t>P</t>
        </is>
      </c>
      <c r="FC18" s="47" t="n"/>
      <c r="FD18" s="47" t="n"/>
      <c r="FE18" s="47" t="inlineStr">
        <is>
          <t>P</t>
        </is>
      </c>
      <c r="FF18" s="47" t="inlineStr">
        <is>
          <t>P</t>
        </is>
      </c>
      <c r="FG18" s="47" t="n"/>
      <c r="FH18" s="47" t="n"/>
      <c r="FI18" s="47" t="inlineStr">
        <is>
          <t>P</t>
        </is>
      </c>
      <c r="FJ18" s="47" t="inlineStr">
        <is>
          <t>P</t>
        </is>
      </c>
      <c r="FK18" s="47" t="n"/>
      <c r="FL18" s="47" t="n"/>
      <c r="FM18" s="47" t="n"/>
      <c r="FN18" s="47" t="n"/>
      <c r="FO18" s="47" t="n"/>
      <c r="FP18" s="47" t="n"/>
      <c r="FQ18" s="47" t="n"/>
      <c r="FR18" s="47" t="inlineStr">
        <is>
          <t>P</t>
        </is>
      </c>
      <c r="FS18" s="47" t="n"/>
      <c r="FT18" s="47" t="n"/>
      <c r="FU18" s="47" t="n"/>
      <c r="FV18" s="47" t="n"/>
      <c r="FW18" s="47" t="n"/>
      <c r="FX18" s="47" t="n"/>
      <c r="FY18" s="47" t="inlineStr">
        <is>
          <t>P</t>
        </is>
      </c>
      <c r="FZ18" s="47" t="inlineStr">
        <is>
          <t>P</t>
        </is>
      </c>
      <c r="GA18" s="47" t="n"/>
      <c r="GB18" s="47" t="n"/>
      <c r="GC18" s="47" t="n"/>
      <c r="GD18" s="47" t="inlineStr">
        <is>
          <t>P</t>
        </is>
      </c>
      <c r="GE18" s="47" t="n"/>
      <c r="GF18" s="47" t="n"/>
      <c r="GG18" s="47" t="inlineStr">
        <is>
          <t>P</t>
        </is>
      </c>
      <c r="GH18" s="47" t="n"/>
      <c r="GI18" s="47" t="n"/>
    </row>
    <row r="19" ht="14.25" customHeight="1" s="34">
      <c r="A19" s="46" t="n">
        <v>16</v>
      </c>
      <c r="B19" s="46" t="inlineStr">
        <is>
          <t>325106410016</t>
        </is>
      </c>
      <c r="C19" s="46" t="inlineStr">
        <is>
          <t>CHANDRIKA KADALI</t>
        </is>
      </c>
      <c r="D19" s="47" t="inlineStr">
        <is>
          <t>A</t>
        </is>
      </c>
      <c r="E19" s="47" t="n"/>
      <c r="F19" s="47" t="n"/>
      <c r="G19" s="47" t="n"/>
      <c r="H19" s="47" t="n"/>
      <c r="I19" s="47" t="inlineStr">
        <is>
          <t>A</t>
        </is>
      </c>
      <c r="J19" s="47" t="n"/>
      <c r="K19" s="47" t="n"/>
      <c r="L19" s="47" t="inlineStr">
        <is>
          <t>A</t>
        </is>
      </c>
      <c r="M19" s="47" t="n"/>
      <c r="N19" s="47" t="n"/>
      <c r="O19" s="47" t="n"/>
      <c r="P19" s="47" t="inlineStr">
        <is>
          <t>A</t>
        </is>
      </c>
      <c r="Q19" s="47" t="inlineStr">
        <is>
          <t>A</t>
        </is>
      </c>
      <c r="R19" s="47" t="n"/>
      <c r="S19" s="47" t="n"/>
      <c r="T19" s="47" t="inlineStr">
        <is>
          <t>A</t>
        </is>
      </c>
      <c r="U19" s="47" t="n"/>
      <c r="V19" s="47" t="n"/>
      <c r="W19" s="47" t="n"/>
      <c r="X19" s="47" t="n"/>
      <c r="Y19" s="47" t="n"/>
      <c r="Z19" s="47" t="n"/>
      <c r="AA19" s="47" t="n"/>
      <c r="AB19" s="47" t="n"/>
      <c r="AC19" s="47" t="inlineStr">
        <is>
          <t>A</t>
        </is>
      </c>
      <c r="AD19" s="47" t="n"/>
      <c r="AE19" s="47" t="n"/>
      <c r="AF19" s="47" t="inlineStr">
        <is>
          <t>A</t>
        </is>
      </c>
      <c r="AG19" s="47" t="n"/>
      <c r="AH19" s="47" t="n"/>
      <c r="AI19" s="47" t="n"/>
      <c r="AJ19" s="47" t="inlineStr">
        <is>
          <t>A</t>
        </is>
      </c>
      <c r="AK19" s="47" t="inlineStr">
        <is>
          <t>A</t>
        </is>
      </c>
      <c r="AL19" s="47" t="n"/>
      <c r="AM19" s="47" t="n"/>
      <c r="AN19" s="47" t="inlineStr">
        <is>
          <t>P</t>
        </is>
      </c>
      <c r="AO19" s="47" t="n"/>
      <c r="AP19" s="47" t="n"/>
      <c r="AQ19" s="47" t="n"/>
      <c r="AR19" s="47" t="inlineStr">
        <is>
          <t>P</t>
        </is>
      </c>
      <c r="AS19" s="47" t="n"/>
      <c r="AT19" s="47" t="n"/>
      <c r="AU19" s="47" t="n"/>
      <c r="AV19" s="47" t="n"/>
      <c r="AW19" s="47" t="inlineStr">
        <is>
          <t>P</t>
        </is>
      </c>
      <c r="AX19" s="47" t="n"/>
      <c r="AY19" s="47" t="n"/>
      <c r="AZ19" s="47" t="inlineStr">
        <is>
          <t>P</t>
        </is>
      </c>
      <c r="BA19" s="47" t="inlineStr">
        <is>
          <t>P</t>
        </is>
      </c>
      <c r="BB19" s="47" t="n"/>
      <c r="BC19" s="47" t="n"/>
      <c r="BD19" s="47" t="inlineStr">
        <is>
          <t>P</t>
        </is>
      </c>
      <c r="BE19" s="47" t="inlineStr">
        <is>
          <t>P</t>
        </is>
      </c>
      <c r="BF19" s="47" t="n"/>
      <c r="BG19" s="47" t="n"/>
      <c r="BH19" s="47" t="inlineStr">
        <is>
          <t>P</t>
        </is>
      </c>
      <c r="BI19" s="47" t="inlineStr">
        <is>
          <t>P</t>
        </is>
      </c>
      <c r="BJ19" s="47" t="n"/>
      <c r="BK19" s="47" t="n"/>
      <c r="BL19" s="47" t="n"/>
      <c r="BM19" s="47" t="n"/>
      <c r="BN19" s="47" t="n"/>
      <c r="BO19" s="47" t="n"/>
      <c r="BP19" s="47" t="n"/>
      <c r="BQ19" s="47" t="inlineStr">
        <is>
          <t>P</t>
        </is>
      </c>
      <c r="BR19" s="47" t="n"/>
      <c r="BS19" s="47" t="n"/>
      <c r="BT19" s="47" t="inlineStr">
        <is>
          <t>P</t>
        </is>
      </c>
      <c r="BU19" s="47" t="inlineStr">
        <is>
          <t>P</t>
        </is>
      </c>
      <c r="BV19" s="47" t="n"/>
      <c r="BW19" s="47" t="n"/>
      <c r="BX19" s="47" t="inlineStr">
        <is>
          <t>P</t>
        </is>
      </c>
      <c r="BY19" s="47" t="inlineStr">
        <is>
          <t>P</t>
        </is>
      </c>
      <c r="BZ19" s="47" t="n"/>
      <c r="CA19" s="47" t="n"/>
      <c r="CB19" s="47" t="inlineStr">
        <is>
          <t>P</t>
        </is>
      </c>
      <c r="CC19" s="47" t="n"/>
      <c r="CD19" s="47" t="n"/>
      <c r="CE19" s="47" t="n"/>
      <c r="CF19" s="47" t="inlineStr">
        <is>
          <t>P</t>
        </is>
      </c>
      <c r="CG19" s="47" t="n"/>
      <c r="CH19" s="47" t="n"/>
      <c r="CI19" s="47" t="n"/>
      <c r="CJ19" s="47" t="n"/>
      <c r="CK19" s="47" t="n"/>
      <c r="CL19" s="47" t="n"/>
      <c r="CM19" s="47" t="n"/>
      <c r="CN19" s="47" t="inlineStr">
        <is>
          <t>P</t>
        </is>
      </c>
      <c r="CO19" s="47" t="n"/>
      <c r="CP19" s="47" t="n"/>
      <c r="CQ19" s="47" t="inlineStr">
        <is>
          <t>P</t>
        </is>
      </c>
      <c r="CR19" s="47" t="inlineStr">
        <is>
          <t>P</t>
        </is>
      </c>
      <c r="CS19" s="47" t="n"/>
      <c r="CT19" s="47" t="n"/>
      <c r="CU19" s="47" t="inlineStr">
        <is>
          <t>P</t>
        </is>
      </c>
      <c r="CV19" s="47" t="inlineStr">
        <is>
          <t>P</t>
        </is>
      </c>
      <c r="CW19" s="47" t="n"/>
      <c r="CX19" s="47" t="n"/>
      <c r="CY19" s="47" t="n"/>
      <c r="CZ19" s="47" t="inlineStr">
        <is>
          <t>P</t>
        </is>
      </c>
      <c r="DA19" s="47" t="n"/>
      <c r="DB19" s="47" t="n"/>
      <c r="DC19" s="47" t="inlineStr">
        <is>
          <t>P</t>
        </is>
      </c>
      <c r="DD19" s="47" t="n"/>
      <c r="DE19" s="47" t="n"/>
      <c r="DF19" s="47" t="n"/>
      <c r="DG19" s="47" t="n"/>
      <c r="DH19" s="47" t="n"/>
      <c r="DI19" s="47" t="n"/>
      <c r="DJ19" s="47" t="n"/>
      <c r="DK19" s="47" t="inlineStr">
        <is>
          <t>P</t>
        </is>
      </c>
      <c r="DL19" s="47" t="n"/>
      <c r="DM19" s="47" t="n"/>
      <c r="DN19" s="47" t="inlineStr">
        <is>
          <t>P</t>
        </is>
      </c>
      <c r="DO19" s="47" t="inlineStr">
        <is>
          <t>P</t>
        </is>
      </c>
      <c r="DP19" s="47" t="n"/>
      <c r="DQ19" s="47" t="n"/>
      <c r="DR19" s="47" t="inlineStr">
        <is>
          <t>P</t>
        </is>
      </c>
      <c r="DS19" s="47" t="inlineStr">
        <is>
          <t>P</t>
        </is>
      </c>
      <c r="DT19" s="47" t="n"/>
      <c r="DU19" s="47" t="n"/>
      <c r="DV19" s="47" t="inlineStr">
        <is>
          <t>P</t>
        </is>
      </c>
      <c r="DW19" s="47" t="inlineStr">
        <is>
          <t>P</t>
        </is>
      </c>
      <c r="DX19" s="47" t="n"/>
      <c r="DY19" s="47" t="n"/>
      <c r="DZ19" s="47" t="inlineStr">
        <is>
          <t>P</t>
        </is>
      </c>
      <c r="EA19" s="47" t="n"/>
      <c r="EB19" s="47" t="n"/>
      <c r="EC19" s="47" t="n"/>
      <c r="ED19" s="47" t="n"/>
      <c r="EE19" s="47" t="n"/>
      <c r="EF19" s="47" t="n"/>
      <c r="EG19" s="47" t="n"/>
      <c r="EH19" s="47" t="inlineStr">
        <is>
          <t>A</t>
        </is>
      </c>
      <c r="EI19" s="47" t="n"/>
      <c r="EJ19" s="47" t="n"/>
      <c r="EK19" s="47" t="inlineStr">
        <is>
          <t>P</t>
        </is>
      </c>
      <c r="EL19" s="47" t="inlineStr">
        <is>
          <t>P</t>
        </is>
      </c>
      <c r="EM19" s="47" t="n"/>
      <c r="EN19" s="47" t="n"/>
      <c r="EO19" s="47" t="inlineStr">
        <is>
          <t>P</t>
        </is>
      </c>
      <c r="EP19" s="47" t="inlineStr">
        <is>
          <t>P</t>
        </is>
      </c>
      <c r="EQ19" s="47" t="n"/>
      <c r="ER19" s="47" t="n"/>
      <c r="ES19" s="47" t="inlineStr">
        <is>
          <t>P</t>
        </is>
      </c>
      <c r="ET19" s="47" t="inlineStr">
        <is>
          <t>P</t>
        </is>
      </c>
      <c r="EU19" s="47" t="n"/>
      <c r="EV19" s="47" t="n"/>
      <c r="EW19" s="47" t="n"/>
      <c r="EX19" s="47" t="n"/>
      <c r="EY19" s="47" t="n"/>
      <c r="EZ19" s="47" t="n"/>
      <c r="FA19" s="47" t="n"/>
      <c r="FB19" s="47" t="inlineStr">
        <is>
          <t>P</t>
        </is>
      </c>
      <c r="FC19" s="47" t="n"/>
      <c r="FD19" s="47" t="n"/>
      <c r="FE19" s="47" t="inlineStr">
        <is>
          <t>P</t>
        </is>
      </c>
      <c r="FF19" s="47" t="inlineStr">
        <is>
          <t>P</t>
        </is>
      </c>
      <c r="FG19" s="47" t="n"/>
      <c r="FH19" s="47" t="n"/>
      <c r="FI19" s="47" t="inlineStr">
        <is>
          <t>P</t>
        </is>
      </c>
      <c r="FJ19" s="47" t="inlineStr">
        <is>
          <t>P</t>
        </is>
      </c>
      <c r="FK19" s="47" t="n"/>
      <c r="FL19" s="47" t="n"/>
      <c r="FM19" s="47" t="n"/>
      <c r="FN19" s="47" t="n"/>
      <c r="FO19" s="47" t="n"/>
      <c r="FP19" s="47" t="n"/>
      <c r="FQ19" s="47" t="n"/>
      <c r="FR19" s="47" t="inlineStr">
        <is>
          <t>P</t>
        </is>
      </c>
      <c r="FS19" s="47" t="n"/>
      <c r="FT19" s="47" t="n"/>
      <c r="FU19" s="47" t="n"/>
      <c r="FV19" s="47" t="n"/>
      <c r="FW19" s="47" t="n"/>
      <c r="FX19" s="47" t="n"/>
      <c r="FY19" s="47" t="inlineStr">
        <is>
          <t>A</t>
        </is>
      </c>
      <c r="FZ19" s="47" t="inlineStr">
        <is>
          <t>P</t>
        </is>
      </c>
      <c r="GA19" s="47" t="n"/>
      <c r="GB19" s="47" t="n"/>
      <c r="GC19" s="47" t="n"/>
      <c r="GD19" s="47" t="inlineStr">
        <is>
          <t>A</t>
        </is>
      </c>
      <c r="GE19" s="47" t="n"/>
      <c r="GF19" s="47" t="n"/>
      <c r="GG19" s="47" t="inlineStr">
        <is>
          <t>P</t>
        </is>
      </c>
      <c r="GH19" s="47" t="n"/>
      <c r="GI19" s="47" t="n"/>
    </row>
    <row r="20" ht="14.25" customHeight="1" s="34">
      <c r="A20" s="46" t="n">
        <v>17</v>
      </c>
      <c r="B20" s="46" t="inlineStr">
        <is>
          <t>325106410017</t>
        </is>
      </c>
      <c r="C20" s="46" t="inlineStr">
        <is>
          <t>GYANESHWARI KALLAPILLI</t>
        </is>
      </c>
      <c r="D20" s="47" t="inlineStr">
        <is>
          <t>A</t>
        </is>
      </c>
      <c r="E20" s="47" t="n"/>
      <c r="F20" s="47" t="n"/>
      <c r="G20" s="47" t="n"/>
      <c r="H20" s="47" t="n"/>
      <c r="I20" s="47" t="inlineStr">
        <is>
          <t>A</t>
        </is>
      </c>
      <c r="J20" s="47" t="n"/>
      <c r="K20" s="47" t="n"/>
      <c r="L20" s="47" t="inlineStr">
        <is>
          <t>A</t>
        </is>
      </c>
      <c r="M20" s="47" t="n"/>
      <c r="N20" s="47" t="n"/>
      <c r="O20" s="47" t="n"/>
      <c r="P20" s="47" t="inlineStr">
        <is>
          <t>A</t>
        </is>
      </c>
      <c r="Q20" s="47" t="inlineStr">
        <is>
          <t>A</t>
        </is>
      </c>
      <c r="R20" s="47" t="n"/>
      <c r="S20" s="47" t="n"/>
      <c r="T20" s="47" t="inlineStr">
        <is>
          <t>A</t>
        </is>
      </c>
      <c r="U20" s="47" t="n"/>
      <c r="V20" s="47" t="n"/>
      <c r="W20" s="47" t="n"/>
      <c r="X20" s="47" t="n"/>
      <c r="Y20" s="47" t="n"/>
      <c r="Z20" s="47" t="n"/>
      <c r="AA20" s="47" t="n"/>
      <c r="AB20" s="47" t="n"/>
      <c r="AC20" s="47" t="inlineStr">
        <is>
          <t>A</t>
        </is>
      </c>
      <c r="AD20" s="47" t="n"/>
      <c r="AE20" s="47" t="n"/>
      <c r="AF20" s="47" t="inlineStr">
        <is>
          <t>P</t>
        </is>
      </c>
      <c r="AG20" s="47" t="n"/>
      <c r="AH20" s="47" t="n"/>
      <c r="AI20" s="47" t="n"/>
      <c r="AJ20" s="47" t="inlineStr">
        <is>
          <t>P</t>
        </is>
      </c>
      <c r="AK20" s="47" t="inlineStr">
        <is>
          <t>P</t>
        </is>
      </c>
      <c r="AL20" s="47" t="n"/>
      <c r="AM20" s="47" t="n"/>
      <c r="AN20" s="47" t="inlineStr">
        <is>
          <t>P</t>
        </is>
      </c>
      <c r="AO20" s="47" t="n"/>
      <c r="AP20" s="47" t="n"/>
      <c r="AQ20" s="47" t="n"/>
      <c r="AR20" s="47" t="inlineStr">
        <is>
          <t>P</t>
        </is>
      </c>
      <c r="AS20" s="47" t="n"/>
      <c r="AT20" s="47" t="n"/>
      <c r="AU20" s="47" t="n"/>
      <c r="AV20" s="47" t="n"/>
      <c r="AW20" s="47" t="inlineStr">
        <is>
          <t>P</t>
        </is>
      </c>
      <c r="AX20" s="47" t="n"/>
      <c r="AY20" s="47" t="n"/>
      <c r="AZ20" s="47" t="inlineStr">
        <is>
          <t>P</t>
        </is>
      </c>
      <c r="BA20" s="47" t="inlineStr">
        <is>
          <t>P</t>
        </is>
      </c>
      <c r="BB20" s="47" t="n"/>
      <c r="BC20" s="47" t="n"/>
      <c r="BD20" s="47" t="inlineStr">
        <is>
          <t>P</t>
        </is>
      </c>
      <c r="BE20" s="47" t="inlineStr">
        <is>
          <t>P</t>
        </is>
      </c>
      <c r="BF20" s="47" t="n"/>
      <c r="BG20" s="47" t="n"/>
      <c r="BH20" s="47" t="inlineStr">
        <is>
          <t>P</t>
        </is>
      </c>
      <c r="BI20" s="47" t="inlineStr">
        <is>
          <t>P</t>
        </is>
      </c>
      <c r="BJ20" s="47" t="n"/>
      <c r="BK20" s="47" t="n"/>
      <c r="BL20" s="47" t="n"/>
      <c r="BM20" s="47" t="n"/>
      <c r="BN20" s="47" t="n"/>
      <c r="BO20" s="47" t="n"/>
      <c r="BP20" s="47" t="n"/>
      <c r="BQ20" s="47" t="inlineStr">
        <is>
          <t>P</t>
        </is>
      </c>
      <c r="BR20" s="47" t="n"/>
      <c r="BS20" s="47" t="n"/>
      <c r="BT20" s="47" t="inlineStr">
        <is>
          <t>P</t>
        </is>
      </c>
      <c r="BU20" s="47" t="inlineStr">
        <is>
          <t>P</t>
        </is>
      </c>
      <c r="BV20" s="47" t="n"/>
      <c r="BW20" s="47" t="n"/>
      <c r="BX20" s="47" t="inlineStr">
        <is>
          <t>P</t>
        </is>
      </c>
      <c r="BY20" s="47" t="inlineStr">
        <is>
          <t>P</t>
        </is>
      </c>
      <c r="BZ20" s="47" t="n"/>
      <c r="CA20" s="47" t="n"/>
      <c r="CB20" s="47" t="inlineStr">
        <is>
          <t>P</t>
        </is>
      </c>
      <c r="CC20" s="47" t="n"/>
      <c r="CD20" s="47" t="n"/>
      <c r="CE20" s="47" t="n"/>
      <c r="CF20" s="47" t="inlineStr">
        <is>
          <t>P</t>
        </is>
      </c>
      <c r="CG20" s="47" t="n"/>
      <c r="CH20" s="47" t="n"/>
      <c r="CI20" s="47" t="n"/>
      <c r="CJ20" s="47" t="n"/>
      <c r="CK20" s="47" t="n"/>
      <c r="CL20" s="47" t="n"/>
      <c r="CM20" s="47" t="n"/>
      <c r="CN20" s="47" t="inlineStr">
        <is>
          <t>P</t>
        </is>
      </c>
      <c r="CO20" s="47" t="n"/>
      <c r="CP20" s="47" t="n"/>
      <c r="CQ20" s="47" t="inlineStr">
        <is>
          <t>P</t>
        </is>
      </c>
      <c r="CR20" s="47" t="inlineStr">
        <is>
          <t>P</t>
        </is>
      </c>
      <c r="CS20" s="47" t="n"/>
      <c r="CT20" s="47" t="n"/>
      <c r="CU20" s="47" t="inlineStr">
        <is>
          <t>P</t>
        </is>
      </c>
      <c r="CV20" s="47" t="inlineStr">
        <is>
          <t>P</t>
        </is>
      </c>
      <c r="CW20" s="47" t="n"/>
      <c r="CX20" s="47" t="n"/>
      <c r="CY20" s="47" t="n"/>
      <c r="CZ20" s="47" t="inlineStr">
        <is>
          <t>P</t>
        </is>
      </c>
      <c r="DA20" s="47" t="n"/>
      <c r="DB20" s="47" t="n"/>
      <c r="DC20" s="47" t="inlineStr">
        <is>
          <t>P</t>
        </is>
      </c>
      <c r="DD20" s="47" t="n"/>
      <c r="DE20" s="47" t="n"/>
      <c r="DF20" s="47" t="n"/>
      <c r="DG20" s="47" t="n"/>
      <c r="DH20" s="47" t="n"/>
      <c r="DI20" s="47" t="n"/>
      <c r="DJ20" s="47" t="n"/>
      <c r="DK20" s="47" t="inlineStr">
        <is>
          <t>P</t>
        </is>
      </c>
      <c r="DL20" s="47" t="n"/>
      <c r="DM20" s="47" t="n"/>
      <c r="DN20" s="47" t="inlineStr">
        <is>
          <t>A</t>
        </is>
      </c>
      <c r="DO20" s="47" t="inlineStr">
        <is>
          <t>A</t>
        </is>
      </c>
      <c r="DP20" s="47" t="n"/>
      <c r="DQ20" s="47" t="n"/>
      <c r="DR20" s="47" t="inlineStr">
        <is>
          <t>P</t>
        </is>
      </c>
      <c r="DS20" s="47" t="inlineStr">
        <is>
          <t>P</t>
        </is>
      </c>
      <c r="DT20" s="47" t="n"/>
      <c r="DU20" s="47" t="n"/>
      <c r="DV20" s="47" t="inlineStr">
        <is>
          <t>P</t>
        </is>
      </c>
      <c r="DW20" s="47" t="inlineStr">
        <is>
          <t>P</t>
        </is>
      </c>
      <c r="DX20" s="47" t="n"/>
      <c r="DY20" s="47" t="n"/>
      <c r="DZ20" s="47" t="inlineStr">
        <is>
          <t>P</t>
        </is>
      </c>
      <c r="EA20" s="47" t="n"/>
      <c r="EB20" s="47" t="n"/>
      <c r="EC20" s="47" t="n"/>
      <c r="ED20" s="47" t="n"/>
      <c r="EE20" s="47" t="n"/>
      <c r="EF20" s="47" t="n"/>
      <c r="EG20" s="47" t="n"/>
      <c r="EH20" s="47" t="inlineStr">
        <is>
          <t>P</t>
        </is>
      </c>
      <c r="EI20" s="47" t="n"/>
      <c r="EJ20" s="47" t="n"/>
      <c r="EK20" s="47" t="inlineStr">
        <is>
          <t>P</t>
        </is>
      </c>
      <c r="EL20" s="47" t="inlineStr">
        <is>
          <t>P</t>
        </is>
      </c>
      <c r="EM20" s="47" t="n"/>
      <c r="EN20" s="47" t="n"/>
      <c r="EO20" s="47" t="inlineStr">
        <is>
          <t>P</t>
        </is>
      </c>
      <c r="EP20" s="47" t="inlineStr">
        <is>
          <t>P</t>
        </is>
      </c>
      <c r="EQ20" s="47" t="n"/>
      <c r="ER20" s="47" t="n"/>
      <c r="ES20" s="47" t="inlineStr">
        <is>
          <t>A</t>
        </is>
      </c>
      <c r="ET20" s="47" t="inlineStr">
        <is>
          <t>P</t>
        </is>
      </c>
      <c r="EU20" s="47" t="n"/>
      <c r="EV20" s="47" t="n"/>
      <c r="EW20" s="47" t="n"/>
      <c r="EX20" s="47" t="n"/>
      <c r="EY20" s="47" t="n"/>
      <c r="EZ20" s="47" t="n"/>
      <c r="FA20" s="47" t="n"/>
      <c r="FB20" s="47" t="inlineStr">
        <is>
          <t>A</t>
        </is>
      </c>
      <c r="FC20" s="47" t="n"/>
      <c r="FD20" s="47" t="n"/>
      <c r="FE20" s="47" t="inlineStr">
        <is>
          <t>P</t>
        </is>
      </c>
      <c r="FF20" s="47" t="inlineStr">
        <is>
          <t>P</t>
        </is>
      </c>
      <c r="FG20" s="47" t="n"/>
      <c r="FH20" s="47" t="n"/>
      <c r="FI20" s="47" t="inlineStr">
        <is>
          <t>P</t>
        </is>
      </c>
      <c r="FJ20" s="47" t="inlineStr">
        <is>
          <t>P</t>
        </is>
      </c>
      <c r="FK20" s="47" t="n"/>
      <c r="FL20" s="47" t="n"/>
      <c r="FM20" s="47" t="n"/>
      <c r="FN20" s="47" t="n"/>
      <c r="FO20" s="47" t="n"/>
      <c r="FP20" s="47" t="n"/>
      <c r="FQ20" s="47" t="n"/>
      <c r="FR20" s="47" t="inlineStr">
        <is>
          <t>P</t>
        </is>
      </c>
      <c r="FS20" s="47" t="n"/>
      <c r="FT20" s="47" t="n"/>
      <c r="FU20" s="47" t="n"/>
      <c r="FV20" s="47" t="n"/>
      <c r="FW20" s="47" t="n"/>
      <c r="FX20" s="47" t="n"/>
      <c r="FY20" s="47" t="inlineStr">
        <is>
          <t>P</t>
        </is>
      </c>
      <c r="FZ20" s="47" t="inlineStr">
        <is>
          <t>P</t>
        </is>
      </c>
      <c r="GA20" s="47" t="n"/>
      <c r="GB20" s="47" t="n"/>
      <c r="GC20" s="47" t="n"/>
      <c r="GD20" s="47" t="inlineStr">
        <is>
          <t>P</t>
        </is>
      </c>
      <c r="GE20" s="47" t="n"/>
      <c r="GF20" s="47" t="n"/>
      <c r="GG20" s="47" t="inlineStr">
        <is>
          <t>A</t>
        </is>
      </c>
      <c r="GH20" s="47" t="n"/>
      <c r="GI20" s="47" t="n"/>
    </row>
    <row r="21" ht="14.25" customHeight="1" s="34">
      <c r="A21" s="46" t="n">
        <v>18</v>
      </c>
      <c r="B21" s="46" t="inlineStr">
        <is>
          <t>325106410018</t>
        </is>
      </c>
      <c r="C21" s="46" t="inlineStr">
        <is>
          <t>BHARGAV KRISHNA KANDREGULA</t>
        </is>
      </c>
      <c r="D21" s="47" t="inlineStr">
        <is>
          <t>A</t>
        </is>
      </c>
      <c r="E21" s="47" t="n"/>
      <c r="F21" s="47" t="n"/>
      <c r="G21" s="47" t="n"/>
      <c r="H21" s="47" t="n"/>
      <c r="I21" s="47" t="inlineStr">
        <is>
          <t>A</t>
        </is>
      </c>
      <c r="J21" s="47" t="n"/>
      <c r="K21" s="47" t="n"/>
      <c r="L21" s="47" t="inlineStr">
        <is>
          <t>A</t>
        </is>
      </c>
      <c r="M21" s="47" t="n"/>
      <c r="N21" s="47" t="n"/>
      <c r="O21" s="47" t="n"/>
      <c r="P21" s="47" t="inlineStr">
        <is>
          <t>A</t>
        </is>
      </c>
      <c r="Q21" s="47" t="inlineStr">
        <is>
          <t>A</t>
        </is>
      </c>
      <c r="R21" s="47" t="n"/>
      <c r="S21" s="47" t="n"/>
      <c r="T21" s="47" t="inlineStr">
        <is>
          <t>P</t>
        </is>
      </c>
      <c r="U21" s="47" t="n"/>
      <c r="V21" s="47" t="n"/>
      <c r="W21" s="47" t="n"/>
      <c r="X21" s="47" t="n"/>
      <c r="Y21" s="47" t="n"/>
      <c r="Z21" s="47" t="n"/>
      <c r="AA21" s="47" t="n"/>
      <c r="AB21" s="47" t="n"/>
      <c r="AC21" s="47" t="inlineStr">
        <is>
          <t>P</t>
        </is>
      </c>
      <c r="AD21" s="47" t="n"/>
      <c r="AE21" s="47" t="n"/>
      <c r="AF21" s="47" t="inlineStr">
        <is>
          <t>P</t>
        </is>
      </c>
      <c r="AG21" s="47" t="n"/>
      <c r="AH21" s="47" t="n"/>
      <c r="AI21" s="47" t="n"/>
      <c r="AJ21" s="47" t="inlineStr">
        <is>
          <t>P</t>
        </is>
      </c>
      <c r="AK21" s="47" t="inlineStr">
        <is>
          <t>P</t>
        </is>
      </c>
      <c r="AL21" s="47" t="n"/>
      <c r="AM21" s="47" t="n"/>
      <c r="AN21" s="47" t="inlineStr">
        <is>
          <t>A</t>
        </is>
      </c>
      <c r="AO21" s="47" t="n"/>
      <c r="AP21" s="47" t="n"/>
      <c r="AQ21" s="47" t="n"/>
      <c r="AR21" s="47" t="inlineStr">
        <is>
          <t>A</t>
        </is>
      </c>
      <c r="AS21" s="47" t="n"/>
      <c r="AT21" s="47" t="n"/>
      <c r="AU21" s="47" t="n"/>
      <c r="AV21" s="47" t="n"/>
      <c r="AW21" s="47" t="inlineStr">
        <is>
          <t>P</t>
        </is>
      </c>
      <c r="AX21" s="47" t="n"/>
      <c r="AY21" s="47" t="n"/>
      <c r="AZ21" s="47" t="inlineStr">
        <is>
          <t>P</t>
        </is>
      </c>
      <c r="BA21" s="47" t="inlineStr">
        <is>
          <t>P</t>
        </is>
      </c>
      <c r="BB21" s="47" t="n"/>
      <c r="BC21" s="47" t="n"/>
      <c r="BD21" s="47" t="inlineStr">
        <is>
          <t>P</t>
        </is>
      </c>
      <c r="BE21" s="47" t="inlineStr">
        <is>
          <t>P</t>
        </is>
      </c>
      <c r="BF21" s="47" t="n"/>
      <c r="BG21" s="47" t="n"/>
      <c r="BH21" s="47" t="inlineStr">
        <is>
          <t>P</t>
        </is>
      </c>
      <c r="BI21" s="47" t="inlineStr">
        <is>
          <t>P</t>
        </is>
      </c>
      <c r="BJ21" s="47" t="n"/>
      <c r="BK21" s="47" t="n"/>
      <c r="BL21" s="47" t="n"/>
      <c r="BM21" s="47" t="n"/>
      <c r="BN21" s="47" t="n"/>
      <c r="BO21" s="47" t="n"/>
      <c r="BP21" s="47" t="n"/>
      <c r="BQ21" s="47" t="inlineStr">
        <is>
          <t>P</t>
        </is>
      </c>
      <c r="BR21" s="47" t="n"/>
      <c r="BS21" s="47" t="n"/>
      <c r="BT21" s="47" t="inlineStr">
        <is>
          <t>P</t>
        </is>
      </c>
      <c r="BU21" s="47" t="inlineStr">
        <is>
          <t>A</t>
        </is>
      </c>
      <c r="BV21" s="47" t="n"/>
      <c r="BW21" s="47" t="n"/>
      <c r="BX21" s="47" t="inlineStr">
        <is>
          <t>P</t>
        </is>
      </c>
      <c r="BY21" s="47" t="inlineStr">
        <is>
          <t>P</t>
        </is>
      </c>
      <c r="BZ21" s="47" t="n"/>
      <c r="CA21" s="47" t="n"/>
      <c r="CB21" s="47" t="inlineStr">
        <is>
          <t>P</t>
        </is>
      </c>
      <c r="CC21" s="47" t="n"/>
      <c r="CD21" s="47" t="n"/>
      <c r="CE21" s="47" t="n"/>
      <c r="CF21" s="47" t="inlineStr">
        <is>
          <t>P</t>
        </is>
      </c>
      <c r="CG21" s="47" t="n"/>
      <c r="CH21" s="47" t="n"/>
      <c r="CI21" s="47" t="n"/>
      <c r="CJ21" s="47" t="n"/>
      <c r="CK21" s="47" t="n"/>
      <c r="CL21" s="47" t="n"/>
      <c r="CM21" s="47" t="n"/>
      <c r="CN21" s="47" t="inlineStr">
        <is>
          <t>P</t>
        </is>
      </c>
      <c r="CO21" s="47" t="n"/>
      <c r="CP21" s="47" t="n"/>
      <c r="CQ21" s="47" t="inlineStr">
        <is>
          <t>A</t>
        </is>
      </c>
      <c r="CR21" s="47" t="inlineStr">
        <is>
          <t>A</t>
        </is>
      </c>
      <c r="CS21" s="47" t="n"/>
      <c r="CT21" s="47" t="n"/>
      <c r="CU21" s="47" t="inlineStr">
        <is>
          <t>P</t>
        </is>
      </c>
      <c r="CV21" s="47" t="inlineStr">
        <is>
          <t>P</t>
        </is>
      </c>
      <c r="CW21" s="47" t="n"/>
      <c r="CX21" s="47" t="n"/>
      <c r="CY21" s="47" t="n"/>
      <c r="CZ21" s="47" t="inlineStr">
        <is>
          <t>P</t>
        </is>
      </c>
      <c r="DA21" s="47" t="n"/>
      <c r="DB21" s="47" t="n"/>
      <c r="DC21" s="47" t="inlineStr">
        <is>
          <t>P</t>
        </is>
      </c>
      <c r="DD21" s="47" t="n"/>
      <c r="DE21" s="47" t="n"/>
      <c r="DF21" s="47" t="n"/>
      <c r="DG21" s="47" t="n"/>
      <c r="DH21" s="47" t="n"/>
      <c r="DI21" s="47" t="n"/>
      <c r="DJ21" s="47" t="n"/>
      <c r="DK21" s="47" t="inlineStr">
        <is>
          <t>P</t>
        </is>
      </c>
      <c r="DL21" s="47" t="n"/>
      <c r="DM21" s="47" t="n"/>
      <c r="DN21" s="47" t="inlineStr">
        <is>
          <t>P</t>
        </is>
      </c>
      <c r="DO21" s="47" t="inlineStr">
        <is>
          <t>P</t>
        </is>
      </c>
      <c r="DP21" s="47" t="n"/>
      <c r="DQ21" s="47" t="n"/>
      <c r="DR21" s="47" t="inlineStr">
        <is>
          <t>P</t>
        </is>
      </c>
      <c r="DS21" s="47" t="inlineStr">
        <is>
          <t>P</t>
        </is>
      </c>
      <c r="DT21" s="47" t="n"/>
      <c r="DU21" s="47" t="n"/>
      <c r="DV21" s="47" t="inlineStr">
        <is>
          <t>P</t>
        </is>
      </c>
      <c r="DW21" s="47" t="inlineStr">
        <is>
          <t>P</t>
        </is>
      </c>
      <c r="DX21" s="47" t="n"/>
      <c r="DY21" s="47" t="n"/>
      <c r="DZ21" s="47" t="inlineStr">
        <is>
          <t>P</t>
        </is>
      </c>
      <c r="EA21" s="47" t="n"/>
      <c r="EB21" s="47" t="n"/>
      <c r="EC21" s="47" t="n"/>
      <c r="ED21" s="47" t="n"/>
      <c r="EE21" s="47" t="n"/>
      <c r="EF21" s="47" t="n"/>
      <c r="EG21" s="47" t="n"/>
      <c r="EH21" s="47" t="inlineStr">
        <is>
          <t>P</t>
        </is>
      </c>
      <c r="EI21" s="47" t="n"/>
      <c r="EJ21" s="47" t="n"/>
      <c r="EK21" s="47" t="inlineStr">
        <is>
          <t>P</t>
        </is>
      </c>
      <c r="EL21" s="47" t="inlineStr">
        <is>
          <t>P</t>
        </is>
      </c>
      <c r="EM21" s="47" t="n"/>
      <c r="EN21" s="47" t="n"/>
      <c r="EO21" s="47" t="inlineStr">
        <is>
          <t>P</t>
        </is>
      </c>
      <c r="EP21" s="47" t="inlineStr">
        <is>
          <t>P</t>
        </is>
      </c>
      <c r="EQ21" s="47" t="n"/>
      <c r="ER21" s="47" t="n"/>
      <c r="ES21" s="47" t="inlineStr">
        <is>
          <t>A</t>
        </is>
      </c>
      <c r="ET21" s="47" t="inlineStr">
        <is>
          <t>A</t>
        </is>
      </c>
      <c r="EU21" s="47" t="n"/>
      <c r="EV21" s="47" t="n"/>
      <c r="EW21" s="47" t="n"/>
      <c r="EX21" s="47" t="n"/>
      <c r="EY21" s="47" t="n"/>
      <c r="EZ21" s="47" t="n"/>
      <c r="FA21" s="47" t="n"/>
      <c r="FB21" s="47" t="inlineStr">
        <is>
          <t>P</t>
        </is>
      </c>
      <c r="FC21" s="47" t="n"/>
      <c r="FD21" s="47" t="n"/>
      <c r="FE21" s="47" t="inlineStr">
        <is>
          <t>P</t>
        </is>
      </c>
      <c r="FF21" s="47" t="inlineStr">
        <is>
          <t>P</t>
        </is>
      </c>
      <c r="FG21" s="47" t="n"/>
      <c r="FH21" s="47" t="n"/>
      <c r="FI21" s="47" t="inlineStr">
        <is>
          <t>P</t>
        </is>
      </c>
      <c r="FJ21" s="47" t="inlineStr">
        <is>
          <t>P</t>
        </is>
      </c>
      <c r="FK21" s="47" t="n"/>
      <c r="FL21" s="47" t="n"/>
      <c r="FM21" s="47" t="n"/>
      <c r="FN21" s="47" t="n"/>
      <c r="FO21" s="47" t="n"/>
      <c r="FP21" s="47" t="n"/>
      <c r="FQ21" s="47" t="n"/>
      <c r="FR21" s="47" t="inlineStr">
        <is>
          <t>P</t>
        </is>
      </c>
      <c r="FS21" s="47" t="n"/>
      <c r="FT21" s="47" t="n"/>
      <c r="FU21" s="47" t="n"/>
      <c r="FV21" s="47" t="n"/>
      <c r="FW21" s="47" t="n"/>
      <c r="FX21" s="47" t="n"/>
      <c r="FY21" s="47" t="inlineStr">
        <is>
          <t>A</t>
        </is>
      </c>
      <c r="FZ21" s="47" t="inlineStr">
        <is>
          <t>A</t>
        </is>
      </c>
      <c r="GA21" s="47" t="n"/>
      <c r="GB21" s="47" t="n"/>
      <c r="GC21" s="47" t="n"/>
      <c r="GD21" s="47" t="inlineStr">
        <is>
          <t>P</t>
        </is>
      </c>
      <c r="GE21" s="47" t="n"/>
      <c r="GF21" s="47" t="n"/>
      <c r="GG21" s="47" t="inlineStr">
        <is>
          <t>P</t>
        </is>
      </c>
      <c r="GH21" s="47" t="n"/>
      <c r="GI21" s="47" t="n"/>
    </row>
    <row r="22" ht="14.25" customHeight="1" s="34">
      <c r="A22" s="46" t="n">
        <v>19</v>
      </c>
      <c r="B22" s="46" t="inlineStr">
        <is>
          <t>325106410019</t>
        </is>
      </c>
      <c r="C22" s="46" t="inlineStr">
        <is>
          <t>MUSTHAKHEEM KATTUBADI</t>
        </is>
      </c>
      <c r="D22" s="47" t="inlineStr">
        <is>
          <t>A</t>
        </is>
      </c>
      <c r="E22" s="47" t="n"/>
      <c r="F22" s="47" t="n"/>
      <c r="G22" s="47" t="n"/>
      <c r="H22" s="47" t="n"/>
      <c r="I22" s="47" t="inlineStr">
        <is>
          <t>A</t>
        </is>
      </c>
      <c r="J22" s="47" t="n"/>
      <c r="K22" s="47" t="n"/>
      <c r="L22" s="47" t="inlineStr">
        <is>
          <t>A</t>
        </is>
      </c>
      <c r="M22" s="47" t="n"/>
      <c r="N22" s="47" t="n"/>
      <c r="O22" s="47" t="n"/>
      <c r="P22" s="47" t="inlineStr">
        <is>
          <t>A</t>
        </is>
      </c>
      <c r="Q22" s="47" t="inlineStr">
        <is>
          <t>A</t>
        </is>
      </c>
      <c r="R22" s="47" t="n"/>
      <c r="S22" s="47" t="n"/>
      <c r="T22" s="47" t="inlineStr">
        <is>
          <t>A</t>
        </is>
      </c>
      <c r="U22" s="47" t="n"/>
      <c r="V22" s="47" t="n"/>
      <c r="W22" s="47" t="n"/>
      <c r="X22" s="47" t="n"/>
      <c r="Y22" s="47" t="n"/>
      <c r="Z22" s="47" t="n"/>
      <c r="AA22" s="47" t="n"/>
      <c r="AB22" s="47" t="n"/>
      <c r="AC22" s="47" t="inlineStr">
        <is>
          <t>P</t>
        </is>
      </c>
      <c r="AD22" s="47" t="n"/>
      <c r="AE22" s="47" t="n"/>
      <c r="AF22" s="47" t="inlineStr">
        <is>
          <t>P</t>
        </is>
      </c>
      <c r="AG22" s="47" t="n"/>
      <c r="AH22" s="47" t="n"/>
      <c r="AI22" s="47" t="n"/>
      <c r="AJ22" s="47" t="inlineStr">
        <is>
          <t>P</t>
        </is>
      </c>
      <c r="AK22" s="47" t="inlineStr">
        <is>
          <t>P</t>
        </is>
      </c>
      <c r="AL22" s="47" t="n"/>
      <c r="AM22" s="47" t="n"/>
      <c r="AN22" s="47" t="inlineStr">
        <is>
          <t>P</t>
        </is>
      </c>
      <c r="AO22" s="47" t="n"/>
      <c r="AP22" s="47" t="n"/>
      <c r="AQ22" s="47" t="n"/>
      <c r="AR22" s="47" t="inlineStr">
        <is>
          <t>P</t>
        </is>
      </c>
      <c r="AS22" s="47" t="n"/>
      <c r="AT22" s="47" t="n"/>
      <c r="AU22" s="47" t="n"/>
      <c r="AV22" s="47" t="n"/>
      <c r="AW22" s="47" t="inlineStr">
        <is>
          <t>P</t>
        </is>
      </c>
      <c r="AX22" s="47" t="n"/>
      <c r="AY22" s="47" t="n"/>
      <c r="AZ22" s="47" t="inlineStr">
        <is>
          <t>P</t>
        </is>
      </c>
      <c r="BA22" s="47" t="inlineStr">
        <is>
          <t>P</t>
        </is>
      </c>
      <c r="BB22" s="47" t="n"/>
      <c r="BC22" s="47" t="n"/>
      <c r="BD22" s="47" t="inlineStr">
        <is>
          <t>P</t>
        </is>
      </c>
      <c r="BE22" s="47" t="inlineStr">
        <is>
          <t>P</t>
        </is>
      </c>
      <c r="BF22" s="47" t="n"/>
      <c r="BG22" s="47" t="n"/>
      <c r="BH22" s="47" t="inlineStr">
        <is>
          <t>P</t>
        </is>
      </c>
      <c r="BI22" s="47" t="inlineStr">
        <is>
          <t>P</t>
        </is>
      </c>
      <c r="BJ22" s="47" t="n"/>
      <c r="BK22" s="47" t="n"/>
      <c r="BL22" s="47" t="n"/>
      <c r="BM22" s="47" t="n"/>
      <c r="BN22" s="47" t="n"/>
      <c r="BO22" s="47" t="n"/>
      <c r="BP22" s="47" t="n"/>
      <c r="BQ22" s="47" t="inlineStr">
        <is>
          <t>P</t>
        </is>
      </c>
      <c r="BR22" s="47" t="n"/>
      <c r="BS22" s="47" t="n"/>
      <c r="BT22" s="47" t="inlineStr">
        <is>
          <t>P</t>
        </is>
      </c>
      <c r="BU22" s="47" t="inlineStr">
        <is>
          <t>P</t>
        </is>
      </c>
      <c r="BV22" s="47" t="n"/>
      <c r="BW22" s="47" t="n"/>
      <c r="BX22" s="47" t="inlineStr">
        <is>
          <t>P</t>
        </is>
      </c>
      <c r="BY22" s="47" t="inlineStr">
        <is>
          <t>P</t>
        </is>
      </c>
      <c r="BZ22" s="47" t="n"/>
      <c r="CA22" s="47" t="n"/>
      <c r="CB22" s="47" t="inlineStr">
        <is>
          <t>P</t>
        </is>
      </c>
      <c r="CC22" s="47" t="n"/>
      <c r="CD22" s="47" t="n"/>
      <c r="CE22" s="47" t="n"/>
      <c r="CF22" s="47" t="inlineStr">
        <is>
          <t>A</t>
        </is>
      </c>
      <c r="CG22" s="47" t="n"/>
      <c r="CH22" s="47" t="n"/>
      <c r="CI22" s="47" t="n"/>
      <c r="CJ22" s="47" t="n"/>
      <c r="CK22" s="47" t="n"/>
      <c r="CL22" s="47" t="n"/>
      <c r="CM22" s="47" t="n"/>
      <c r="CN22" s="47" t="inlineStr">
        <is>
          <t>P</t>
        </is>
      </c>
      <c r="CO22" s="47" t="n"/>
      <c r="CP22" s="47" t="n"/>
      <c r="CQ22" s="47" t="inlineStr">
        <is>
          <t>A</t>
        </is>
      </c>
      <c r="CR22" s="47" t="inlineStr">
        <is>
          <t>A</t>
        </is>
      </c>
      <c r="CS22" s="47" t="n"/>
      <c r="CT22" s="47" t="n"/>
      <c r="CU22" s="47" t="inlineStr">
        <is>
          <t>P</t>
        </is>
      </c>
      <c r="CV22" s="47" t="inlineStr">
        <is>
          <t>P</t>
        </is>
      </c>
      <c r="CW22" s="47" t="n"/>
      <c r="CX22" s="47" t="n"/>
      <c r="CY22" s="47" t="n"/>
      <c r="CZ22" s="47" t="inlineStr">
        <is>
          <t>P</t>
        </is>
      </c>
      <c r="DA22" s="47" t="n"/>
      <c r="DB22" s="47" t="n"/>
      <c r="DC22" s="47" t="inlineStr">
        <is>
          <t>P</t>
        </is>
      </c>
      <c r="DD22" s="47" t="n"/>
      <c r="DE22" s="47" t="n"/>
      <c r="DF22" s="47" t="n"/>
      <c r="DG22" s="47" t="n"/>
      <c r="DH22" s="47" t="n"/>
      <c r="DI22" s="47" t="n"/>
      <c r="DJ22" s="47" t="n"/>
      <c r="DK22" s="47" t="inlineStr">
        <is>
          <t>P</t>
        </is>
      </c>
      <c r="DL22" s="47" t="n"/>
      <c r="DM22" s="47" t="n"/>
      <c r="DN22" s="47" t="inlineStr">
        <is>
          <t>A</t>
        </is>
      </c>
      <c r="DO22" s="47" t="inlineStr">
        <is>
          <t>A</t>
        </is>
      </c>
      <c r="DP22" s="47" t="n"/>
      <c r="DQ22" s="47" t="n"/>
      <c r="DR22" s="47" t="inlineStr">
        <is>
          <t>P</t>
        </is>
      </c>
      <c r="DS22" s="47" t="inlineStr">
        <is>
          <t>P</t>
        </is>
      </c>
      <c r="DT22" s="47" t="n"/>
      <c r="DU22" s="47" t="n"/>
      <c r="DV22" s="47" t="inlineStr">
        <is>
          <t>P</t>
        </is>
      </c>
      <c r="DW22" s="47" t="inlineStr">
        <is>
          <t>P</t>
        </is>
      </c>
      <c r="DX22" s="47" t="n"/>
      <c r="DY22" s="47" t="n"/>
      <c r="DZ22" s="47" t="inlineStr">
        <is>
          <t>P</t>
        </is>
      </c>
      <c r="EA22" s="47" t="n"/>
      <c r="EB22" s="47" t="n"/>
      <c r="EC22" s="47" t="n"/>
      <c r="ED22" s="47" t="n"/>
      <c r="EE22" s="47" t="n"/>
      <c r="EF22" s="47" t="n"/>
      <c r="EG22" s="47" t="n"/>
      <c r="EH22" s="47" t="inlineStr">
        <is>
          <t>P</t>
        </is>
      </c>
      <c r="EI22" s="47" t="n"/>
      <c r="EJ22" s="47" t="n"/>
      <c r="EK22" s="47" t="inlineStr">
        <is>
          <t>P</t>
        </is>
      </c>
      <c r="EL22" s="47" t="inlineStr">
        <is>
          <t>P</t>
        </is>
      </c>
      <c r="EM22" s="47" t="n"/>
      <c r="EN22" s="47" t="n"/>
      <c r="EO22" s="47" t="inlineStr">
        <is>
          <t>P</t>
        </is>
      </c>
      <c r="EP22" s="47" t="inlineStr">
        <is>
          <t>P</t>
        </is>
      </c>
      <c r="EQ22" s="47" t="n"/>
      <c r="ER22" s="47" t="n"/>
      <c r="ES22" s="47" t="inlineStr">
        <is>
          <t>A</t>
        </is>
      </c>
      <c r="ET22" s="47" t="inlineStr">
        <is>
          <t>P</t>
        </is>
      </c>
      <c r="EU22" s="47" t="n"/>
      <c r="EV22" s="47" t="n"/>
      <c r="EW22" s="47" t="n"/>
      <c r="EX22" s="47" t="n"/>
      <c r="EY22" s="47" t="n"/>
      <c r="EZ22" s="47" t="n"/>
      <c r="FA22" s="47" t="n"/>
      <c r="FB22" s="47" t="inlineStr">
        <is>
          <t>P</t>
        </is>
      </c>
      <c r="FC22" s="47" t="n"/>
      <c r="FD22" s="47" t="n"/>
      <c r="FE22" s="47" t="inlineStr">
        <is>
          <t>P</t>
        </is>
      </c>
      <c r="FF22" s="47" t="inlineStr">
        <is>
          <t>P</t>
        </is>
      </c>
      <c r="FG22" s="47" t="n"/>
      <c r="FH22" s="47" t="n"/>
      <c r="FI22" s="47" t="inlineStr">
        <is>
          <t>P</t>
        </is>
      </c>
      <c r="FJ22" s="47" t="inlineStr">
        <is>
          <t>P</t>
        </is>
      </c>
      <c r="FK22" s="47" t="n"/>
      <c r="FL22" s="47" t="n"/>
      <c r="FM22" s="47" t="n"/>
      <c r="FN22" s="47" t="n"/>
      <c r="FO22" s="47" t="n"/>
      <c r="FP22" s="47" t="n"/>
      <c r="FQ22" s="47" t="n"/>
      <c r="FR22" s="47" t="inlineStr">
        <is>
          <t>P</t>
        </is>
      </c>
      <c r="FS22" s="47" t="n"/>
      <c r="FT22" s="47" t="n"/>
      <c r="FU22" s="47" t="n"/>
      <c r="FV22" s="47" t="n"/>
      <c r="FW22" s="47" t="n"/>
      <c r="FX22" s="47" t="n"/>
      <c r="FY22" s="47" t="inlineStr">
        <is>
          <t>A</t>
        </is>
      </c>
      <c r="FZ22" s="47" t="inlineStr">
        <is>
          <t>A</t>
        </is>
      </c>
      <c r="GA22" s="47" t="n"/>
      <c r="GB22" s="47" t="n"/>
      <c r="GC22" s="47" t="n"/>
      <c r="GD22" s="47" t="inlineStr">
        <is>
          <t>P</t>
        </is>
      </c>
      <c r="GE22" s="47" t="n"/>
      <c r="GF22" s="47" t="n"/>
      <c r="GG22" s="47" t="inlineStr">
        <is>
          <t>P</t>
        </is>
      </c>
      <c r="GH22" s="47" t="n"/>
      <c r="GI22" s="47" t="n"/>
    </row>
    <row r="23" ht="14.25" customHeight="1" s="34">
      <c r="A23" s="46" t="n">
        <v>20</v>
      </c>
      <c r="B23" s="46" t="inlineStr">
        <is>
          <t>325106410020</t>
        </is>
      </c>
      <c r="C23" s="46" t="inlineStr">
        <is>
          <t>HEMA VENKATA SAI RAM CHARAN KOMMURU</t>
        </is>
      </c>
      <c r="D23" s="47" t="inlineStr">
        <is>
          <t>A</t>
        </is>
      </c>
      <c r="E23" s="47" t="n"/>
      <c r="F23" s="47" t="n"/>
      <c r="G23" s="47" t="n"/>
      <c r="H23" s="47" t="n"/>
      <c r="I23" s="47" t="inlineStr">
        <is>
          <t>A</t>
        </is>
      </c>
      <c r="J23" s="47" t="n"/>
      <c r="K23" s="47" t="n"/>
      <c r="L23" s="47" t="inlineStr">
        <is>
          <t>A</t>
        </is>
      </c>
      <c r="M23" s="47" t="n"/>
      <c r="N23" s="47" t="n"/>
      <c r="O23" s="47" t="n"/>
      <c r="P23" s="47" t="inlineStr">
        <is>
          <t>P</t>
        </is>
      </c>
      <c r="Q23" s="47" t="inlineStr">
        <is>
          <t>P</t>
        </is>
      </c>
      <c r="R23" s="47" t="n"/>
      <c r="S23" s="47" t="n"/>
      <c r="T23" s="47" t="inlineStr">
        <is>
          <t>P</t>
        </is>
      </c>
      <c r="U23" s="47" t="n"/>
      <c r="V23" s="47" t="n"/>
      <c r="W23" s="47" t="n"/>
      <c r="X23" s="47" t="n"/>
      <c r="Y23" s="47" t="n"/>
      <c r="Z23" s="47" t="n"/>
      <c r="AA23" s="47" t="n"/>
      <c r="AB23" s="47" t="n"/>
      <c r="AC23" s="47" t="inlineStr">
        <is>
          <t>P</t>
        </is>
      </c>
      <c r="AD23" s="47" t="n"/>
      <c r="AE23" s="47" t="n"/>
      <c r="AF23" s="47" t="inlineStr">
        <is>
          <t>P</t>
        </is>
      </c>
      <c r="AG23" s="47" t="n"/>
      <c r="AH23" s="47" t="n"/>
      <c r="AI23" s="47" t="n"/>
      <c r="AJ23" s="47" t="inlineStr">
        <is>
          <t>P</t>
        </is>
      </c>
      <c r="AK23" s="47" t="inlineStr">
        <is>
          <t>P</t>
        </is>
      </c>
      <c r="AL23" s="47" t="n"/>
      <c r="AM23" s="47" t="n"/>
      <c r="AN23" s="47" t="inlineStr">
        <is>
          <t>P</t>
        </is>
      </c>
      <c r="AO23" s="47" t="n"/>
      <c r="AP23" s="47" t="n"/>
      <c r="AQ23" s="47" t="n"/>
      <c r="AR23" s="47" t="inlineStr">
        <is>
          <t>P</t>
        </is>
      </c>
      <c r="AS23" s="47" t="n"/>
      <c r="AT23" s="47" t="n"/>
      <c r="AU23" s="47" t="n"/>
      <c r="AV23" s="47" t="n"/>
      <c r="AW23" s="47" t="inlineStr">
        <is>
          <t>P</t>
        </is>
      </c>
      <c r="AX23" s="47" t="n"/>
      <c r="AY23" s="47" t="n"/>
      <c r="AZ23" s="47" t="inlineStr">
        <is>
          <t>P</t>
        </is>
      </c>
      <c r="BA23" s="47" t="inlineStr">
        <is>
          <t>P</t>
        </is>
      </c>
      <c r="BB23" s="47" t="n"/>
      <c r="BC23" s="47" t="n"/>
      <c r="BD23" s="47" t="inlineStr">
        <is>
          <t>P</t>
        </is>
      </c>
      <c r="BE23" s="47" t="inlineStr">
        <is>
          <t>P</t>
        </is>
      </c>
      <c r="BF23" s="47" t="n"/>
      <c r="BG23" s="47" t="n"/>
      <c r="BH23" s="47" t="inlineStr">
        <is>
          <t>P</t>
        </is>
      </c>
      <c r="BI23" s="47" t="inlineStr">
        <is>
          <t>P</t>
        </is>
      </c>
      <c r="BJ23" s="47" t="n"/>
      <c r="BK23" s="47" t="n"/>
      <c r="BL23" s="47" t="n"/>
      <c r="BM23" s="47" t="n"/>
      <c r="BN23" s="47" t="n"/>
      <c r="BO23" s="47" t="n"/>
      <c r="BP23" s="47" t="n"/>
      <c r="BQ23" s="47" t="inlineStr">
        <is>
          <t>P</t>
        </is>
      </c>
      <c r="BR23" s="47" t="n"/>
      <c r="BS23" s="47" t="n"/>
      <c r="BT23" s="47" t="inlineStr">
        <is>
          <t>P</t>
        </is>
      </c>
      <c r="BU23" s="47" t="inlineStr">
        <is>
          <t>A</t>
        </is>
      </c>
      <c r="BV23" s="47" t="n"/>
      <c r="BW23" s="47" t="n"/>
      <c r="BX23" s="47" t="inlineStr">
        <is>
          <t>P</t>
        </is>
      </c>
      <c r="BY23" s="47" t="inlineStr">
        <is>
          <t>A</t>
        </is>
      </c>
      <c r="BZ23" s="47" t="n"/>
      <c r="CA23" s="47" t="n"/>
      <c r="CB23" s="47" t="inlineStr">
        <is>
          <t>P</t>
        </is>
      </c>
      <c r="CC23" s="47" t="n"/>
      <c r="CD23" s="47" t="n"/>
      <c r="CE23" s="47" t="n"/>
      <c r="CF23" s="47" t="inlineStr">
        <is>
          <t>P</t>
        </is>
      </c>
      <c r="CG23" s="47" t="n"/>
      <c r="CH23" s="47" t="n"/>
      <c r="CI23" s="47" t="n"/>
      <c r="CJ23" s="47" t="n"/>
      <c r="CK23" s="47" t="n"/>
      <c r="CL23" s="47" t="n"/>
      <c r="CM23" s="47" t="n"/>
      <c r="CN23" s="47" t="inlineStr">
        <is>
          <t>P</t>
        </is>
      </c>
      <c r="CO23" s="47" t="n"/>
      <c r="CP23" s="47" t="n"/>
      <c r="CQ23" s="47" t="inlineStr">
        <is>
          <t>P</t>
        </is>
      </c>
      <c r="CR23" s="47" t="inlineStr">
        <is>
          <t>P</t>
        </is>
      </c>
      <c r="CS23" s="47" t="n"/>
      <c r="CT23" s="47" t="n"/>
      <c r="CU23" s="47" t="inlineStr">
        <is>
          <t>A</t>
        </is>
      </c>
      <c r="CV23" s="47" t="inlineStr">
        <is>
          <t>P</t>
        </is>
      </c>
      <c r="CW23" s="47" t="n"/>
      <c r="CX23" s="47" t="n"/>
      <c r="CY23" s="47" t="n"/>
      <c r="CZ23" s="47" t="inlineStr">
        <is>
          <t>P</t>
        </is>
      </c>
      <c r="DA23" s="47" t="n"/>
      <c r="DB23" s="47" t="n"/>
      <c r="DC23" s="47" t="inlineStr">
        <is>
          <t>P</t>
        </is>
      </c>
      <c r="DD23" s="47" t="n"/>
      <c r="DE23" s="47" t="n"/>
      <c r="DF23" s="47" t="n"/>
      <c r="DG23" s="47" t="n"/>
      <c r="DH23" s="47" t="n"/>
      <c r="DI23" s="47" t="n"/>
      <c r="DJ23" s="47" t="n"/>
      <c r="DK23" s="47" t="inlineStr">
        <is>
          <t>P</t>
        </is>
      </c>
      <c r="DL23" s="47" t="n"/>
      <c r="DM23" s="47" t="n"/>
      <c r="DN23" s="47" t="inlineStr">
        <is>
          <t>A</t>
        </is>
      </c>
      <c r="DO23" s="47" t="inlineStr">
        <is>
          <t>A</t>
        </is>
      </c>
      <c r="DP23" s="47" t="n"/>
      <c r="DQ23" s="47" t="n"/>
      <c r="DR23" s="47" t="inlineStr">
        <is>
          <t>P</t>
        </is>
      </c>
      <c r="DS23" s="47" t="inlineStr">
        <is>
          <t>P</t>
        </is>
      </c>
      <c r="DT23" s="47" t="n"/>
      <c r="DU23" s="47" t="n"/>
      <c r="DV23" s="47" t="inlineStr">
        <is>
          <t>P</t>
        </is>
      </c>
      <c r="DW23" s="47" t="inlineStr">
        <is>
          <t>P</t>
        </is>
      </c>
      <c r="DX23" s="47" t="n"/>
      <c r="DY23" s="47" t="n"/>
      <c r="DZ23" s="47" t="inlineStr">
        <is>
          <t>P</t>
        </is>
      </c>
      <c r="EA23" s="47" t="n"/>
      <c r="EB23" s="47" t="n"/>
      <c r="EC23" s="47" t="n"/>
      <c r="ED23" s="47" t="n"/>
      <c r="EE23" s="47" t="n"/>
      <c r="EF23" s="47" t="n"/>
      <c r="EG23" s="47" t="n"/>
      <c r="EH23" s="47" t="inlineStr">
        <is>
          <t>P</t>
        </is>
      </c>
      <c r="EI23" s="47" t="n"/>
      <c r="EJ23" s="47" t="n"/>
      <c r="EK23" s="47" t="inlineStr">
        <is>
          <t>P</t>
        </is>
      </c>
      <c r="EL23" s="47" t="inlineStr">
        <is>
          <t>P</t>
        </is>
      </c>
      <c r="EM23" s="47" t="n"/>
      <c r="EN23" s="47" t="n"/>
      <c r="EO23" s="47" t="inlineStr">
        <is>
          <t>P</t>
        </is>
      </c>
      <c r="EP23" s="47" t="inlineStr">
        <is>
          <t>P</t>
        </is>
      </c>
      <c r="EQ23" s="47" t="n"/>
      <c r="ER23" s="47" t="n"/>
      <c r="ES23" s="47" t="inlineStr">
        <is>
          <t>P</t>
        </is>
      </c>
      <c r="ET23" s="47" t="inlineStr">
        <is>
          <t>P</t>
        </is>
      </c>
      <c r="EU23" s="47" t="n"/>
      <c r="EV23" s="47" t="n"/>
      <c r="EW23" s="47" t="n"/>
      <c r="EX23" s="47" t="n"/>
      <c r="EY23" s="47" t="n"/>
      <c r="EZ23" s="47" t="n"/>
      <c r="FA23" s="47" t="n"/>
      <c r="FB23" s="47" t="inlineStr">
        <is>
          <t>P</t>
        </is>
      </c>
      <c r="FC23" s="47" t="n"/>
      <c r="FD23" s="47" t="n"/>
      <c r="FE23" s="47" t="inlineStr">
        <is>
          <t>P</t>
        </is>
      </c>
      <c r="FF23" s="47" t="inlineStr">
        <is>
          <t>P</t>
        </is>
      </c>
      <c r="FG23" s="47" t="n"/>
      <c r="FH23" s="47" t="n"/>
      <c r="FI23" s="47" t="inlineStr">
        <is>
          <t>P</t>
        </is>
      </c>
      <c r="FJ23" s="47" t="inlineStr">
        <is>
          <t>P</t>
        </is>
      </c>
      <c r="FK23" s="47" t="n"/>
      <c r="FL23" s="47" t="n"/>
      <c r="FM23" s="47" t="n"/>
      <c r="FN23" s="47" t="n"/>
      <c r="FO23" s="47" t="n"/>
      <c r="FP23" s="47" t="n"/>
      <c r="FQ23" s="47" t="n"/>
      <c r="FR23" s="47" t="inlineStr">
        <is>
          <t>P</t>
        </is>
      </c>
      <c r="FS23" s="47" t="n"/>
      <c r="FT23" s="47" t="n"/>
      <c r="FU23" s="47" t="n"/>
      <c r="FV23" s="47" t="n"/>
      <c r="FW23" s="47" t="n"/>
      <c r="FX23" s="47" t="n"/>
      <c r="FY23" s="47" t="inlineStr">
        <is>
          <t>P</t>
        </is>
      </c>
      <c r="FZ23" s="47" t="inlineStr">
        <is>
          <t>P</t>
        </is>
      </c>
      <c r="GA23" s="47" t="n"/>
      <c r="GB23" s="47" t="n"/>
      <c r="GC23" s="47" t="n"/>
      <c r="GD23" s="47" t="inlineStr">
        <is>
          <t>A</t>
        </is>
      </c>
      <c r="GE23" s="47" t="n"/>
      <c r="GF23" s="47" t="n"/>
      <c r="GG23" s="47" t="inlineStr">
        <is>
          <t>P</t>
        </is>
      </c>
      <c r="GH23" s="47" t="n"/>
      <c r="GI23" s="47" t="n"/>
    </row>
    <row r="24" ht="14.25" customHeight="1" s="34">
      <c r="A24" s="46" t="n">
        <v>21</v>
      </c>
      <c r="B24" s="46" t="inlineStr">
        <is>
          <t>325106410021</t>
        </is>
      </c>
      <c r="C24" s="46" t="inlineStr">
        <is>
          <t>MUKESH VENKATA SURYA LOGISA</t>
        </is>
      </c>
      <c r="D24" s="47" t="inlineStr">
        <is>
          <t>A</t>
        </is>
      </c>
      <c r="E24" s="47" t="n"/>
      <c r="F24" s="47" t="n"/>
      <c r="G24" s="47" t="n"/>
      <c r="H24" s="47" t="n"/>
      <c r="I24" s="47" t="inlineStr">
        <is>
          <t>A</t>
        </is>
      </c>
      <c r="J24" s="47" t="n"/>
      <c r="K24" s="47" t="n"/>
      <c r="L24" s="47" t="inlineStr">
        <is>
          <t>P</t>
        </is>
      </c>
      <c r="M24" s="47" t="n"/>
      <c r="N24" s="47" t="n"/>
      <c r="O24" s="47" t="n"/>
      <c r="P24" s="47" t="inlineStr">
        <is>
          <t>P</t>
        </is>
      </c>
      <c r="Q24" s="47" t="inlineStr">
        <is>
          <t>P</t>
        </is>
      </c>
      <c r="R24" s="47" t="n"/>
      <c r="S24" s="47" t="n"/>
      <c r="T24" s="47" t="inlineStr">
        <is>
          <t>A</t>
        </is>
      </c>
      <c r="U24" s="47" t="n"/>
      <c r="V24" s="47" t="n"/>
      <c r="W24" s="47" t="n"/>
      <c r="X24" s="47" t="n"/>
      <c r="Y24" s="47" t="n"/>
      <c r="Z24" s="47" t="n"/>
      <c r="AA24" s="47" t="n"/>
      <c r="AB24" s="47" t="n"/>
      <c r="AC24" s="47" t="inlineStr">
        <is>
          <t>P</t>
        </is>
      </c>
      <c r="AD24" s="47" t="n"/>
      <c r="AE24" s="47" t="n"/>
      <c r="AF24" s="47" t="inlineStr">
        <is>
          <t>A</t>
        </is>
      </c>
      <c r="AG24" s="47" t="n"/>
      <c r="AH24" s="47" t="n"/>
      <c r="AI24" s="47" t="n"/>
      <c r="AJ24" s="47" t="inlineStr">
        <is>
          <t>P</t>
        </is>
      </c>
      <c r="AK24" s="47" t="inlineStr">
        <is>
          <t>P</t>
        </is>
      </c>
      <c r="AL24" s="47" t="n"/>
      <c r="AM24" s="47" t="n"/>
      <c r="AN24" s="47" t="inlineStr">
        <is>
          <t>P</t>
        </is>
      </c>
      <c r="AO24" s="47" t="n"/>
      <c r="AP24" s="47" t="n"/>
      <c r="AQ24" s="47" t="n"/>
      <c r="AR24" s="47" t="inlineStr">
        <is>
          <t>P</t>
        </is>
      </c>
      <c r="AS24" s="47" t="n"/>
      <c r="AT24" s="47" t="n"/>
      <c r="AU24" s="47" t="n"/>
      <c r="AV24" s="47" t="n"/>
      <c r="AW24" s="47" t="inlineStr">
        <is>
          <t>P</t>
        </is>
      </c>
      <c r="AX24" s="47" t="n"/>
      <c r="AY24" s="47" t="n"/>
      <c r="AZ24" s="47" t="inlineStr">
        <is>
          <t>P</t>
        </is>
      </c>
      <c r="BA24" s="47" t="inlineStr">
        <is>
          <t>P</t>
        </is>
      </c>
      <c r="BB24" s="47" t="n"/>
      <c r="BC24" s="47" t="n"/>
      <c r="BD24" s="47" t="inlineStr">
        <is>
          <t>P</t>
        </is>
      </c>
      <c r="BE24" s="47" t="inlineStr">
        <is>
          <t>P</t>
        </is>
      </c>
      <c r="BF24" s="47" t="n"/>
      <c r="BG24" s="47" t="n"/>
      <c r="BH24" s="47" t="inlineStr">
        <is>
          <t>P</t>
        </is>
      </c>
      <c r="BI24" s="47" t="inlineStr">
        <is>
          <t>P</t>
        </is>
      </c>
      <c r="BJ24" s="47" t="n"/>
      <c r="BK24" s="47" t="n"/>
      <c r="BL24" s="47" t="n"/>
      <c r="BM24" s="47" t="n"/>
      <c r="BN24" s="47" t="n"/>
      <c r="BO24" s="47" t="n"/>
      <c r="BP24" s="47" t="n"/>
      <c r="BQ24" s="47" t="inlineStr">
        <is>
          <t>P</t>
        </is>
      </c>
      <c r="BR24" s="47" t="n"/>
      <c r="BS24" s="47" t="n"/>
      <c r="BT24" s="47" t="inlineStr">
        <is>
          <t>P</t>
        </is>
      </c>
      <c r="BU24" s="47" t="inlineStr">
        <is>
          <t>P</t>
        </is>
      </c>
      <c r="BV24" s="47" t="n"/>
      <c r="BW24" s="47" t="n"/>
      <c r="BX24" s="47" t="inlineStr">
        <is>
          <t>P</t>
        </is>
      </c>
      <c r="BY24" s="47" t="inlineStr">
        <is>
          <t>P</t>
        </is>
      </c>
      <c r="BZ24" s="47" t="n"/>
      <c r="CA24" s="47" t="n"/>
      <c r="CB24" s="47" t="inlineStr">
        <is>
          <t>P</t>
        </is>
      </c>
      <c r="CC24" s="47" t="n"/>
      <c r="CE24" s="47" t="n"/>
      <c r="CF24" s="47" t="inlineStr">
        <is>
          <t>P</t>
        </is>
      </c>
      <c r="CG24" s="47" t="n"/>
      <c r="CH24" s="47" t="n"/>
      <c r="CI24" s="47" t="n"/>
      <c r="CJ24" s="47" t="n"/>
      <c r="CK24" s="47" t="n"/>
      <c r="CL24" s="47" t="n"/>
      <c r="CM24" s="47" t="n"/>
      <c r="CN24" s="47" t="inlineStr">
        <is>
          <t>A</t>
        </is>
      </c>
      <c r="CO24" s="47" t="n"/>
      <c r="CP24" s="47" t="n"/>
      <c r="CQ24" s="47" t="inlineStr">
        <is>
          <t>P</t>
        </is>
      </c>
      <c r="CR24" s="47" t="inlineStr">
        <is>
          <t>P</t>
        </is>
      </c>
      <c r="CS24" s="47" t="n"/>
      <c r="CT24" s="47" t="n"/>
      <c r="CU24" s="47" t="inlineStr">
        <is>
          <t>P</t>
        </is>
      </c>
      <c r="CV24" s="47" t="inlineStr">
        <is>
          <t>P</t>
        </is>
      </c>
      <c r="CW24" s="47" t="n"/>
      <c r="CX24" s="47" t="n"/>
      <c r="CY24" s="47" t="n"/>
      <c r="CZ24" s="47" t="inlineStr">
        <is>
          <t>P</t>
        </is>
      </c>
      <c r="DA24" s="47" t="n"/>
      <c r="DB24" s="47" t="n"/>
      <c r="DC24" s="47" t="inlineStr">
        <is>
          <t>P</t>
        </is>
      </c>
      <c r="DD24" s="47" t="n"/>
      <c r="DE24" s="47" t="n"/>
      <c r="DF24" s="47" t="n"/>
      <c r="DG24" s="47" t="n"/>
      <c r="DH24" s="47" t="n"/>
      <c r="DI24" s="47" t="n"/>
      <c r="DJ24" s="47" t="n"/>
      <c r="DK24" s="47" t="inlineStr">
        <is>
          <t>P</t>
        </is>
      </c>
      <c r="DL24" s="47" t="n"/>
      <c r="DM24" s="47" t="n"/>
      <c r="DN24" s="47" t="inlineStr">
        <is>
          <t>A</t>
        </is>
      </c>
      <c r="DO24" s="47" t="inlineStr">
        <is>
          <t>P</t>
        </is>
      </c>
      <c r="DP24" s="47" t="n"/>
      <c r="DQ24" s="47" t="n"/>
      <c r="DR24" s="47" t="inlineStr">
        <is>
          <t>A</t>
        </is>
      </c>
      <c r="DS24" s="47" t="inlineStr">
        <is>
          <t>A</t>
        </is>
      </c>
      <c r="DT24" s="47" t="n"/>
      <c r="DU24" s="47" t="n"/>
      <c r="DV24" s="47" t="inlineStr">
        <is>
          <t>P</t>
        </is>
      </c>
      <c r="DW24" s="47" t="inlineStr">
        <is>
          <t>P</t>
        </is>
      </c>
      <c r="DX24" s="47" t="n"/>
      <c r="DY24" s="47" t="n"/>
      <c r="DZ24" s="47" t="inlineStr">
        <is>
          <t>P</t>
        </is>
      </c>
      <c r="EA24" s="47" t="n"/>
      <c r="EB24" s="47" t="n"/>
      <c r="EC24" s="47" t="n"/>
      <c r="ED24" s="47" t="n"/>
      <c r="EE24" s="47" t="n"/>
      <c r="EF24" s="47" t="n"/>
      <c r="EG24" s="47" t="n"/>
      <c r="EH24" s="47" t="inlineStr">
        <is>
          <t>P</t>
        </is>
      </c>
      <c r="EI24" s="47" t="n"/>
      <c r="EJ24" s="47" t="n"/>
      <c r="EK24" s="47" t="inlineStr">
        <is>
          <t>P</t>
        </is>
      </c>
      <c r="EL24" s="47" t="inlineStr">
        <is>
          <t>P</t>
        </is>
      </c>
      <c r="EM24" s="47" t="n"/>
      <c r="EN24" s="47" t="n"/>
      <c r="EO24" s="47" t="inlineStr">
        <is>
          <t>P</t>
        </is>
      </c>
      <c r="EP24" s="47" t="inlineStr">
        <is>
          <t>P</t>
        </is>
      </c>
      <c r="EQ24" s="47" t="n"/>
      <c r="ER24" s="47" t="n"/>
      <c r="ES24" s="47" t="inlineStr">
        <is>
          <t>P</t>
        </is>
      </c>
      <c r="ET24" s="47" t="inlineStr">
        <is>
          <t>P</t>
        </is>
      </c>
      <c r="EU24" s="47" t="n"/>
      <c r="EV24" s="47" t="n"/>
      <c r="EW24" s="47" t="n"/>
      <c r="EX24" s="47" t="n"/>
      <c r="EY24" s="47" t="n"/>
      <c r="EZ24" s="47" t="n"/>
      <c r="FA24" s="47" t="n"/>
      <c r="FB24" s="47" t="inlineStr">
        <is>
          <t>A</t>
        </is>
      </c>
      <c r="FC24" s="47" t="n"/>
      <c r="FD24" s="47" t="n"/>
      <c r="FE24" s="47" t="inlineStr">
        <is>
          <t>P</t>
        </is>
      </c>
      <c r="FF24" s="47" t="inlineStr">
        <is>
          <t>P</t>
        </is>
      </c>
      <c r="FG24" s="47" t="n"/>
      <c r="FH24" s="47" t="n"/>
      <c r="FI24" s="47" t="inlineStr">
        <is>
          <t>P</t>
        </is>
      </c>
      <c r="FJ24" s="47" t="inlineStr">
        <is>
          <t>P</t>
        </is>
      </c>
      <c r="FK24" s="47" t="n"/>
      <c r="FL24" s="47" t="n"/>
      <c r="FM24" s="47" t="n"/>
      <c r="FN24" s="47" t="n"/>
      <c r="FO24" s="47" t="n"/>
      <c r="FP24" s="47" t="n"/>
      <c r="FQ24" s="47" t="n"/>
      <c r="FR24" s="47" t="inlineStr">
        <is>
          <t>P</t>
        </is>
      </c>
      <c r="FS24" s="47" t="n"/>
      <c r="FT24" s="47" t="n"/>
      <c r="FU24" s="47" t="n"/>
      <c r="FV24" s="47" t="n"/>
      <c r="FW24" s="47" t="n"/>
      <c r="FX24" s="47" t="n"/>
      <c r="FY24" s="47" t="inlineStr">
        <is>
          <t>P</t>
        </is>
      </c>
      <c r="FZ24" s="47" t="inlineStr">
        <is>
          <t>P</t>
        </is>
      </c>
      <c r="GA24" s="47" t="n"/>
      <c r="GB24" s="47" t="n"/>
      <c r="GC24" s="47" t="n"/>
      <c r="GD24" s="47" t="inlineStr">
        <is>
          <t>P</t>
        </is>
      </c>
      <c r="GE24" s="47" t="n"/>
      <c r="GF24" s="47" t="n"/>
      <c r="GG24" s="47" t="inlineStr">
        <is>
          <t>A</t>
        </is>
      </c>
      <c r="GH24" s="47" t="n"/>
      <c r="GI24" s="47" t="n"/>
    </row>
    <row r="25" ht="14.25" customHeight="1" s="34">
      <c r="A25" s="46" t="n">
        <v>22</v>
      </c>
      <c r="B25" s="46" t="inlineStr">
        <is>
          <t>325106410022</t>
        </is>
      </c>
      <c r="C25" s="46" t="inlineStr">
        <is>
          <t>RAJESH MAJJI</t>
        </is>
      </c>
      <c r="D25" s="47" t="inlineStr">
        <is>
          <t>A</t>
        </is>
      </c>
      <c r="E25" s="47" t="n"/>
      <c r="F25" s="47" t="n"/>
      <c r="G25" s="47" t="n"/>
      <c r="H25" s="47" t="n"/>
      <c r="I25" s="47" t="inlineStr">
        <is>
          <t>A</t>
        </is>
      </c>
      <c r="J25" s="47" t="n"/>
      <c r="K25" s="47" t="n"/>
      <c r="L25" s="47" t="inlineStr">
        <is>
          <t>P</t>
        </is>
      </c>
      <c r="M25" s="47" t="n"/>
      <c r="N25" s="47" t="n"/>
      <c r="O25" s="47" t="n"/>
      <c r="P25" s="47" t="inlineStr">
        <is>
          <t>A</t>
        </is>
      </c>
      <c r="Q25" s="47" t="inlineStr">
        <is>
          <t>A</t>
        </is>
      </c>
      <c r="R25" s="47" t="n"/>
      <c r="S25" s="47" t="n"/>
      <c r="T25" s="47" t="inlineStr">
        <is>
          <t>A</t>
        </is>
      </c>
      <c r="U25" s="47" t="n"/>
      <c r="V25" s="47" t="n"/>
      <c r="W25" s="47" t="n"/>
      <c r="X25" s="47" t="n"/>
      <c r="Y25" s="47" t="n"/>
      <c r="Z25" s="47" t="n"/>
      <c r="AA25" s="47" t="n"/>
      <c r="AB25" s="47" t="n"/>
      <c r="AC25" s="47" t="inlineStr">
        <is>
          <t>P</t>
        </is>
      </c>
      <c r="AD25" s="47" t="n"/>
      <c r="AE25" s="47" t="n"/>
      <c r="AF25" s="47" t="inlineStr">
        <is>
          <t>A</t>
        </is>
      </c>
      <c r="AG25" s="47" t="n"/>
      <c r="AH25" s="47" t="n"/>
      <c r="AI25" s="47" t="n"/>
      <c r="AJ25" s="47" t="inlineStr">
        <is>
          <t>P</t>
        </is>
      </c>
      <c r="AK25" s="47" t="inlineStr">
        <is>
          <t>P</t>
        </is>
      </c>
      <c r="AL25" s="47" t="n"/>
      <c r="AM25" s="47" t="n"/>
      <c r="AN25" s="47" t="inlineStr">
        <is>
          <t>P</t>
        </is>
      </c>
      <c r="AO25" s="47" t="n"/>
      <c r="AP25" s="47" t="n"/>
      <c r="AQ25" s="47" t="n"/>
      <c r="AR25" s="47" t="inlineStr">
        <is>
          <t>P</t>
        </is>
      </c>
      <c r="AS25" s="47" t="n"/>
      <c r="AT25" s="47" t="n"/>
      <c r="AU25" s="47" t="n"/>
      <c r="AV25" s="47" t="n"/>
      <c r="AW25" s="47" t="inlineStr">
        <is>
          <t>P</t>
        </is>
      </c>
      <c r="AX25" s="47" t="n"/>
      <c r="AY25" s="47" t="n"/>
      <c r="AZ25" s="47" t="inlineStr">
        <is>
          <t>A</t>
        </is>
      </c>
      <c r="BA25" s="47" t="inlineStr">
        <is>
          <t>A</t>
        </is>
      </c>
      <c r="BB25" s="47" t="n"/>
      <c r="BC25" s="47" t="n"/>
      <c r="BD25" s="47" t="inlineStr">
        <is>
          <t>P</t>
        </is>
      </c>
      <c r="BE25" s="47" t="inlineStr">
        <is>
          <t>P</t>
        </is>
      </c>
      <c r="BF25" s="47" t="n"/>
      <c r="BG25" s="47" t="n"/>
      <c r="BH25" s="47" t="inlineStr">
        <is>
          <t>P</t>
        </is>
      </c>
      <c r="BI25" s="47" t="inlineStr">
        <is>
          <t>P</t>
        </is>
      </c>
      <c r="BJ25" s="47" t="n"/>
      <c r="BK25" s="47" t="n"/>
      <c r="BL25" s="47" t="n"/>
      <c r="BM25" s="47" t="n"/>
      <c r="BN25" s="47" t="n"/>
      <c r="BO25" s="47" t="n"/>
      <c r="BP25" s="47" t="n"/>
      <c r="BQ25" s="47" t="inlineStr">
        <is>
          <t>P</t>
        </is>
      </c>
      <c r="BR25" s="47" t="n"/>
      <c r="BS25" s="47" t="n"/>
      <c r="BT25" s="47" t="inlineStr">
        <is>
          <t>P</t>
        </is>
      </c>
      <c r="BU25" s="47" t="inlineStr">
        <is>
          <t>P</t>
        </is>
      </c>
      <c r="BV25" s="47" t="n"/>
      <c r="BW25" s="47" t="n"/>
      <c r="BX25" s="47" t="inlineStr">
        <is>
          <t>P</t>
        </is>
      </c>
      <c r="BY25" s="47" t="inlineStr">
        <is>
          <t>P</t>
        </is>
      </c>
      <c r="BZ25" s="47" t="n"/>
      <c r="CA25" s="47" t="n"/>
      <c r="CB25" s="47" t="inlineStr">
        <is>
          <t>P</t>
        </is>
      </c>
      <c r="CC25" s="47" t="n"/>
      <c r="CD25" s="47" t="n"/>
      <c r="CE25" s="47" t="n"/>
      <c r="CF25" s="47" t="inlineStr">
        <is>
          <t>P</t>
        </is>
      </c>
      <c r="CG25" s="47" t="n"/>
      <c r="CH25" s="47" t="n"/>
      <c r="CI25" s="47" t="n"/>
      <c r="CJ25" s="47" t="n"/>
      <c r="CK25" s="47" t="n"/>
      <c r="CL25" s="47" t="n"/>
      <c r="CM25" s="47" t="n"/>
      <c r="CN25" s="47" t="inlineStr">
        <is>
          <t>A</t>
        </is>
      </c>
      <c r="CO25" s="47" t="n"/>
      <c r="CP25" s="47" t="n"/>
      <c r="CQ25" s="47" t="inlineStr">
        <is>
          <t>P</t>
        </is>
      </c>
      <c r="CR25" s="47" t="inlineStr">
        <is>
          <t>A</t>
        </is>
      </c>
      <c r="CS25" s="47" t="n"/>
      <c r="CT25" s="47" t="n"/>
      <c r="CU25" s="47" t="inlineStr">
        <is>
          <t>P</t>
        </is>
      </c>
      <c r="CV25" s="47" t="inlineStr">
        <is>
          <t>P</t>
        </is>
      </c>
      <c r="CW25" s="47" t="n"/>
      <c r="CX25" s="47" t="n"/>
      <c r="CY25" s="47" t="n"/>
      <c r="CZ25" s="47" t="inlineStr">
        <is>
          <t>P</t>
        </is>
      </c>
      <c r="DA25" s="47" t="n"/>
      <c r="DB25" s="47" t="n"/>
      <c r="DC25" s="47" t="inlineStr">
        <is>
          <t>P</t>
        </is>
      </c>
      <c r="DD25" s="47" t="n"/>
      <c r="DE25" s="47" t="n"/>
      <c r="DF25" s="47" t="n"/>
      <c r="DG25" s="47" t="n"/>
      <c r="DH25" s="47" t="n"/>
      <c r="DI25" s="47" t="n"/>
      <c r="DJ25" s="47" t="n"/>
      <c r="DK25" s="47" t="inlineStr">
        <is>
          <t>P</t>
        </is>
      </c>
      <c r="DL25" s="47" t="n"/>
      <c r="DM25" s="47" t="n"/>
      <c r="DN25" s="47" t="inlineStr">
        <is>
          <t>P</t>
        </is>
      </c>
      <c r="DO25" s="47" t="inlineStr">
        <is>
          <t>P</t>
        </is>
      </c>
      <c r="DP25" s="47" t="n"/>
      <c r="DQ25" s="47" t="n"/>
      <c r="DR25" s="47" t="inlineStr">
        <is>
          <t>P</t>
        </is>
      </c>
      <c r="DS25" s="47" t="inlineStr">
        <is>
          <t>P</t>
        </is>
      </c>
      <c r="DT25" s="47" t="n"/>
      <c r="DU25" s="47" t="n"/>
      <c r="DV25" s="47" t="inlineStr">
        <is>
          <t>P</t>
        </is>
      </c>
      <c r="DW25" s="47" t="inlineStr">
        <is>
          <t>P</t>
        </is>
      </c>
      <c r="DX25" s="47" t="n"/>
      <c r="DY25" s="47" t="n"/>
      <c r="DZ25" s="47" t="inlineStr">
        <is>
          <t>P</t>
        </is>
      </c>
      <c r="EA25" s="47" t="n"/>
      <c r="EB25" s="47" t="n"/>
      <c r="EC25" s="47" t="n"/>
      <c r="ED25" s="47" t="n"/>
      <c r="EE25" s="47" t="n"/>
      <c r="EF25" s="47" t="n"/>
      <c r="EG25" s="47" t="n"/>
      <c r="EH25" s="47" t="inlineStr">
        <is>
          <t>P</t>
        </is>
      </c>
      <c r="EI25" s="47" t="n"/>
      <c r="EJ25" s="47" t="n"/>
      <c r="EK25" s="47" t="inlineStr">
        <is>
          <t>P</t>
        </is>
      </c>
      <c r="EL25" s="47" t="inlineStr">
        <is>
          <t>P</t>
        </is>
      </c>
      <c r="EM25" s="47" t="n"/>
      <c r="EN25" s="47" t="n"/>
      <c r="EO25" s="47" t="inlineStr">
        <is>
          <t>P</t>
        </is>
      </c>
      <c r="EP25" s="47" t="inlineStr">
        <is>
          <t>P</t>
        </is>
      </c>
      <c r="EQ25" s="47" t="n"/>
      <c r="ER25" s="47" t="n"/>
      <c r="ES25" s="47" t="inlineStr">
        <is>
          <t>P</t>
        </is>
      </c>
      <c r="ET25" s="47" t="inlineStr">
        <is>
          <t>P</t>
        </is>
      </c>
      <c r="EU25" s="47" t="n"/>
      <c r="EV25" s="47" t="n"/>
      <c r="EW25" s="47" t="n"/>
      <c r="EX25" s="47" t="n"/>
      <c r="EY25" s="47" t="n"/>
      <c r="EZ25" s="47" t="n"/>
      <c r="FA25" s="47" t="n"/>
      <c r="FB25" s="47" t="inlineStr">
        <is>
          <t>P</t>
        </is>
      </c>
      <c r="FC25" s="47" t="n"/>
      <c r="FD25" s="47" t="n"/>
      <c r="FE25" s="47" t="inlineStr">
        <is>
          <t>P</t>
        </is>
      </c>
      <c r="FF25" s="47" t="inlineStr">
        <is>
          <t>P</t>
        </is>
      </c>
      <c r="FG25" s="47" t="n"/>
      <c r="FH25" s="47" t="n"/>
      <c r="FI25" s="47" t="inlineStr">
        <is>
          <t>P</t>
        </is>
      </c>
      <c r="FJ25" s="47" t="inlineStr">
        <is>
          <t>P</t>
        </is>
      </c>
      <c r="FK25" s="47" t="n"/>
      <c r="FL25" s="47" t="n"/>
      <c r="FM25" s="47" t="n"/>
      <c r="FN25" s="47" t="n"/>
      <c r="FO25" s="47" t="n"/>
      <c r="FP25" s="47" t="n"/>
      <c r="FQ25" s="47" t="n"/>
      <c r="FR25" s="47" t="inlineStr">
        <is>
          <t>P</t>
        </is>
      </c>
      <c r="FS25" s="47" t="n"/>
      <c r="FT25" s="47" t="n"/>
      <c r="FU25" s="47" t="n"/>
      <c r="FV25" s="47" t="n"/>
      <c r="FW25" s="47" t="n"/>
      <c r="FX25" s="47" t="n"/>
      <c r="FY25" s="47" t="inlineStr">
        <is>
          <t>P</t>
        </is>
      </c>
      <c r="FZ25" s="47" t="inlineStr">
        <is>
          <t>P</t>
        </is>
      </c>
      <c r="GA25" s="47" t="n"/>
      <c r="GB25" s="47" t="n"/>
      <c r="GC25" s="47" t="n"/>
      <c r="GD25" s="47" t="inlineStr">
        <is>
          <t>P</t>
        </is>
      </c>
      <c r="GE25" s="47" t="n"/>
      <c r="GF25" s="47" t="n"/>
      <c r="GG25" s="47" t="inlineStr">
        <is>
          <t>P</t>
        </is>
      </c>
      <c r="GH25" s="47" t="n"/>
      <c r="GI25" s="47" t="n"/>
    </row>
    <row r="26" ht="14.25" customHeight="1" s="34">
      <c r="A26" s="46" t="n">
        <v>23</v>
      </c>
      <c r="B26" s="46" t="inlineStr">
        <is>
          <t>325106410023</t>
        </is>
      </c>
      <c r="C26" s="46" t="inlineStr">
        <is>
          <t>SIVA SAI ANIRUDH MAMIDI</t>
        </is>
      </c>
      <c r="D26" s="47" t="inlineStr">
        <is>
          <t>A</t>
        </is>
      </c>
      <c r="E26" s="47" t="n"/>
      <c r="F26" s="47" t="n"/>
      <c r="G26" s="47" t="n"/>
      <c r="H26" s="47" t="n"/>
      <c r="I26" s="47" t="inlineStr">
        <is>
          <t>A</t>
        </is>
      </c>
      <c r="J26" s="47" t="n"/>
      <c r="K26" s="47" t="n"/>
      <c r="L26" s="47" t="inlineStr">
        <is>
          <t>A</t>
        </is>
      </c>
      <c r="M26" s="47" t="n"/>
      <c r="N26" s="47" t="n"/>
      <c r="O26" s="47" t="n"/>
      <c r="P26" s="47" t="inlineStr">
        <is>
          <t>P</t>
        </is>
      </c>
      <c r="Q26" s="47" t="inlineStr">
        <is>
          <t>P</t>
        </is>
      </c>
      <c r="R26" s="47" t="n"/>
      <c r="S26" s="47" t="n"/>
      <c r="T26" s="47" t="inlineStr">
        <is>
          <t>P</t>
        </is>
      </c>
      <c r="U26" s="47" t="n"/>
      <c r="V26" s="47" t="n"/>
      <c r="W26" s="47" t="n"/>
      <c r="X26" s="47" t="n"/>
      <c r="Y26" s="47" t="n"/>
      <c r="Z26" s="47" t="n"/>
      <c r="AA26" s="47" t="n"/>
      <c r="AB26" s="47" t="n"/>
      <c r="AC26" s="47" t="inlineStr">
        <is>
          <t>P</t>
        </is>
      </c>
      <c r="AD26" s="47" t="n"/>
      <c r="AE26" s="47" t="n"/>
      <c r="AF26" s="47" t="inlineStr">
        <is>
          <t>P</t>
        </is>
      </c>
      <c r="AG26" s="47" t="n"/>
      <c r="AH26" s="47" t="n"/>
      <c r="AI26" s="47" t="n"/>
      <c r="AJ26" s="47" t="inlineStr">
        <is>
          <t>P</t>
        </is>
      </c>
      <c r="AK26" s="47" t="inlineStr">
        <is>
          <t>P</t>
        </is>
      </c>
      <c r="AL26" s="47" t="n"/>
      <c r="AM26" s="47" t="n"/>
      <c r="AN26" s="47" t="inlineStr">
        <is>
          <t>P</t>
        </is>
      </c>
      <c r="AO26" s="47" t="n"/>
      <c r="AP26" s="47" t="n"/>
      <c r="AQ26" s="47" t="n"/>
      <c r="AR26" s="47" t="inlineStr">
        <is>
          <t>A</t>
        </is>
      </c>
      <c r="AS26" s="47" t="n"/>
      <c r="AT26" s="47" t="n"/>
      <c r="AU26" s="47" t="n"/>
      <c r="AV26" s="47" t="n"/>
      <c r="AW26" s="47" t="inlineStr">
        <is>
          <t>P</t>
        </is>
      </c>
      <c r="AX26" s="47" t="n"/>
      <c r="AY26" s="47" t="n"/>
      <c r="AZ26" s="47" t="inlineStr">
        <is>
          <t>P</t>
        </is>
      </c>
      <c r="BA26" s="47" t="inlineStr">
        <is>
          <t>P</t>
        </is>
      </c>
      <c r="BB26" s="47" t="n"/>
      <c r="BC26" s="47" t="n"/>
      <c r="BD26" s="47" t="inlineStr">
        <is>
          <t>P</t>
        </is>
      </c>
      <c r="BE26" s="47" t="inlineStr">
        <is>
          <t>P</t>
        </is>
      </c>
      <c r="BF26" s="47" t="n"/>
      <c r="BG26" s="47" t="n"/>
      <c r="BH26" s="47" t="inlineStr">
        <is>
          <t>P</t>
        </is>
      </c>
      <c r="BI26" s="47" t="inlineStr">
        <is>
          <t>P</t>
        </is>
      </c>
      <c r="BJ26" s="47" t="n"/>
      <c r="BK26" s="47" t="n"/>
      <c r="BL26" s="47" t="n"/>
      <c r="BM26" s="47" t="n"/>
      <c r="BN26" s="47" t="n"/>
      <c r="BO26" s="47" t="n"/>
      <c r="BP26" s="47" t="n"/>
      <c r="BQ26" s="47" t="inlineStr">
        <is>
          <t>P</t>
        </is>
      </c>
      <c r="BR26" s="47" t="n"/>
      <c r="BS26" s="47" t="n"/>
      <c r="BT26" s="47" t="inlineStr">
        <is>
          <t>P</t>
        </is>
      </c>
      <c r="BU26" s="47" t="inlineStr">
        <is>
          <t>P</t>
        </is>
      </c>
      <c r="BV26" s="47" t="n"/>
      <c r="BW26" s="47" t="n"/>
      <c r="BX26" s="47" t="inlineStr">
        <is>
          <t>P</t>
        </is>
      </c>
      <c r="BY26" s="47" t="inlineStr">
        <is>
          <t>P</t>
        </is>
      </c>
      <c r="BZ26" s="47" t="n"/>
      <c r="CA26" s="47" t="n"/>
      <c r="CB26" s="47" t="inlineStr">
        <is>
          <t>P</t>
        </is>
      </c>
      <c r="CC26" s="47" t="n"/>
      <c r="CD26" s="47" t="n"/>
      <c r="CE26" s="47" t="n"/>
      <c r="CF26" s="47" t="inlineStr">
        <is>
          <t>P</t>
        </is>
      </c>
      <c r="CG26" s="47" t="n"/>
      <c r="CH26" s="47" t="n"/>
      <c r="CI26" s="47" t="n"/>
      <c r="CJ26" s="47" t="n"/>
      <c r="CK26" s="47" t="n"/>
      <c r="CL26" s="47" t="n"/>
      <c r="CM26" s="47" t="n"/>
      <c r="CN26" s="47" t="inlineStr">
        <is>
          <t>P</t>
        </is>
      </c>
      <c r="CO26" s="47" t="n"/>
      <c r="CP26" s="47" t="n"/>
      <c r="CQ26" s="47" t="inlineStr">
        <is>
          <t>P</t>
        </is>
      </c>
      <c r="CR26" s="47" t="inlineStr">
        <is>
          <t>P</t>
        </is>
      </c>
      <c r="CS26" s="47" t="n"/>
      <c r="CT26" s="47" t="n"/>
      <c r="CU26" s="47" t="inlineStr">
        <is>
          <t>A</t>
        </is>
      </c>
      <c r="CV26" s="47" t="inlineStr">
        <is>
          <t>A</t>
        </is>
      </c>
      <c r="CW26" s="47" t="n"/>
      <c r="CX26" s="47" t="n"/>
      <c r="CY26" s="47" t="n"/>
      <c r="CZ26" s="47" t="inlineStr">
        <is>
          <t>P</t>
        </is>
      </c>
      <c r="DA26" s="47" t="n"/>
      <c r="DB26" s="47" t="n"/>
      <c r="DC26" s="47" t="inlineStr">
        <is>
          <t>P</t>
        </is>
      </c>
      <c r="DD26" s="47" t="n"/>
      <c r="DE26" s="47" t="n"/>
      <c r="DF26" s="47" t="n"/>
      <c r="DG26" s="47" t="n"/>
      <c r="DH26" s="47" t="n"/>
      <c r="DI26" s="47" t="n"/>
      <c r="DJ26" s="47" t="n"/>
      <c r="DK26" s="47" t="inlineStr">
        <is>
          <t>P</t>
        </is>
      </c>
      <c r="DL26" s="47" t="n"/>
      <c r="DM26" s="47" t="n"/>
      <c r="DN26" s="47" t="inlineStr">
        <is>
          <t>P</t>
        </is>
      </c>
      <c r="DO26" s="47" t="inlineStr">
        <is>
          <t>P</t>
        </is>
      </c>
      <c r="DP26" s="47" t="n"/>
      <c r="DQ26" s="47" t="n"/>
      <c r="DR26" s="47" t="inlineStr">
        <is>
          <t>P</t>
        </is>
      </c>
      <c r="DS26" s="47" t="inlineStr">
        <is>
          <t>P</t>
        </is>
      </c>
      <c r="DT26" s="47" t="n"/>
      <c r="DU26" s="47" t="n"/>
      <c r="DV26" s="47" t="inlineStr">
        <is>
          <t>A</t>
        </is>
      </c>
      <c r="DW26" s="47" t="inlineStr">
        <is>
          <t>P</t>
        </is>
      </c>
      <c r="DX26" s="47" t="n"/>
      <c r="DY26" s="47" t="n"/>
      <c r="DZ26" s="47" t="inlineStr">
        <is>
          <t>P</t>
        </is>
      </c>
      <c r="EA26" s="47" t="n"/>
      <c r="EB26" s="47" t="n"/>
      <c r="EC26" s="47" t="n"/>
      <c r="ED26" s="47" t="n"/>
      <c r="EE26" s="47" t="n"/>
      <c r="EF26" s="47" t="n"/>
      <c r="EG26" s="47" t="n"/>
      <c r="EH26" s="47" t="inlineStr">
        <is>
          <t>P</t>
        </is>
      </c>
      <c r="EI26" s="47" t="n"/>
      <c r="EJ26" s="47" t="n"/>
      <c r="EK26" s="47" t="inlineStr">
        <is>
          <t>P</t>
        </is>
      </c>
      <c r="EL26" s="47" t="inlineStr">
        <is>
          <t>P</t>
        </is>
      </c>
      <c r="EM26" s="47" t="n"/>
      <c r="EN26" s="47" t="n"/>
      <c r="EO26" s="47" t="inlineStr">
        <is>
          <t>P</t>
        </is>
      </c>
      <c r="EP26" s="47" t="inlineStr">
        <is>
          <t>P</t>
        </is>
      </c>
      <c r="EQ26" s="47" t="n"/>
      <c r="ER26" s="47" t="n"/>
      <c r="ES26" s="47" t="inlineStr">
        <is>
          <t>P</t>
        </is>
      </c>
      <c r="ET26" s="47" t="inlineStr">
        <is>
          <t>P</t>
        </is>
      </c>
      <c r="EU26" s="47" t="n"/>
      <c r="EV26" s="47" t="n"/>
      <c r="EW26" s="47" t="n"/>
      <c r="EX26" s="47" t="n"/>
      <c r="EY26" s="47" t="n"/>
      <c r="EZ26" s="47" t="n"/>
      <c r="FA26" s="47" t="n"/>
      <c r="FB26" s="47" t="inlineStr">
        <is>
          <t>P</t>
        </is>
      </c>
      <c r="FC26" s="47" t="n"/>
      <c r="FD26" s="47" t="n"/>
      <c r="FE26" s="47" t="inlineStr">
        <is>
          <t>P</t>
        </is>
      </c>
      <c r="FF26" s="47" t="inlineStr">
        <is>
          <t>P</t>
        </is>
      </c>
      <c r="FG26" s="47" t="n"/>
      <c r="FH26" s="47" t="n"/>
      <c r="FI26" s="47" t="inlineStr">
        <is>
          <t>P</t>
        </is>
      </c>
      <c r="FJ26" s="47" t="inlineStr">
        <is>
          <t>P</t>
        </is>
      </c>
      <c r="FK26" s="47" t="n"/>
      <c r="FL26" s="47" t="n"/>
      <c r="FM26" s="47" t="n"/>
      <c r="FN26" s="47" t="n"/>
      <c r="FO26" s="47" t="n"/>
      <c r="FP26" s="47" t="n"/>
      <c r="FQ26" s="47" t="n"/>
      <c r="FR26" s="47" t="inlineStr">
        <is>
          <t>P</t>
        </is>
      </c>
      <c r="FS26" s="47" t="n"/>
      <c r="FT26" s="47" t="n"/>
      <c r="FU26" s="47" t="n"/>
      <c r="FV26" s="47" t="n"/>
      <c r="FW26" s="47" t="n"/>
      <c r="FX26" s="47" t="n"/>
      <c r="FY26" s="47" t="inlineStr">
        <is>
          <t>P</t>
        </is>
      </c>
      <c r="FZ26" s="47" t="inlineStr">
        <is>
          <t>P</t>
        </is>
      </c>
      <c r="GA26" s="47" t="n"/>
      <c r="GB26" s="47" t="n"/>
      <c r="GC26" s="47" t="n"/>
      <c r="GD26" s="47" t="inlineStr">
        <is>
          <t>P</t>
        </is>
      </c>
      <c r="GE26" s="47" t="n"/>
      <c r="GF26" s="47" t="n"/>
      <c r="GG26" s="47" t="inlineStr">
        <is>
          <t>A</t>
        </is>
      </c>
      <c r="GH26" s="47" t="n"/>
      <c r="GI26" s="47" t="n"/>
    </row>
    <row r="27" ht="14.25" customHeight="1" s="34">
      <c r="A27" s="46" t="n">
        <v>24</v>
      </c>
      <c r="B27" s="46" t="inlineStr">
        <is>
          <t>325106410024</t>
        </is>
      </c>
      <c r="C27" s="46" t="inlineStr">
        <is>
          <t>MUTYALA GAYATRI MANTHA</t>
        </is>
      </c>
      <c r="D27" s="47" t="inlineStr">
        <is>
          <t>A</t>
        </is>
      </c>
      <c r="E27" s="47" t="n"/>
      <c r="F27" s="47" t="n"/>
      <c r="G27" s="47" t="n"/>
      <c r="H27" s="47" t="n"/>
      <c r="I27" s="47" t="inlineStr">
        <is>
          <t>A</t>
        </is>
      </c>
      <c r="J27" s="47" t="n"/>
      <c r="K27" s="47" t="n"/>
      <c r="L27" s="47" t="inlineStr">
        <is>
          <t>P</t>
        </is>
      </c>
      <c r="M27" s="47" t="n"/>
      <c r="N27" s="47" t="n"/>
      <c r="O27" s="47" t="n"/>
      <c r="P27" s="47" t="inlineStr">
        <is>
          <t>A</t>
        </is>
      </c>
      <c r="Q27" s="47" t="inlineStr">
        <is>
          <t>A</t>
        </is>
      </c>
      <c r="R27" s="47" t="n"/>
      <c r="S27" s="47" t="n"/>
      <c r="T27" s="47" t="inlineStr">
        <is>
          <t>A</t>
        </is>
      </c>
      <c r="U27" s="47" t="n"/>
      <c r="V27" s="47" t="n"/>
      <c r="W27" s="47" t="n"/>
      <c r="X27" s="47" t="n"/>
      <c r="Y27" s="47" t="n"/>
      <c r="Z27" s="47" t="n"/>
      <c r="AA27" s="47" t="n"/>
      <c r="AB27" s="47" t="n"/>
      <c r="AC27" s="47" t="inlineStr">
        <is>
          <t>P</t>
        </is>
      </c>
      <c r="AD27" s="47" t="n"/>
      <c r="AE27" s="47" t="n"/>
      <c r="AF27" s="47" t="inlineStr">
        <is>
          <t>P</t>
        </is>
      </c>
      <c r="AG27" s="47" t="n"/>
      <c r="AH27" s="47" t="n"/>
      <c r="AI27" s="47" t="n"/>
      <c r="AJ27" s="47" t="inlineStr">
        <is>
          <t>P</t>
        </is>
      </c>
      <c r="AK27" s="47" t="inlineStr">
        <is>
          <t>P</t>
        </is>
      </c>
      <c r="AL27" s="47" t="n"/>
      <c r="AM27" s="47" t="n"/>
      <c r="AN27" s="47" t="inlineStr">
        <is>
          <t>P</t>
        </is>
      </c>
      <c r="AO27" s="47" t="n"/>
      <c r="AP27" s="47" t="n"/>
      <c r="AQ27" s="47" t="n"/>
      <c r="AR27" s="47" t="inlineStr">
        <is>
          <t>P</t>
        </is>
      </c>
      <c r="AS27" s="47" t="n"/>
      <c r="AT27" s="47" t="n"/>
      <c r="AU27" s="47" t="n"/>
      <c r="AV27" s="47" t="n"/>
      <c r="AW27" s="47" t="inlineStr">
        <is>
          <t>P</t>
        </is>
      </c>
      <c r="AX27" s="47" t="n"/>
      <c r="AY27" s="47" t="n"/>
      <c r="AZ27" s="47" t="inlineStr">
        <is>
          <t>P</t>
        </is>
      </c>
      <c r="BA27" s="47" t="inlineStr">
        <is>
          <t>P</t>
        </is>
      </c>
      <c r="BB27" s="47" t="n"/>
      <c r="BC27" s="47" t="n"/>
      <c r="BD27" s="47" t="inlineStr">
        <is>
          <t>P</t>
        </is>
      </c>
      <c r="BE27" s="47" t="inlineStr">
        <is>
          <t>P</t>
        </is>
      </c>
      <c r="BF27" s="47" t="n"/>
      <c r="BG27" s="47" t="n"/>
      <c r="BH27" s="47" t="inlineStr">
        <is>
          <t>P</t>
        </is>
      </c>
      <c r="BI27" s="47" t="inlineStr">
        <is>
          <t>P</t>
        </is>
      </c>
      <c r="BJ27" s="47" t="n"/>
      <c r="BK27" s="47" t="n"/>
      <c r="BL27" s="47" t="n"/>
      <c r="BM27" s="47" t="n"/>
      <c r="BN27" s="47" t="n"/>
      <c r="BO27" s="47" t="n"/>
      <c r="BP27" s="47" t="n"/>
      <c r="BQ27" s="47" t="inlineStr">
        <is>
          <t>P</t>
        </is>
      </c>
      <c r="BR27" s="47" t="n"/>
      <c r="BS27" s="47" t="n"/>
      <c r="BT27" s="47" t="inlineStr">
        <is>
          <t>P</t>
        </is>
      </c>
      <c r="BU27" s="47" t="inlineStr">
        <is>
          <t>P</t>
        </is>
      </c>
      <c r="BV27" s="47" t="n"/>
      <c r="BW27" s="47" t="n"/>
      <c r="BX27" s="47" t="inlineStr">
        <is>
          <t>P</t>
        </is>
      </c>
      <c r="BY27" s="47" t="inlineStr">
        <is>
          <t>P</t>
        </is>
      </c>
      <c r="BZ27" s="47" t="n"/>
      <c r="CA27" s="47" t="n"/>
      <c r="CB27" s="47" t="inlineStr">
        <is>
          <t>P</t>
        </is>
      </c>
      <c r="CC27" s="47" t="n"/>
      <c r="CD27" s="47" t="n"/>
      <c r="CE27" s="47" t="n"/>
      <c r="CF27" s="47" t="inlineStr">
        <is>
          <t>P</t>
        </is>
      </c>
      <c r="CG27" s="47" t="n"/>
      <c r="CH27" s="47" t="n"/>
      <c r="CI27" s="47" t="n"/>
      <c r="CJ27" s="47" t="n"/>
      <c r="CK27" s="47" t="n"/>
      <c r="CL27" s="47" t="n"/>
      <c r="CM27" s="47" t="n"/>
      <c r="CN27" s="47" t="inlineStr">
        <is>
          <t>P</t>
        </is>
      </c>
      <c r="CO27" s="47" t="n"/>
      <c r="CP27" s="47" t="n"/>
      <c r="CQ27" s="47" t="inlineStr">
        <is>
          <t>A</t>
        </is>
      </c>
      <c r="CR27" s="47" t="inlineStr">
        <is>
          <t>P</t>
        </is>
      </c>
      <c r="CS27" s="47" t="n"/>
      <c r="CT27" s="47" t="n"/>
      <c r="CU27" s="47" t="inlineStr">
        <is>
          <t>P</t>
        </is>
      </c>
      <c r="CV27" s="47" t="inlineStr">
        <is>
          <t>P</t>
        </is>
      </c>
      <c r="CW27" s="47" t="n"/>
      <c r="CX27" s="47" t="n"/>
      <c r="CY27" s="47" t="n"/>
      <c r="CZ27" s="47" t="inlineStr">
        <is>
          <t>P</t>
        </is>
      </c>
      <c r="DA27" s="47" t="n"/>
      <c r="DB27" s="47" t="n"/>
      <c r="DC27" s="47" t="inlineStr">
        <is>
          <t>P</t>
        </is>
      </c>
      <c r="DD27" s="47" t="n"/>
      <c r="DE27" s="47" t="n"/>
      <c r="DF27" s="47" t="n"/>
      <c r="DG27" s="47" t="n"/>
      <c r="DH27" s="47" t="n"/>
      <c r="DI27" s="47" t="n"/>
      <c r="DJ27" s="47" t="n"/>
      <c r="DK27" s="47" t="inlineStr">
        <is>
          <t>P</t>
        </is>
      </c>
      <c r="DL27" s="47" t="n"/>
      <c r="DM27" s="47" t="n"/>
      <c r="DN27" s="47" t="inlineStr">
        <is>
          <t>A</t>
        </is>
      </c>
      <c r="DO27" s="47" t="inlineStr">
        <is>
          <t>P</t>
        </is>
      </c>
      <c r="DP27" s="47" t="n"/>
      <c r="DQ27" s="47" t="n"/>
      <c r="DR27" s="47" t="inlineStr">
        <is>
          <t>P</t>
        </is>
      </c>
      <c r="DS27" s="47" t="inlineStr">
        <is>
          <t>P</t>
        </is>
      </c>
      <c r="DT27" s="47" t="n"/>
      <c r="DU27" s="47" t="n"/>
      <c r="DV27" s="47" t="inlineStr">
        <is>
          <t>A</t>
        </is>
      </c>
      <c r="DW27" s="47" t="inlineStr">
        <is>
          <t>A</t>
        </is>
      </c>
      <c r="DX27" s="47" t="n"/>
      <c r="DY27" s="47" t="n"/>
      <c r="DZ27" s="47" t="inlineStr">
        <is>
          <t>P</t>
        </is>
      </c>
      <c r="EA27" s="47" t="n"/>
      <c r="EB27" s="47" t="n"/>
      <c r="EC27" s="47" t="n"/>
      <c r="ED27" s="47" t="n"/>
      <c r="EE27" s="47" t="n"/>
      <c r="EF27" s="47" t="n"/>
      <c r="EG27" s="47" t="n"/>
      <c r="EH27" s="47" t="inlineStr">
        <is>
          <t>P</t>
        </is>
      </c>
      <c r="EI27" s="47" t="n"/>
      <c r="EJ27" s="47" t="n"/>
      <c r="EK27" s="47" t="inlineStr">
        <is>
          <t>P</t>
        </is>
      </c>
      <c r="EL27" s="47" t="inlineStr">
        <is>
          <t>P</t>
        </is>
      </c>
      <c r="EM27" s="47" t="n"/>
      <c r="EN27" s="47" t="n"/>
      <c r="EO27" s="47" t="inlineStr">
        <is>
          <t>P</t>
        </is>
      </c>
      <c r="EP27" s="47" t="inlineStr">
        <is>
          <t>P</t>
        </is>
      </c>
      <c r="EQ27" s="47" t="n"/>
      <c r="ER27" s="47" t="n"/>
      <c r="ES27" s="47" t="inlineStr">
        <is>
          <t>P</t>
        </is>
      </c>
      <c r="ET27" s="47" t="inlineStr">
        <is>
          <t>P</t>
        </is>
      </c>
      <c r="EU27" s="47" t="n"/>
      <c r="EV27" s="47" t="n"/>
      <c r="EW27" s="47" t="n"/>
      <c r="EX27" s="47" t="n"/>
      <c r="EY27" s="47" t="n"/>
      <c r="EZ27" s="47" t="n"/>
      <c r="FA27" s="47" t="n"/>
      <c r="FB27" s="47" t="inlineStr">
        <is>
          <t>P</t>
        </is>
      </c>
      <c r="FC27" s="47" t="n"/>
      <c r="FD27" s="47" t="n"/>
      <c r="FE27" s="47" t="inlineStr">
        <is>
          <t>P</t>
        </is>
      </c>
      <c r="FF27" s="47" t="inlineStr">
        <is>
          <t>P</t>
        </is>
      </c>
      <c r="FG27" s="47" t="n"/>
      <c r="FH27" s="47" t="n"/>
      <c r="FI27" s="47" t="inlineStr">
        <is>
          <t>P</t>
        </is>
      </c>
      <c r="FJ27" s="47" t="inlineStr">
        <is>
          <t>P</t>
        </is>
      </c>
      <c r="FK27" s="47" t="n"/>
      <c r="FL27" s="47" t="n"/>
      <c r="FM27" s="47" t="n"/>
      <c r="FN27" s="47" t="n"/>
      <c r="FO27" s="47" t="n"/>
      <c r="FP27" s="47" t="n"/>
      <c r="FQ27" s="47" t="n"/>
      <c r="FR27" s="47" t="inlineStr">
        <is>
          <t>P</t>
        </is>
      </c>
      <c r="FS27" s="47" t="n"/>
      <c r="FT27" s="47" t="n"/>
      <c r="FU27" s="47" t="n"/>
      <c r="FV27" s="47" t="n"/>
      <c r="FW27" s="47" t="n"/>
      <c r="FX27" s="47" t="n"/>
      <c r="FY27" s="47" t="inlineStr">
        <is>
          <t>A</t>
        </is>
      </c>
      <c r="FZ27" s="47" t="inlineStr">
        <is>
          <t>P</t>
        </is>
      </c>
      <c r="GA27" s="47" t="n"/>
      <c r="GB27" s="47" t="n"/>
      <c r="GC27" s="47" t="n"/>
      <c r="GD27" s="47" t="inlineStr">
        <is>
          <t>A</t>
        </is>
      </c>
      <c r="GE27" s="47" t="n"/>
      <c r="GF27" s="47" t="n"/>
      <c r="GG27" s="47" t="inlineStr">
        <is>
          <t>P</t>
        </is>
      </c>
      <c r="GH27" s="47" t="n"/>
      <c r="GI27" s="47" t="n"/>
    </row>
    <row r="28" ht="14.25" customHeight="1" s="34">
      <c r="A28" s="46" t="n">
        <v>25</v>
      </c>
      <c r="B28" s="46" t="inlineStr">
        <is>
          <t>325106410025</t>
        </is>
      </c>
      <c r="C28" s="46" t="inlineStr">
        <is>
          <t>GAGANA SRI MANUPATI</t>
        </is>
      </c>
      <c r="D28" s="47" t="inlineStr">
        <is>
          <t>A</t>
        </is>
      </c>
      <c r="E28" s="47" t="n"/>
      <c r="F28" s="47" t="n"/>
      <c r="G28" s="47" t="n"/>
      <c r="H28" s="47" t="n"/>
      <c r="I28" s="47" t="inlineStr">
        <is>
          <t>A</t>
        </is>
      </c>
      <c r="J28" s="47" t="n"/>
      <c r="K28" s="47" t="n"/>
      <c r="L28" s="47" t="inlineStr">
        <is>
          <t>P</t>
        </is>
      </c>
      <c r="M28" s="47" t="n"/>
      <c r="N28" s="47" t="n"/>
      <c r="O28" s="47" t="n"/>
      <c r="P28" s="47" t="inlineStr">
        <is>
          <t>P</t>
        </is>
      </c>
      <c r="Q28" s="47" t="inlineStr">
        <is>
          <t>P</t>
        </is>
      </c>
      <c r="R28" s="47" t="n"/>
      <c r="S28" s="47" t="n"/>
      <c r="T28" s="47" t="inlineStr">
        <is>
          <t>A</t>
        </is>
      </c>
      <c r="U28" s="47" t="n"/>
      <c r="V28" s="47" t="n"/>
      <c r="W28" s="47" t="n"/>
      <c r="X28" s="47" t="n"/>
      <c r="Y28" s="47" t="n"/>
      <c r="Z28" s="47" t="n"/>
      <c r="AA28" s="47" t="n"/>
      <c r="AB28" s="47" t="n"/>
      <c r="AC28" s="47" t="inlineStr">
        <is>
          <t>P</t>
        </is>
      </c>
      <c r="AD28" s="47" t="n"/>
      <c r="AE28" s="47" t="n"/>
      <c r="AF28" s="47" t="inlineStr">
        <is>
          <t>P</t>
        </is>
      </c>
      <c r="AG28" s="47" t="n"/>
      <c r="AH28" s="47" t="n"/>
      <c r="AI28" s="47" t="n"/>
      <c r="AJ28" s="47" t="inlineStr">
        <is>
          <t>P</t>
        </is>
      </c>
      <c r="AK28" s="47" t="inlineStr">
        <is>
          <t>P</t>
        </is>
      </c>
      <c r="AL28" s="47" t="n"/>
      <c r="AM28" s="47" t="n"/>
      <c r="AN28" s="47" t="inlineStr">
        <is>
          <t>P</t>
        </is>
      </c>
      <c r="AO28" s="47" t="n"/>
      <c r="AP28" s="47" t="n"/>
      <c r="AQ28" s="47" t="n"/>
      <c r="AR28" s="47" t="inlineStr">
        <is>
          <t>P</t>
        </is>
      </c>
      <c r="AS28" s="47" t="n"/>
      <c r="AT28" s="47" t="n"/>
      <c r="AU28" s="47" t="n"/>
      <c r="AV28" s="47" t="n"/>
      <c r="AW28" s="47" t="inlineStr">
        <is>
          <t>P</t>
        </is>
      </c>
      <c r="AX28" s="47" t="n"/>
      <c r="AY28" s="47" t="n"/>
      <c r="AZ28" s="47" t="inlineStr">
        <is>
          <t>P</t>
        </is>
      </c>
      <c r="BA28" s="47" t="inlineStr">
        <is>
          <t>P</t>
        </is>
      </c>
      <c r="BB28" s="47" t="n"/>
      <c r="BC28" s="47" t="n"/>
      <c r="BD28" s="47" t="inlineStr">
        <is>
          <t>P</t>
        </is>
      </c>
      <c r="BE28" s="47" t="inlineStr">
        <is>
          <t>P</t>
        </is>
      </c>
      <c r="BF28" s="47" t="n"/>
      <c r="BG28" s="47" t="n"/>
      <c r="BH28" s="47" t="inlineStr">
        <is>
          <t>P</t>
        </is>
      </c>
      <c r="BI28" s="47" t="inlineStr">
        <is>
          <t>P</t>
        </is>
      </c>
      <c r="BJ28" s="47" t="n"/>
      <c r="BK28" s="47" t="n"/>
      <c r="BL28" s="47" t="n"/>
      <c r="BM28" s="47" t="n"/>
      <c r="BN28" s="47" t="n"/>
      <c r="BO28" s="47" t="n"/>
      <c r="BP28" s="47" t="n"/>
      <c r="BQ28" s="47" t="inlineStr">
        <is>
          <t>P</t>
        </is>
      </c>
      <c r="BR28" s="47" t="n"/>
      <c r="BS28" s="47" t="n"/>
      <c r="BT28" s="47" t="inlineStr">
        <is>
          <t>P</t>
        </is>
      </c>
      <c r="BU28" s="47" t="inlineStr">
        <is>
          <t>P</t>
        </is>
      </c>
      <c r="BV28" s="47" t="n"/>
      <c r="BW28" s="47" t="n"/>
      <c r="BX28" s="47" t="inlineStr">
        <is>
          <t>P</t>
        </is>
      </c>
      <c r="BY28" s="47" t="inlineStr">
        <is>
          <t>P</t>
        </is>
      </c>
      <c r="BZ28" s="47" t="n"/>
      <c r="CA28" s="47" t="n"/>
      <c r="CB28" s="47" t="inlineStr">
        <is>
          <t>P</t>
        </is>
      </c>
      <c r="CC28" s="47" t="n"/>
      <c r="CD28" s="47" t="n"/>
      <c r="CE28" s="47" t="n"/>
      <c r="CF28" s="47" t="inlineStr">
        <is>
          <t>P</t>
        </is>
      </c>
      <c r="CG28" s="47" t="n"/>
      <c r="CH28" s="47" t="n"/>
      <c r="CI28" s="47" t="n"/>
      <c r="CJ28" s="47" t="n"/>
      <c r="CK28" s="47" t="n"/>
      <c r="CL28" s="47" t="n"/>
      <c r="CM28" s="47" t="n"/>
      <c r="CN28" s="47" t="inlineStr">
        <is>
          <t>P</t>
        </is>
      </c>
      <c r="CO28" s="47" t="n"/>
      <c r="CP28" s="47" t="n"/>
      <c r="CQ28" s="47" t="inlineStr">
        <is>
          <t>P</t>
        </is>
      </c>
      <c r="CR28" s="47" t="inlineStr">
        <is>
          <t>P</t>
        </is>
      </c>
      <c r="CS28" s="47" t="n"/>
      <c r="CT28" s="47" t="n"/>
      <c r="CU28" s="47" t="inlineStr">
        <is>
          <t>P</t>
        </is>
      </c>
      <c r="CV28" s="47" t="inlineStr">
        <is>
          <t>P</t>
        </is>
      </c>
      <c r="CW28" s="47" t="n"/>
      <c r="CX28" s="47" t="n"/>
      <c r="CY28" s="47" t="n"/>
      <c r="CZ28" s="47" t="inlineStr">
        <is>
          <t>P</t>
        </is>
      </c>
      <c r="DA28" s="47" t="n"/>
      <c r="DB28" s="47" t="n"/>
      <c r="DC28" s="47" t="inlineStr">
        <is>
          <t>P</t>
        </is>
      </c>
      <c r="DD28" s="47" t="n"/>
      <c r="DE28" s="47" t="n"/>
      <c r="DF28" s="47" t="n"/>
      <c r="DG28" s="47" t="n"/>
      <c r="DH28" s="47" t="n"/>
      <c r="DI28" s="47" t="n"/>
      <c r="DJ28" s="47" t="n"/>
      <c r="DK28" s="47" t="inlineStr">
        <is>
          <t>P</t>
        </is>
      </c>
      <c r="DL28" s="47" t="n"/>
      <c r="DM28" s="47" t="n"/>
      <c r="DN28" s="47" t="inlineStr">
        <is>
          <t>P</t>
        </is>
      </c>
      <c r="DO28" s="47" t="inlineStr">
        <is>
          <t>P</t>
        </is>
      </c>
      <c r="DP28" s="47" t="n"/>
      <c r="DQ28" s="47" t="n"/>
      <c r="DR28" s="47" t="inlineStr">
        <is>
          <t>P</t>
        </is>
      </c>
      <c r="DS28" s="47" t="inlineStr">
        <is>
          <t>P</t>
        </is>
      </c>
      <c r="DT28" s="47" t="n"/>
      <c r="DU28" s="47" t="n"/>
      <c r="DV28" s="47" t="inlineStr">
        <is>
          <t>P</t>
        </is>
      </c>
      <c r="DW28" s="47" t="inlineStr">
        <is>
          <t>P</t>
        </is>
      </c>
      <c r="DX28" s="47" t="n"/>
      <c r="DY28" s="47" t="n"/>
      <c r="DZ28" s="47" t="inlineStr">
        <is>
          <t>P</t>
        </is>
      </c>
      <c r="EA28" s="47" t="n"/>
      <c r="EB28" s="47" t="n"/>
      <c r="EC28" s="47" t="n"/>
      <c r="ED28" s="47" t="n"/>
      <c r="EE28" s="47" t="n"/>
      <c r="EF28" s="47" t="n"/>
      <c r="EG28" s="47" t="n"/>
      <c r="EH28" s="47" t="inlineStr">
        <is>
          <t>P</t>
        </is>
      </c>
      <c r="EI28" s="47" t="n"/>
      <c r="EJ28" s="47" t="n"/>
      <c r="EK28" s="47" t="inlineStr">
        <is>
          <t>P</t>
        </is>
      </c>
      <c r="EL28" s="47" t="inlineStr">
        <is>
          <t>P</t>
        </is>
      </c>
      <c r="EM28" s="47" t="n"/>
      <c r="EN28" s="47" t="n"/>
      <c r="EO28" s="47" t="inlineStr">
        <is>
          <t>P</t>
        </is>
      </c>
      <c r="EP28" s="47" t="inlineStr">
        <is>
          <t>P</t>
        </is>
      </c>
      <c r="EQ28" s="47" t="n"/>
      <c r="ER28" s="47" t="n"/>
      <c r="ES28" s="47" t="inlineStr">
        <is>
          <t>P</t>
        </is>
      </c>
      <c r="ET28" s="47" t="inlineStr">
        <is>
          <t>P</t>
        </is>
      </c>
      <c r="EU28" s="47" t="n"/>
      <c r="EV28" s="47" t="n"/>
      <c r="EW28" s="47" t="n"/>
      <c r="EX28" s="47" t="n"/>
      <c r="EY28" s="47" t="n"/>
      <c r="EZ28" s="47" t="n"/>
      <c r="FA28" s="47" t="n"/>
      <c r="FB28" s="47" t="inlineStr">
        <is>
          <t>P</t>
        </is>
      </c>
      <c r="FC28" s="47" t="n"/>
      <c r="FD28" s="47" t="n"/>
      <c r="FE28" s="47" t="inlineStr">
        <is>
          <t>P</t>
        </is>
      </c>
      <c r="FF28" s="47" t="inlineStr">
        <is>
          <t>P</t>
        </is>
      </c>
      <c r="FG28" s="47" t="n"/>
      <c r="FH28" s="47" t="n"/>
      <c r="FI28" s="47" t="inlineStr">
        <is>
          <t>P</t>
        </is>
      </c>
      <c r="FJ28" s="47" t="inlineStr">
        <is>
          <t>P</t>
        </is>
      </c>
      <c r="FK28" s="47" t="n"/>
      <c r="FL28" s="47" t="n"/>
      <c r="FM28" s="47" t="n"/>
      <c r="FN28" s="47" t="n"/>
      <c r="FO28" s="47" t="n"/>
      <c r="FP28" s="47" t="n"/>
      <c r="FQ28" s="47" t="n"/>
      <c r="FR28" s="47" t="inlineStr">
        <is>
          <t>P</t>
        </is>
      </c>
      <c r="FS28" s="47" t="n"/>
      <c r="FT28" s="47" t="n"/>
      <c r="FU28" s="47" t="n"/>
      <c r="FV28" s="47" t="n"/>
      <c r="FW28" s="47" t="n"/>
      <c r="FX28" s="47" t="n"/>
      <c r="FY28" s="47" t="inlineStr">
        <is>
          <t>P</t>
        </is>
      </c>
      <c r="FZ28" s="47" t="inlineStr">
        <is>
          <t>P</t>
        </is>
      </c>
      <c r="GA28" s="47" t="n"/>
      <c r="GB28" s="47" t="n"/>
      <c r="GC28" s="47" t="n"/>
      <c r="GD28" s="47" t="inlineStr">
        <is>
          <t>A</t>
        </is>
      </c>
      <c r="GE28" s="47" t="n"/>
      <c r="GF28" s="47" t="n"/>
      <c r="GG28" s="47" t="inlineStr">
        <is>
          <t>A</t>
        </is>
      </c>
      <c r="GH28" s="47" t="n"/>
      <c r="GI28" s="47" t="n"/>
    </row>
    <row r="29" ht="14.25" customHeight="1" s="34">
      <c r="A29" s="46" t="n">
        <v>26</v>
      </c>
      <c r="B29" s="46" t="inlineStr">
        <is>
          <t>325106410026</t>
        </is>
      </c>
      <c r="C29" s="46" t="inlineStr">
        <is>
          <t>RISHI NAVANTH MATTA</t>
        </is>
      </c>
      <c r="D29" s="47" t="inlineStr">
        <is>
          <t>A</t>
        </is>
      </c>
      <c r="E29" s="47" t="n"/>
      <c r="F29" s="47" t="n"/>
      <c r="G29" s="47" t="n"/>
      <c r="H29" s="47" t="n"/>
      <c r="I29" s="47" t="inlineStr">
        <is>
          <t>A</t>
        </is>
      </c>
      <c r="J29" s="47" t="n"/>
      <c r="K29" s="47" t="n"/>
      <c r="L29" s="47" t="inlineStr">
        <is>
          <t>A</t>
        </is>
      </c>
      <c r="M29" s="47" t="n"/>
      <c r="N29" s="47" t="n"/>
      <c r="O29" s="47" t="n"/>
      <c r="P29" s="47" t="inlineStr">
        <is>
          <t>A</t>
        </is>
      </c>
      <c r="Q29" s="47" t="inlineStr">
        <is>
          <t>A</t>
        </is>
      </c>
      <c r="R29" s="47" t="n"/>
      <c r="S29" s="47" t="n"/>
      <c r="T29" s="47" t="inlineStr">
        <is>
          <t>A</t>
        </is>
      </c>
      <c r="U29" s="47" t="n"/>
      <c r="V29" s="47" t="n"/>
      <c r="W29" s="47" t="n"/>
      <c r="X29" s="47" t="n"/>
      <c r="Y29" s="47" t="n"/>
      <c r="Z29" s="47" t="n"/>
      <c r="AA29" s="47" t="n"/>
      <c r="AB29" s="47" t="n"/>
      <c r="AC29" s="47" t="inlineStr">
        <is>
          <t>A</t>
        </is>
      </c>
      <c r="AD29" s="47" t="n"/>
      <c r="AE29" s="47" t="n"/>
      <c r="AF29" s="47" t="inlineStr">
        <is>
          <t>P</t>
        </is>
      </c>
      <c r="AG29" s="47" t="n"/>
      <c r="AH29" s="47" t="n"/>
      <c r="AI29" s="47" t="n"/>
      <c r="AJ29" s="47" t="inlineStr">
        <is>
          <t>P</t>
        </is>
      </c>
      <c r="AK29" s="47" t="inlineStr">
        <is>
          <t>P</t>
        </is>
      </c>
      <c r="AL29" s="47" t="n"/>
      <c r="AM29" s="47" t="n"/>
      <c r="AN29" s="47" t="inlineStr">
        <is>
          <t>A</t>
        </is>
      </c>
      <c r="AO29" s="47" t="n"/>
      <c r="AP29" s="47" t="n"/>
      <c r="AQ29" s="47" t="n"/>
      <c r="AR29" s="47" t="inlineStr">
        <is>
          <t>P</t>
        </is>
      </c>
      <c r="AS29" s="47" t="n"/>
      <c r="AT29" s="47" t="n"/>
      <c r="AU29" s="47" t="n"/>
      <c r="AV29" s="47" t="n"/>
      <c r="AW29" s="47" t="inlineStr">
        <is>
          <t>P</t>
        </is>
      </c>
      <c r="AX29" s="47" t="n"/>
      <c r="AY29" s="47" t="n"/>
      <c r="AZ29" s="47" t="inlineStr">
        <is>
          <t>P</t>
        </is>
      </c>
      <c r="BA29" s="47" t="inlineStr">
        <is>
          <t>P</t>
        </is>
      </c>
      <c r="BB29" s="47" t="n"/>
      <c r="BC29" s="47" t="n"/>
      <c r="BD29" s="47" t="inlineStr">
        <is>
          <t>P</t>
        </is>
      </c>
      <c r="BE29" s="47" t="inlineStr">
        <is>
          <t>P</t>
        </is>
      </c>
      <c r="BF29" s="47" t="n"/>
      <c r="BG29" s="47" t="n"/>
      <c r="BH29" s="47" t="inlineStr">
        <is>
          <t>P</t>
        </is>
      </c>
      <c r="BI29" s="47" t="inlineStr">
        <is>
          <t>P</t>
        </is>
      </c>
      <c r="BJ29" s="47" t="n"/>
      <c r="BK29" s="47" t="n"/>
      <c r="BL29" s="47" t="n"/>
      <c r="BM29" s="47" t="n"/>
      <c r="BN29" s="47" t="n"/>
      <c r="BO29" s="47" t="n"/>
      <c r="BP29" s="47" t="n"/>
      <c r="BQ29" s="47" t="inlineStr">
        <is>
          <t>P</t>
        </is>
      </c>
      <c r="BR29" s="47" t="n"/>
      <c r="BS29" s="47" t="n"/>
      <c r="BT29" s="47" t="inlineStr">
        <is>
          <t>A</t>
        </is>
      </c>
      <c r="BU29" s="47" t="inlineStr">
        <is>
          <t>A</t>
        </is>
      </c>
      <c r="BV29" s="47" t="n"/>
      <c r="BW29" s="47" t="n"/>
      <c r="BX29" s="47" t="inlineStr">
        <is>
          <t>P</t>
        </is>
      </c>
      <c r="BY29" s="47" t="inlineStr">
        <is>
          <t>P</t>
        </is>
      </c>
      <c r="BZ29" s="47" t="n"/>
      <c r="CA29" s="47" t="n"/>
      <c r="CB29" s="47" t="inlineStr">
        <is>
          <t>P</t>
        </is>
      </c>
      <c r="CC29" s="47" t="n"/>
      <c r="CD29" s="47" t="n"/>
      <c r="CE29" s="47" t="n"/>
      <c r="CF29" s="47" t="inlineStr">
        <is>
          <t>P</t>
        </is>
      </c>
      <c r="CG29" s="47" t="n"/>
      <c r="CH29" s="47" t="n"/>
      <c r="CI29" s="47" t="n"/>
      <c r="CJ29" s="47" t="n"/>
      <c r="CK29" s="47" t="n"/>
      <c r="CL29" s="47" t="n"/>
      <c r="CM29" s="47" t="n"/>
      <c r="CN29" s="47" t="inlineStr">
        <is>
          <t>P</t>
        </is>
      </c>
      <c r="CO29" s="47" t="n"/>
      <c r="CP29" s="47" t="n"/>
      <c r="CQ29" s="47" t="inlineStr">
        <is>
          <t>A</t>
        </is>
      </c>
      <c r="CR29" s="47" t="inlineStr">
        <is>
          <t>A</t>
        </is>
      </c>
      <c r="CS29" s="47" t="n"/>
      <c r="CT29" s="47" t="n"/>
      <c r="CU29" s="47" t="inlineStr">
        <is>
          <t>A</t>
        </is>
      </c>
      <c r="CV29" s="47" t="inlineStr">
        <is>
          <t>A</t>
        </is>
      </c>
      <c r="CW29" s="47" t="n"/>
      <c r="CX29" s="47" t="n"/>
      <c r="CY29" s="47" t="n"/>
      <c r="CZ29" s="47" t="inlineStr">
        <is>
          <t>P</t>
        </is>
      </c>
      <c r="DA29" s="47" t="n"/>
      <c r="DB29" s="47" t="n"/>
      <c r="DC29" s="47" t="inlineStr">
        <is>
          <t>P</t>
        </is>
      </c>
      <c r="DD29" s="47" t="n"/>
      <c r="DE29" s="47" t="n"/>
      <c r="DF29" s="47" t="n"/>
      <c r="DG29" s="47" t="n"/>
      <c r="DH29" s="47" t="n"/>
      <c r="DI29" s="47" t="n"/>
      <c r="DJ29" s="47" t="n"/>
      <c r="DK29" s="47" t="inlineStr">
        <is>
          <t>P</t>
        </is>
      </c>
      <c r="DL29" s="47" t="n"/>
      <c r="DM29" s="47" t="n"/>
      <c r="DN29" s="47" t="inlineStr">
        <is>
          <t>P</t>
        </is>
      </c>
      <c r="DO29" s="47" t="inlineStr">
        <is>
          <t>P</t>
        </is>
      </c>
      <c r="DP29" s="47" t="n"/>
      <c r="DQ29" s="47" t="n"/>
      <c r="DR29" s="47" t="inlineStr">
        <is>
          <t>P</t>
        </is>
      </c>
      <c r="DS29" s="47" t="inlineStr">
        <is>
          <t>P</t>
        </is>
      </c>
      <c r="DT29" s="47" t="n"/>
      <c r="DU29" s="47" t="n"/>
      <c r="DV29" s="47" t="inlineStr">
        <is>
          <t>P</t>
        </is>
      </c>
      <c r="DW29" s="47" t="inlineStr">
        <is>
          <t>P</t>
        </is>
      </c>
      <c r="DX29" s="47" t="n"/>
      <c r="DY29" s="47" t="n"/>
      <c r="DZ29" s="47" t="inlineStr">
        <is>
          <t>A</t>
        </is>
      </c>
      <c r="EA29" s="47" t="n"/>
      <c r="EB29" s="47" t="n"/>
      <c r="EC29" s="47" t="n"/>
      <c r="ED29" s="47" t="n"/>
      <c r="EE29" s="47" t="n"/>
      <c r="EF29" s="47" t="n"/>
      <c r="EG29" s="47" t="n"/>
      <c r="EH29" s="47" t="inlineStr">
        <is>
          <t>P</t>
        </is>
      </c>
      <c r="EI29" s="47" t="n"/>
      <c r="EJ29" s="47" t="n"/>
      <c r="EK29" s="47" t="inlineStr">
        <is>
          <t>A</t>
        </is>
      </c>
      <c r="EL29" s="47" t="inlineStr">
        <is>
          <t>P</t>
        </is>
      </c>
      <c r="EM29" s="47" t="n"/>
      <c r="EN29" s="47" t="n"/>
      <c r="EO29" s="47" t="inlineStr">
        <is>
          <t>P</t>
        </is>
      </c>
      <c r="EP29" s="47" t="inlineStr">
        <is>
          <t>P</t>
        </is>
      </c>
      <c r="EQ29" s="47" t="n"/>
      <c r="ER29" s="47" t="n"/>
      <c r="ES29" s="47" t="inlineStr">
        <is>
          <t>P</t>
        </is>
      </c>
      <c r="ET29" s="47" t="inlineStr">
        <is>
          <t>P</t>
        </is>
      </c>
      <c r="EU29" s="47" t="n"/>
      <c r="EV29" s="47" t="n"/>
      <c r="EW29" s="47" t="n"/>
      <c r="EX29" s="47" t="n"/>
      <c r="EY29" s="47" t="n"/>
      <c r="EZ29" s="47" t="n"/>
      <c r="FA29" s="47" t="n"/>
      <c r="FB29" s="47" t="inlineStr">
        <is>
          <t>P</t>
        </is>
      </c>
      <c r="FC29" s="47" t="n"/>
      <c r="FD29" s="47" t="n"/>
      <c r="FE29" s="47" t="inlineStr">
        <is>
          <t>A</t>
        </is>
      </c>
      <c r="FF29" s="47" t="inlineStr">
        <is>
          <t>A</t>
        </is>
      </c>
      <c r="FG29" s="47" t="n"/>
      <c r="FH29" s="47" t="n"/>
      <c r="FI29" s="47" t="inlineStr">
        <is>
          <t>P</t>
        </is>
      </c>
      <c r="FJ29" s="47" t="inlineStr">
        <is>
          <t>P</t>
        </is>
      </c>
      <c r="FK29" s="47" t="n"/>
      <c r="FL29" s="47" t="n"/>
      <c r="FM29" s="47" t="n"/>
      <c r="FN29" s="47" t="n"/>
      <c r="FO29" s="47" t="n"/>
      <c r="FP29" s="47" t="n"/>
      <c r="FQ29" s="47" t="n"/>
      <c r="FR29" s="47" t="inlineStr">
        <is>
          <t>P</t>
        </is>
      </c>
      <c r="FS29" s="47" t="n"/>
      <c r="FT29" s="47" t="n"/>
      <c r="FU29" s="47" t="n"/>
      <c r="FV29" s="47" t="n"/>
      <c r="FW29" s="47" t="n"/>
      <c r="FX29" s="47" t="n"/>
      <c r="FY29" s="47" t="inlineStr">
        <is>
          <t>P</t>
        </is>
      </c>
      <c r="FZ29" s="47" t="inlineStr">
        <is>
          <t>A</t>
        </is>
      </c>
      <c r="GA29" s="47" t="n"/>
      <c r="GB29" s="47" t="n"/>
      <c r="GC29" s="47" t="n"/>
      <c r="GD29" s="47" t="inlineStr">
        <is>
          <t>P</t>
        </is>
      </c>
      <c r="GE29" s="47" t="n"/>
      <c r="GF29" s="47" t="n"/>
      <c r="GG29" s="47" t="inlineStr">
        <is>
          <t>P</t>
        </is>
      </c>
      <c r="GH29" s="47" t="n"/>
      <c r="GI29" s="47" t="n"/>
    </row>
    <row r="30" ht="14.25" customHeight="1" s="34">
      <c r="A30" s="46" t="n">
        <v>27</v>
      </c>
      <c r="B30" s="46" t="inlineStr">
        <is>
          <t>325106410027</t>
        </is>
      </c>
      <c r="C30" s="46" t="inlineStr">
        <is>
          <t>LOHITH SAI MEDA</t>
        </is>
      </c>
      <c r="D30" s="47" t="inlineStr">
        <is>
          <t>A</t>
        </is>
      </c>
      <c r="E30" s="47" t="n"/>
      <c r="F30" s="47" t="n"/>
      <c r="G30" s="47" t="n"/>
      <c r="H30" s="47" t="n"/>
      <c r="I30" s="47" t="inlineStr">
        <is>
          <t>A</t>
        </is>
      </c>
      <c r="J30" s="47" t="n"/>
      <c r="K30" s="47" t="n"/>
      <c r="L30" s="47" t="inlineStr">
        <is>
          <t>A</t>
        </is>
      </c>
      <c r="M30" s="47" t="n"/>
      <c r="N30" s="47" t="n"/>
      <c r="O30" s="47" t="n"/>
      <c r="P30" s="47" t="inlineStr">
        <is>
          <t>A</t>
        </is>
      </c>
      <c r="Q30" s="47" t="inlineStr">
        <is>
          <t>A</t>
        </is>
      </c>
      <c r="R30" s="47" t="n"/>
      <c r="S30" s="47" t="n"/>
      <c r="T30" s="47" t="inlineStr">
        <is>
          <t>A</t>
        </is>
      </c>
      <c r="U30" s="47" t="n"/>
      <c r="V30" s="47" t="n"/>
      <c r="W30" s="47" t="n"/>
      <c r="X30" s="47" t="n"/>
      <c r="Y30" s="47" t="n"/>
      <c r="Z30" s="47" t="n"/>
      <c r="AA30" s="47" t="n"/>
      <c r="AB30" s="47" t="n"/>
      <c r="AC30" s="47" t="inlineStr">
        <is>
          <t>P</t>
        </is>
      </c>
      <c r="AD30" s="47" t="n"/>
      <c r="AE30" s="47" t="n"/>
      <c r="AF30" s="47" t="inlineStr">
        <is>
          <t>P</t>
        </is>
      </c>
      <c r="AG30" s="47" t="n"/>
      <c r="AH30" s="47" t="n"/>
      <c r="AI30" s="47" t="n"/>
      <c r="AJ30" s="47" t="inlineStr">
        <is>
          <t>P</t>
        </is>
      </c>
      <c r="AK30" s="47" t="inlineStr">
        <is>
          <t>P</t>
        </is>
      </c>
      <c r="AL30" s="47" t="n"/>
      <c r="AM30" s="47" t="n"/>
      <c r="AN30" s="47" t="inlineStr">
        <is>
          <t>P</t>
        </is>
      </c>
      <c r="AO30" s="47" t="n"/>
      <c r="AP30" s="47" t="n"/>
      <c r="AQ30" s="47" t="n"/>
      <c r="AR30" s="47" t="inlineStr">
        <is>
          <t>P</t>
        </is>
      </c>
      <c r="AS30" s="47" t="n"/>
      <c r="AT30" s="47" t="n"/>
      <c r="AU30" s="47" t="n"/>
      <c r="AV30" s="47" t="n"/>
      <c r="AW30" s="47" t="inlineStr">
        <is>
          <t>P</t>
        </is>
      </c>
      <c r="AX30" s="47" t="n"/>
      <c r="AY30" s="47" t="n"/>
      <c r="AZ30" s="47" t="inlineStr">
        <is>
          <t>P</t>
        </is>
      </c>
      <c r="BA30" s="47" t="inlineStr">
        <is>
          <t>P</t>
        </is>
      </c>
      <c r="BB30" s="47" t="n"/>
      <c r="BC30" s="47" t="n"/>
      <c r="BD30" s="47" t="inlineStr">
        <is>
          <t>P</t>
        </is>
      </c>
      <c r="BE30" s="47" t="inlineStr">
        <is>
          <t>P</t>
        </is>
      </c>
      <c r="BF30" s="47" t="n"/>
      <c r="BG30" s="47" t="n"/>
      <c r="BH30" s="47" t="inlineStr">
        <is>
          <t>P</t>
        </is>
      </c>
      <c r="BI30" s="47" t="inlineStr">
        <is>
          <t>P</t>
        </is>
      </c>
      <c r="BJ30" s="47" t="n"/>
      <c r="BK30" s="47" t="n"/>
      <c r="BL30" s="47" t="n"/>
      <c r="BM30" s="47" t="n"/>
      <c r="BN30" s="47" t="n"/>
      <c r="BO30" s="47" t="n"/>
      <c r="BP30" s="47" t="n"/>
      <c r="BQ30" s="47" t="inlineStr">
        <is>
          <t>P</t>
        </is>
      </c>
      <c r="BR30" s="47" t="n"/>
      <c r="BS30" s="47" t="n"/>
      <c r="BT30" s="47" t="inlineStr">
        <is>
          <t>P</t>
        </is>
      </c>
      <c r="BU30" s="47" t="inlineStr">
        <is>
          <t>P</t>
        </is>
      </c>
      <c r="BV30" s="47" t="n"/>
      <c r="BW30" s="47" t="n"/>
      <c r="BX30" s="47" t="inlineStr">
        <is>
          <t>A</t>
        </is>
      </c>
      <c r="BY30" s="47" t="inlineStr">
        <is>
          <t>A</t>
        </is>
      </c>
      <c r="BZ30" s="47" t="n"/>
      <c r="CA30" s="47" t="n"/>
      <c r="CB30" s="47" t="inlineStr">
        <is>
          <t>P</t>
        </is>
      </c>
      <c r="CC30" s="47" t="n"/>
      <c r="CD30" s="47" t="n"/>
      <c r="CE30" s="47" t="n"/>
      <c r="CF30" s="47" t="inlineStr">
        <is>
          <t>P</t>
        </is>
      </c>
      <c r="CG30" s="47" t="n"/>
      <c r="CH30" s="47" t="n"/>
      <c r="CI30" s="47" t="n"/>
      <c r="CJ30" s="47" t="n"/>
      <c r="CK30" s="47" t="n"/>
      <c r="CL30" s="47" t="n"/>
      <c r="CM30" s="47" t="n"/>
      <c r="CN30" s="47" t="inlineStr">
        <is>
          <t>P</t>
        </is>
      </c>
      <c r="CO30" s="47" t="n"/>
      <c r="CP30" s="47" t="n"/>
      <c r="CQ30" s="47" t="inlineStr">
        <is>
          <t>P</t>
        </is>
      </c>
      <c r="CR30" s="47" t="inlineStr">
        <is>
          <t>P</t>
        </is>
      </c>
      <c r="CS30" s="47" t="n"/>
      <c r="CT30" s="47" t="n"/>
      <c r="CU30" s="47" t="inlineStr">
        <is>
          <t>A</t>
        </is>
      </c>
      <c r="CV30" s="47" t="inlineStr">
        <is>
          <t>A</t>
        </is>
      </c>
      <c r="CW30" s="47" t="n"/>
      <c r="CX30" s="47" t="n"/>
      <c r="CY30" s="47" t="n"/>
      <c r="CZ30" s="47" t="inlineStr">
        <is>
          <t>P</t>
        </is>
      </c>
      <c r="DA30" s="47" t="n"/>
      <c r="DB30" s="47" t="n"/>
      <c r="DC30" s="47" t="inlineStr">
        <is>
          <t>P</t>
        </is>
      </c>
      <c r="DD30" s="47" t="n"/>
      <c r="DE30" s="47" t="n"/>
      <c r="DF30" s="47" t="n"/>
      <c r="DG30" s="47" t="n"/>
      <c r="DH30" s="47" t="n"/>
      <c r="DI30" s="47" t="n"/>
      <c r="DJ30" s="47" t="n"/>
      <c r="DK30" s="47" t="inlineStr">
        <is>
          <t>P</t>
        </is>
      </c>
      <c r="DL30" s="47" t="n"/>
      <c r="DM30" s="47" t="n"/>
      <c r="DN30" s="47" t="inlineStr">
        <is>
          <t>P</t>
        </is>
      </c>
      <c r="DO30" s="47" t="inlineStr">
        <is>
          <t>P</t>
        </is>
      </c>
      <c r="DP30" s="47" t="n"/>
      <c r="DQ30" s="47" t="n"/>
      <c r="DR30" s="47" t="inlineStr">
        <is>
          <t>P</t>
        </is>
      </c>
      <c r="DS30" s="47" t="inlineStr">
        <is>
          <t>P</t>
        </is>
      </c>
      <c r="DT30" s="47" t="n"/>
      <c r="DU30" s="47" t="n"/>
      <c r="DV30" s="47" t="inlineStr">
        <is>
          <t>P</t>
        </is>
      </c>
      <c r="DW30" s="47" t="inlineStr">
        <is>
          <t>P</t>
        </is>
      </c>
      <c r="DX30" s="47" t="n"/>
      <c r="DY30" s="47" t="n"/>
      <c r="DZ30" s="47" t="inlineStr">
        <is>
          <t>P</t>
        </is>
      </c>
      <c r="EA30" s="47" t="n"/>
      <c r="EB30" s="47" t="n"/>
      <c r="EC30" s="47" t="n"/>
      <c r="ED30" s="47" t="n"/>
      <c r="EE30" s="47" t="n"/>
      <c r="EF30" s="47" t="n"/>
      <c r="EG30" s="47" t="n"/>
      <c r="EH30" s="47" t="inlineStr">
        <is>
          <t>P</t>
        </is>
      </c>
      <c r="EI30" s="47" t="n"/>
      <c r="EJ30" s="47" t="n"/>
      <c r="EK30" s="47" t="inlineStr">
        <is>
          <t>P</t>
        </is>
      </c>
      <c r="EL30" s="47" t="inlineStr">
        <is>
          <t>P</t>
        </is>
      </c>
      <c r="EM30" s="47" t="n"/>
      <c r="EN30" s="47" t="n"/>
      <c r="EO30" s="47" t="inlineStr">
        <is>
          <t>P</t>
        </is>
      </c>
      <c r="EP30" s="47" t="inlineStr">
        <is>
          <t>P</t>
        </is>
      </c>
      <c r="EQ30" s="47" t="n"/>
      <c r="ER30" s="47" t="n"/>
      <c r="ES30" s="47" t="inlineStr">
        <is>
          <t>P</t>
        </is>
      </c>
      <c r="ET30" s="47" t="inlineStr">
        <is>
          <t>P</t>
        </is>
      </c>
      <c r="EU30" s="47" t="n"/>
      <c r="EV30" s="47" t="n"/>
      <c r="EW30" s="47" t="n"/>
      <c r="EX30" s="47" t="n"/>
      <c r="EY30" s="47" t="n"/>
      <c r="EZ30" s="47" t="n"/>
      <c r="FA30" s="47" t="n"/>
      <c r="FB30" s="47" t="inlineStr">
        <is>
          <t>P</t>
        </is>
      </c>
      <c r="FC30" s="47" t="n"/>
      <c r="FD30" s="47" t="n"/>
      <c r="FE30" s="47" t="inlineStr">
        <is>
          <t>P</t>
        </is>
      </c>
      <c r="FF30" s="47" t="inlineStr">
        <is>
          <t>P</t>
        </is>
      </c>
      <c r="FG30" s="47" t="n"/>
      <c r="FH30" s="47" t="n"/>
      <c r="FI30" s="47" t="inlineStr">
        <is>
          <t>P</t>
        </is>
      </c>
      <c r="FJ30" s="47" t="inlineStr">
        <is>
          <t>P</t>
        </is>
      </c>
      <c r="FK30" s="47" t="n"/>
      <c r="FL30" s="47" t="n"/>
      <c r="FM30" s="47" t="n"/>
      <c r="FN30" s="47" t="n"/>
      <c r="FO30" s="47" t="n"/>
      <c r="FP30" s="47" t="n"/>
      <c r="FQ30" s="47" t="n"/>
      <c r="FR30" s="47" t="inlineStr">
        <is>
          <t>P</t>
        </is>
      </c>
      <c r="FS30" s="47" t="n"/>
      <c r="FT30" s="47" t="n"/>
      <c r="FU30" s="47" t="n"/>
      <c r="FV30" s="47" t="n"/>
      <c r="FW30" s="47" t="n"/>
      <c r="FX30" s="47" t="n"/>
      <c r="FY30" s="47" t="inlineStr">
        <is>
          <t>A</t>
        </is>
      </c>
      <c r="FZ30" s="47" t="inlineStr">
        <is>
          <t>A</t>
        </is>
      </c>
      <c r="GA30" s="47" t="n"/>
      <c r="GB30" s="47" t="n"/>
      <c r="GC30" s="47" t="n"/>
      <c r="GD30" s="47" t="inlineStr">
        <is>
          <t>P</t>
        </is>
      </c>
      <c r="GE30" s="47" t="n"/>
      <c r="GF30" s="47" t="n"/>
      <c r="GG30" s="47" t="inlineStr">
        <is>
          <t>A</t>
        </is>
      </c>
      <c r="GH30" s="47" t="n"/>
      <c r="GI30" s="47" t="n"/>
    </row>
    <row r="31" ht="14.25" customHeight="1" s="34">
      <c r="A31" s="46" t="n">
        <v>28</v>
      </c>
      <c r="B31" s="46" t="inlineStr">
        <is>
          <t>325106410028</t>
        </is>
      </c>
      <c r="C31" s="46" t="inlineStr">
        <is>
          <t>HANUSRI VEERA VENKATA SANTOSH MIDATHA</t>
        </is>
      </c>
      <c r="D31" s="47" t="inlineStr">
        <is>
          <t>A</t>
        </is>
      </c>
      <c r="E31" s="47" t="n"/>
      <c r="F31" s="47" t="n"/>
      <c r="G31" s="47" t="n"/>
      <c r="H31" s="47" t="n"/>
      <c r="I31" s="47" t="inlineStr">
        <is>
          <t>A</t>
        </is>
      </c>
      <c r="J31" s="47" t="n"/>
      <c r="K31" s="47" t="n"/>
      <c r="L31" s="47" t="inlineStr">
        <is>
          <t>P</t>
        </is>
      </c>
      <c r="M31" s="47" t="n"/>
      <c r="N31" s="47" t="n"/>
      <c r="O31" s="47" t="n"/>
      <c r="P31" s="47" t="inlineStr">
        <is>
          <t>P</t>
        </is>
      </c>
      <c r="Q31" s="47" t="inlineStr">
        <is>
          <t>P</t>
        </is>
      </c>
      <c r="R31" s="47" t="n"/>
      <c r="S31" s="47" t="n"/>
      <c r="T31" s="47" t="inlineStr">
        <is>
          <t>P</t>
        </is>
      </c>
      <c r="U31" s="47" t="n"/>
      <c r="V31" s="47" t="n"/>
      <c r="W31" s="47" t="n"/>
      <c r="X31" s="47" t="n"/>
      <c r="Y31" s="47" t="n"/>
      <c r="Z31" s="47" t="n"/>
      <c r="AA31" s="47" t="n"/>
      <c r="AB31" s="47" t="n"/>
      <c r="AC31" s="47" t="inlineStr">
        <is>
          <t>P</t>
        </is>
      </c>
      <c r="AD31" s="47" t="n"/>
      <c r="AE31" s="47" t="n"/>
      <c r="AF31" s="47" t="inlineStr">
        <is>
          <t>P</t>
        </is>
      </c>
      <c r="AG31" s="47" t="n"/>
      <c r="AH31" s="47" t="n"/>
      <c r="AI31" s="47" t="n"/>
      <c r="AJ31" s="47" t="inlineStr">
        <is>
          <t>P</t>
        </is>
      </c>
      <c r="AK31" s="47" t="inlineStr">
        <is>
          <t>P</t>
        </is>
      </c>
      <c r="AL31" s="47" t="n"/>
      <c r="AM31" s="47" t="n"/>
      <c r="AN31" s="47" t="inlineStr">
        <is>
          <t>P</t>
        </is>
      </c>
      <c r="AO31" s="47" t="n"/>
      <c r="AP31" s="47" t="n"/>
      <c r="AQ31" s="47" t="n"/>
      <c r="AR31" s="47" t="inlineStr">
        <is>
          <t>P</t>
        </is>
      </c>
      <c r="AS31" s="47" t="n"/>
      <c r="AT31" s="47" t="n"/>
      <c r="AU31" s="47" t="n"/>
      <c r="AV31" s="47" t="n"/>
      <c r="AW31" s="47" t="inlineStr">
        <is>
          <t>P</t>
        </is>
      </c>
      <c r="AX31" s="47" t="n"/>
      <c r="AY31" s="47" t="n"/>
      <c r="AZ31" s="47" t="inlineStr">
        <is>
          <t>P</t>
        </is>
      </c>
      <c r="BA31" s="47" t="inlineStr">
        <is>
          <t>P</t>
        </is>
      </c>
      <c r="BB31" s="47" t="n"/>
      <c r="BC31" s="47" t="n"/>
      <c r="BD31" s="47" t="inlineStr">
        <is>
          <t>P</t>
        </is>
      </c>
      <c r="BE31" s="47" t="inlineStr">
        <is>
          <t>P</t>
        </is>
      </c>
      <c r="BF31" s="47" t="n"/>
      <c r="BG31" s="47" t="n"/>
      <c r="BH31" s="47" t="inlineStr">
        <is>
          <t>P</t>
        </is>
      </c>
      <c r="BI31" s="47" t="inlineStr">
        <is>
          <t>P</t>
        </is>
      </c>
      <c r="BJ31" s="47" t="n"/>
      <c r="BK31" s="47" t="n"/>
      <c r="BL31" s="47" t="n"/>
      <c r="BM31" s="47" t="n"/>
      <c r="BN31" s="47" t="n"/>
      <c r="BO31" s="47" t="n"/>
      <c r="BP31" s="47" t="n"/>
      <c r="BQ31" s="47" t="inlineStr">
        <is>
          <t>P</t>
        </is>
      </c>
      <c r="BR31" s="47" t="n"/>
      <c r="BS31" s="47" t="n"/>
      <c r="BT31" s="47" t="inlineStr">
        <is>
          <t>P</t>
        </is>
      </c>
      <c r="BU31" s="47" t="inlineStr">
        <is>
          <t>P</t>
        </is>
      </c>
      <c r="BV31" s="47" t="n"/>
      <c r="BW31" s="47" t="n"/>
      <c r="BX31" s="47" t="inlineStr">
        <is>
          <t>P</t>
        </is>
      </c>
      <c r="BY31" s="47" t="inlineStr">
        <is>
          <t>P</t>
        </is>
      </c>
      <c r="BZ31" s="47" t="n"/>
      <c r="CA31" s="47" t="n"/>
      <c r="CB31" s="47" t="inlineStr">
        <is>
          <t>P</t>
        </is>
      </c>
      <c r="CC31" s="47" t="n"/>
      <c r="CD31" s="47" t="n"/>
      <c r="CE31" s="47" t="n"/>
      <c r="CF31" s="47" t="inlineStr">
        <is>
          <t>P</t>
        </is>
      </c>
      <c r="CG31" s="47" t="n"/>
      <c r="CH31" s="47" t="n"/>
      <c r="CI31" s="47" t="n"/>
      <c r="CJ31" s="47" t="n"/>
      <c r="CK31" s="47" t="n"/>
      <c r="CL31" s="47" t="n"/>
      <c r="CM31" s="47" t="n"/>
      <c r="CN31" s="47" t="inlineStr">
        <is>
          <t>P</t>
        </is>
      </c>
      <c r="CO31" s="47" t="n"/>
      <c r="CP31" s="47" t="n"/>
      <c r="CQ31" s="47" t="inlineStr">
        <is>
          <t>P</t>
        </is>
      </c>
      <c r="CR31" s="47" t="inlineStr">
        <is>
          <t>P</t>
        </is>
      </c>
      <c r="CS31" s="47" t="n"/>
      <c r="CT31" s="47" t="n"/>
      <c r="CU31" s="47" t="inlineStr">
        <is>
          <t>P</t>
        </is>
      </c>
      <c r="CV31" s="47" t="inlineStr">
        <is>
          <t>P</t>
        </is>
      </c>
      <c r="CW31" s="47" t="n"/>
      <c r="CX31" s="47" t="n"/>
      <c r="CY31" s="47" t="n"/>
      <c r="CZ31" s="47" t="inlineStr">
        <is>
          <t>P</t>
        </is>
      </c>
      <c r="DA31" s="47" t="n"/>
      <c r="DB31" s="47" t="n"/>
      <c r="DC31" s="47" t="inlineStr">
        <is>
          <t>P</t>
        </is>
      </c>
      <c r="DD31" s="47" t="n"/>
      <c r="DE31" s="47" t="n"/>
      <c r="DF31" s="47" t="n"/>
      <c r="DG31" s="47" t="n"/>
      <c r="DH31" s="47" t="n"/>
      <c r="DI31" s="47" t="n"/>
      <c r="DJ31" s="47" t="n"/>
      <c r="DK31" s="47" t="inlineStr">
        <is>
          <t>A</t>
        </is>
      </c>
      <c r="DL31" s="47" t="n"/>
      <c r="DM31" s="47" t="n"/>
      <c r="DN31" s="47" t="inlineStr">
        <is>
          <t>P</t>
        </is>
      </c>
      <c r="DO31" s="47" t="inlineStr">
        <is>
          <t>P</t>
        </is>
      </c>
      <c r="DP31" s="47" t="n"/>
      <c r="DQ31" s="47" t="n"/>
      <c r="DR31" s="47" t="inlineStr">
        <is>
          <t>P</t>
        </is>
      </c>
      <c r="DS31" s="47" t="inlineStr">
        <is>
          <t>P</t>
        </is>
      </c>
      <c r="DT31" s="47" t="n"/>
      <c r="DU31" s="47" t="n"/>
      <c r="DV31" s="47" t="inlineStr">
        <is>
          <t>P</t>
        </is>
      </c>
      <c r="DW31" s="47" t="inlineStr">
        <is>
          <t>P</t>
        </is>
      </c>
      <c r="DX31" s="47" t="n"/>
      <c r="DY31" s="47" t="n"/>
      <c r="DZ31" s="47" t="inlineStr">
        <is>
          <t>P</t>
        </is>
      </c>
      <c r="EA31" s="47" t="n"/>
      <c r="EB31" s="47" t="n"/>
      <c r="EC31" s="47" t="n"/>
      <c r="ED31" s="47" t="n"/>
      <c r="EE31" s="47" t="n"/>
      <c r="EF31" s="47" t="n"/>
      <c r="EG31" s="47" t="n"/>
      <c r="EH31" s="47" t="inlineStr">
        <is>
          <t>P</t>
        </is>
      </c>
      <c r="EI31" s="47" t="n"/>
      <c r="EJ31" s="47" t="n"/>
      <c r="EK31" s="47" t="inlineStr">
        <is>
          <t>P</t>
        </is>
      </c>
      <c r="EL31" s="47" t="inlineStr">
        <is>
          <t>P</t>
        </is>
      </c>
      <c r="EM31" s="47" t="n"/>
      <c r="EN31" s="47" t="n"/>
      <c r="EO31" s="47" t="inlineStr">
        <is>
          <t>P</t>
        </is>
      </c>
      <c r="EP31" s="47" t="inlineStr">
        <is>
          <t>P</t>
        </is>
      </c>
      <c r="EQ31" s="47" t="n"/>
      <c r="ER31" s="47" t="n"/>
      <c r="ES31" s="47" t="inlineStr">
        <is>
          <t>P</t>
        </is>
      </c>
      <c r="ET31" s="47" t="inlineStr">
        <is>
          <t>P</t>
        </is>
      </c>
      <c r="EU31" s="47" t="n"/>
      <c r="EV31" s="47" t="n"/>
      <c r="EW31" s="47" t="n"/>
      <c r="EX31" s="47" t="n"/>
      <c r="EY31" s="47" t="n"/>
      <c r="EZ31" s="47" t="n"/>
      <c r="FA31" s="47" t="n"/>
      <c r="FB31" s="47" t="inlineStr">
        <is>
          <t>P</t>
        </is>
      </c>
      <c r="FC31" s="47" t="n"/>
      <c r="FD31" s="47" t="n"/>
      <c r="FE31" s="47" t="inlineStr">
        <is>
          <t>P</t>
        </is>
      </c>
      <c r="FF31" s="47" t="inlineStr">
        <is>
          <t>P</t>
        </is>
      </c>
      <c r="FG31" s="47" t="n"/>
      <c r="FH31" s="47" t="n"/>
      <c r="FI31" s="47" t="inlineStr">
        <is>
          <t>P</t>
        </is>
      </c>
      <c r="FJ31" s="47" t="inlineStr">
        <is>
          <t>P</t>
        </is>
      </c>
      <c r="FK31" s="47" t="n"/>
      <c r="FL31" s="47" t="n"/>
      <c r="FM31" s="47" t="n"/>
      <c r="FN31" s="47" t="n"/>
      <c r="FO31" s="47" t="n"/>
      <c r="FP31" s="47" t="n"/>
      <c r="FQ31" s="47" t="n"/>
      <c r="FR31" s="47" t="inlineStr">
        <is>
          <t>P</t>
        </is>
      </c>
      <c r="FS31" s="47" t="n"/>
      <c r="FT31" s="47" t="n"/>
      <c r="FU31" s="47" t="n"/>
      <c r="FV31" s="47" t="n"/>
      <c r="FW31" s="47" t="n"/>
      <c r="FX31" s="47" t="n"/>
      <c r="FY31" s="47" t="inlineStr">
        <is>
          <t>A</t>
        </is>
      </c>
      <c r="FZ31" s="47" t="inlineStr">
        <is>
          <t>A</t>
        </is>
      </c>
      <c r="GA31" s="47" t="n"/>
      <c r="GB31" s="47" t="n"/>
      <c r="GC31" s="47" t="n"/>
      <c r="GD31" s="47" t="inlineStr">
        <is>
          <t>P</t>
        </is>
      </c>
      <c r="GE31" s="47" t="n"/>
      <c r="GF31" s="47" t="n"/>
      <c r="GG31" s="47" t="inlineStr">
        <is>
          <t>P</t>
        </is>
      </c>
      <c r="GH31" s="47" t="n"/>
      <c r="GI31" s="47" t="n"/>
    </row>
    <row r="32" ht="14.25" customHeight="1" s="34">
      <c r="A32" s="46" t="n">
        <v>29</v>
      </c>
      <c r="B32" s="46" t="inlineStr">
        <is>
          <t>325106410029</t>
        </is>
      </c>
      <c r="C32" s="46" t="inlineStr">
        <is>
          <t>SYAM KISHORE MOGILI</t>
        </is>
      </c>
      <c r="D32" s="47" t="inlineStr">
        <is>
          <t>A</t>
        </is>
      </c>
      <c r="E32" s="47" t="n"/>
      <c r="F32" s="47" t="n"/>
      <c r="G32" s="47" t="n"/>
      <c r="H32" s="47" t="n"/>
      <c r="I32" s="47" t="inlineStr">
        <is>
          <t>A</t>
        </is>
      </c>
      <c r="J32" s="47" t="n"/>
      <c r="K32" s="47" t="n"/>
      <c r="L32" s="47" t="inlineStr">
        <is>
          <t>A</t>
        </is>
      </c>
      <c r="M32" s="47" t="n"/>
      <c r="N32" s="47" t="n"/>
      <c r="O32" s="47" t="n"/>
      <c r="P32" s="47" t="inlineStr">
        <is>
          <t>A</t>
        </is>
      </c>
      <c r="Q32" s="47" t="inlineStr">
        <is>
          <t>A</t>
        </is>
      </c>
      <c r="R32" s="47" t="n"/>
      <c r="S32" s="47" t="n"/>
      <c r="T32" s="47" t="inlineStr">
        <is>
          <t>A</t>
        </is>
      </c>
      <c r="U32" s="47" t="n"/>
      <c r="V32" s="47" t="n"/>
      <c r="W32" s="47" t="n"/>
      <c r="X32" s="47" t="n"/>
      <c r="Y32" s="47" t="n"/>
      <c r="Z32" s="47" t="n"/>
      <c r="AA32" s="47" t="n"/>
      <c r="AB32" s="47" t="n"/>
      <c r="AC32" s="47" t="inlineStr">
        <is>
          <t>P</t>
        </is>
      </c>
      <c r="AD32" s="47" t="n"/>
      <c r="AE32" s="47" t="n"/>
      <c r="AF32" s="47" t="inlineStr">
        <is>
          <t>P</t>
        </is>
      </c>
      <c r="AG32" s="47" t="n"/>
      <c r="AH32" s="47" t="n"/>
      <c r="AI32" s="47" t="n"/>
      <c r="AJ32" s="47" t="inlineStr">
        <is>
          <t>P</t>
        </is>
      </c>
      <c r="AK32" s="47" t="inlineStr">
        <is>
          <t>P</t>
        </is>
      </c>
      <c r="AL32" s="47" t="n"/>
      <c r="AM32" s="47" t="n"/>
      <c r="AN32" s="47" t="inlineStr">
        <is>
          <t>P</t>
        </is>
      </c>
      <c r="AO32" s="47" t="n"/>
      <c r="AP32" s="47" t="n"/>
      <c r="AQ32" s="47" t="n"/>
      <c r="AR32" s="47" t="inlineStr">
        <is>
          <t>P</t>
        </is>
      </c>
      <c r="AS32" s="47" t="n"/>
      <c r="AT32" s="47" t="n"/>
      <c r="AU32" s="47" t="n"/>
      <c r="AV32" s="47" t="n"/>
      <c r="AW32" s="47" t="inlineStr">
        <is>
          <t>P</t>
        </is>
      </c>
      <c r="AX32" s="47" t="n"/>
      <c r="AY32" s="47" t="n"/>
      <c r="AZ32" s="47" t="inlineStr">
        <is>
          <t>P</t>
        </is>
      </c>
      <c r="BA32" s="47" t="inlineStr">
        <is>
          <t>P</t>
        </is>
      </c>
      <c r="BB32" s="47" t="n"/>
      <c r="BC32" s="47" t="n"/>
      <c r="BD32" s="47" t="inlineStr">
        <is>
          <t>P</t>
        </is>
      </c>
      <c r="BE32" s="47" t="inlineStr">
        <is>
          <t>P</t>
        </is>
      </c>
      <c r="BF32" s="47" t="n"/>
      <c r="BG32" s="47" t="n"/>
      <c r="BH32" s="47" t="inlineStr">
        <is>
          <t>P</t>
        </is>
      </c>
      <c r="BI32" s="47" t="inlineStr">
        <is>
          <t>P</t>
        </is>
      </c>
      <c r="BJ32" s="47" t="n"/>
      <c r="BK32" s="47" t="n"/>
      <c r="BL32" s="47" t="n"/>
      <c r="BM32" s="47" t="n"/>
      <c r="BN32" s="47" t="n"/>
      <c r="BO32" s="47" t="n"/>
      <c r="BP32" s="47" t="n"/>
      <c r="BQ32" s="47" t="inlineStr">
        <is>
          <t>P</t>
        </is>
      </c>
      <c r="BR32" s="47" t="n"/>
      <c r="BS32" s="47" t="n"/>
      <c r="BT32" s="47" t="inlineStr">
        <is>
          <t>P</t>
        </is>
      </c>
      <c r="BU32" s="47" t="inlineStr">
        <is>
          <t>P</t>
        </is>
      </c>
      <c r="BV32" s="47" t="n"/>
      <c r="BW32" s="47" t="n"/>
      <c r="BX32" s="47" t="inlineStr">
        <is>
          <t>P</t>
        </is>
      </c>
      <c r="BY32" s="47" t="inlineStr">
        <is>
          <t>P</t>
        </is>
      </c>
      <c r="BZ32" s="47" t="n"/>
      <c r="CA32" s="47" t="n"/>
      <c r="CB32" s="47" t="inlineStr">
        <is>
          <t>P</t>
        </is>
      </c>
      <c r="CC32" s="47" t="n"/>
      <c r="CD32" s="47" t="n"/>
      <c r="CE32" s="47" t="n"/>
      <c r="CF32" s="47" t="inlineStr">
        <is>
          <t>P</t>
        </is>
      </c>
      <c r="CG32" s="47" t="n"/>
      <c r="CH32" s="47" t="n"/>
      <c r="CI32" s="47" t="n"/>
      <c r="CJ32" s="47" t="n"/>
      <c r="CK32" s="47" t="n"/>
      <c r="CL32" s="47" t="n"/>
      <c r="CM32" s="47" t="n"/>
      <c r="CN32" s="47" t="inlineStr">
        <is>
          <t>P</t>
        </is>
      </c>
      <c r="CO32" s="47" t="n"/>
      <c r="CP32" s="47" t="n"/>
      <c r="CQ32" s="47" t="inlineStr">
        <is>
          <t>P</t>
        </is>
      </c>
      <c r="CR32" s="47" t="inlineStr">
        <is>
          <t>P</t>
        </is>
      </c>
      <c r="CS32" s="47" t="n"/>
      <c r="CT32" s="47" t="n"/>
      <c r="CU32" s="47" t="inlineStr">
        <is>
          <t>P</t>
        </is>
      </c>
      <c r="CV32" s="47" t="inlineStr">
        <is>
          <t>P</t>
        </is>
      </c>
      <c r="CW32" s="47" t="n"/>
      <c r="CX32" s="47" t="n"/>
      <c r="CY32" s="47" t="n"/>
      <c r="CZ32" s="47" t="inlineStr">
        <is>
          <t>P</t>
        </is>
      </c>
      <c r="DA32" s="47" t="n"/>
      <c r="DB32" s="47" t="n"/>
      <c r="DC32" s="47" t="inlineStr">
        <is>
          <t>P</t>
        </is>
      </c>
      <c r="DD32" s="47" t="n"/>
      <c r="DE32" s="47" t="n"/>
      <c r="DF32" s="47" t="n"/>
      <c r="DG32" s="47" t="n"/>
      <c r="DH32" s="47" t="n"/>
      <c r="DI32" s="47" t="n"/>
      <c r="DJ32" s="47" t="n"/>
      <c r="DK32" s="47" t="inlineStr">
        <is>
          <t>P</t>
        </is>
      </c>
      <c r="DL32" s="47" t="n"/>
      <c r="DM32" s="47" t="n"/>
      <c r="DN32" s="47" t="inlineStr">
        <is>
          <t>P</t>
        </is>
      </c>
      <c r="DO32" s="47" t="inlineStr">
        <is>
          <t>P</t>
        </is>
      </c>
      <c r="DP32" s="47" t="n"/>
      <c r="DQ32" s="47" t="n"/>
      <c r="DR32" s="47" t="inlineStr">
        <is>
          <t>P</t>
        </is>
      </c>
      <c r="DS32" s="47" t="inlineStr">
        <is>
          <t>P</t>
        </is>
      </c>
      <c r="DT32" s="47" t="n"/>
      <c r="DU32" s="47" t="n"/>
      <c r="DV32" s="47" t="inlineStr">
        <is>
          <t>P</t>
        </is>
      </c>
      <c r="DW32" s="47" t="inlineStr">
        <is>
          <t>P</t>
        </is>
      </c>
      <c r="DX32" s="47" t="n"/>
      <c r="DY32" s="47" t="n"/>
      <c r="DZ32" s="47" t="inlineStr">
        <is>
          <t>P</t>
        </is>
      </c>
      <c r="EA32" s="47" t="n"/>
      <c r="EB32" s="47" t="n"/>
      <c r="EC32" s="47" t="n"/>
      <c r="ED32" s="47" t="n"/>
      <c r="EE32" s="47" t="n"/>
      <c r="EF32" s="47" t="n"/>
      <c r="EG32" s="47" t="n"/>
      <c r="EH32" s="47" t="inlineStr">
        <is>
          <t>P</t>
        </is>
      </c>
      <c r="EI32" s="47" t="n"/>
      <c r="EJ32" s="47" t="n"/>
      <c r="EK32" s="47" t="inlineStr">
        <is>
          <t>P</t>
        </is>
      </c>
      <c r="EL32" s="47" t="inlineStr">
        <is>
          <t>P</t>
        </is>
      </c>
      <c r="EM32" s="47" t="n"/>
      <c r="EN32" s="47" t="n"/>
      <c r="EO32" s="47" t="inlineStr">
        <is>
          <t>P</t>
        </is>
      </c>
      <c r="EP32" s="47" t="inlineStr">
        <is>
          <t>P</t>
        </is>
      </c>
      <c r="EQ32" s="47" t="n"/>
      <c r="ER32" s="47" t="n"/>
      <c r="ES32" s="47" t="inlineStr">
        <is>
          <t>P</t>
        </is>
      </c>
      <c r="ET32" s="47" t="inlineStr">
        <is>
          <t>P</t>
        </is>
      </c>
      <c r="EU32" s="47" t="n"/>
      <c r="EV32" s="47" t="n"/>
      <c r="EW32" s="47" t="n"/>
      <c r="EX32" s="47" t="n"/>
      <c r="EY32" s="47" t="n"/>
      <c r="EZ32" s="47" t="n"/>
      <c r="FA32" s="47" t="n"/>
      <c r="FB32" s="47" t="inlineStr">
        <is>
          <t>A</t>
        </is>
      </c>
      <c r="FC32" s="47" t="n"/>
      <c r="FD32" s="47" t="n"/>
      <c r="FE32" s="47" t="inlineStr">
        <is>
          <t>P</t>
        </is>
      </c>
      <c r="FF32" s="47" t="inlineStr">
        <is>
          <t>P</t>
        </is>
      </c>
      <c r="FG32" s="47" t="n"/>
      <c r="FH32" s="47" t="n"/>
      <c r="FI32" s="47" t="inlineStr">
        <is>
          <t>P</t>
        </is>
      </c>
      <c r="FJ32" s="47" t="inlineStr">
        <is>
          <t>P</t>
        </is>
      </c>
      <c r="FK32" s="47" t="n"/>
      <c r="FL32" s="47" t="n"/>
      <c r="FM32" s="47" t="n"/>
      <c r="FN32" s="47" t="n"/>
      <c r="FO32" s="47" t="n"/>
      <c r="FP32" s="47" t="n"/>
      <c r="FQ32" s="47" t="n"/>
      <c r="FR32" s="47" t="inlineStr">
        <is>
          <t>P</t>
        </is>
      </c>
      <c r="FS32" s="47" t="n"/>
      <c r="FT32" s="47" t="n"/>
      <c r="FU32" s="47" t="n"/>
      <c r="FV32" s="47" t="n"/>
      <c r="FW32" s="47" t="n"/>
      <c r="FX32" s="47" t="n"/>
      <c r="FY32" s="47" t="inlineStr">
        <is>
          <t>P</t>
        </is>
      </c>
      <c r="FZ32" s="47" t="inlineStr">
        <is>
          <t>P</t>
        </is>
      </c>
      <c r="GA32" s="47" t="n"/>
      <c r="GB32" s="47" t="n"/>
      <c r="GC32" s="47" t="n"/>
      <c r="GD32" s="47" t="inlineStr">
        <is>
          <t>A</t>
        </is>
      </c>
      <c r="GE32" s="47" t="n"/>
      <c r="GF32" s="47" t="n"/>
      <c r="GG32" s="47" t="inlineStr">
        <is>
          <t>P</t>
        </is>
      </c>
      <c r="GH32" s="47" t="n"/>
      <c r="GI32" s="47" t="n"/>
    </row>
    <row r="33" ht="14.25" customHeight="1" s="34">
      <c r="A33" s="46" t="n">
        <v>30</v>
      </c>
      <c r="B33" s="46" t="inlineStr">
        <is>
          <t>325106410030</t>
        </is>
      </c>
      <c r="C33" s="46" t="inlineStr">
        <is>
          <t>CHARAN TEJA MUDADLA</t>
        </is>
      </c>
      <c r="D33" s="47" t="inlineStr">
        <is>
          <t>A</t>
        </is>
      </c>
      <c r="E33" s="47" t="n"/>
      <c r="F33" s="47" t="n"/>
      <c r="G33" s="47" t="n"/>
      <c r="H33" s="47" t="n"/>
      <c r="I33" s="47" t="inlineStr">
        <is>
          <t>A</t>
        </is>
      </c>
      <c r="J33" s="47" t="n"/>
      <c r="K33" s="47" t="n"/>
      <c r="L33" s="47" t="inlineStr">
        <is>
          <t>A</t>
        </is>
      </c>
      <c r="M33" s="47" t="n"/>
      <c r="N33" s="47" t="n"/>
      <c r="O33" s="47" t="n"/>
      <c r="P33" s="47" t="inlineStr">
        <is>
          <t>A</t>
        </is>
      </c>
      <c r="Q33" s="47" t="inlineStr">
        <is>
          <t>A</t>
        </is>
      </c>
      <c r="R33" s="47" t="n"/>
      <c r="S33" s="47" t="n"/>
      <c r="T33" s="47" t="inlineStr">
        <is>
          <t>A</t>
        </is>
      </c>
      <c r="U33" s="47" t="n"/>
      <c r="V33" s="47" t="n"/>
      <c r="W33" s="47" t="n"/>
      <c r="X33" s="47" t="n"/>
      <c r="Y33" s="47" t="n"/>
      <c r="Z33" s="47" t="n"/>
      <c r="AA33" s="47" t="n"/>
      <c r="AB33" s="47" t="n"/>
      <c r="AC33" s="47" t="inlineStr">
        <is>
          <t>P</t>
        </is>
      </c>
      <c r="AD33" s="47" t="n"/>
      <c r="AE33" s="47" t="n"/>
      <c r="AF33" s="47" t="inlineStr">
        <is>
          <t>P</t>
        </is>
      </c>
      <c r="AG33" s="47" t="n"/>
      <c r="AH33" s="47" t="n"/>
      <c r="AI33" s="47" t="n"/>
      <c r="AJ33" s="47" t="inlineStr">
        <is>
          <t>P</t>
        </is>
      </c>
      <c r="AK33" s="47" t="inlineStr">
        <is>
          <t>P</t>
        </is>
      </c>
      <c r="AL33" s="47" t="n"/>
      <c r="AM33" s="47" t="n"/>
      <c r="AN33" s="47" t="inlineStr">
        <is>
          <t>P</t>
        </is>
      </c>
      <c r="AO33" s="47" t="n"/>
      <c r="AP33" s="47" t="n"/>
      <c r="AQ33" s="47" t="n"/>
      <c r="AR33" s="47" t="inlineStr">
        <is>
          <t>P</t>
        </is>
      </c>
      <c r="AS33" s="47" t="n"/>
      <c r="AT33" s="47" t="n"/>
      <c r="AU33" s="47" t="n"/>
      <c r="AV33" s="47" t="n"/>
      <c r="AW33" s="47" t="inlineStr">
        <is>
          <t>P</t>
        </is>
      </c>
      <c r="AX33" s="47" t="n"/>
      <c r="AY33" s="47" t="n"/>
      <c r="AZ33" s="47" t="inlineStr">
        <is>
          <t>P</t>
        </is>
      </c>
      <c r="BA33" s="47" t="inlineStr">
        <is>
          <t>P</t>
        </is>
      </c>
      <c r="BB33" s="47" t="n"/>
      <c r="BC33" s="47" t="n"/>
      <c r="BD33" s="47" t="inlineStr">
        <is>
          <t>P</t>
        </is>
      </c>
      <c r="BE33" s="47" t="inlineStr">
        <is>
          <t>P</t>
        </is>
      </c>
      <c r="BF33" s="47" t="n"/>
      <c r="BG33" s="47" t="n"/>
      <c r="BH33" s="47" t="inlineStr">
        <is>
          <t>P</t>
        </is>
      </c>
      <c r="BI33" s="47" t="inlineStr">
        <is>
          <t>A</t>
        </is>
      </c>
      <c r="BJ33" s="47" t="n"/>
      <c r="BK33" s="47" t="n"/>
      <c r="BL33" s="47" t="n"/>
      <c r="BM33" s="47" t="n"/>
      <c r="BN33" s="47" t="n"/>
      <c r="BO33" s="47" t="n"/>
      <c r="BP33" s="47" t="n"/>
      <c r="BQ33" s="47" t="inlineStr">
        <is>
          <t>P</t>
        </is>
      </c>
      <c r="BR33" s="47" t="n"/>
      <c r="BS33" s="47" t="n"/>
      <c r="BT33" s="47" t="inlineStr">
        <is>
          <t>P</t>
        </is>
      </c>
      <c r="BU33" s="47" t="inlineStr">
        <is>
          <t>P</t>
        </is>
      </c>
      <c r="BV33" s="47" t="n"/>
      <c r="BW33" s="47" t="n"/>
      <c r="BX33" s="47" t="inlineStr">
        <is>
          <t>P</t>
        </is>
      </c>
      <c r="BY33" s="47" t="inlineStr">
        <is>
          <t>P</t>
        </is>
      </c>
      <c r="BZ33" s="47" t="n"/>
      <c r="CA33" s="47" t="n"/>
      <c r="CB33" s="47" t="inlineStr">
        <is>
          <t>P</t>
        </is>
      </c>
      <c r="CC33" s="47" t="n"/>
      <c r="CD33" s="47" t="n"/>
      <c r="CE33" s="47" t="n"/>
      <c r="CF33" s="47" t="inlineStr">
        <is>
          <t>P</t>
        </is>
      </c>
      <c r="CG33" s="47" t="n"/>
      <c r="CH33" s="47" t="n"/>
      <c r="CI33" s="47" t="n"/>
      <c r="CJ33" s="47" t="n"/>
      <c r="CK33" s="47" t="n"/>
      <c r="CL33" s="47" t="n"/>
      <c r="CM33" s="47" t="n"/>
      <c r="CN33" s="47" t="inlineStr">
        <is>
          <t>P</t>
        </is>
      </c>
      <c r="CO33" s="47" t="n"/>
      <c r="CP33" s="47" t="n"/>
      <c r="CQ33" s="47" t="inlineStr">
        <is>
          <t>A</t>
        </is>
      </c>
      <c r="CR33" s="47" t="inlineStr">
        <is>
          <t>A</t>
        </is>
      </c>
      <c r="CS33" s="47" t="n"/>
      <c r="CT33" s="47" t="n"/>
      <c r="CU33" s="47" t="inlineStr">
        <is>
          <t>P</t>
        </is>
      </c>
      <c r="CV33" s="47" t="inlineStr">
        <is>
          <t>P</t>
        </is>
      </c>
      <c r="CW33" s="47" t="n"/>
      <c r="CX33" s="47" t="n"/>
      <c r="CY33" s="47" t="n"/>
      <c r="CZ33" s="47" t="inlineStr">
        <is>
          <t>P</t>
        </is>
      </c>
      <c r="DA33" s="47" t="n"/>
      <c r="DB33" s="47" t="n"/>
      <c r="DC33" s="47" t="inlineStr">
        <is>
          <t>P</t>
        </is>
      </c>
      <c r="DD33" s="47" t="n"/>
      <c r="DE33" s="47" t="n"/>
      <c r="DF33" s="47" t="n"/>
      <c r="DG33" s="47" t="n"/>
      <c r="DH33" s="47" t="n"/>
      <c r="DI33" s="47" t="n"/>
      <c r="DJ33" s="47" t="n"/>
      <c r="DK33" s="47" t="inlineStr">
        <is>
          <t>P</t>
        </is>
      </c>
      <c r="DL33" s="47" t="n"/>
      <c r="DM33" s="47" t="n"/>
      <c r="DN33" s="47" t="inlineStr">
        <is>
          <t>P</t>
        </is>
      </c>
      <c r="DO33" s="47" t="inlineStr">
        <is>
          <t>P</t>
        </is>
      </c>
      <c r="DP33" s="47" t="n"/>
      <c r="DQ33" s="47" t="n"/>
      <c r="DR33" s="47" t="inlineStr">
        <is>
          <t>P</t>
        </is>
      </c>
      <c r="DS33" s="47" t="inlineStr">
        <is>
          <t>P</t>
        </is>
      </c>
      <c r="DT33" s="47" t="n"/>
      <c r="DU33" s="47" t="n"/>
      <c r="DV33" s="47" t="inlineStr">
        <is>
          <t>P</t>
        </is>
      </c>
      <c r="DW33" s="47" t="inlineStr">
        <is>
          <t>P</t>
        </is>
      </c>
      <c r="DX33" s="47" t="n"/>
      <c r="DY33" s="47" t="n"/>
      <c r="DZ33" s="47" t="inlineStr">
        <is>
          <t>P</t>
        </is>
      </c>
      <c r="EA33" s="47" t="n"/>
      <c r="EB33" s="47" t="n"/>
      <c r="EC33" s="47" t="n"/>
      <c r="ED33" s="47" t="n"/>
      <c r="EE33" s="47" t="n"/>
      <c r="EF33" s="47" t="n"/>
      <c r="EG33" s="47" t="n"/>
      <c r="EH33" s="47" t="inlineStr">
        <is>
          <t>P</t>
        </is>
      </c>
      <c r="EI33" s="47" t="n"/>
      <c r="EJ33" s="47" t="n"/>
      <c r="EK33" s="47" t="inlineStr">
        <is>
          <t>P</t>
        </is>
      </c>
      <c r="EL33" s="47" t="inlineStr">
        <is>
          <t>P</t>
        </is>
      </c>
      <c r="EM33" s="47" t="n"/>
      <c r="EN33" s="47" t="n"/>
      <c r="EO33" s="47" t="inlineStr">
        <is>
          <t>P</t>
        </is>
      </c>
      <c r="EP33" s="47" t="inlineStr">
        <is>
          <t>P</t>
        </is>
      </c>
      <c r="EQ33" s="47" t="n"/>
      <c r="ER33" s="47" t="n"/>
      <c r="ES33" s="47" t="inlineStr">
        <is>
          <t>P</t>
        </is>
      </c>
      <c r="ET33" s="47" t="inlineStr">
        <is>
          <t>P</t>
        </is>
      </c>
      <c r="EU33" s="47" t="n"/>
      <c r="EV33" s="47" t="n"/>
      <c r="EW33" s="47" t="n"/>
      <c r="EX33" s="47" t="n"/>
      <c r="EY33" s="47" t="n"/>
      <c r="EZ33" s="47" t="n"/>
      <c r="FA33" s="47" t="n"/>
      <c r="FB33" s="47" t="inlineStr">
        <is>
          <t>P</t>
        </is>
      </c>
      <c r="FC33" s="47" t="n"/>
      <c r="FD33" s="47" t="n"/>
      <c r="FE33" s="47" t="inlineStr">
        <is>
          <t>P</t>
        </is>
      </c>
      <c r="FF33" s="47" t="inlineStr">
        <is>
          <t>P</t>
        </is>
      </c>
      <c r="FG33" s="47" t="n"/>
      <c r="FH33" s="47" t="n"/>
      <c r="FI33" s="47" t="inlineStr">
        <is>
          <t>P</t>
        </is>
      </c>
      <c r="FJ33" s="47" t="inlineStr">
        <is>
          <t>P</t>
        </is>
      </c>
      <c r="FK33" s="47" t="n"/>
      <c r="FL33" s="47" t="n"/>
      <c r="FM33" s="47" t="n"/>
      <c r="FN33" s="47" t="n"/>
      <c r="FO33" s="47" t="n"/>
      <c r="FP33" s="47" t="n"/>
      <c r="FQ33" s="47" t="n"/>
      <c r="FR33" s="47" t="inlineStr">
        <is>
          <t>P</t>
        </is>
      </c>
      <c r="FS33" s="47" t="n"/>
      <c r="FT33" s="47" t="n"/>
      <c r="FU33" s="47" t="n"/>
      <c r="FV33" s="47" t="n"/>
      <c r="FW33" s="47" t="n"/>
      <c r="FX33" s="47" t="n"/>
      <c r="FY33" s="47" t="inlineStr">
        <is>
          <t>P</t>
        </is>
      </c>
      <c r="FZ33" s="47" t="inlineStr">
        <is>
          <t>P</t>
        </is>
      </c>
      <c r="GA33" s="47" t="n"/>
      <c r="GB33" s="47" t="n"/>
      <c r="GC33" s="47" t="n"/>
      <c r="GD33" s="47" t="inlineStr">
        <is>
          <t>P</t>
        </is>
      </c>
      <c r="GE33" s="47" t="n"/>
      <c r="GF33" s="47" t="n"/>
      <c r="GG33" s="47" t="inlineStr">
        <is>
          <t>P</t>
        </is>
      </c>
      <c r="GH33" s="47" t="n"/>
      <c r="GI33" s="47" t="n"/>
    </row>
    <row r="34" ht="14.25" customHeight="1" s="34">
      <c r="A34" s="46" t="n">
        <v>31</v>
      </c>
      <c r="B34" s="46" t="inlineStr">
        <is>
          <t>325106410031</t>
        </is>
      </c>
      <c r="C34" s="46" t="inlineStr">
        <is>
          <t>LAKSHMI PRATHYUSHA MUDIYAM</t>
        </is>
      </c>
      <c r="D34" s="47" t="inlineStr">
        <is>
          <t>A</t>
        </is>
      </c>
      <c r="E34" s="47" t="n"/>
      <c r="F34" s="47" t="n"/>
      <c r="G34" s="47" t="n"/>
      <c r="H34" s="47" t="n"/>
      <c r="I34" s="47" t="inlineStr">
        <is>
          <t>A</t>
        </is>
      </c>
      <c r="J34" s="47" t="n"/>
      <c r="K34" s="47" t="n"/>
      <c r="L34" s="47" t="inlineStr">
        <is>
          <t>A</t>
        </is>
      </c>
      <c r="M34" s="47" t="n"/>
      <c r="N34" s="47" t="n"/>
      <c r="O34" s="47" t="n"/>
      <c r="P34" s="47" t="inlineStr">
        <is>
          <t>A</t>
        </is>
      </c>
      <c r="Q34" s="47" t="inlineStr">
        <is>
          <t>A</t>
        </is>
      </c>
      <c r="R34" s="47" t="n"/>
      <c r="S34" s="47" t="n"/>
      <c r="T34" s="47" t="inlineStr">
        <is>
          <t>A</t>
        </is>
      </c>
      <c r="U34" s="47" t="n"/>
      <c r="V34" s="47" t="n"/>
      <c r="W34" s="47" t="n"/>
      <c r="X34" s="47" t="n"/>
      <c r="Y34" s="47" t="n"/>
      <c r="Z34" s="47" t="n"/>
      <c r="AA34" s="47" t="n"/>
      <c r="AB34" s="47" t="n"/>
      <c r="AC34" s="47" t="inlineStr">
        <is>
          <t>P</t>
        </is>
      </c>
      <c r="AD34" s="47" t="n"/>
      <c r="AE34" s="47" t="n"/>
      <c r="AF34" s="47" t="inlineStr">
        <is>
          <t>P</t>
        </is>
      </c>
      <c r="AG34" s="47" t="n"/>
      <c r="AH34" s="47" t="n"/>
      <c r="AI34" s="47" t="n"/>
      <c r="AJ34" s="47" t="inlineStr">
        <is>
          <t>P</t>
        </is>
      </c>
      <c r="AK34" s="47" t="inlineStr">
        <is>
          <t>P</t>
        </is>
      </c>
      <c r="AL34" s="47" t="n"/>
      <c r="AM34" s="47" t="n"/>
      <c r="AN34" s="47" t="inlineStr">
        <is>
          <t>P</t>
        </is>
      </c>
      <c r="AO34" s="47" t="n"/>
      <c r="AP34" s="47" t="n"/>
      <c r="AQ34" s="47" t="n"/>
      <c r="AR34" s="47" t="inlineStr">
        <is>
          <t>P</t>
        </is>
      </c>
      <c r="AS34" s="47" t="n"/>
      <c r="AT34" s="47" t="n"/>
      <c r="AU34" s="47" t="n"/>
      <c r="AV34" s="47" t="n"/>
      <c r="AW34" s="47" t="inlineStr">
        <is>
          <t>P</t>
        </is>
      </c>
      <c r="AX34" s="47" t="n"/>
      <c r="AY34" s="47" t="n"/>
      <c r="AZ34" s="47" t="inlineStr">
        <is>
          <t>P</t>
        </is>
      </c>
      <c r="BA34" s="47" t="inlineStr">
        <is>
          <t>P</t>
        </is>
      </c>
      <c r="BB34" s="47" t="n"/>
      <c r="BC34" s="47" t="n"/>
      <c r="BD34" s="47" t="inlineStr">
        <is>
          <t>P</t>
        </is>
      </c>
      <c r="BE34" s="47" t="inlineStr">
        <is>
          <t>P</t>
        </is>
      </c>
      <c r="BF34" s="47" t="n"/>
      <c r="BG34" s="47" t="n"/>
      <c r="BH34" s="47" t="inlineStr">
        <is>
          <t>P</t>
        </is>
      </c>
      <c r="BI34" s="47" t="inlineStr">
        <is>
          <t>P</t>
        </is>
      </c>
      <c r="BJ34" s="47" t="n"/>
      <c r="BK34" s="47" t="n"/>
      <c r="BL34" s="47" t="n"/>
      <c r="BM34" s="47" t="n"/>
      <c r="BN34" s="47" t="n"/>
      <c r="BO34" s="47" t="n"/>
      <c r="BP34" s="47" t="n"/>
      <c r="BQ34" s="47" t="inlineStr">
        <is>
          <t>P</t>
        </is>
      </c>
      <c r="BR34" s="47" t="n"/>
      <c r="BS34" s="47" t="n"/>
      <c r="BT34" s="47" t="inlineStr">
        <is>
          <t>P</t>
        </is>
      </c>
      <c r="BU34" s="47" t="inlineStr">
        <is>
          <t>P</t>
        </is>
      </c>
      <c r="BV34" s="47" t="n"/>
      <c r="BW34" s="47" t="n"/>
      <c r="BX34" s="47" t="inlineStr">
        <is>
          <t>P</t>
        </is>
      </c>
      <c r="BY34" s="47" t="inlineStr">
        <is>
          <t>P</t>
        </is>
      </c>
      <c r="BZ34" s="47" t="n"/>
      <c r="CA34" s="47" t="n"/>
      <c r="CB34" s="47" t="inlineStr">
        <is>
          <t>P</t>
        </is>
      </c>
      <c r="CC34" s="47" t="n"/>
      <c r="CD34" s="47" t="n"/>
      <c r="CE34" s="47" t="n"/>
      <c r="CF34" s="47" t="inlineStr">
        <is>
          <t>P</t>
        </is>
      </c>
      <c r="CG34" s="47" t="n"/>
      <c r="CH34" s="47" t="n"/>
      <c r="CI34" s="47" t="n"/>
      <c r="CJ34" s="47" t="n"/>
      <c r="CK34" s="47" t="n"/>
      <c r="CL34" s="47" t="n"/>
      <c r="CM34" s="47" t="n"/>
      <c r="CN34" s="47" t="inlineStr">
        <is>
          <t>P</t>
        </is>
      </c>
      <c r="CO34" s="47" t="n"/>
      <c r="CP34" s="47" t="n"/>
      <c r="CQ34" s="47" t="inlineStr">
        <is>
          <t>P</t>
        </is>
      </c>
      <c r="CR34" s="47" t="inlineStr">
        <is>
          <t>P</t>
        </is>
      </c>
      <c r="CS34" s="47" t="n"/>
      <c r="CT34" s="47" t="n"/>
      <c r="CU34" s="47" t="inlineStr">
        <is>
          <t>P</t>
        </is>
      </c>
      <c r="CV34" s="47" t="inlineStr">
        <is>
          <t>P</t>
        </is>
      </c>
      <c r="CW34" s="47" t="n"/>
      <c r="CX34" s="47" t="n"/>
      <c r="CY34" s="47" t="n"/>
      <c r="CZ34" s="47" t="inlineStr">
        <is>
          <t>P</t>
        </is>
      </c>
      <c r="DA34" s="47" t="n"/>
      <c r="DB34" s="47" t="n"/>
      <c r="DC34" s="47" t="inlineStr">
        <is>
          <t>P</t>
        </is>
      </c>
      <c r="DD34" s="47" t="n"/>
      <c r="DE34" s="47" t="n"/>
      <c r="DF34" s="47" t="n"/>
      <c r="DG34" s="47" t="n"/>
      <c r="DH34" s="47" t="n"/>
      <c r="DI34" s="47" t="n"/>
      <c r="DJ34" s="47" t="n"/>
      <c r="DK34" s="47" t="inlineStr">
        <is>
          <t>P</t>
        </is>
      </c>
      <c r="DL34" s="47" t="n"/>
      <c r="DM34" s="47" t="n"/>
      <c r="DN34" s="47" t="inlineStr">
        <is>
          <t>P</t>
        </is>
      </c>
      <c r="DO34" s="47" t="inlineStr">
        <is>
          <t>A</t>
        </is>
      </c>
      <c r="DP34" s="47" t="n"/>
      <c r="DQ34" s="47" t="n"/>
      <c r="DR34" s="47" t="inlineStr">
        <is>
          <t>P</t>
        </is>
      </c>
      <c r="DS34" s="47" t="inlineStr">
        <is>
          <t>P</t>
        </is>
      </c>
      <c r="DT34" s="47" t="n"/>
      <c r="DU34" s="47" t="n"/>
      <c r="DV34" s="47" t="inlineStr">
        <is>
          <t>P</t>
        </is>
      </c>
      <c r="DW34" s="47" t="inlineStr">
        <is>
          <t>P</t>
        </is>
      </c>
      <c r="DX34" s="47" t="n"/>
      <c r="DY34" s="47" t="n"/>
      <c r="DZ34" s="47" t="inlineStr">
        <is>
          <t>P</t>
        </is>
      </c>
      <c r="EA34" s="47" t="n"/>
      <c r="EB34" s="47" t="n"/>
      <c r="EC34" s="47" t="n"/>
      <c r="ED34" s="47" t="n"/>
      <c r="EE34" s="47" t="n"/>
      <c r="EF34" s="47" t="n"/>
      <c r="EG34" s="47" t="n"/>
      <c r="EH34" s="47" t="inlineStr">
        <is>
          <t>P</t>
        </is>
      </c>
      <c r="EI34" s="47" t="n"/>
      <c r="EJ34" s="47" t="n"/>
      <c r="EK34" s="47" t="inlineStr">
        <is>
          <t>P</t>
        </is>
      </c>
      <c r="EL34" s="47" t="inlineStr">
        <is>
          <t>A</t>
        </is>
      </c>
      <c r="EM34" s="47" t="n"/>
      <c r="EN34" s="47" t="n"/>
      <c r="EO34" s="47" t="inlineStr">
        <is>
          <t>A</t>
        </is>
      </c>
      <c r="EP34" s="47" t="inlineStr">
        <is>
          <t>P</t>
        </is>
      </c>
      <c r="EQ34" s="47" t="n"/>
      <c r="ER34" s="47" t="n"/>
      <c r="ES34" s="47" t="inlineStr">
        <is>
          <t>A</t>
        </is>
      </c>
      <c r="ET34" s="47" t="inlineStr">
        <is>
          <t>A</t>
        </is>
      </c>
      <c r="EU34" s="47" t="n"/>
      <c r="EV34" s="47" t="n"/>
      <c r="EW34" s="47" t="n"/>
      <c r="EX34" s="47" t="n"/>
      <c r="EY34" s="47" t="n"/>
      <c r="EZ34" s="47" t="n"/>
      <c r="FA34" s="47" t="n"/>
      <c r="FB34" s="47" t="inlineStr">
        <is>
          <t>P</t>
        </is>
      </c>
      <c r="FC34" s="47" t="n"/>
      <c r="FD34" s="47" t="n"/>
      <c r="FE34" s="47" t="inlineStr">
        <is>
          <t>P</t>
        </is>
      </c>
      <c r="FF34" s="47" t="inlineStr">
        <is>
          <t>P</t>
        </is>
      </c>
      <c r="FG34" s="47" t="n"/>
      <c r="FH34" s="47" t="n"/>
      <c r="FI34" s="47" t="inlineStr">
        <is>
          <t>P</t>
        </is>
      </c>
      <c r="FJ34" s="47" t="inlineStr">
        <is>
          <t>P</t>
        </is>
      </c>
      <c r="FK34" s="47" t="n"/>
      <c r="FL34" s="47" t="n"/>
      <c r="FM34" s="47" t="n"/>
      <c r="FN34" s="47" t="n"/>
      <c r="FO34" s="47" t="n"/>
      <c r="FP34" s="47" t="n"/>
      <c r="FQ34" s="47" t="n"/>
      <c r="FR34" s="47" t="inlineStr">
        <is>
          <t>P</t>
        </is>
      </c>
      <c r="FS34" s="47" t="n"/>
      <c r="FT34" s="47" t="n"/>
      <c r="FU34" s="47" t="n"/>
      <c r="FV34" s="47" t="n"/>
      <c r="FW34" s="47" t="n"/>
      <c r="FX34" s="47" t="n"/>
      <c r="FY34" s="47" t="inlineStr">
        <is>
          <t>P</t>
        </is>
      </c>
      <c r="FZ34" s="47" t="inlineStr">
        <is>
          <t>P</t>
        </is>
      </c>
      <c r="GA34" s="47" t="n"/>
      <c r="GB34" s="47" t="n"/>
      <c r="GC34" s="47" t="n"/>
      <c r="GD34" s="47" t="inlineStr">
        <is>
          <t>A</t>
        </is>
      </c>
      <c r="GE34" s="47" t="n"/>
      <c r="GF34" s="47" t="n"/>
      <c r="GG34" s="47" t="inlineStr">
        <is>
          <t>P</t>
        </is>
      </c>
      <c r="GH34" s="47" t="n"/>
      <c r="GI34" s="47" t="n"/>
    </row>
    <row r="35" ht="14.25" customHeight="1" s="34">
      <c r="A35" s="46" t="n">
        <v>32</v>
      </c>
      <c r="B35" s="46" t="inlineStr">
        <is>
          <t>325106410032</t>
        </is>
      </c>
      <c r="C35" s="46" t="inlineStr">
        <is>
          <t>LAKSHMI NARASIMHA SATHWIK MUDUNURU</t>
        </is>
      </c>
      <c r="D35" s="47" t="inlineStr">
        <is>
          <t>A</t>
        </is>
      </c>
      <c r="E35" s="47" t="n"/>
      <c r="F35" s="47" t="n"/>
      <c r="G35" s="47" t="n"/>
      <c r="H35" s="47" t="n"/>
      <c r="I35" s="47" t="inlineStr">
        <is>
          <t>A</t>
        </is>
      </c>
      <c r="J35" s="47" t="n"/>
      <c r="K35" s="47" t="n"/>
      <c r="L35" s="47" t="inlineStr">
        <is>
          <t>A</t>
        </is>
      </c>
      <c r="M35" s="47" t="n"/>
      <c r="N35" s="47" t="n"/>
      <c r="O35" s="47" t="n"/>
      <c r="P35" s="47" t="inlineStr">
        <is>
          <t>A</t>
        </is>
      </c>
      <c r="Q35" s="47" t="inlineStr">
        <is>
          <t>A</t>
        </is>
      </c>
      <c r="R35" s="47" t="n"/>
      <c r="S35" s="47" t="n"/>
      <c r="T35" s="47" t="inlineStr">
        <is>
          <t>A</t>
        </is>
      </c>
      <c r="U35" s="47" t="n"/>
      <c r="V35" s="47" t="n"/>
      <c r="W35" s="47" t="n"/>
      <c r="X35" s="47" t="n"/>
      <c r="Y35" s="47" t="n"/>
      <c r="Z35" s="47" t="n"/>
      <c r="AA35" s="47" t="n"/>
      <c r="AB35" s="47" t="n"/>
      <c r="AC35" s="47" t="inlineStr">
        <is>
          <t>P</t>
        </is>
      </c>
      <c r="AD35" s="47" t="n"/>
      <c r="AE35" s="47" t="n"/>
      <c r="AF35" s="47" t="inlineStr">
        <is>
          <t>P</t>
        </is>
      </c>
      <c r="AG35" s="47" t="n"/>
      <c r="AH35" s="47" t="n"/>
      <c r="AI35" s="47" t="n"/>
      <c r="AJ35" s="47" t="inlineStr">
        <is>
          <t>P</t>
        </is>
      </c>
      <c r="AK35" s="47" t="inlineStr">
        <is>
          <t>P</t>
        </is>
      </c>
      <c r="AL35" s="47" t="n"/>
      <c r="AM35" s="47" t="n"/>
      <c r="AN35" s="47" t="inlineStr">
        <is>
          <t>P</t>
        </is>
      </c>
      <c r="AO35" s="47" t="n"/>
      <c r="AP35" s="47" t="n"/>
      <c r="AQ35" s="47" t="n"/>
      <c r="AR35" s="47" t="inlineStr">
        <is>
          <t>A</t>
        </is>
      </c>
      <c r="AS35" s="47" t="n"/>
      <c r="AT35" s="47" t="n"/>
      <c r="AU35" s="47" t="n"/>
      <c r="AV35" s="47" t="n"/>
      <c r="AW35" s="47" t="inlineStr">
        <is>
          <t>P</t>
        </is>
      </c>
      <c r="AX35" s="47" t="n"/>
      <c r="AY35" s="47" t="n"/>
      <c r="AZ35" s="47" t="inlineStr">
        <is>
          <t>P</t>
        </is>
      </c>
      <c r="BA35" s="47" t="inlineStr">
        <is>
          <t>P</t>
        </is>
      </c>
      <c r="BB35" s="47" t="n"/>
      <c r="BC35" s="47" t="n"/>
      <c r="BD35" s="47" t="inlineStr">
        <is>
          <t>P</t>
        </is>
      </c>
      <c r="BE35" s="47" t="inlineStr">
        <is>
          <t>P</t>
        </is>
      </c>
      <c r="BF35" s="47" t="n"/>
      <c r="BG35" s="47" t="n"/>
      <c r="BH35" s="47" t="inlineStr">
        <is>
          <t>P</t>
        </is>
      </c>
      <c r="BI35" s="47" t="inlineStr">
        <is>
          <t>P</t>
        </is>
      </c>
      <c r="BJ35" s="47" t="n"/>
      <c r="BK35" s="47" t="n"/>
      <c r="BL35" s="47" t="n"/>
      <c r="BM35" s="47" t="n"/>
      <c r="BN35" s="47" t="n"/>
      <c r="BO35" s="47" t="n"/>
      <c r="BP35" s="47" t="n"/>
      <c r="BQ35" s="47" t="inlineStr">
        <is>
          <t>P</t>
        </is>
      </c>
      <c r="BR35" s="47" t="n"/>
      <c r="BS35" s="47" t="n"/>
      <c r="BT35" s="47" t="inlineStr">
        <is>
          <t>P</t>
        </is>
      </c>
      <c r="BU35" s="47" t="inlineStr">
        <is>
          <t>P</t>
        </is>
      </c>
      <c r="BV35" s="47" t="n"/>
      <c r="BW35" s="47" t="n"/>
      <c r="BX35" s="47" t="inlineStr">
        <is>
          <t>P</t>
        </is>
      </c>
      <c r="BY35" s="47" t="inlineStr">
        <is>
          <t>P</t>
        </is>
      </c>
      <c r="BZ35" s="47" t="n"/>
      <c r="CA35" s="47" t="n"/>
      <c r="CB35" s="47" t="inlineStr">
        <is>
          <t>P</t>
        </is>
      </c>
      <c r="CC35" s="47" t="n"/>
      <c r="CD35" s="47" t="n"/>
      <c r="CE35" s="47" t="n"/>
      <c r="CF35" s="47" t="inlineStr">
        <is>
          <t>P</t>
        </is>
      </c>
      <c r="CG35" s="47" t="n"/>
      <c r="CH35" s="47" t="n"/>
      <c r="CI35" s="47" t="n"/>
      <c r="CJ35" s="47" t="n"/>
      <c r="CK35" s="47" t="n"/>
      <c r="CL35" s="47" t="n"/>
      <c r="CM35" s="47" t="n"/>
      <c r="CN35" s="47" t="inlineStr">
        <is>
          <t>P</t>
        </is>
      </c>
      <c r="CO35" s="47" t="n"/>
      <c r="CP35" s="47" t="n"/>
      <c r="CQ35" s="47" t="inlineStr">
        <is>
          <t>P</t>
        </is>
      </c>
      <c r="CR35" s="47" t="inlineStr">
        <is>
          <t>P</t>
        </is>
      </c>
      <c r="CS35" s="47" t="n"/>
      <c r="CT35" s="47" t="n"/>
      <c r="CU35" s="47" t="inlineStr">
        <is>
          <t>P</t>
        </is>
      </c>
      <c r="CV35" s="47" t="inlineStr">
        <is>
          <t>P</t>
        </is>
      </c>
      <c r="CW35" s="47" t="n"/>
      <c r="CX35" s="47" t="n"/>
      <c r="CY35" s="47" t="n"/>
      <c r="CZ35" s="47" t="inlineStr">
        <is>
          <t>P</t>
        </is>
      </c>
      <c r="DA35" s="47" t="n"/>
      <c r="DB35" s="47" t="n"/>
      <c r="DC35" s="47" t="inlineStr">
        <is>
          <t>P</t>
        </is>
      </c>
      <c r="DD35" s="47" t="n"/>
      <c r="DE35" s="47" t="n"/>
      <c r="DF35" s="47" t="n"/>
      <c r="DG35" s="47" t="n"/>
      <c r="DH35" s="47" t="n"/>
      <c r="DI35" s="47" t="n"/>
      <c r="DJ35" s="47" t="n"/>
      <c r="DK35" s="47" t="inlineStr">
        <is>
          <t>P</t>
        </is>
      </c>
      <c r="DL35" s="47" t="n"/>
      <c r="DM35" s="47" t="n"/>
      <c r="DN35" s="47" t="inlineStr">
        <is>
          <t>P</t>
        </is>
      </c>
      <c r="DO35" s="47" t="inlineStr">
        <is>
          <t>P</t>
        </is>
      </c>
      <c r="DP35" s="47" t="n"/>
      <c r="DQ35" s="47" t="n"/>
      <c r="DR35" s="47" t="inlineStr">
        <is>
          <t>P</t>
        </is>
      </c>
      <c r="DS35" s="47" t="inlineStr">
        <is>
          <t>P</t>
        </is>
      </c>
      <c r="DT35" s="47" t="n"/>
      <c r="DU35" s="47" t="n"/>
      <c r="DV35" s="47" t="inlineStr">
        <is>
          <t>P</t>
        </is>
      </c>
      <c r="DW35" s="47" t="inlineStr">
        <is>
          <t>P</t>
        </is>
      </c>
      <c r="DX35" s="47" t="n"/>
      <c r="DY35" s="47" t="n"/>
      <c r="DZ35" s="47" t="inlineStr">
        <is>
          <t>P</t>
        </is>
      </c>
      <c r="EA35" s="47" t="n"/>
      <c r="EB35" s="47" t="n"/>
      <c r="EC35" s="47" t="n"/>
      <c r="ED35" s="47" t="n"/>
      <c r="EE35" s="47" t="n"/>
      <c r="EF35" s="47" t="n"/>
      <c r="EG35" s="47" t="n"/>
      <c r="EH35" s="47" t="inlineStr">
        <is>
          <t>P</t>
        </is>
      </c>
      <c r="EI35" s="47" t="n"/>
      <c r="EJ35" s="47" t="n"/>
      <c r="EK35" s="47" t="inlineStr">
        <is>
          <t>P</t>
        </is>
      </c>
      <c r="EL35" s="47" t="inlineStr">
        <is>
          <t>P</t>
        </is>
      </c>
      <c r="EM35" s="47" t="n"/>
      <c r="EN35" s="47" t="n"/>
      <c r="EO35" s="47" t="inlineStr">
        <is>
          <t>P</t>
        </is>
      </c>
      <c r="EP35" s="47" t="inlineStr">
        <is>
          <t>P</t>
        </is>
      </c>
      <c r="EQ35" s="47" t="n"/>
      <c r="ER35" s="47" t="n"/>
      <c r="ES35" s="47" t="inlineStr">
        <is>
          <t>A</t>
        </is>
      </c>
      <c r="ET35" s="47" t="inlineStr">
        <is>
          <t>A</t>
        </is>
      </c>
      <c r="EU35" s="47" t="n"/>
      <c r="EV35" s="47" t="n"/>
      <c r="EW35" s="47" t="n"/>
      <c r="EX35" s="47" t="n"/>
      <c r="EY35" s="47" t="n"/>
      <c r="EZ35" s="47" t="n"/>
      <c r="FA35" s="47" t="n"/>
      <c r="FB35" s="47" t="inlineStr">
        <is>
          <t>P</t>
        </is>
      </c>
      <c r="FC35" s="47" t="n"/>
      <c r="FD35" s="47" t="n"/>
      <c r="FE35" s="47" t="inlineStr">
        <is>
          <t>P</t>
        </is>
      </c>
      <c r="FF35" s="47" t="inlineStr">
        <is>
          <t>P</t>
        </is>
      </c>
      <c r="FG35" s="47" t="n"/>
      <c r="FH35" s="47" t="n"/>
      <c r="FI35" s="47" t="inlineStr">
        <is>
          <t>P</t>
        </is>
      </c>
      <c r="FJ35" s="47" t="inlineStr">
        <is>
          <t>P</t>
        </is>
      </c>
      <c r="FK35" s="47" t="n"/>
      <c r="FL35" s="47" t="n"/>
      <c r="FM35" s="47" t="n"/>
      <c r="FN35" s="47" t="n"/>
      <c r="FO35" s="47" t="n"/>
      <c r="FP35" s="47" t="n"/>
      <c r="FQ35" s="47" t="n"/>
      <c r="FR35" s="47" t="inlineStr">
        <is>
          <t>P</t>
        </is>
      </c>
      <c r="FS35" s="47" t="n"/>
      <c r="FT35" s="47" t="n"/>
      <c r="FU35" s="47" t="n"/>
      <c r="FV35" s="47" t="n"/>
      <c r="FW35" s="47" t="n"/>
      <c r="FX35" s="47" t="n"/>
      <c r="FY35" s="47" t="inlineStr">
        <is>
          <t>P</t>
        </is>
      </c>
      <c r="FZ35" s="47" t="inlineStr">
        <is>
          <t>P</t>
        </is>
      </c>
      <c r="GA35" s="47" t="n"/>
      <c r="GB35" s="47" t="n"/>
      <c r="GC35" s="47" t="n"/>
      <c r="GD35" s="47" t="inlineStr">
        <is>
          <t>P</t>
        </is>
      </c>
      <c r="GE35" s="47" t="n"/>
      <c r="GF35" s="47" t="n"/>
      <c r="GG35" s="47" t="inlineStr">
        <is>
          <t>P</t>
        </is>
      </c>
      <c r="GH35" s="47" t="n"/>
      <c r="GI35" s="47" t="n"/>
    </row>
    <row r="36" ht="14.25" customHeight="1" s="34">
      <c r="A36" s="46" t="n">
        <v>33</v>
      </c>
      <c r="B36" s="46" t="inlineStr">
        <is>
          <t>325106410033</t>
        </is>
      </c>
      <c r="C36" s="46" t="inlineStr">
        <is>
          <t>VEERA VENKATA SHALINI DEVI SRI MUMMANA</t>
        </is>
      </c>
      <c r="D36" s="47" t="inlineStr">
        <is>
          <t>A</t>
        </is>
      </c>
      <c r="E36" s="47" t="n"/>
      <c r="F36" s="47" t="n"/>
      <c r="G36" s="47" t="n"/>
      <c r="H36" s="47" t="n"/>
      <c r="I36" s="47" t="inlineStr">
        <is>
          <t>A</t>
        </is>
      </c>
      <c r="J36" s="47" t="n"/>
      <c r="K36" s="47" t="n"/>
      <c r="L36" s="47" t="inlineStr">
        <is>
          <t>A</t>
        </is>
      </c>
      <c r="M36" s="47" t="n"/>
      <c r="N36" s="47" t="n"/>
      <c r="O36" s="47" t="n"/>
      <c r="P36" s="47" t="inlineStr">
        <is>
          <t>A</t>
        </is>
      </c>
      <c r="Q36" s="47" t="inlineStr">
        <is>
          <t>A</t>
        </is>
      </c>
      <c r="R36" s="47" t="n"/>
      <c r="S36" s="47" t="n"/>
      <c r="T36" s="47" t="inlineStr">
        <is>
          <t>A</t>
        </is>
      </c>
      <c r="U36" s="47" t="n"/>
      <c r="V36" s="47" t="n"/>
      <c r="W36" s="47" t="n"/>
      <c r="X36" s="47" t="n"/>
      <c r="Y36" s="47" t="n"/>
      <c r="Z36" s="47" t="n"/>
      <c r="AA36" s="47" t="n"/>
      <c r="AB36" s="47" t="n"/>
      <c r="AC36" s="47" t="inlineStr">
        <is>
          <t>P</t>
        </is>
      </c>
      <c r="AD36" s="47" t="n"/>
      <c r="AE36" s="47" t="n"/>
      <c r="AF36" s="47" t="inlineStr">
        <is>
          <t>P</t>
        </is>
      </c>
      <c r="AG36" s="47" t="n"/>
      <c r="AH36" s="47" t="n"/>
      <c r="AI36" s="47" t="n"/>
      <c r="AJ36" s="47" t="inlineStr">
        <is>
          <t>P</t>
        </is>
      </c>
      <c r="AK36" s="47" t="inlineStr">
        <is>
          <t>P</t>
        </is>
      </c>
      <c r="AL36" s="47" t="n"/>
      <c r="AM36" s="47" t="n"/>
      <c r="AN36" s="47" t="inlineStr">
        <is>
          <t>P</t>
        </is>
      </c>
      <c r="AO36" s="47" t="n"/>
      <c r="AP36" s="47" t="n"/>
      <c r="AQ36" s="47" t="n"/>
      <c r="AR36" s="47" t="inlineStr">
        <is>
          <t>P</t>
        </is>
      </c>
      <c r="AS36" s="47" t="n"/>
      <c r="AT36" s="47" t="n"/>
      <c r="AU36" s="47" t="n"/>
      <c r="AV36" s="47" t="n"/>
      <c r="AW36" s="47" t="inlineStr">
        <is>
          <t>P</t>
        </is>
      </c>
      <c r="AX36" s="47" t="n"/>
      <c r="AY36" s="47" t="n"/>
      <c r="AZ36" s="47" t="inlineStr">
        <is>
          <t>P</t>
        </is>
      </c>
      <c r="BA36" s="47" t="inlineStr">
        <is>
          <t>P</t>
        </is>
      </c>
      <c r="BB36" s="47" t="n"/>
      <c r="BC36" s="47" t="n"/>
      <c r="BD36" s="47" t="inlineStr">
        <is>
          <t>P</t>
        </is>
      </c>
      <c r="BE36" s="47" t="inlineStr">
        <is>
          <t>P</t>
        </is>
      </c>
      <c r="BF36" s="47" t="n"/>
      <c r="BG36" s="47" t="n"/>
      <c r="BH36" s="47" t="inlineStr">
        <is>
          <t>P</t>
        </is>
      </c>
      <c r="BI36" s="47" t="inlineStr">
        <is>
          <t>P</t>
        </is>
      </c>
      <c r="BJ36" s="47" t="n"/>
      <c r="BK36" s="47" t="n"/>
      <c r="BL36" s="47" t="n"/>
      <c r="BM36" s="47" t="n"/>
      <c r="BN36" s="47" t="n"/>
      <c r="BO36" s="47" t="n"/>
      <c r="BP36" s="47" t="n"/>
      <c r="BQ36" s="47" t="inlineStr">
        <is>
          <t>P</t>
        </is>
      </c>
      <c r="BR36" s="47" t="n"/>
      <c r="BS36" s="47" t="n"/>
      <c r="BT36" s="47" t="inlineStr">
        <is>
          <t>P</t>
        </is>
      </c>
      <c r="BU36" s="47" t="inlineStr">
        <is>
          <t>P</t>
        </is>
      </c>
      <c r="BV36" s="47" t="n"/>
      <c r="BW36" s="47" t="n"/>
      <c r="BX36" s="47" t="inlineStr">
        <is>
          <t>P</t>
        </is>
      </c>
      <c r="BY36" s="47" t="inlineStr">
        <is>
          <t>P</t>
        </is>
      </c>
      <c r="BZ36" s="47" t="n"/>
      <c r="CA36" s="47" t="n"/>
      <c r="CB36" s="47" t="inlineStr">
        <is>
          <t>P</t>
        </is>
      </c>
      <c r="CC36" s="47" t="n"/>
      <c r="CD36" s="47" t="n"/>
      <c r="CE36" s="47" t="n"/>
      <c r="CF36" s="47" t="inlineStr">
        <is>
          <t>P</t>
        </is>
      </c>
      <c r="CG36" s="47" t="n"/>
      <c r="CH36" s="47" t="n"/>
      <c r="CI36" s="47" t="n"/>
      <c r="CJ36" s="47" t="n"/>
      <c r="CK36" s="47" t="n"/>
      <c r="CL36" s="47" t="n"/>
      <c r="CM36" s="47" t="n"/>
      <c r="CN36" s="47" t="inlineStr">
        <is>
          <t>P</t>
        </is>
      </c>
      <c r="CO36" s="47" t="n"/>
      <c r="CP36" s="47" t="n"/>
      <c r="CQ36" s="47" t="inlineStr">
        <is>
          <t>P</t>
        </is>
      </c>
      <c r="CR36" s="47" t="inlineStr">
        <is>
          <t>P</t>
        </is>
      </c>
      <c r="CS36" s="47" t="n"/>
      <c r="CT36" s="47" t="n"/>
      <c r="CU36" s="47" t="inlineStr">
        <is>
          <t>P</t>
        </is>
      </c>
      <c r="CV36" s="47" t="inlineStr">
        <is>
          <t>P</t>
        </is>
      </c>
      <c r="CW36" s="47" t="n"/>
      <c r="CX36" s="47" t="n"/>
      <c r="CY36" s="47" t="n"/>
      <c r="CZ36" s="47" t="inlineStr">
        <is>
          <t>P</t>
        </is>
      </c>
      <c r="DA36" s="47" t="n"/>
      <c r="DB36" s="47" t="n"/>
      <c r="DC36" s="47" t="inlineStr">
        <is>
          <t>P</t>
        </is>
      </c>
      <c r="DD36" s="47" t="n"/>
      <c r="DE36" s="47" t="n"/>
      <c r="DF36" s="47" t="n"/>
      <c r="DG36" s="47" t="n"/>
      <c r="DH36" s="47" t="n"/>
      <c r="DI36" s="47" t="n"/>
      <c r="DJ36" s="47" t="n"/>
      <c r="DK36" s="47" t="inlineStr">
        <is>
          <t>P</t>
        </is>
      </c>
      <c r="DL36" s="47" t="n"/>
      <c r="DM36" s="47" t="n"/>
      <c r="DN36" s="47" t="inlineStr">
        <is>
          <t>P</t>
        </is>
      </c>
      <c r="DO36" s="47" t="inlineStr">
        <is>
          <t>P</t>
        </is>
      </c>
      <c r="DP36" s="47" t="n"/>
      <c r="DQ36" s="47" t="n"/>
      <c r="DR36" s="47" t="inlineStr">
        <is>
          <t>P</t>
        </is>
      </c>
      <c r="DS36" s="47" t="inlineStr">
        <is>
          <t>P</t>
        </is>
      </c>
      <c r="DT36" s="47" t="n"/>
      <c r="DU36" s="47" t="n"/>
      <c r="DV36" s="47" t="inlineStr">
        <is>
          <t>P</t>
        </is>
      </c>
      <c r="DW36" s="47" t="inlineStr">
        <is>
          <t>P</t>
        </is>
      </c>
      <c r="DX36" s="47" t="n"/>
      <c r="DY36" s="47" t="n"/>
      <c r="DZ36" s="47" t="inlineStr">
        <is>
          <t>P</t>
        </is>
      </c>
      <c r="EA36" s="47" t="n"/>
      <c r="EB36" s="47" t="n"/>
      <c r="EC36" s="47" t="n"/>
      <c r="ED36" s="47" t="n"/>
      <c r="EE36" s="47" t="n"/>
      <c r="EF36" s="47" t="n"/>
      <c r="EG36" s="47" t="n"/>
      <c r="EH36" s="47" t="inlineStr">
        <is>
          <t>P</t>
        </is>
      </c>
      <c r="EI36" s="47" t="n"/>
      <c r="EJ36" s="47" t="n"/>
      <c r="EK36" s="47" t="inlineStr">
        <is>
          <t>P</t>
        </is>
      </c>
      <c r="EL36" s="47" t="inlineStr">
        <is>
          <t>P</t>
        </is>
      </c>
      <c r="EM36" s="47" t="n"/>
      <c r="EN36" s="47" t="n"/>
      <c r="EO36" s="47" t="inlineStr">
        <is>
          <t>P</t>
        </is>
      </c>
      <c r="EP36" s="47" t="inlineStr">
        <is>
          <t>P</t>
        </is>
      </c>
      <c r="EQ36" s="47" t="n"/>
      <c r="ER36" s="47" t="n"/>
      <c r="ES36" s="47" t="inlineStr">
        <is>
          <t>P</t>
        </is>
      </c>
      <c r="ET36" s="47" t="inlineStr">
        <is>
          <t>P</t>
        </is>
      </c>
      <c r="EU36" s="47" t="n"/>
      <c r="EV36" s="47" t="n"/>
      <c r="EW36" s="47" t="n"/>
      <c r="EX36" s="47" t="n"/>
      <c r="EY36" s="47" t="n"/>
      <c r="EZ36" s="47" t="n"/>
      <c r="FA36" s="47" t="n"/>
      <c r="FB36" s="47" t="inlineStr">
        <is>
          <t>P</t>
        </is>
      </c>
      <c r="FC36" s="47" t="n"/>
      <c r="FD36" s="47" t="n"/>
      <c r="FE36" s="47" t="inlineStr">
        <is>
          <t>P</t>
        </is>
      </c>
      <c r="FF36" s="47" t="inlineStr">
        <is>
          <t>P</t>
        </is>
      </c>
      <c r="FG36" s="47" t="n"/>
      <c r="FH36" s="47" t="n"/>
      <c r="FI36" s="47" t="inlineStr">
        <is>
          <t>P</t>
        </is>
      </c>
      <c r="FJ36" s="47" t="inlineStr">
        <is>
          <t>P</t>
        </is>
      </c>
      <c r="FK36" s="47" t="n"/>
      <c r="FL36" s="47" t="n"/>
      <c r="FM36" s="47" t="n"/>
      <c r="FN36" s="47" t="n"/>
      <c r="FO36" s="47" t="n"/>
      <c r="FP36" s="47" t="n"/>
      <c r="FQ36" s="47" t="n"/>
      <c r="FR36" s="47" t="inlineStr">
        <is>
          <t>P</t>
        </is>
      </c>
      <c r="FS36" s="47" t="n"/>
      <c r="FT36" s="47" t="n"/>
      <c r="FU36" s="47" t="n"/>
      <c r="FV36" s="47" t="n"/>
      <c r="FW36" s="47" t="n"/>
      <c r="FX36" s="47" t="n"/>
      <c r="FY36" s="47" t="inlineStr">
        <is>
          <t>P</t>
        </is>
      </c>
      <c r="FZ36" s="47" t="inlineStr">
        <is>
          <t>P</t>
        </is>
      </c>
      <c r="GA36" s="47" t="n"/>
      <c r="GB36" s="47" t="n"/>
      <c r="GC36" s="47" t="n"/>
      <c r="GD36" s="47" t="inlineStr">
        <is>
          <t>P</t>
        </is>
      </c>
      <c r="GE36" s="47" t="n"/>
      <c r="GF36" s="47" t="n"/>
      <c r="GG36" s="47" t="inlineStr">
        <is>
          <t>P</t>
        </is>
      </c>
      <c r="GH36" s="47" t="n"/>
      <c r="GI36" s="47" t="n"/>
    </row>
    <row r="37" ht="14.25" customHeight="1" s="34">
      <c r="A37" s="46" t="n">
        <v>34</v>
      </c>
      <c r="B37" s="46" t="inlineStr">
        <is>
          <t>325106410034</t>
        </is>
      </c>
      <c r="C37" s="46" t="inlineStr">
        <is>
          <t>NAGABHUSHANA KARTHIK BALIVADA</t>
        </is>
      </c>
      <c r="D37" s="47" t="inlineStr">
        <is>
          <t>P</t>
        </is>
      </c>
      <c r="E37" s="47" t="n"/>
      <c r="F37" s="47" t="n"/>
      <c r="G37" s="47" t="n"/>
      <c r="H37" s="47" t="n"/>
      <c r="I37" s="47" t="inlineStr">
        <is>
          <t>A</t>
        </is>
      </c>
      <c r="J37" s="47" t="n"/>
      <c r="K37" s="47" t="n"/>
      <c r="L37" s="47" t="inlineStr">
        <is>
          <t>A</t>
        </is>
      </c>
      <c r="M37" s="47" t="n"/>
      <c r="N37" s="47" t="n"/>
      <c r="O37" s="47" t="n"/>
      <c r="P37" s="47" t="inlineStr">
        <is>
          <t>A</t>
        </is>
      </c>
      <c r="Q37" s="47" t="inlineStr">
        <is>
          <t>A</t>
        </is>
      </c>
      <c r="R37" s="47" t="n"/>
      <c r="S37" s="47" t="n"/>
      <c r="T37" s="47" t="inlineStr">
        <is>
          <t>A</t>
        </is>
      </c>
      <c r="U37" s="47" t="n"/>
      <c r="V37" s="47" t="n"/>
      <c r="W37" s="47" t="n"/>
      <c r="X37" s="47" t="n"/>
      <c r="Y37" s="47" t="n"/>
      <c r="Z37" s="47" t="n"/>
      <c r="AA37" s="47" t="n"/>
      <c r="AB37" s="47" t="n"/>
      <c r="AC37" s="47" t="inlineStr">
        <is>
          <t>P</t>
        </is>
      </c>
      <c r="AD37" s="47" t="n"/>
      <c r="AE37" s="47" t="n"/>
      <c r="AF37" s="47" t="inlineStr">
        <is>
          <t>P</t>
        </is>
      </c>
      <c r="AG37" s="47" t="n"/>
      <c r="AH37" s="47" t="n"/>
      <c r="AI37" s="47" t="n"/>
      <c r="AJ37" s="47" t="inlineStr">
        <is>
          <t>P</t>
        </is>
      </c>
      <c r="AK37" s="47" t="inlineStr">
        <is>
          <t>P</t>
        </is>
      </c>
      <c r="AL37" s="47" t="n"/>
      <c r="AM37" s="47" t="n"/>
      <c r="AN37" s="47" t="inlineStr">
        <is>
          <t>P</t>
        </is>
      </c>
      <c r="AO37" s="47" t="n"/>
      <c r="AP37" s="47" t="n"/>
      <c r="AQ37" s="47" t="n"/>
      <c r="AR37" s="47" t="inlineStr">
        <is>
          <t>P</t>
        </is>
      </c>
      <c r="AS37" s="47" t="n"/>
      <c r="AT37" s="47" t="n"/>
      <c r="AU37" s="47" t="n"/>
      <c r="AV37" s="47" t="n"/>
      <c r="AW37" s="47" t="inlineStr">
        <is>
          <t>P</t>
        </is>
      </c>
      <c r="AX37" s="47" t="n"/>
      <c r="AY37" s="47" t="n"/>
      <c r="AZ37" s="47" t="inlineStr">
        <is>
          <t>P</t>
        </is>
      </c>
      <c r="BA37" s="47" t="inlineStr">
        <is>
          <t>P</t>
        </is>
      </c>
      <c r="BB37" s="47" t="n"/>
      <c r="BC37" s="47" t="n"/>
      <c r="BD37" s="47" t="inlineStr">
        <is>
          <t>P</t>
        </is>
      </c>
      <c r="BE37" s="47" t="inlineStr">
        <is>
          <t>P</t>
        </is>
      </c>
      <c r="BF37" s="47" t="n"/>
      <c r="BG37" s="47" t="n"/>
      <c r="BH37" s="47" t="inlineStr">
        <is>
          <t>P</t>
        </is>
      </c>
      <c r="BI37" s="47" t="inlineStr">
        <is>
          <t>P</t>
        </is>
      </c>
      <c r="BJ37" s="47" t="n"/>
      <c r="BK37" s="47" t="n"/>
      <c r="BL37" s="47" t="n"/>
      <c r="BM37" s="47" t="n"/>
      <c r="BN37" s="47" t="n"/>
      <c r="BO37" s="47" t="n"/>
      <c r="BP37" s="47" t="n"/>
      <c r="BQ37" s="47" t="inlineStr">
        <is>
          <t>P</t>
        </is>
      </c>
      <c r="BR37" s="47" t="n"/>
      <c r="BS37" s="47" t="n"/>
      <c r="BT37" s="47" t="inlineStr">
        <is>
          <t>P</t>
        </is>
      </c>
      <c r="BU37" s="47" t="inlineStr">
        <is>
          <t>P</t>
        </is>
      </c>
      <c r="BV37" s="47" t="n"/>
      <c r="BW37" s="47" t="n"/>
      <c r="BX37" s="47" t="inlineStr">
        <is>
          <t>P</t>
        </is>
      </c>
      <c r="BY37" s="47" t="inlineStr">
        <is>
          <t>P</t>
        </is>
      </c>
      <c r="BZ37" s="47" t="n"/>
      <c r="CA37" s="47" t="n"/>
      <c r="CB37" s="47" t="inlineStr">
        <is>
          <t>P</t>
        </is>
      </c>
      <c r="CC37" s="47" t="n"/>
      <c r="CD37" s="47" t="n"/>
      <c r="CE37" s="47" t="n"/>
      <c r="CF37" s="47" t="inlineStr">
        <is>
          <t>P</t>
        </is>
      </c>
      <c r="CG37" s="47" t="n"/>
      <c r="CH37" s="47" t="n"/>
      <c r="CI37" s="47" t="n"/>
      <c r="CJ37" s="47" t="n"/>
      <c r="CK37" s="47" t="n"/>
      <c r="CL37" s="47" t="n"/>
      <c r="CM37" s="47" t="n"/>
      <c r="CN37" s="47" t="inlineStr">
        <is>
          <t>P</t>
        </is>
      </c>
      <c r="CO37" s="47" t="n"/>
      <c r="CP37" s="47" t="n"/>
      <c r="CQ37" s="47" t="inlineStr">
        <is>
          <t>A</t>
        </is>
      </c>
      <c r="CR37" s="47" t="inlineStr">
        <is>
          <t>A</t>
        </is>
      </c>
      <c r="CS37" s="47" t="n"/>
      <c r="CT37" s="47" t="n"/>
      <c r="CU37" s="47" t="inlineStr">
        <is>
          <t>P</t>
        </is>
      </c>
      <c r="CV37" s="47" t="inlineStr">
        <is>
          <t>P</t>
        </is>
      </c>
      <c r="CW37" s="47" t="n"/>
      <c r="CX37" s="47" t="n"/>
      <c r="CY37" s="47" t="n"/>
      <c r="CZ37" s="47" t="inlineStr">
        <is>
          <t>P</t>
        </is>
      </c>
      <c r="DA37" s="47" t="n"/>
      <c r="DB37" s="47" t="n"/>
      <c r="DC37" s="47" t="inlineStr">
        <is>
          <t>P</t>
        </is>
      </c>
      <c r="DD37" s="47" t="n"/>
      <c r="DE37" s="47" t="n"/>
      <c r="DF37" s="47" t="n"/>
      <c r="DG37" s="47" t="n"/>
      <c r="DH37" s="47" t="n"/>
      <c r="DI37" s="47" t="n"/>
      <c r="DJ37" s="47" t="n"/>
      <c r="DK37" s="47" t="inlineStr">
        <is>
          <t>P</t>
        </is>
      </c>
      <c r="DL37" s="47" t="n"/>
      <c r="DM37" s="47" t="n"/>
      <c r="DN37" s="47" t="inlineStr">
        <is>
          <t>P</t>
        </is>
      </c>
      <c r="DO37" s="47" t="inlineStr">
        <is>
          <t>P</t>
        </is>
      </c>
      <c r="DP37" s="47" t="n"/>
      <c r="DQ37" s="47" t="n"/>
      <c r="DR37" s="47" t="inlineStr">
        <is>
          <t>P</t>
        </is>
      </c>
      <c r="DS37" s="47" t="inlineStr">
        <is>
          <t>P</t>
        </is>
      </c>
      <c r="DT37" s="47" t="n"/>
      <c r="DU37" s="47" t="n"/>
      <c r="DV37" s="47" t="inlineStr">
        <is>
          <t>P</t>
        </is>
      </c>
      <c r="DW37" s="47" t="inlineStr">
        <is>
          <t>P</t>
        </is>
      </c>
      <c r="DX37" s="47" t="n"/>
      <c r="DY37" s="47" t="n"/>
      <c r="DZ37" s="47" t="inlineStr">
        <is>
          <t>P</t>
        </is>
      </c>
      <c r="EA37" s="47" t="n"/>
      <c r="EB37" s="47" t="n"/>
      <c r="EC37" s="47" t="n"/>
      <c r="ED37" s="47" t="n"/>
      <c r="EE37" s="47" t="n"/>
      <c r="EF37" s="47" t="n"/>
      <c r="EG37" s="47" t="n"/>
      <c r="EH37" s="47" t="inlineStr">
        <is>
          <t>P</t>
        </is>
      </c>
      <c r="EI37" s="47" t="n"/>
      <c r="EJ37" s="47" t="n"/>
      <c r="EK37" s="47" t="inlineStr">
        <is>
          <t>P</t>
        </is>
      </c>
      <c r="EL37" s="47" t="inlineStr">
        <is>
          <t>P</t>
        </is>
      </c>
      <c r="EM37" s="47" t="n"/>
      <c r="EN37" s="47" t="n"/>
      <c r="EO37" s="47" t="inlineStr">
        <is>
          <t>P</t>
        </is>
      </c>
      <c r="EP37" s="47" t="inlineStr">
        <is>
          <t>P</t>
        </is>
      </c>
      <c r="EQ37" s="47" t="n"/>
      <c r="ER37" s="47" t="n"/>
      <c r="ES37" s="47" t="inlineStr">
        <is>
          <t>P</t>
        </is>
      </c>
      <c r="ET37" s="47" t="inlineStr">
        <is>
          <t>P</t>
        </is>
      </c>
      <c r="EU37" s="47" t="n"/>
      <c r="EV37" s="47" t="n"/>
      <c r="EW37" s="47" t="n"/>
      <c r="EX37" s="47" t="n"/>
      <c r="EY37" s="47" t="n"/>
      <c r="EZ37" s="47" t="n"/>
      <c r="FA37" s="47" t="n"/>
      <c r="FB37" s="47" t="inlineStr">
        <is>
          <t>P</t>
        </is>
      </c>
      <c r="FC37" s="47" t="n"/>
      <c r="FD37" s="47" t="n"/>
      <c r="FE37" s="47" t="inlineStr">
        <is>
          <t>P</t>
        </is>
      </c>
      <c r="FF37" s="47" t="inlineStr">
        <is>
          <t>P</t>
        </is>
      </c>
      <c r="FG37" s="47" t="n"/>
      <c r="FH37" s="47" t="n"/>
      <c r="FI37" s="47" t="inlineStr">
        <is>
          <t>P</t>
        </is>
      </c>
      <c r="FJ37" s="47" t="inlineStr">
        <is>
          <t>P</t>
        </is>
      </c>
      <c r="FK37" s="47" t="n"/>
      <c r="FL37" s="47" t="n"/>
      <c r="FM37" s="47" t="n"/>
      <c r="FN37" s="47" t="n"/>
      <c r="FO37" s="47" t="n"/>
      <c r="FP37" s="47" t="n"/>
      <c r="FQ37" s="47" t="n"/>
      <c r="FR37" s="47" t="inlineStr">
        <is>
          <t>P</t>
        </is>
      </c>
      <c r="FS37" s="47" t="n"/>
      <c r="FT37" s="47" t="n"/>
      <c r="FU37" s="47" t="n"/>
      <c r="FV37" s="47" t="n"/>
      <c r="FW37" s="47" t="n"/>
      <c r="FX37" s="47" t="n"/>
      <c r="FY37" s="47" t="inlineStr">
        <is>
          <t>P</t>
        </is>
      </c>
      <c r="FZ37" s="47" t="inlineStr">
        <is>
          <t>P</t>
        </is>
      </c>
      <c r="GA37" s="47" t="n"/>
      <c r="GB37" s="47" t="n"/>
      <c r="GC37" s="47" t="n"/>
      <c r="GD37" s="47" t="inlineStr">
        <is>
          <t>P</t>
        </is>
      </c>
      <c r="GE37" s="47" t="n"/>
      <c r="GF37" s="47" t="n"/>
      <c r="GG37" s="47" t="inlineStr">
        <is>
          <t>P</t>
        </is>
      </c>
      <c r="GH37" s="47" t="n"/>
      <c r="GI37" s="47" t="n"/>
    </row>
    <row r="38" ht="14.25" customHeight="1" s="34">
      <c r="A38" s="46" t="n">
        <v>35</v>
      </c>
      <c r="B38" s="46" t="inlineStr">
        <is>
          <t>325106410035</t>
        </is>
      </c>
      <c r="C38" s="46" t="inlineStr">
        <is>
          <t>SAI PRASANNA PALLA</t>
        </is>
      </c>
      <c r="D38" s="47" t="inlineStr">
        <is>
          <t>A</t>
        </is>
      </c>
      <c r="E38" s="47" t="n"/>
      <c r="F38" s="47" t="n"/>
      <c r="G38" s="47" t="n"/>
      <c r="H38" s="47" t="n"/>
      <c r="I38" s="47" t="inlineStr">
        <is>
          <t>P</t>
        </is>
      </c>
      <c r="J38" s="47" t="n"/>
      <c r="K38" s="47" t="n"/>
      <c r="L38" s="47" t="inlineStr">
        <is>
          <t>P</t>
        </is>
      </c>
      <c r="M38" s="47" t="n"/>
      <c r="N38" s="47" t="n"/>
      <c r="O38" s="47" t="n"/>
      <c r="P38" s="47" t="inlineStr">
        <is>
          <t>P</t>
        </is>
      </c>
      <c r="Q38" s="47" t="inlineStr">
        <is>
          <t>P</t>
        </is>
      </c>
      <c r="R38" s="47" t="n"/>
      <c r="S38" s="47" t="n"/>
      <c r="T38" s="47" t="inlineStr">
        <is>
          <t>A</t>
        </is>
      </c>
      <c r="U38" s="47" t="n"/>
      <c r="V38" s="47" t="n"/>
      <c r="W38" s="47" t="n"/>
      <c r="X38" s="47" t="n"/>
      <c r="Y38" s="47" t="n"/>
      <c r="Z38" s="47" t="n"/>
      <c r="AA38" s="47" t="n"/>
      <c r="AB38" s="47" t="n"/>
      <c r="AC38" s="47" t="inlineStr">
        <is>
          <t>P</t>
        </is>
      </c>
      <c r="AD38" s="47" t="n"/>
      <c r="AE38" s="47" t="n"/>
      <c r="AF38" s="47" t="inlineStr">
        <is>
          <t>P</t>
        </is>
      </c>
      <c r="AG38" s="47" t="n"/>
      <c r="AH38" s="47" t="n"/>
      <c r="AI38" s="47" t="n"/>
      <c r="AJ38" s="47" t="inlineStr">
        <is>
          <t>A</t>
        </is>
      </c>
      <c r="AK38" s="47" t="inlineStr">
        <is>
          <t>A</t>
        </is>
      </c>
      <c r="AL38" s="47" t="n"/>
      <c r="AM38" s="47" t="n"/>
      <c r="AN38" s="47" t="inlineStr">
        <is>
          <t>P</t>
        </is>
      </c>
      <c r="AO38" s="47" t="n"/>
      <c r="AP38" s="47" t="n"/>
      <c r="AQ38" s="47" t="n"/>
      <c r="AR38" s="47" t="inlineStr">
        <is>
          <t>A</t>
        </is>
      </c>
      <c r="AS38" s="47" t="n"/>
      <c r="AT38" s="47" t="n"/>
      <c r="AU38" s="47" t="n"/>
      <c r="AV38" s="47" t="n"/>
      <c r="AW38" s="47" t="inlineStr">
        <is>
          <t>P</t>
        </is>
      </c>
      <c r="AX38" s="47" t="n"/>
      <c r="AY38" s="47" t="n"/>
      <c r="AZ38" s="47" t="inlineStr">
        <is>
          <t>P</t>
        </is>
      </c>
      <c r="BA38" s="47" t="inlineStr">
        <is>
          <t>P</t>
        </is>
      </c>
      <c r="BB38" s="47" t="n"/>
      <c r="BC38" s="47" t="n"/>
      <c r="BD38" s="47" t="inlineStr">
        <is>
          <t>P</t>
        </is>
      </c>
      <c r="BE38" s="47" t="inlineStr">
        <is>
          <t>P</t>
        </is>
      </c>
      <c r="BF38" s="47" t="n"/>
      <c r="BG38" s="47" t="n"/>
      <c r="BH38" s="47" t="inlineStr">
        <is>
          <t>P</t>
        </is>
      </c>
      <c r="BI38" s="47" t="inlineStr">
        <is>
          <t>P</t>
        </is>
      </c>
      <c r="BJ38" s="47" t="n"/>
      <c r="BK38" s="47" t="n"/>
      <c r="BL38" s="47" t="n"/>
      <c r="BM38" s="47" t="n"/>
      <c r="BN38" s="47" t="n"/>
      <c r="BO38" s="47" t="n"/>
      <c r="BP38" s="47" t="n"/>
      <c r="BQ38" s="47" t="inlineStr">
        <is>
          <t>P</t>
        </is>
      </c>
      <c r="BR38" s="47" t="n"/>
      <c r="BS38" s="47" t="n"/>
      <c r="BT38" s="47" t="inlineStr">
        <is>
          <t>P</t>
        </is>
      </c>
      <c r="BU38" s="47" t="inlineStr">
        <is>
          <t>P</t>
        </is>
      </c>
      <c r="BV38" s="47" t="n"/>
      <c r="BW38" s="47" t="n"/>
      <c r="BX38" s="47" t="inlineStr">
        <is>
          <t>A</t>
        </is>
      </c>
      <c r="BY38" s="47" t="inlineStr">
        <is>
          <t>A</t>
        </is>
      </c>
      <c r="BZ38" s="47" t="n"/>
      <c r="CA38" s="47" t="n"/>
      <c r="CB38" s="47" t="inlineStr">
        <is>
          <t>P</t>
        </is>
      </c>
      <c r="CC38" s="47" t="n"/>
      <c r="CD38" s="47" t="n"/>
      <c r="CE38" s="47" t="n"/>
      <c r="CF38" s="47" t="inlineStr">
        <is>
          <t>P</t>
        </is>
      </c>
      <c r="CG38" s="47" t="n"/>
      <c r="CH38" s="47" t="n"/>
      <c r="CI38" s="47" t="n"/>
      <c r="CJ38" s="47" t="n"/>
      <c r="CK38" s="47" t="n"/>
      <c r="CL38" s="47" t="n"/>
      <c r="CM38" s="47" t="n"/>
      <c r="CN38" s="47" t="inlineStr">
        <is>
          <t>A</t>
        </is>
      </c>
      <c r="CO38" s="47" t="n"/>
      <c r="CP38" s="47" t="n"/>
      <c r="CQ38" s="47" t="inlineStr">
        <is>
          <t>P</t>
        </is>
      </c>
      <c r="CR38" s="47" t="inlineStr">
        <is>
          <t>P</t>
        </is>
      </c>
      <c r="CS38" s="47" t="n"/>
      <c r="CT38" s="47" t="n"/>
      <c r="CU38" s="47" t="inlineStr">
        <is>
          <t>P</t>
        </is>
      </c>
      <c r="CV38" s="47" t="inlineStr">
        <is>
          <t>P</t>
        </is>
      </c>
      <c r="CW38" s="47" t="n"/>
      <c r="CX38" s="47" t="n"/>
      <c r="CY38" s="47" t="n"/>
      <c r="CZ38" s="47" t="inlineStr">
        <is>
          <t>P</t>
        </is>
      </c>
      <c r="DA38" s="47" t="n"/>
      <c r="DB38" s="47" t="n"/>
      <c r="DC38" s="47" t="inlineStr">
        <is>
          <t>P</t>
        </is>
      </c>
      <c r="DD38" s="47" t="n"/>
      <c r="DE38" s="47" t="n"/>
      <c r="DF38" s="47" t="n"/>
      <c r="DG38" s="47" t="n"/>
      <c r="DH38" s="47" t="n"/>
      <c r="DI38" s="47" t="n"/>
      <c r="DJ38" s="47" t="n"/>
      <c r="DK38" s="47" t="inlineStr">
        <is>
          <t>P</t>
        </is>
      </c>
      <c r="DL38" s="47" t="n"/>
      <c r="DM38" s="47" t="n"/>
      <c r="DN38" s="47" t="inlineStr">
        <is>
          <t>P</t>
        </is>
      </c>
      <c r="DO38" s="47" t="inlineStr">
        <is>
          <t>P</t>
        </is>
      </c>
      <c r="DP38" s="47" t="n"/>
      <c r="DQ38" s="47" t="n"/>
      <c r="DR38" s="47" t="inlineStr">
        <is>
          <t>P</t>
        </is>
      </c>
      <c r="DS38" s="47" t="inlineStr">
        <is>
          <t>P</t>
        </is>
      </c>
      <c r="DT38" s="47" t="n"/>
      <c r="DU38" s="47" t="n"/>
      <c r="DV38" s="47" t="inlineStr">
        <is>
          <t>P</t>
        </is>
      </c>
      <c r="DW38" s="47" t="inlineStr">
        <is>
          <t>P</t>
        </is>
      </c>
      <c r="DX38" s="47" t="n"/>
      <c r="DY38" s="47" t="n"/>
      <c r="DZ38" s="47" t="inlineStr">
        <is>
          <t>P</t>
        </is>
      </c>
      <c r="EA38" s="47" t="n"/>
      <c r="EB38" s="47" t="n"/>
      <c r="EC38" s="47" t="n"/>
      <c r="ED38" s="47" t="n"/>
      <c r="EE38" s="47" t="n"/>
      <c r="EF38" s="47" t="n"/>
      <c r="EG38" s="47" t="n"/>
      <c r="EH38" s="47" t="inlineStr">
        <is>
          <t>P</t>
        </is>
      </c>
      <c r="EI38" s="47" t="n"/>
      <c r="EJ38" s="47" t="n"/>
      <c r="EK38" s="47" t="inlineStr">
        <is>
          <t>A</t>
        </is>
      </c>
      <c r="EL38" s="47" t="inlineStr">
        <is>
          <t>P</t>
        </is>
      </c>
      <c r="EM38" s="47" t="n"/>
      <c r="EN38" s="47" t="n"/>
      <c r="EO38" s="47" t="inlineStr">
        <is>
          <t>P</t>
        </is>
      </c>
      <c r="EP38" s="47" t="inlineStr">
        <is>
          <t>P</t>
        </is>
      </c>
      <c r="EQ38" s="47" t="n"/>
      <c r="ER38" s="47" t="n"/>
      <c r="ES38" s="47" t="inlineStr">
        <is>
          <t>P</t>
        </is>
      </c>
      <c r="ET38" s="47" t="inlineStr">
        <is>
          <t>P</t>
        </is>
      </c>
      <c r="EU38" s="47" t="n"/>
      <c r="EV38" s="47" t="n"/>
      <c r="EW38" s="47" t="n"/>
      <c r="EX38" s="47" t="n"/>
      <c r="EY38" s="47" t="n"/>
      <c r="EZ38" s="47" t="n"/>
      <c r="FA38" s="47" t="n"/>
      <c r="FB38" s="47" t="inlineStr">
        <is>
          <t>P</t>
        </is>
      </c>
      <c r="FC38" s="47" t="n"/>
      <c r="FD38" s="47" t="n"/>
      <c r="FE38" s="47" t="inlineStr">
        <is>
          <t>P</t>
        </is>
      </c>
      <c r="FF38" s="47" t="inlineStr">
        <is>
          <t>P</t>
        </is>
      </c>
      <c r="FG38" s="47" t="n"/>
      <c r="FH38" s="47" t="n"/>
      <c r="FI38" s="47" t="inlineStr">
        <is>
          <t>P</t>
        </is>
      </c>
      <c r="FJ38" s="47" t="inlineStr">
        <is>
          <t>P</t>
        </is>
      </c>
      <c r="FK38" s="47" t="n"/>
      <c r="FL38" s="47" t="n"/>
      <c r="FM38" s="47" t="n"/>
      <c r="FN38" s="47" t="n"/>
      <c r="FO38" s="47" t="n"/>
      <c r="FP38" s="47" t="n"/>
      <c r="FQ38" s="47" t="n"/>
      <c r="FR38" s="47" t="inlineStr">
        <is>
          <t>P</t>
        </is>
      </c>
      <c r="FS38" s="47" t="n"/>
      <c r="FT38" s="47" t="n"/>
      <c r="FU38" s="47" t="n"/>
      <c r="FV38" s="47" t="n"/>
      <c r="FW38" s="47" t="n"/>
      <c r="FX38" s="47" t="n"/>
      <c r="FY38" s="47" t="inlineStr">
        <is>
          <t>A</t>
        </is>
      </c>
      <c r="FZ38" s="47" t="inlineStr">
        <is>
          <t>A</t>
        </is>
      </c>
      <c r="GA38" s="47" t="n"/>
      <c r="GB38" s="47" t="n"/>
      <c r="GC38" s="47" t="n"/>
      <c r="GD38" s="47" t="inlineStr">
        <is>
          <t>A</t>
        </is>
      </c>
      <c r="GE38" s="47" t="n"/>
      <c r="GF38" s="47" t="n"/>
      <c r="GG38" s="47" t="inlineStr">
        <is>
          <t>P</t>
        </is>
      </c>
      <c r="GH38" s="47" t="n"/>
      <c r="GI38" s="47" t="n"/>
    </row>
    <row r="39" ht="14.25" customHeight="1" s="34">
      <c r="A39" s="46" t="n">
        <v>36</v>
      </c>
      <c r="B39" s="46" t="inlineStr">
        <is>
          <t>325106410036</t>
        </is>
      </c>
      <c r="C39" s="46" t="inlineStr">
        <is>
          <t>OBEDU PALLE</t>
        </is>
      </c>
      <c r="D39" s="47" t="inlineStr">
        <is>
          <t>A</t>
        </is>
      </c>
      <c r="E39" s="47" t="n"/>
      <c r="F39" s="47" t="n"/>
      <c r="G39" s="47" t="n"/>
      <c r="H39" s="47" t="n"/>
      <c r="I39" s="47" t="inlineStr">
        <is>
          <t>A</t>
        </is>
      </c>
      <c r="J39" s="47" t="n"/>
      <c r="K39" s="47" t="n"/>
      <c r="L39" s="47" t="inlineStr">
        <is>
          <t>A</t>
        </is>
      </c>
      <c r="M39" s="47" t="n"/>
      <c r="N39" s="47" t="n"/>
      <c r="O39" s="47" t="n"/>
      <c r="P39" s="47" t="inlineStr">
        <is>
          <t>P</t>
        </is>
      </c>
      <c r="Q39" s="47" t="inlineStr">
        <is>
          <t>P</t>
        </is>
      </c>
      <c r="R39" s="47" t="n"/>
      <c r="S39" s="47" t="n"/>
      <c r="T39" s="47" t="inlineStr">
        <is>
          <t>A</t>
        </is>
      </c>
      <c r="U39" s="47" t="n"/>
      <c r="V39" s="47" t="n"/>
      <c r="W39" s="47" t="n"/>
      <c r="X39" s="47" t="n"/>
      <c r="Y39" s="47" t="n"/>
      <c r="Z39" s="47" t="n"/>
      <c r="AA39" s="47" t="n"/>
      <c r="AB39" s="47" t="n"/>
      <c r="AC39" s="47" t="inlineStr">
        <is>
          <t>P</t>
        </is>
      </c>
      <c r="AD39" s="47" t="n"/>
      <c r="AE39" s="47" t="n"/>
      <c r="AF39" s="47" t="inlineStr">
        <is>
          <t>P</t>
        </is>
      </c>
      <c r="AG39" s="47" t="n"/>
      <c r="AH39" s="47" t="n"/>
      <c r="AI39" s="47" t="n"/>
      <c r="AJ39" s="47" t="inlineStr">
        <is>
          <t>P</t>
        </is>
      </c>
      <c r="AK39" s="47" t="inlineStr">
        <is>
          <t>P</t>
        </is>
      </c>
      <c r="AL39" s="47" t="n"/>
      <c r="AM39" s="47" t="n"/>
      <c r="AN39" s="47" t="inlineStr">
        <is>
          <t>P</t>
        </is>
      </c>
      <c r="AO39" s="47" t="n"/>
      <c r="AP39" s="47" t="n"/>
      <c r="AQ39" s="47" t="n"/>
      <c r="AR39" s="47" t="inlineStr">
        <is>
          <t>P</t>
        </is>
      </c>
      <c r="AS39" s="47" t="n"/>
      <c r="AT39" s="47" t="n"/>
      <c r="AU39" s="47" t="n"/>
      <c r="AV39" s="47" t="n"/>
      <c r="AW39" s="47" t="inlineStr">
        <is>
          <t>P</t>
        </is>
      </c>
      <c r="AX39" s="47" t="n"/>
      <c r="AY39" s="47" t="n"/>
      <c r="AZ39" s="47" t="inlineStr">
        <is>
          <t>P</t>
        </is>
      </c>
      <c r="BA39" s="47" t="inlineStr">
        <is>
          <t>P</t>
        </is>
      </c>
      <c r="BB39" s="47" t="n"/>
      <c r="BC39" s="47" t="n"/>
      <c r="BD39" s="47" t="inlineStr">
        <is>
          <t>P</t>
        </is>
      </c>
      <c r="BE39" s="47" t="inlineStr">
        <is>
          <t>P</t>
        </is>
      </c>
      <c r="BF39" s="47" t="n"/>
      <c r="BG39" s="47" t="n"/>
      <c r="BH39" s="47" t="inlineStr">
        <is>
          <t>P</t>
        </is>
      </c>
      <c r="BI39" s="47" t="inlineStr">
        <is>
          <t>P</t>
        </is>
      </c>
      <c r="BJ39" s="47" t="n"/>
      <c r="BK39" s="47" t="n"/>
      <c r="BL39" s="47" t="n"/>
      <c r="BM39" s="47" t="n"/>
      <c r="BN39" s="47" t="n"/>
      <c r="BO39" s="47" t="n"/>
      <c r="BP39" s="47" t="n"/>
      <c r="BQ39" s="47" t="inlineStr">
        <is>
          <t>P</t>
        </is>
      </c>
      <c r="BR39" s="47" t="n"/>
      <c r="BS39" s="47" t="n"/>
      <c r="BT39" s="47" t="inlineStr">
        <is>
          <t>P</t>
        </is>
      </c>
      <c r="BU39" s="47" t="inlineStr">
        <is>
          <t>P</t>
        </is>
      </c>
      <c r="BV39" s="47" t="n"/>
      <c r="BW39" s="47" t="n"/>
      <c r="BX39" s="47" t="inlineStr">
        <is>
          <t>P</t>
        </is>
      </c>
      <c r="BY39" s="47" t="inlineStr">
        <is>
          <t>P</t>
        </is>
      </c>
      <c r="BZ39" s="47" t="n"/>
      <c r="CA39" s="47" t="n"/>
      <c r="CB39" s="47" t="inlineStr">
        <is>
          <t>P</t>
        </is>
      </c>
      <c r="CC39" s="47" t="n"/>
      <c r="CD39" s="47" t="n"/>
      <c r="CE39" s="47" t="n"/>
      <c r="CF39" s="47" t="inlineStr">
        <is>
          <t>P</t>
        </is>
      </c>
      <c r="CG39" s="47" t="n"/>
      <c r="CH39" s="47" t="n"/>
      <c r="CI39" s="47" t="n"/>
      <c r="CJ39" s="47" t="n"/>
      <c r="CK39" s="47" t="n"/>
      <c r="CL39" s="47" t="n"/>
      <c r="CM39" s="47" t="n"/>
      <c r="CN39" s="47" t="inlineStr">
        <is>
          <t>P</t>
        </is>
      </c>
      <c r="CO39" s="47" t="n"/>
      <c r="CP39" s="47" t="n"/>
      <c r="CQ39" s="47" t="inlineStr">
        <is>
          <t>P</t>
        </is>
      </c>
      <c r="CR39" s="47" t="inlineStr">
        <is>
          <t>P</t>
        </is>
      </c>
      <c r="CS39" s="47" t="n"/>
      <c r="CT39" s="47" t="n"/>
      <c r="CU39" s="47" t="inlineStr">
        <is>
          <t>P</t>
        </is>
      </c>
      <c r="CV39" s="47" t="inlineStr">
        <is>
          <t>P</t>
        </is>
      </c>
      <c r="CW39" s="47" t="n"/>
      <c r="CX39" s="47" t="n"/>
      <c r="CY39" s="47" t="n"/>
      <c r="CZ39" s="47" t="inlineStr">
        <is>
          <t>P</t>
        </is>
      </c>
      <c r="DA39" s="47" t="n"/>
      <c r="DB39" s="47" t="n"/>
      <c r="DC39" s="47" t="inlineStr">
        <is>
          <t>P</t>
        </is>
      </c>
      <c r="DD39" s="47" t="n"/>
      <c r="DE39" s="47" t="n"/>
      <c r="DF39" s="47" t="n"/>
      <c r="DG39" s="47" t="n"/>
      <c r="DH39" s="47" t="n"/>
      <c r="DI39" s="47" t="n"/>
      <c r="DJ39" s="47" t="n"/>
      <c r="DK39" s="47" t="inlineStr">
        <is>
          <t>P</t>
        </is>
      </c>
      <c r="DL39" s="47" t="n"/>
      <c r="DM39" s="47" t="n"/>
      <c r="DN39" s="47" t="inlineStr">
        <is>
          <t>P</t>
        </is>
      </c>
      <c r="DO39" s="47" t="inlineStr">
        <is>
          <t>P</t>
        </is>
      </c>
      <c r="DP39" s="47" t="n"/>
      <c r="DQ39" s="47" t="n"/>
      <c r="DR39" s="47" t="inlineStr">
        <is>
          <t>P</t>
        </is>
      </c>
      <c r="DS39" s="47" t="inlineStr">
        <is>
          <t>P</t>
        </is>
      </c>
      <c r="DT39" s="47" t="n"/>
      <c r="DU39" s="47" t="n"/>
      <c r="DV39" s="47" t="inlineStr">
        <is>
          <t>P</t>
        </is>
      </c>
      <c r="DW39" s="47" t="inlineStr">
        <is>
          <t>P</t>
        </is>
      </c>
      <c r="DX39" s="47" t="n"/>
      <c r="DY39" s="47" t="n"/>
      <c r="DZ39" s="47" t="inlineStr">
        <is>
          <t>P</t>
        </is>
      </c>
      <c r="EA39" s="47" t="n"/>
      <c r="EB39" s="47" t="n"/>
      <c r="EC39" s="47" t="n"/>
      <c r="ED39" s="47" t="n"/>
      <c r="EE39" s="47" t="n"/>
      <c r="EF39" s="47" t="n"/>
      <c r="EG39" s="47" t="n"/>
      <c r="EH39" s="47" t="inlineStr">
        <is>
          <t>P</t>
        </is>
      </c>
      <c r="EI39" s="47" t="n"/>
      <c r="EJ39" s="47" t="n"/>
      <c r="EK39" s="47" t="inlineStr">
        <is>
          <t>P</t>
        </is>
      </c>
      <c r="EL39" s="47" t="inlineStr">
        <is>
          <t>P</t>
        </is>
      </c>
      <c r="EM39" s="47" t="n"/>
      <c r="EN39" s="47" t="n"/>
      <c r="EO39" s="47" t="inlineStr">
        <is>
          <t>P</t>
        </is>
      </c>
      <c r="EP39" s="47" t="inlineStr">
        <is>
          <t>P</t>
        </is>
      </c>
      <c r="EQ39" s="47" t="n"/>
      <c r="ER39" s="47" t="n"/>
      <c r="ES39" s="47" t="inlineStr">
        <is>
          <t>P</t>
        </is>
      </c>
      <c r="ET39" s="47" t="inlineStr">
        <is>
          <t>P</t>
        </is>
      </c>
      <c r="EU39" s="47" t="n"/>
      <c r="EV39" s="47" t="n"/>
      <c r="EW39" s="47" t="n"/>
      <c r="EX39" s="47" t="n"/>
      <c r="EY39" s="47" t="n"/>
      <c r="EZ39" s="47" t="n"/>
      <c r="FA39" s="47" t="n"/>
      <c r="FB39" s="47" t="inlineStr">
        <is>
          <t>P</t>
        </is>
      </c>
      <c r="FC39" s="47" t="n"/>
      <c r="FD39" s="47" t="n"/>
      <c r="FE39" s="47" t="inlineStr">
        <is>
          <t>P</t>
        </is>
      </c>
      <c r="FF39" s="47" t="inlineStr">
        <is>
          <t>P</t>
        </is>
      </c>
      <c r="FG39" s="47" t="n"/>
      <c r="FH39" s="47" t="n"/>
      <c r="FI39" s="47" t="inlineStr">
        <is>
          <t>P</t>
        </is>
      </c>
      <c r="FJ39" s="47" t="inlineStr">
        <is>
          <t>P</t>
        </is>
      </c>
      <c r="FK39" s="47" t="n"/>
      <c r="FL39" s="47" t="n"/>
      <c r="FM39" s="47" t="n"/>
      <c r="FN39" s="47" t="n"/>
      <c r="FO39" s="47" t="n"/>
      <c r="FP39" s="47" t="n"/>
      <c r="FQ39" s="47" t="n"/>
      <c r="FR39" s="47" t="inlineStr">
        <is>
          <t>P</t>
        </is>
      </c>
      <c r="FS39" s="47" t="n"/>
      <c r="FT39" s="47" t="n"/>
      <c r="FU39" s="47" t="n"/>
      <c r="FV39" s="47" t="n"/>
      <c r="FW39" s="47" t="n"/>
      <c r="FX39" s="47" t="n"/>
      <c r="FY39" s="47" t="inlineStr">
        <is>
          <t>P</t>
        </is>
      </c>
      <c r="FZ39" s="47" t="inlineStr">
        <is>
          <t>P</t>
        </is>
      </c>
      <c r="GA39" s="47" t="n"/>
      <c r="GB39" s="47" t="n"/>
      <c r="GC39" s="47" t="n"/>
      <c r="GD39" s="47" t="inlineStr">
        <is>
          <t>P</t>
        </is>
      </c>
      <c r="GE39" s="47" t="n"/>
      <c r="GF39" s="47" t="n"/>
      <c r="GG39" s="47" t="inlineStr">
        <is>
          <t>P</t>
        </is>
      </c>
      <c r="GH39" s="47" t="n"/>
      <c r="GI39" s="47" t="n"/>
    </row>
    <row r="40" ht="14.25" customHeight="1" s="34">
      <c r="A40" s="46" t="n">
        <v>37</v>
      </c>
      <c r="B40" s="46" t="inlineStr">
        <is>
          <t>325106410037</t>
        </is>
      </c>
      <c r="C40" s="46" t="inlineStr">
        <is>
          <t>VINAY KUMAR PANCHADI</t>
        </is>
      </c>
      <c r="D40" s="47" t="inlineStr">
        <is>
          <t>A</t>
        </is>
      </c>
      <c r="E40" s="47" t="n"/>
      <c r="F40" s="47" t="n"/>
      <c r="G40" s="47" t="n"/>
      <c r="H40" s="47" t="n"/>
      <c r="I40" s="47" t="inlineStr">
        <is>
          <t>A</t>
        </is>
      </c>
      <c r="J40" s="47" t="n"/>
      <c r="K40" s="47" t="n"/>
      <c r="L40" s="47" t="inlineStr">
        <is>
          <t>A</t>
        </is>
      </c>
      <c r="M40" s="47" t="n"/>
      <c r="N40" s="47" t="n"/>
      <c r="O40" s="47" t="n"/>
      <c r="P40" s="47" t="inlineStr">
        <is>
          <t>P</t>
        </is>
      </c>
      <c r="Q40" s="47" t="inlineStr">
        <is>
          <t>P</t>
        </is>
      </c>
      <c r="R40" s="47" t="n"/>
      <c r="S40" s="47" t="n"/>
      <c r="T40" s="47" t="inlineStr">
        <is>
          <t>P</t>
        </is>
      </c>
      <c r="U40" s="47" t="n"/>
      <c r="V40" s="47" t="n"/>
      <c r="W40" s="47" t="n"/>
      <c r="X40" s="47" t="n"/>
      <c r="Y40" s="47" t="n"/>
      <c r="Z40" s="47" t="n"/>
      <c r="AA40" s="47" t="n"/>
      <c r="AB40" s="47" t="n"/>
      <c r="AC40" s="47" t="inlineStr">
        <is>
          <t>P</t>
        </is>
      </c>
      <c r="AD40" s="47" t="n"/>
      <c r="AE40" s="47" t="n"/>
      <c r="AF40" s="47" t="inlineStr">
        <is>
          <t>P</t>
        </is>
      </c>
      <c r="AG40" s="47" t="n"/>
      <c r="AH40" s="47" t="n"/>
      <c r="AI40" s="47" t="n"/>
      <c r="AJ40" s="47" t="inlineStr">
        <is>
          <t>P</t>
        </is>
      </c>
      <c r="AK40" s="47" t="inlineStr">
        <is>
          <t>P</t>
        </is>
      </c>
      <c r="AL40" s="47" t="n"/>
      <c r="AM40" s="47" t="n"/>
      <c r="AN40" s="47" t="inlineStr">
        <is>
          <t>P</t>
        </is>
      </c>
      <c r="AO40" s="47" t="n"/>
      <c r="AP40" s="47" t="n"/>
      <c r="AQ40" s="47" t="n"/>
      <c r="AR40" s="47" t="inlineStr">
        <is>
          <t>P</t>
        </is>
      </c>
      <c r="AS40" s="47" t="n"/>
      <c r="AT40" s="47" t="n"/>
      <c r="AU40" s="47" t="n"/>
      <c r="AV40" s="47" t="n"/>
      <c r="AW40" s="47" t="inlineStr">
        <is>
          <t>P</t>
        </is>
      </c>
      <c r="AX40" s="47" t="n"/>
      <c r="AY40" s="47" t="n"/>
      <c r="AZ40" s="47" t="inlineStr">
        <is>
          <t>P</t>
        </is>
      </c>
      <c r="BA40" s="47" t="inlineStr">
        <is>
          <t>P</t>
        </is>
      </c>
      <c r="BB40" s="47" t="n"/>
      <c r="BC40" s="47" t="n"/>
      <c r="BD40" s="47" t="inlineStr">
        <is>
          <t>P</t>
        </is>
      </c>
      <c r="BE40" s="47" t="inlineStr">
        <is>
          <t>P</t>
        </is>
      </c>
      <c r="BF40" s="47" t="n"/>
      <c r="BG40" s="47" t="n"/>
      <c r="BH40" s="47" t="inlineStr">
        <is>
          <t>P</t>
        </is>
      </c>
      <c r="BI40" s="47" t="inlineStr">
        <is>
          <t>P</t>
        </is>
      </c>
      <c r="BJ40" s="47" t="n"/>
      <c r="BK40" s="47" t="n"/>
      <c r="BL40" s="47" t="n"/>
      <c r="BM40" s="47" t="n"/>
      <c r="BN40" s="47" t="n"/>
      <c r="BO40" s="47" t="n"/>
      <c r="BP40" s="47" t="n"/>
      <c r="BQ40" s="47" t="inlineStr">
        <is>
          <t>P</t>
        </is>
      </c>
      <c r="BR40" s="47" t="n"/>
      <c r="BS40" s="47" t="n"/>
      <c r="BT40" s="47" t="inlineStr">
        <is>
          <t>P</t>
        </is>
      </c>
      <c r="BU40" s="47" t="inlineStr">
        <is>
          <t>P</t>
        </is>
      </c>
      <c r="BV40" s="47" t="n"/>
      <c r="BW40" s="47" t="n"/>
      <c r="BX40" s="47" t="inlineStr">
        <is>
          <t>P</t>
        </is>
      </c>
      <c r="BY40" s="47" t="inlineStr">
        <is>
          <t>P</t>
        </is>
      </c>
      <c r="BZ40" s="47" t="n"/>
      <c r="CA40" s="47" t="n"/>
      <c r="CB40" s="47" t="inlineStr">
        <is>
          <t>P</t>
        </is>
      </c>
      <c r="CC40" s="47" t="n"/>
      <c r="CD40" s="47" t="n"/>
      <c r="CE40" s="47" t="n"/>
      <c r="CF40" s="47" t="inlineStr">
        <is>
          <t>P</t>
        </is>
      </c>
      <c r="CG40" s="47" t="n"/>
      <c r="CH40" s="47" t="n"/>
      <c r="CI40" s="47" t="n"/>
      <c r="CJ40" s="47" t="n"/>
      <c r="CK40" s="47" t="n"/>
      <c r="CL40" s="47" t="n"/>
      <c r="CM40" s="47" t="n"/>
      <c r="CN40" s="47" t="inlineStr">
        <is>
          <t>P</t>
        </is>
      </c>
      <c r="CO40" s="47" t="n"/>
      <c r="CP40" s="47" t="n"/>
      <c r="CQ40" s="47" t="inlineStr">
        <is>
          <t>P</t>
        </is>
      </c>
      <c r="CR40" s="47" t="inlineStr">
        <is>
          <t>P</t>
        </is>
      </c>
      <c r="CS40" s="47" t="n"/>
      <c r="CT40" s="47" t="n"/>
      <c r="CU40" s="47" t="inlineStr">
        <is>
          <t>P</t>
        </is>
      </c>
      <c r="CV40" s="47" t="inlineStr">
        <is>
          <t>P</t>
        </is>
      </c>
      <c r="CW40" s="47" t="n"/>
      <c r="CX40" s="47" t="n"/>
      <c r="CY40" s="47" t="n"/>
      <c r="CZ40" s="47" t="inlineStr">
        <is>
          <t>P</t>
        </is>
      </c>
      <c r="DA40" s="47" t="n"/>
      <c r="DB40" s="47" t="n"/>
      <c r="DC40" s="47" t="inlineStr">
        <is>
          <t>P</t>
        </is>
      </c>
      <c r="DD40" s="47" t="n"/>
      <c r="DE40" s="47" t="n"/>
      <c r="DF40" s="47" t="n"/>
      <c r="DG40" s="47" t="n"/>
      <c r="DH40" s="47" t="n"/>
      <c r="DI40" s="47" t="n"/>
      <c r="DJ40" s="47" t="n"/>
      <c r="DK40" s="47" t="inlineStr">
        <is>
          <t>A</t>
        </is>
      </c>
      <c r="DL40" s="47" t="n"/>
      <c r="DM40" s="47" t="n"/>
      <c r="DN40" s="47" t="inlineStr">
        <is>
          <t>P</t>
        </is>
      </c>
      <c r="DO40" s="47" t="inlineStr">
        <is>
          <t>P</t>
        </is>
      </c>
      <c r="DP40" s="47" t="n"/>
      <c r="DQ40" s="47" t="n"/>
      <c r="DR40" s="47" t="inlineStr">
        <is>
          <t>P</t>
        </is>
      </c>
      <c r="DS40" s="47" t="inlineStr">
        <is>
          <t>P</t>
        </is>
      </c>
      <c r="DT40" s="47" t="n"/>
      <c r="DU40" s="47" t="n"/>
      <c r="DV40" s="47" t="inlineStr">
        <is>
          <t>P</t>
        </is>
      </c>
      <c r="DW40" s="47" t="inlineStr">
        <is>
          <t>P</t>
        </is>
      </c>
      <c r="DX40" s="47" t="n"/>
      <c r="DY40" s="47" t="n"/>
      <c r="DZ40" s="47" t="inlineStr">
        <is>
          <t>A</t>
        </is>
      </c>
      <c r="EA40" s="47" t="n"/>
      <c r="EB40" s="47" t="n"/>
      <c r="EC40" s="47" t="n"/>
      <c r="ED40" s="47" t="n"/>
      <c r="EE40" s="47" t="n"/>
      <c r="EF40" s="47" t="n"/>
      <c r="EG40" s="47" t="n"/>
      <c r="EH40" s="47" t="inlineStr">
        <is>
          <t>A</t>
        </is>
      </c>
      <c r="EI40" s="47" t="n"/>
      <c r="EJ40" s="47" t="n"/>
      <c r="EK40" s="47" t="inlineStr">
        <is>
          <t>A</t>
        </is>
      </c>
      <c r="EL40" s="47" t="inlineStr">
        <is>
          <t>P</t>
        </is>
      </c>
      <c r="EM40" s="47" t="n"/>
      <c r="EN40" s="47" t="n"/>
      <c r="EO40" s="47" t="inlineStr">
        <is>
          <t>P</t>
        </is>
      </c>
      <c r="EP40" s="47" t="inlineStr">
        <is>
          <t>P</t>
        </is>
      </c>
      <c r="EQ40" s="47" t="n"/>
      <c r="ER40" s="47" t="n"/>
      <c r="ES40" s="47" t="inlineStr">
        <is>
          <t>P</t>
        </is>
      </c>
      <c r="ET40" s="47" t="inlineStr">
        <is>
          <t>P</t>
        </is>
      </c>
      <c r="EU40" s="47" t="n"/>
      <c r="EV40" s="47" t="n"/>
      <c r="EW40" s="47" t="n"/>
      <c r="EX40" s="47" t="n"/>
      <c r="EY40" s="47" t="n"/>
      <c r="EZ40" s="47" t="n"/>
      <c r="FA40" s="47" t="n"/>
      <c r="FB40" s="47" t="inlineStr">
        <is>
          <t>P</t>
        </is>
      </c>
      <c r="FC40" s="47" t="n"/>
      <c r="FD40" s="47" t="n"/>
      <c r="FE40" s="47" t="inlineStr">
        <is>
          <t>P</t>
        </is>
      </c>
      <c r="FF40" s="47" t="inlineStr">
        <is>
          <t>P</t>
        </is>
      </c>
      <c r="FG40" s="47" t="n"/>
      <c r="FH40" s="47" t="n"/>
      <c r="FI40" s="47" t="inlineStr">
        <is>
          <t>P</t>
        </is>
      </c>
      <c r="FJ40" s="47" t="inlineStr">
        <is>
          <t>P</t>
        </is>
      </c>
      <c r="FK40" s="47" t="n"/>
      <c r="FL40" s="47" t="n"/>
      <c r="FM40" s="47" t="n"/>
      <c r="FN40" s="47" t="n"/>
      <c r="FO40" s="47" t="n"/>
      <c r="FP40" s="47" t="n"/>
      <c r="FQ40" s="47" t="n"/>
      <c r="FR40" s="47" t="inlineStr">
        <is>
          <t>P</t>
        </is>
      </c>
      <c r="FS40" s="47" t="n"/>
      <c r="FT40" s="47" t="n"/>
      <c r="FU40" s="47" t="n"/>
      <c r="FV40" s="47" t="n"/>
      <c r="FW40" s="47" t="n"/>
      <c r="FX40" s="47" t="n"/>
      <c r="FY40" s="47" t="inlineStr">
        <is>
          <t>P</t>
        </is>
      </c>
      <c r="FZ40" s="47" t="inlineStr">
        <is>
          <t>P</t>
        </is>
      </c>
      <c r="GA40" s="47" t="n"/>
      <c r="GB40" s="47" t="n"/>
      <c r="GC40" s="47" t="n"/>
      <c r="GD40" s="47" t="inlineStr">
        <is>
          <t>P</t>
        </is>
      </c>
      <c r="GE40" s="47" t="n"/>
      <c r="GF40" s="47" t="n"/>
      <c r="GG40" s="47" t="inlineStr">
        <is>
          <t>P</t>
        </is>
      </c>
      <c r="GH40" s="47" t="n"/>
      <c r="GI40" s="47" t="n"/>
    </row>
    <row r="41" ht="14.25" customHeight="1" s="34">
      <c r="A41" s="46" t="n">
        <v>38</v>
      </c>
      <c r="B41" s="46" t="inlineStr">
        <is>
          <t>325106410038</t>
        </is>
      </c>
      <c r="C41" s="46" t="inlineStr">
        <is>
          <t>KARTIKA HEMANTH REDDY POTAMSETTY</t>
        </is>
      </c>
      <c r="D41" s="47" t="inlineStr">
        <is>
          <t>P</t>
        </is>
      </c>
      <c r="E41" s="47" t="n"/>
      <c r="F41" s="47" t="n"/>
      <c r="G41" s="47" t="n"/>
      <c r="H41" s="47" t="n"/>
      <c r="I41" s="47" t="inlineStr">
        <is>
          <t>P</t>
        </is>
      </c>
      <c r="J41" s="47" t="n"/>
      <c r="K41" s="47" t="n"/>
      <c r="L41" s="47" t="inlineStr">
        <is>
          <t>P</t>
        </is>
      </c>
      <c r="M41" s="47" t="n"/>
      <c r="N41" s="47" t="n"/>
      <c r="O41" s="47" t="n"/>
      <c r="P41" s="47" t="inlineStr">
        <is>
          <t>P</t>
        </is>
      </c>
      <c r="Q41" s="47" t="inlineStr">
        <is>
          <t>P</t>
        </is>
      </c>
      <c r="R41" s="47" t="n"/>
      <c r="S41" s="47" t="n"/>
      <c r="T41" s="47" t="inlineStr">
        <is>
          <t>P</t>
        </is>
      </c>
      <c r="U41" s="47" t="n"/>
      <c r="V41" s="47" t="n"/>
      <c r="W41" s="47" t="n"/>
      <c r="X41" s="47" t="n"/>
      <c r="Y41" s="47" t="n"/>
      <c r="Z41" s="47" t="n"/>
      <c r="AA41" s="47" t="n"/>
      <c r="AB41" s="47" t="n"/>
      <c r="AC41" s="47" t="inlineStr">
        <is>
          <t>P</t>
        </is>
      </c>
      <c r="AD41" s="47" t="n"/>
      <c r="AE41" s="47" t="n"/>
      <c r="AF41" s="47" t="inlineStr">
        <is>
          <t>A</t>
        </is>
      </c>
      <c r="AG41" s="47" t="n"/>
      <c r="AH41" s="47" t="n"/>
      <c r="AI41" s="47" t="n"/>
      <c r="AJ41" s="47" t="inlineStr">
        <is>
          <t>P</t>
        </is>
      </c>
      <c r="AK41" s="47" t="inlineStr">
        <is>
          <t>P</t>
        </is>
      </c>
      <c r="AL41" s="47" t="n"/>
      <c r="AM41" s="47" t="n"/>
      <c r="AN41" s="47" t="inlineStr">
        <is>
          <t>A</t>
        </is>
      </c>
      <c r="AO41" s="47" t="n"/>
      <c r="AP41" s="47" t="n"/>
      <c r="AQ41" s="47" t="n"/>
      <c r="AR41" s="47" t="inlineStr">
        <is>
          <t>A</t>
        </is>
      </c>
      <c r="AS41" s="47" t="n"/>
      <c r="AT41" s="47" t="n"/>
      <c r="AU41" s="47" t="n"/>
      <c r="AV41" s="47" t="n"/>
      <c r="AW41" s="47" t="inlineStr">
        <is>
          <t>P</t>
        </is>
      </c>
      <c r="AX41" s="47" t="n"/>
      <c r="AY41" s="47" t="n"/>
      <c r="AZ41" s="47" t="inlineStr">
        <is>
          <t>P</t>
        </is>
      </c>
      <c r="BA41" s="47" t="inlineStr">
        <is>
          <t>P</t>
        </is>
      </c>
      <c r="BB41" s="47" t="n"/>
      <c r="BC41" s="47" t="n"/>
      <c r="BD41" s="47" t="inlineStr">
        <is>
          <t>P</t>
        </is>
      </c>
      <c r="BE41" s="47" t="inlineStr">
        <is>
          <t>P</t>
        </is>
      </c>
      <c r="BF41" s="47" t="n"/>
      <c r="BG41" s="47" t="n"/>
      <c r="BH41" s="47" t="inlineStr">
        <is>
          <t>P</t>
        </is>
      </c>
      <c r="BI41" s="47" t="inlineStr">
        <is>
          <t>P</t>
        </is>
      </c>
      <c r="BJ41" s="47" t="n"/>
      <c r="BK41" s="47" t="n"/>
      <c r="BL41" s="47" t="n"/>
      <c r="BM41" s="47" t="n"/>
      <c r="BN41" s="47" t="n"/>
      <c r="BO41" s="47" t="n"/>
      <c r="BP41" s="47" t="n"/>
      <c r="BQ41" s="47" t="inlineStr">
        <is>
          <t>P</t>
        </is>
      </c>
      <c r="BR41" s="47" t="n"/>
      <c r="BS41" s="47" t="n"/>
      <c r="BT41" s="47" t="inlineStr">
        <is>
          <t>P</t>
        </is>
      </c>
      <c r="BU41" s="47" t="inlineStr">
        <is>
          <t>P</t>
        </is>
      </c>
      <c r="BV41" s="47" t="n"/>
      <c r="BW41" s="47" t="n"/>
      <c r="BX41" s="47" t="inlineStr">
        <is>
          <t>P</t>
        </is>
      </c>
      <c r="BY41" s="47" t="inlineStr">
        <is>
          <t>P</t>
        </is>
      </c>
      <c r="BZ41" s="47" t="n"/>
      <c r="CA41" s="47" t="n"/>
      <c r="CB41" s="47" t="inlineStr">
        <is>
          <t>P</t>
        </is>
      </c>
      <c r="CC41" s="47" t="n"/>
      <c r="CD41" s="47" t="n"/>
      <c r="CE41" s="47" t="n"/>
      <c r="CF41" s="47" t="inlineStr">
        <is>
          <t>P</t>
        </is>
      </c>
      <c r="CG41" s="47" t="n"/>
      <c r="CH41" s="47" t="n"/>
      <c r="CI41" s="47" t="n"/>
      <c r="CJ41" s="47" t="n"/>
      <c r="CK41" s="47" t="n"/>
      <c r="CL41" s="47" t="n"/>
      <c r="CM41" s="47" t="n"/>
      <c r="CN41" s="47" t="inlineStr">
        <is>
          <t>P</t>
        </is>
      </c>
      <c r="CO41" s="47" t="n"/>
      <c r="CP41" s="47" t="n"/>
      <c r="CQ41" s="47" t="inlineStr">
        <is>
          <t>P</t>
        </is>
      </c>
      <c r="CR41" s="47" t="inlineStr">
        <is>
          <t>P</t>
        </is>
      </c>
      <c r="CS41" s="47" t="n"/>
      <c r="CT41" s="47" t="n"/>
      <c r="CU41" s="47" t="inlineStr">
        <is>
          <t>P</t>
        </is>
      </c>
      <c r="CV41" s="47" t="inlineStr">
        <is>
          <t>P</t>
        </is>
      </c>
      <c r="CW41" s="47" t="n"/>
      <c r="CX41" s="47" t="n"/>
      <c r="CY41" s="47" t="n"/>
      <c r="CZ41" s="47" t="inlineStr">
        <is>
          <t>P</t>
        </is>
      </c>
      <c r="DA41" s="47" t="n"/>
      <c r="DB41" s="47" t="n"/>
      <c r="DC41" s="47" t="inlineStr">
        <is>
          <t>P</t>
        </is>
      </c>
      <c r="DD41" s="47" t="n"/>
      <c r="DE41" s="47" t="n"/>
      <c r="DF41" s="47" t="n"/>
      <c r="DG41" s="47" t="n"/>
      <c r="DH41" s="47" t="n"/>
      <c r="DI41" s="47" t="n"/>
      <c r="DJ41" s="47" t="n"/>
      <c r="DK41" s="47" t="inlineStr">
        <is>
          <t>P</t>
        </is>
      </c>
      <c r="DL41" s="47" t="n"/>
      <c r="DM41" s="47" t="n"/>
      <c r="DN41" s="47" t="inlineStr">
        <is>
          <t>P</t>
        </is>
      </c>
      <c r="DO41" s="47" t="inlineStr">
        <is>
          <t>P</t>
        </is>
      </c>
      <c r="DP41" s="47" t="n"/>
      <c r="DQ41" s="47" t="n"/>
      <c r="DR41" s="47" t="inlineStr">
        <is>
          <t>P</t>
        </is>
      </c>
      <c r="DS41" s="47" t="inlineStr">
        <is>
          <t>P</t>
        </is>
      </c>
      <c r="DT41" s="47" t="n"/>
      <c r="DU41" s="47" t="n"/>
      <c r="DV41" s="47" t="inlineStr">
        <is>
          <t>P</t>
        </is>
      </c>
      <c r="DW41" s="47" t="inlineStr">
        <is>
          <t>P</t>
        </is>
      </c>
      <c r="DX41" s="47" t="n"/>
      <c r="DY41" s="47" t="n"/>
      <c r="DZ41" s="47" t="inlineStr">
        <is>
          <t>P</t>
        </is>
      </c>
      <c r="EA41" s="47" t="n"/>
      <c r="EB41" s="47" t="n"/>
      <c r="EC41" s="47" t="n"/>
      <c r="ED41" s="47" t="n"/>
      <c r="EE41" s="47" t="n"/>
      <c r="EF41" s="47" t="n"/>
      <c r="EG41" s="47" t="n"/>
      <c r="EH41" s="47" t="inlineStr">
        <is>
          <t>P</t>
        </is>
      </c>
      <c r="EI41" s="47" t="n"/>
      <c r="EJ41" s="47" t="n"/>
      <c r="EK41" s="47" t="inlineStr">
        <is>
          <t>A</t>
        </is>
      </c>
      <c r="EL41" s="47" t="inlineStr">
        <is>
          <t>P</t>
        </is>
      </c>
      <c r="EM41" s="47" t="n"/>
      <c r="EN41" s="47" t="n"/>
      <c r="EO41" s="47" t="inlineStr">
        <is>
          <t>P</t>
        </is>
      </c>
      <c r="EP41" s="47" t="inlineStr">
        <is>
          <t>P</t>
        </is>
      </c>
      <c r="EQ41" s="47" t="n"/>
      <c r="ER41" s="47" t="n"/>
      <c r="ES41" s="47" t="inlineStr">
        <is>
          <t>P</t>
        </is>
      </c>
      <c r="ET41" s="47" t="inlineStr">
        <is>
          <t>P</t>
        </is>
      </c>
      <c r="EU41" s="47" t="n"/>
      <c r="EV41" s="47" t="n"/>
      <c r="EW41" s="47" t="n"/>
      <c r="EX41" s="47" t="n"/>
      <c r="EY41" s="47" t="n"/>
      <c r="EZ41" s="47" t="n"/>
      <c r="FA41" s="47" t="n"/>
      <c r="FB41" s="47" t="inlineStr">
        <is>
          <t>P</t>
        </is>
      </c>
      <c r="FC41" s="47" t="n"/>
      <c r="FD41" s="47" t="n"/>
      <c r="FE41" s="47" t="inlineStr">
        <is>
          <t>P</t>
        </is>
      </c>
      <c r="FF41" s="47" t="inlineStr">
        <is>
          <t>P</t>
        </is>
      </c>
      <c r="FG41" s="47" t="n"/>
      <c r="FH41" s="47" t="n"/>
      <c r="FI41" s="47" t="inlineStr">
        <is>
          <t>P</t>
        </is>
      </c>
      <c r="FJ41" s="47" t="inlineStr">
        <is>
          <t>P</t>
        </is>
      </c>
      <c r="FK41" s="47" t="n"/>
      <c r="FL41" s="47" t="n"/>
      <c r="FM41" s="47" t="n"/>
      <c r="FN41" s="47" t="n"/>
      <c r="FO41" s="47" t="n"/>
      <c r="FP41" s="47" t="n"/>
      <c r="FQ41" s="47" t="n"/>
      <c r="FR41" s="47" t="inlineStr">
        <is>
          <t>P</t>
        </is>
      </c>
      <c r="FS41" s="47" t="n"/>
      <c r="FT41" s="47" t="n"/>
      <c r="FU41" s="47" t="n"/>
      <c r="FV41" s="47" t="n"/>
      <c r="FW41" s="47" t="n"/>
      <c r="FX41" s="47" t="n"/>
      <c r="FY41" s="47" t="inlineStr">
        <is>
          <t>P</t>
        </is>
      </c>
      <c r="FZ41" s="47" t="inlineStr">
        <is>
          <t>P</t>
        </is>
      </c>
      <c r="GA41" s="47" t="n"/>
      <c r="GB41" s="47" t="n"/>
      <c r="GC41" s="47" t="n"/>
      <c r="GD41" s="47" t="inlineStr">
        <is>
          <t>P</t>
        </is>
      </c>
      <c r="GE41" s="47" t="n"/>
      <c r="GF41" s="47" t="n"/>
      <c r="GG41" s="47" t="inlineStr">
        <is>
          <t>P</t>
        </is>
      </c>
      <c r="GH41" s="47" t="n"/>
      <c r="GI41" s="47" t="n"/>
    </row>
    <row r="42" ht="14.25" customHeight="1" s="34">
      <c r="A42" s="46" t="n">
        <v>39</v>
      </c>
      <c r="B42" s="46" t="inlineStr">
        <is>
          <t>325106410039</t>
        </is>
      </c>
      <c r="C42" s="46" t="inlineStr">
        <is>
          <t>PRUDHVI POTUPUREDDI</t>
        </is>
      </c>
      <c r="D42" s="47" t="inlineStr">
        <is>
          <t>A</t>
        </is>
      </c>
      <c r="E42" s="47" t="n"/>
      <c r="F42" s="47" t="n"/>
      <c r="G42" s="47" t="n"/>
      <c r="H42" s="47" t="n"/>
      <c r="I42" s="47" t="inlineStr">
        <is>
          <t>A</t>
        </is>
      </c>
      <c r="J42" s="47" t="n"/>
      <c r="K42" s="47" t="n"/>
      <c r="L42" s="47" t="inlineStr">
        <is>
          <t>A</t>
        </is>
      </c>
      <c r="M42" s="47" t="n"/>
      <c r="N42" s="47" t="n"/>
      <c r="O42" s="47" t="n"/>
      <c r="P42" s="47" t="inlineStr">
        <is>
          <t>A</t>
        </is>
      </c>
      <c r="Q42" s="47" t="inlineStr">
        <is>
          <t>A</t>
        </is>
      </c>
      <c r="R42" s="47" t="n"/>
      <c r="S42" s="47" t="n"/>
      <c r="T42" s="47" t="inlineStr">
        <is>
          <t>P</t>
        </is>
      </c>
      <c r="U42" s="47" t="n"/>
      <c r="V42" s="47" t="n"/>
      <c r="W42" s="47" t="n"/>
      <c r="X42" s="47" t="n"/>
      <c r="Y42" s="47" t="n"/>
      <c r="Z42" s="47" t="n"/>
      <c r="AA42" s="47" t="n"/>
      <c r="AB42" s="47" t="n"/>
      <c r="AC42" s="47" t="inlineStr">
        <is>
          <t>P</t>
        </is>
      </c>
      <c r="AD42" s="47" t="n"/>
      <c r="AE42" s="47" t="n"/>
      <c r="AF42" s="47" t="inlineStr">
        <is>
          <t>P</t>
        </is>
      </c>
      <c r="AG42" s="47" t="n"/>
      <c r="AH42" s="47" t="n"/>
      <c r="AI42" s="47" t="n"/>
      <c r="AJ42" s="47" t="inlineStr">
        <is>
          <t>A</t>
        </is>
      </c>
      <c r="AK42" s="47" t="inlineStr">
        <is>
          <t>A</t>
        </is>
      </c>
      <c r="AL42" s="47" t="n"/>
      <c r="AM42" s="47" t="n"/>
      <c r="AN42" s="47" t="inlineStr">
        <is>
          <t>P</t>
        </is>
      </c>
      <c r="AO42" s="47" t="n"/>
      <c r="AP42" s="47" t="n"/>
      <c r="AQ42" s="47" t="n"/>
      <c r="AR42" s="47" t="inlineStr">
        <is>
          <t>P</t>
        </is>
      </c>
      <c r="AS42" s="47" t="n"/>
      <c r="AT42" s="47" t="n"/>
      <c r="AU42" s="47" t="n"/>
      <c r="AV42" s="47" t="n"/>
      <c r="AW42" s="47" t="inlineStr">
        <is>
          <t>P</t>
        </is>
      </c>
      <c r="AX42" s="47" t="n"/>
      <c r="AY42" s="47" t="n"/>
      <c r="AZ42" s="47" t="inlineStr">
        <is>
          <t>P</t>
        </is>
      </c>
      <c r="BA42" s="47" t="inlineStr">
        <is>
          <t>P</t>
        </is>
      </c>
      <c r="BB42" s="47" t="n"/>
      <c r="BC42" s="47" t="n"/>
      <c r="BD42" s="47" t="inlineStr">
        <is>
          <t>P</t>
        </is>
      </c>
      <c r="BE42" s="47" t="inlineStr">
        <is>
          <t>P</t>
        </is>
      </c>
      <c r="BF42" s="47" t="n"/>
      <c r="BG42" s="47" t="n"/>
      <c r="BH42" s="47" t="inlineStr">
        <is>
          <t>P</t>
        </is>
      </c>
      <c r="BI42" s="47" t="inlineStr">
        <is>
          <t>P</t>
        </is>
      </c>
      <c r="BJ42" s="47" t="n"/>
      <c r="BK42" s="47" t="n"/>
      <c r="BL42" s="47" t="n"/>
      <c r="BM42" s="47" t="n"/>
      <c r="BN42" s="47" t="n"/>
      <c r="BO42" s="47" t="n"/>
      <c r="BP42" s="47" t="n"/>
      <c r="BQ42" s="47" t="inlineStr">
        <is>
          <t>P</t>
        </is>
      </c>
      <c r="BR42" s="47" t="n"/>
      <c r="BS42" s="47" t="n"/>
      <c r="BT42" s="47" t="inlineStr">
        <is>
          <t>P</t>
        </is>
      </c>
      <c r="BU42" s="47" t="inlineStr">
        <is>
          <t>P</t>
        </is>
      </c>
      <c r="BV42" s="47" t="n"/>
      <c r="BW42" s="47" t="n"/>
      <c r="BX42" s="47" t="inlineStr">
        <is>
          <t>P</t>
        </is>
      </c>
      <c r="BY42" s="47" t="inlineStr">
        <is>
          <t>P</t>
        </is>
      </c>
      <c r="BZ42" s="47" t="n"/>
      <c r="CA42" s="47" t="n"/>
      <c r="CB42" s="47" t="inlineStr">
        <is>
          <t>P</t>
        </is>
      </c>
      <c r="CC42" s="47" t="n"/>
      <c r="CD42" s="47" t="n"/>
      <c r="CE42" s="47" t="n"/>
      <c r="CF42" s="47" t="inlineStr">
        <is>
          <t>P</t>
        </is>
      </c>
      <c r="CG42" s="47" t="n"/>
      <c r="CH42" s="47" t="n"/>
      <c r="CI42" s="47" t="n"/>
      <c r="CJ42" s="47" t="n"/>
      <c r="CK42" s="47" t="n"/>
      <c r="CL42" s="47" t="n"/>
      <c r="CM42" s="47" t="n"/>
      <c r="CN42" s="47" t="inlineStr">
        <is>
          <t>P</t>
        </is>
      </c>
      <c r="CO42" s="47" t="n"/>
      <c r="CP42" s="47" t="n"/>
      <c r="CQ42" s="47" t="inlineStr">
        <is>
          <t>A</t>
        </is>
      </c>
      <c r="CR42" s="47" t="inlineStr">
        <is>
          <t>A</t>
        </is>
      </c>
      <c r="CS42" s="47" t="n"/>
      <c r="CT42" s="47" t="n"/>
      <c r="CU42" s="47" t="inlineStr">
        <is>
          <t>P</t>
        </is>
      </c>
      <c r="CV42" s="47" t="inlineStr">
        <is>
          <t>P</t>
        </is>
      </c>
      <c r="CW42" s="47" t="n"/>
      <c r="CX42" s="47" t="n"/>
      <c r="CY42" s="47" t="n"/>
      <c r="CZ42" s="47" t="inlineStr">
        <is>
          <t>P</t>
        </is>
      </c>
      <c r="DA42" s="47" t="n"/>
      <c r="DB42" s="47" t="n"/>
      <c r="DC42" s="47" t="inlineStr">
        <is>
          <t>P</t>
        </is>
      </c>
      <c r="DD42" s="47" t="n"/>
      <c r="DE42" s="47" t="n"/>
      <c r="DF42" s="47" t="n"/>
      <c r="DG42" s="47" t="n"/>
      <c r="DH42" s="47" t="n"/>
      <c r="DI42" s="47" t="n"/>
      <c r="DJ42" s="47" t="n"/>
      <c r="DK42" s="47" t="inlineStr">
        <is>
          <t>P</t>
        </is>
      </c>
      <c r="DL42" s="47" t="n"/>
      <c r="DM42" s="47" t="n"/>
      <c r="DN42" s="47" t="inlineStr">
        <is>
          <t>P</t>
        </is>
      </c>
      <c r="DO42" s="47" t="inlineStr">
        <is>
          <t>P</t>
        </is>
      </c>
      <c r="DP42" s="47" t="n"/>
      <c r="DQ42" s="47" t="n"/>
      <c r="DR42" s="47" t="inlineStr">
        <is>
          <t>P</t>
        </is>
      </c>
      <c r="DS42" s="47" t="inlineStr">
        <is>
          <t>P</t>
        </is>
      </c>
      <c r="DT42" s="47" t="n"/>
      <c r="DU42" s="47" t="n"/>
      <c r="DV42" s="47" t="inlineStr">
        <is>
          <t>P</t>
        </is>
      </c>
      <c r="DW42" s="47" t="inlineStr">
        <is>
          <t>P</t>
        </is>
      </c>
      <c r="DX42" s="47" t="n"/>
      <c r="DY42" s="47" t="n"/>
      <c r="DZ42" s="47" t="inlineStr">
        <is>
          <t>P</t>
        </is>
      </c>
      <c r="EA42" s="47" t="n"/>
      <c r="EB42" s="47" t="n"/>
      <c r="EC42" s="47" t="n"/>
      <c r="ED42" s="47" t="n"/>
      <c r="EE42" s="47" t="n"/>
      <c r="EF42" s="47" t="n"/>
      <c r="EG42" s="47" t="n"/>
      <c r="EH42" s="47" t="inlineStr">
        <is>
          <t>P</t>
        </is>
      </c>
      <c r="EI42" s="47" t="n"/>
      <c r="EJ42" s="47" t="n"/>
      <c r="EK42" s="47" t="inlineStr">
        <is>
          <t>P</t>
        </is>
      </c>
      <c r="EL42" s="47" t="inlineStr">
        <is>
          <t>P</t>
        </is>
      </c>
      <c r="EM42" s="47" t="n"/>
      <c r="EN42" s="47" t="n"/>
      <c r="EO42" s="47" t="inlineStr">
        <is>
          <t>P</t>
        </is>
      </c>
      <c r="EP42" s="47" t="inlineStr">
        <is>
          <t>P</t>
        </is>
      </c>
      <c r="EQ42" s="47" t="n"/>
      <c r="ER42" s="47" t="n"/>
      <c r="ES42" s="47" t="inlineStr">
        <is>
          <t>P</t>
        </is>
      </c>
      <c r="ET42" s="47" t="inlineStr">
        <is>
          <t>P</t>
        </is>
      </c>
      <c r="EU42" s="47" t="n"/>
      <c r="EV42" s="47" t="n"/>
      <c r="EW42" s="47" t="n"/>
      <c r="EX42" s="47" t="n"/>
      <c r="EY42" s="47" t="n"/>
      <c r="EZ42" s="47" t="n"/>
      <c r="FA42" s="47" t="n"/>
      <c r="FB42" s="47" t="inlineStr">
        <is>
          <t>P</t>
        </is>
      </c>
      <c r="FC42" s="47" t="n"/>
      <c r="FD42" s="47" t="n"/>
      <c r="FE42" s="47" t="inlineStr">
        <is>
          <t>P</t>
        </is>
      </c>
      <c r="FF42" s="47" t="inlineStr">
        <is>
          <t>P</t>
        </is>
      </c>
      <c r="FG42" s="47" t="n"/>
      <c r="FH42" s="47" t="n"/>
      <c r="FI42" s="47" t="inlineStr">
        <is>
          <t>P</t>
        </is>
      </c>
      <c r="FJ42" s="47" t="inlineStr">
        <is>
          <t>P</t>
        </is>
      </c>
      <c r="FK42" s="47" t="n"/>
      <c r="FL42" s="47" t="n"/>
      <c r="FM42" s="47" t="n"/>
      <c r="FN42" s="47" t="n"/>
      <c r="FO42" s="47" t="n"/>
      <c r="FP42" s="47" t="n"/>
      <c r="FQ42" s="47" t="n"/>
      <c r="FR42" s="47" t="inlineStr">
        <is>
          <t>P</t>
        </is>
      </c>
      <c r="FS42" s="47" t="n"/>
      <c r="FT42" s="47" t="n"/>
      <c r="FU42" s="47" t="n"/>
      <c r="FV42" s="47" t="n"/>
      <c r="FW42" s="47" t="n"/>
      <c r="FX42" s="47" t="n"/>
      <c r="FY42" s="47" t="inlineStr">
        <is>
          <t>P</t>
        </is>
      </c>
      <c r="FZ42" s="47" t="inlineStr">
        <is>
          <t>P</t>
        </is>
      </c>
      <c r="GA42" s="47" t="n"/>
      <c r="GB42" s="47" t="n"/>
      <c r="GC42" s="47" t="n"/>
      <c r="GD42" s="47" t="inlineStr">
        <is>
          <t>P</t>
        </is>
      </c>
      <c r="GE42" s="47" t="n"/>
      <c r="GF42" s="47" t="n"/>
      <c r="GG42" s="47" t="inlineStr">
        <is>
          <t>P</t>
        </is>
      </c>
      <c r="GH42" s="47" t="n"/>
      <c r="GI42" s="47" t="n"/>
    </row>
    <row r="43" ht="14.25" customHeight="1" s="34">
      <c r="A43" s="46" t="n">
        <v>40</v>
      </c>
      <c r="B43" s="46" t="inlineStr">
        <is>
          <t>325106410040</t>
        </is>
      </c>
      <c r="C43" s="46" t="inlineStr">
        <is>
          <t>JAYANTH PRATTIPATI</t>
        </is>
      </c>
      <c r="D43" s="47" t="inlineStr">
        <is>
          <t>A</t>
        </is>
      </c>
      <c r="E43" s="47" t="n"/>
      <c r="F43" s="47" t="n"/>
      <c r="G43" s="47" t="n"/>
      <c r="H43" s="47" t="n"/>
      <c r="I43" s="47" t="inlineStr">
        <is>
          <t>A</t>
        </is>
      </c>
      <c r="J43" s="47" t="n"/>
      <c r="K43" s="47" t="n"/>
      <c r="L43" s="47" t="inlineStr">
        <is>
          <t>A</t>
        </is>
      </c>
      <c r="M43" s="47" t="n"/>
      <c r="N43" s="47" t="n"/>
      <c r="O43" s="47" t="n"/>
      <c r="P43" s="47" t="inlineStr">
        <is>
          <t>A</t>
        </is>
      </c>
      <c r="Q43" s="47" t="inlineStr">
        <is>
          <t>A</t>
        </is>
      </c>
      <c r="R43" s="47" t="n"/>
      <c r="S43" s="47" t="n"/>
      <c r="T43" s="47" t="inlineStr">
        <is>
          <t>P</t>
        </is>
      </c>
      <c r="U43" s="47" t="n"/>
      <c r="V43" s="47" t="n"/>
      <c r="W43" s="47" t="n"/>
      <c r="X43" s="47" t="n"/>
      <c r="Y43" s="47" t="n"/>
      <c r="Z43" s="47" t="n"/>
      <c r="AA43" s="47" t="n"/>
      <c r="AB43" s="47" t="n"/>
      <c r="AC43" s="47" t="inlineStr">
        <is>
          <t>P</t>
        </is>
      </c>
      <c r="AD43" s="47" t="n"/>
      <c r="AE43" s="47" t="n"/>
      <c r="AF43" s="47" t="inlineStr">
        <is>
          <t>P</t>
        </is>
      </c>
      <c r="AG43" s="47" t="n"/>
      <c r="AH43" s="47" t="n"/>
      <c r="AI43" s="47" t="n"/>
      <c r="AJ43" s="47" t="inlineStr">
        <is>
          <t>P</t>
        </is>
      </c>
      <c r="AK43" s="47" t="inlineStr">
        <is>
          <t>P</t>
        </is>
      </c>
      <c r="AL43" s="47" t="n"/>
      <c r="AM43" s="47" t="n"/>
      <c r="AN43" s="47" t="inlineStr">
        <is>
          <t>P</t>
        </is>
      </c>
      <c r="AO43" s="47" t="n"/>
      <c r="AP43" s="47" t="n"/>
      <c r="AQ43" s="47" t="n"/>
      <c r="AR43" s="47" t="inlineStr">
        <is>
          <t>P</t>
        </is>
      </c>
      <c r="AS43" s="47" t="n"/>
      <c r="AT43" s="47" t="n"/>
      <c r="AU43" s="47" t="n"/>
      <c r="AV43" s="47" t="n"/>
      <c r="AW43" s="47" t="inlineStr">
        <is>
          <t>P</t>
        </is>
      </c>
      <c r="AX43" s="47" t="n"/>
      <c r="AY43" s="47" t="n"/>
      <c r="AZ43" s="47" t="inlineStr">
        <is>
          <t>P</t>
        </is>
      </c>
      <c r="BA43" s="47" t="inlineStr">
        <is>
          <t>P</t>
        </is>
      </c>
      <c r="BB43" s="47" t="n"/>
      <c r="BC43" s="47" t="n"/>
      <c r="BD43" s="47" t="inlineStr">
        <is>
          <t>P</t>
        </is>
      </c>
      <c r="BE43" s="47" t="inlineStr">
        <is>
          <t>P</t>
        </is>
      </c>
      <c r="BF43" s="47" t="n"/>
      <c r="BG43" s="47" t="n"/>
      <c r="BH43" s="47" t="inlineStr">
        <is>
          <t>P</t>
        </is>
      </c>
      <c r="BI43" s="47" t="inlineStr">
        <is>
          <t>P</t>
        </is>
      </c>
      <c r="BJ43" s="47" t="n"/>
      <c r="BK43" s="47" t="n"/>
      <c r="BL43" s="47" t="n"/>
      <c r="BM43" s="47" t="n"/>
      <c r="BN43" s="47" t="n"/>
      <c r="BO43" s="47" t="n"/>
      <c r="BP43" s="47" t="n"/>
      <c r="BQ43" s="47" t="inlineStr">
        <is>
          <t>P</t>
        </is>
      </c>
      <c r="BR43" s="47" t="n"/>
      <c r="BS43" s="47" t="n"/>
      <c r="BT43" s="47" t="inlineStr">
        <is>
          <t>P</t>
        </is>
      </c>
      <c r="BU43" s="47" t="inlineStr">
        <is>
          <t>P</t>
        </is>
      </c>
      <c r="BV43" s="47" t="n"/>
      <c r="BW43" s="47" t="n"/>
      <c r="BX43" s="47" t="inlineStr">
        <is>
          <t>P</t>
        </is>
      </c>
      <c r="BY43" s="47" t="inlineStr">
        <is>
          <t>P</t>
        </is>
      </c>
      <c r="BZ43" s="47" t="n"/>
      <c r="CA43" s="47" t="n"/>
      <c r="CB43" s="47" t="inlineStr">
        <is>
          <t>P</t>
        </is>
      </c>
      <c r="CC43" s="47" t="n"/>
      <c r="CD43" s="47" t="n"/>
      <c r="CE43" s="47" t="n"/>
      <c r="CF43" s="47" t="inlineStr">
        <is>
          <t>P</t>
        </is>
      </c>
      <c r="CG43" s="47" t="n"/>
      <c r="CH43" s="47" t="n"/>
      <c r="CI43" s="47" t="n"/>
      <c r="CJ43" s="47" t="n"/>
      <c r="CK43" s="47" t="n"/>
      <c r="CL43" s="47" t="n"/>
      <c r="CM43" s="47" t="n"/>
      <c r="CN43" s="47" t="inlineStr">
        <is>
          <t>P</t>
        </is>
      </c>
      <c r="CO43" s="47" t="n"/>
      <c r="CP43" s="47" t="n"/>
      <c r="CQ43" s="47" t="inlineStr">
        <is>
          <t>A</t>
        </is>
      </c>
      <c r="CR43" s="47" t="inlineStr">
        <is>
          <t>A</t>
        </is>
      </c>
      <c r="CS43" s="47" t="n"/>
      <c r="CT43" s="47" t="n"/>
      <c r="CU43" s="47" t="inlineStr">
        <is>
          <t>P</t>
        </is>
      </c>
      <c r="CV43" s="47" t="inlineStr">
        <is>
          <t>P</t>
        </is>
      </c>
      <c r="CW43" s="47" t="n"/>
      <c r="CX43" s="47" t="n"/>
      <c r="CY43" s="47" t="n"/>
      <c r="CZ43" s="47" t="inlineStr">
        <is>
          <t>P</t>
        </is>
      </c>
      <c r="DA43" s="47" t="n"/>
      <c r="DB43" s="47" t="n"/>
      <c r="DC43" s="47" t="inlineStr">
        <is>
          <t>P</t>
        </is>
      </c>
      <c r="DD43" s="47" t="n"/>
      <c r="DE43" s="47" t="n"/>
      <c r="DF43" s="47" t="n"/>
      <c r="DG43" s="47" t="n"/>
      <c r="DH43" s="47" t="n"/>
      <c r="DI43" s="47" t="n"/>
      <c r="DJ43" s="47" t="n"/>
      <c r="DK43" s="47" t="inlineStr">
        <is>
          <t>P</t>
        </is>
      </c>
      <c r="DL43" s="47" t="n"/>
      <c r="DM43" s="47" t="n"/>
      <c r="DN43" s="47" t="inlineStr">
        <is>
          <t>P</t>
        </is>
      </c>
      <c r="DO43" s="47" t="inlineStr">
        <is>
          <t>P</t>
        </is>
      </c>
      <c r="DP43" s="47" t="n"/>
      <c r="DQ43" s="47" t="n"/>
      <c r="DR43" s="47" t="inlineStr">
        <is>
          <t>P</t>
        </is>
      </c>
      <c r="DS43" s="47" t="inlineStr">
        <is>
          <t>P</t>
        </is>
      </c>
      <c r="DT43" s="47" t="n"/>
      <c r="DU43" s="47" t="n"/>
      <c r="DV43" s="47" t="inlineStr">
        <is>
          <t>P</t>
        </is>
      </c>
      <c r="DW43" s="47" t="inlineStr">
        <is>
          <t>P</t>
        </is>
      </c>
      <c r="DX43" s="47" t="n"/>
      <c r="DY43" s="47" t="n"/>
      <c r="DZ43" s="47" t="inlineStr">
        <is>
          <t>A</t>
        </is>
      </c>
      <c r="EA43" s="47" t="n"/>
      <c r="EB43" s="47" t="n"/>
      <c r="EC43" s="47" t="n"/>
      <c r="ED43" s="47" t="n"/>
      <c r="EE43" s="47" t="n"/>
      <c r="EF43" s="47" t="n"/>
      <c r="EG43" s="47" t="n"/>
      <c r="EH43" s="47" t="inlineStr">
        <is>
          <t>P</t>
        </is>
      </c>
      <c r="EI43" s="47" t="n"/>
      <c r="EJ43" s="47" t="n"/>
      <c r="EK43" s="47" t="inlineStr">
        <is>
          <t>P</t>
        </is>
      </c>
      <c r="EL43" s="47" t="inlineStr">
        <is>
          <t>P</t>
        </is>
      </c>
      <c r="EM43" s="47" t="n"/>
      <c r="EN43" s="47" t="n"/>
      <c r="EO43" s="47" t="inlineStr">
        <is>
          <t>P</t>
        </is>
      </c>
      <c r="EP43" s="47" t="inlineStr">
        <is>
          <t>P</t>
        </is>
      </c>
      <c r="EQ43" s="47" t="n"/>
      <c r="ER43" s="47" t="n"/>
      <c r="ES43" s="47" t="inlineStr">
        <is>
          <t>P</t>
        </is>
      </c>
      <c r="ET43" s="47" t="inlineStr">
        <is>
          <t>P</t>
        </is>
      </c>
      <c r="EU43" s="47" t="n"/>
      <c r="EV43" s="47" t="n"/>
      <c r="EW43" s="47" t="n"/>
      <c r="EX43" s="47" t="n"/>
      <c r="EY43" s="47" t="n"/>
      <c r="EZ43" s="47" t="n"/>
      <c r="FA43" s="47" t="n"/>
      <c r="FB43" s="47" t="inlineStr">
        <is>
          <t>P</t>
        </is>
      </c>
      <c r="FC43" s="47" t="n"/>
      <c r="FD43" s="47" t="n"/>
      <c r="FE43" s="47" t="inlineStr">
        <is>
          <t>P</t>
        </is>
      </c>
      <c r="FF43" s="47" t="inlineStr">
        <is>
          <t>P</t>
        </is>
      </c>
      <c r="FG43" s="47" t="n"/>
      <c r="FH43" s="47" t="n"/>
      <c r="FI43" s="47" t="inlineStr">
        <is>
          <t>P</t>
        </is>
      </c>
      <c r="FJ43" s="47" t="inlineStr">
        <is>
          <t>P</t>
        </is>
      </c>
      <c r="FK43" s="47" t="n"/>
      <c r="FL43" s="47" t="n"/>
      <c r="FM43" s="47" t="n"/>
      <c r="FN43" s="47" t="n"/>
      <c r="FO43" s="47" t="n"/>
      <c r="FP43" s="47" t="n"/>
      <c r="FQ43" s="47" t="n"/>
      <c r="FR43" s="47" t="inlineStr">
        <is>
          <t>P</t>
        </is>
      </c>
      <c r="FS43" s="47" t="n"/>
      <c r="FT43" s="47" t="n"/>
      <c r="FU43" s="47" t="n"/>
      <c r="FV43" s="47" t="n"/>
      <c r="FW43" s="47" t="n"/>
      <c r="FX43" s="47" t="n"/>
      <c r="FY43" s="47" t="inlineStr">
        <is>
          <t>P</t>
        </is>
      </c>
      <c r="FZ43" s="47" t="inlineStr">
        <is>
          <t>P</t>
        </is>
      </c>
      <c r="GA43" s="47" t="n"/>
      <c r="GB43" s="47" t="n"/>
      <c r="GC43" s="47" t="n"/>
      <c r="GD43" s="47" t="inlineStr">
        <is>
          <t>P</t>
        </is>
      </c>
      <c r="GE43" s="47" t="n"/>
      <c r="GF43" s="47" t="n"/>
      <c r="GG43" s="47" t="inlineStr">
        <is>
          <t>P</t>
        </is>
      </c>
      <c r="GH43" s="47" t="n"/>
      <c r="GI43" s="47" t="n"/>
    </row>
    <row r="44" ht="14.25" customHeight="1" s="34">
      <c r="A44" s="46" t="n">
        <v>41</v>
      </c>
      <c r="B44" s="46" t="inlineStr">
        <is>
          <t>325106410041</t>
        </is>
      </c>
      <c r="C44" s="46" t="inlineStr">
        <is>
          <t>PAVAN SAI PUVVALA</t>
        </is>
      </c>
      <c r="D44" s="47" t="inlineStr">
        <is>
          <t>A</t>
        </is>
      </c>
      <c r="E44" s="47" t="n"/>
      <c r="F44" s="47" t="n"/>
      <c r="G44" s="47" t="n"/>
      <c r="H44" s="47" t="n"/>
      <c r="I44" s="47" t="inlineStr">
        <is>
          <t>A</t>
        </is>
      </c>
      <c r="J44" s="47" t="n"/>
      <c r="K44" s="47" t="n"/>
      <c r="L44" s="47" t="inlineStr">
        <is>
          <t>A</t>
        </is>
      </c>
      <c r="M44" s="47" t="n"/>
      <c r="N44" s="47" t="n"/>
      <c r="O44" s="47" t="n"/>
      <c r="P44" s="47" t="inlineStr">
        <is>
          <t>A</t>
        </is>
      </c>
      <c r="Q44" s="47" t="inlineStr">
        <is>
          <t>A</t>
        </is>
      </c>
      <c r="R44" s="47" t="n"/>
      <c r="S44" s="47" t="n"/>
      <c r="T44" s="47" t="inlineStr">
        <is>
          <t>A</t>
        </is>
      </c>
      <c r="U44" s="47" t="n"/>
      <c r="V44" s="47" t="n"/>
      <c r="W44" s="47" t="n"/>
      <c r="X44" s="47" t="n"/>
      <c r="Y44" s="47" t="n"/>
      <c r="Z44" s="47" t="n"/>
      <c r="AA44" s="47" t="n"/>
      <c r="AB44" s="47" t="n"/>
      <c r="AC44" s="47" t="inlineStr">
        <is>
          <t>A</t>
        </is>
      </c>
      <c r="AD44" s="47" t="n"/>
      <c r="AE44" s="47" t="n"/>
      <c r="AF44" s="47" t="inlineStr">
        <is>
          <t>A</t>
        </is>
      </c>
      <c r="AG44" s="47" t="n"/>
      <c r="AH44" s="47" t="n"/>
      <c r="AI44" s="47" t="n"/>
      <c r="AJ44" s="47" t="inlineStr">
        <is>
          <t>A</t>
        </is>
      </c>
      <c r="AK44" s="47" t="inlineStr">
        <is>
          <t>A</t>
        </is>
      </c>
      <c r="AL44" s="47" t="n"/>
      <c r="AM44" s="47" t="n"/>
      <c r="AN44" s="47" t="inlineStr">
        <is>
          <t>A</t>
        </is>
      </c>
      <c r="AO44" s="47" t="n"/>
      <c r="AP44" s="47" t="n"/>
      <c r="AQ44" s="47" t="n"/>
      <c r="AR44" s="47" t="inlineStr">
        <is>
          <t>A</t>
        </is>
      </c>
      <c r="AS44" s="47" t="n"/>
      <c r="AT44" s="47" t="n"/>
      <c r="AU44" s="47" t="n"/>
      <c r="AV44" s="47" t="n"/>
      <c r="AW44" s="47" t="inlineStr">
        <is>
          <t>A</t>
        </is>
      </c>
      <c r="AX44" s="47" t="n"/>
      <c r="AY44" s="47" t="n"/>
      <c r="AZ44" s="47" t="inlineStr">
        <is>
          <t>A</t>
        </is>
      </c>
      <c r="BA44" s="47" t="inlineStr">
        <is>
          <t>A</t>
        </is>
      </c>
      <c r="BB44" s="47" t="n"/>
      <c r="BC44" s="47" t="n"/>
      <c r="BD44" s="47" t="inlineStr">
        <is>
          <t>A</t>
        </is>
      </c>
      <c r="BE44" s="47" t="inlineStr">
        <is>
          <t>A</t>
        </is>
      </c>
      <c r="BF44" s="47" t="n"/>
      <c r="BG44" s="47" t="n"/>
      <c r="BH44" s="47" t="inlineStr">
        <is>
          <t>A</t>
        </is>
      </c>
      <c r="BI44" s="47" t="inlineStr">
        <is>
          <t>A</t>
        </is>
      </c>
      <c r="BJ44" s="47" t="n"/>
      <c r="BK44" s="47" t="n"/>
      <c r="BL44" s="47" t="n"/>
      <c r="BM44" s="47" t="n"/>
      <c r="BN44" s="47" t="n"/>
      <c r="BO44" s="47" t="n"/>
      <c r="BP44" s="47" t="n"/>
      <c r="BQ44" s="47" t="inlineStr">
        <is>
          <t>A</t>
        </is>
      </c>
      <c r="BR44" s="47" t="n"/>
      <c r="BS44" s="47" t="n"/>
      <c r="BT44" s="47" t="inlineStr">
        <is>
          <t>A</t>
        </is>
      </c>
      <c r="BU44" s="47" t="inlineStr">
        <is>
          <t>A</t>
        </is>
      </c>
      <c r="BV44" s="47" t="n"/>
      <c r="BW44" s="47" t="n"/>
      <c r="BX44" s="47" t="inlineStr">
        <is>
          <t>A</t>
        </is>
      </c>
      <c r="BY44" s="47" t="inlineStr">
        <is>
          <t>A</t>
        </is>
      </c>
      <c r="BZ44" s="47" t="n"/>
      <c r="CA44" s="47" t="n"/>
      <c r="CB44" s="47" t="inlineStr">
        <is>
          <t>A</t>
        </is>
      </c>
      <c r="CC44" s="47" t="n"/>
      <c r="CD44" s="47" t="n"/>
      <c r="CE44" s="47" t="n"/>
      <c r="CF44" s="47" t="inlineStr">
        <is>
          <t>A</t>
        </is>
      </c>
      <c r="CG44" s="47" t="n"/>
      <c r="CH44" s="47" t="n"/>
      <c r="CI44" s="47" t="n"/>
      <c r="CJ44" s="47" t="n"/>
      <c r="CK44" s="47" t="n"/>
      <c r="CL44" s="47" t="n"/>
      <c r="CM44" s="47" t="n"/>
      <c r="CN44" s="47" t="inlineStr">
        <is>
          <t>A</t>
        </is>
      </c>
      <c r="CO44" s="47" t="n"/>
      <c r="CP44" s="47" t="n"/>
      <c r="CQ44" s="47" t="inlineStr">
        <is>
          <t>A</t>
        </is>
      </c>
      <c r="CR44" s="47" t="inlineStr">
        <is>
          <t>A</t>
        </is>
      </c>
      <c r="CS44" s="47" t="n"/>
      <c r="CT44" s="47" t="n"/>
      <c r="CU44" s="47" t="inlineStr">
        <is>
          <t>A</t>
        </is>
      </c>
      <c r="CV44" s="47" t="inlineStr">
        <is>
          <t>A</t>
        </is>
      </c>
      <c r="CW44" s="47" t="n"/>
      <c r="CX44" s="47" t="n"/>
      <c r="CY44" s="47" t="n"/>
      <c r="CZ44" s="47" t="inlineStr">
        <is>
          <t>A</t>
        </is>
      </c>
      <c r="DA44" s="47" t="n"/>
      <c r="DB44" s="47" t="n"/>
      <c r="DC44" s="47" t="inlineStr">
        <is>
          <t>A</t>
        </is>
      </c>
      <c r="DD44" s="47" t="n"/>
      <c r="DE44" s="47" t="n"/>
      <c r="DF44" s="47" t="n"/>
      <c r="DG44" s="47" t="n"/>
      <c r="DH44" s="47" t="n"/>
      <c r="DI44" s="47" t="n"/>
      <c r="DJ44" s="47" t="n"/>
      <c r="DK44" s="47" t="inlineStr">
        <is>
          <t>A</t>
        </is>
      </c>
      <c r="DL44" s="47" t="n"/>
      <c r="DM44" s="47" t="n"/>
      <c r="DN44" s="47" t="inlineStr">
        <is>
          <t>A</t>
        </is>
      </c>
      <c r="DO44" s="47" t="inlineStr">
        <is>
          <t>A</t>
        </is>
      </c>
      <c r="DP44" s="47" t="n"/>
      <c r="DQ44" s="47" t="n"/>
      <c r="DR44" s="47" t="inlineStr">
        <is>
          <t>A</t>
        </is>
      </c>
      <c r="DS44" s="47" t="inlineStr">
        <is>
          <t>A</t>
        </is>
      </c>
      <c r="DT44" s="47" t="n"/>
      <c r="DU44" s="47" t="n"/>
      <c r="DV44" s="47" t="inlineStr">
        <is>
          <t>A</t>
        </is>
      </c>
      <c r="DW44" s="47" t="inlineStr">
        <is>
          <t>A</t>
        </is>
      </c>
      <c r="DX44" s="47" t="n"/>
      <c r="DY44" s="47" t="n"/>
      <c r="DZ44" s="47" t="inlineStr">
        <is>
          <t>P</t>
        </is>
      </c>
      <c r="EA44" s="47" t="n"/>
      <c r="EB44" s="47" t="n"/>
      <c r="EC44" s="47" t="n"/>
      <c r="ED44" s="47" t="n"/>
      <c r="EE44" s="47" t="n"/>
      <c r="EF44" s="47" t="n"/>
      <c r="EG44" s="47" t="n"/>
      <c r="EH44" s="47" t="inlineStr">
        <is>
          <t>A</t>
        </is>
      </c>
      <c r="EI44" s="47" t="n"/>
      <c r="EJ44" s="47" t="n"/>
      <c r="EK44" s="47" t="inlineStr">
        <is>
          <t>A</t>
        </is>
      </c>
      <c r="EL44" s="47" t="inlineStr">
        <is>
          <t>A</t>
        </is>
      </c>
      <c r="EM44" s="47" t="n"/>
      <c r="EN44" s="47" t="n"/>
      <c r="EO44" s="47" t="inlineStr">
        <is>
          <t>A</t>
        </is>
      </c>
      <c r="EP44" s="47" t="inlineStr">
        <is>
          <t>A</t>
        </is>
      </c>
      <c r="EQ44" s="47" t="n"/>
      <c r="ER44" s="47" t="n"/>
      <c r="ES44" s="47" t="inlineStr">
        <is>
          <t>A</t>
        </is>
      </c>
      <c r="ET44" s="47" t="inlineStr">
        <is>
          <t>A</t>
        </is>
      </c>
      <c r="EU44" s="47" t="n"/>
      <c r="EV44" s="47" t="n"/>
      <c r="EW44" s="47" t="n"/>
      <c r="EX44" s="47" t="n"/>
      <c r="EY44" s="47" t="n"/>
      <c r="EZ44" s="47" t="n"/>
      <c r="FA44" s="47" t="n"/>
      <c r="FB44" s="47" t="inlineStr">
        <is>
          <t>A</t>
        </is>
      </c>
      <c r="FC44" s="47" t="n"/>
      <c r="FD44" s="47" t="n"/>
      <c r="FE44" s="47" t="inlineStr">
        <is>
          <t>A</t>
        </is>
      </c>
      <c r="FF44" s="47" t="inlineStr">
        <is>
          <t>A</t>
        </is>
      </c>
      <c r="FG44" s="47" t="n"/>
      <c r="FH44" s="47" t="n"/>
      <c r="FI44" s="47" t="inlineStr">
        <is>
          <t>A</t>
        </is>
      </c>
      <c r="FJ44" s="47" t="inlineStr">
        <is>
          <t>A</t>
        </is>
      </c>
      <c r="FK44" s="47" t="n"/>
      <c r="FL44" s="47" t="n"/>
      <c r="FM44" s="47" t="n"/>
      <c r="FN44" s="47" t="n"/>
      <c r="FO44" s="47" t="n"/>
      <c r="FP44" s="47" t="n"/>
      <c r="FQ44" s="47" t="n"/>
      <c r="FR44" s="47" t="inlineStr">
        <is>
          <t>A</t>
        </is>
      </c>
      <c r="FS44" s="47" t="n"/>
      <c r="FT44" s="47" t="n"/>
      <c r="FU44" s="47" t="n"/>
      <c r="FV44" s="47" t="n"/>
      <c r="FW44" s="47" t="n"/>
      <c r="FX44" s="47" t="n"/>
      <c r="FY44" s="47" t="inlineStr">
        <is>
          <t>A</t>
        </is>
      </c>
      <c r="FZ44" s="47" t="inlineStr">
        <is>
          <t>A</t>
        </is>
      </c>
      <c r="GA44" s="47" t="n"/>
      <c r="GB44" s="47" t="n"/>
      <c r="GC44" s="47" t="n"/>
      <c r="GD44" s="47" t="inlineStr">
        <is>
          <t>A</t>
        </is>
      </c>
      <c r="GE44" s="47" t="n"/>
      <c r="GF44" s="47" t="n"/>
      <c r="GG44" s="47" t="inlineStr">
        <is>
          <t>P</t>
        </is>
      </c>
      <c r="GH44" s="47" t="n"/>
      <c r="GI44" s="47" t="n"/>
    </row>
    <row r="45" ht="14.25" customHeight="1" s="34">
      <c r="A45" s="46" t="n">
        <v>42</v>
      </c>
      <c r="B45" s="46" t="inlineStr">
        <is>
          <t>325106410042</t>
        </is>
      </c>
      <c r="C45" s="46" t="inlineStr">
        <is>
          <t>SHANMUKHA RAO REDDI</t>
        </is>
      </c>
      <c r="D45" s="47" t="inlineStr">
        <is>
          <t>P</t>
        </is>
      </c>
      <c r="E45" s="47" t="n"/>
      <c r="F45" s="47" t="n"/>
      <c r="G45" s="47" t="n"/>
      <c r="H45" s="47" t="n"/>
      <c r="I45" s="47" t="inlineStr">
        <is>
          <t>P</t>
        </is>
      </c>
      <c r="J45" s="47" t="n"/>
      <c r="K45" s="47" t="n"/>
      <c r="L45" s="47" t="inlineStr">
        <is>
          <t>P</t>
        </is>
      </c>
      <c r="M45" s="47" t="n"/>
      <c r="N45" s="47" t="n"/>
      <c r="O45" s="47" t="n"/>
      <c r="P45" s="47" t="inlineStr">
        <is>
          <t>P</t>
        </is>
      </c>
      <c r="Q45" s="47" t="inlineStr">
        <is>
          <t>P</t>
        </is>
      </c>
      <c r="R45" s="47" t="n"/>
      <c r="S45" s="47" t="n"/>
      <c r="T45" s="47" t="inlineStr">
        <is>
          <t>A</t>
        </is>
      </c>
      <c r="U45" s="47" t="n"/>
      <c r="V45" s="47" t="n"/>
      <c r="W45" s="47" t="n"/>
      <c r="X45" s="47" t="n"/>
      <c r="Y45" s="47" t="n"/>
      <c r="Z45" s="47" t="n"/>
      <c r="AA45" s="47" t="n"/>
      <c r="AB45" s="47" t="n"/>
      <c r="AC45" s="47" t="inlineStr">
        <is>
          <t>P</t>
        </is>
      </c>
      <c r="AD45" s="47" t="n"/>
      <c r="AE45" s="47" t="n"/>
      <c r="AF45" s="47" t="inlineStr">
        <is>
          <t>P</t>
        </is>
      </c>
      <c r="AG45" s="47" t="n"/>
      <c r="AH45" s="47" t="n"/>
      <c r="AI45" s="47" t="n"/>
      <c r="AJ45" s="47" t="inlineStr">
        <is>
          <t>P</t>
        </is>
      </c>
      <c r="AK45" s="47" t="inlineStr">
        <is>
          <t>P</t>
        </is>
      </c>
      <c r="AL45" s="47" t="n"/>
      <c r="AM45" s="47" t="n"/>
      <c r="AN45" s="47" t="inlineStr">
        <is>
          <t>P</t>
        </is>
      </c>
      <c r="AO45" s="47" t="n"/>
      <c r="AP45" s="47" t="n"/>
      <c r="AQ45" s="47" t="n"/>
      <c r="AR45" s="47" t="inlineStr">
        <is>
          <t>A</t>
        </is>
      </c>
      <c r="AS45" s="47" t="n"/>
      <c r="AT45" s="47" t="n"/>
      <c r="AU45" s="47" t="n"/>
      <c r="AV45" s="47" t="n"/>
      <c r="AW45" s="47" t="inlineStr">
        <is>
          <t>P</t>
        </is>
      </c>
      <c r="AX45" s="47" t="n"/>
      <c r="AY45" s="47" t="n"/>
      <c r="AZ45" s="47" t="inlineStr">
        <is>
          <t>A</t>
        </is>
      </c>
      <c r="BA45" s="47" t="inlineStr">
        <is>
          <t>A</t>
        </is>
      </c>
      <c r="BB45" s="47" t="n"/>
      <c r="BC45" s="47" t="n"/>
      <c r="BD45" s="47" t="inlineStr">
        <is>
          <t>P</t>
        </is>
      </c>
      <c r="BE45" s="47" t="inlineStr">
        <is>
          <t>P</t>
        </is>
      </c>
      <c r="BF45" s="47" t="n"/>
      <c r="BG45" s="47" t="n"/>
      <c r="BH45" s="47" t="inlineStr">
        <is>
          <t>P</t>
        </is>
      </c>
      <c r="BI45" s="47" t="inlineStr">
        <is>
          <t>P</t>
        </is>
      </c>
      <c r="BJ45" s="47" t="n"/>
      <c r="BK45" s="47" t="n"/>
      <c r="BL45" s="47" t="n"/>
      <c r="BM45" s="47" t="n"/>
      <c r="BN45" s="47" t="n"/>
      <c r="BO45" s="47" t="n"/>
      <c r="BP45" s="47" t="n"/>
      <c r="BQ45" s="47" t="inlineStr">
        <is>
          <t>P</t>
        </is>
      </c>
      <c r="BR45" s="47" t="n"/>
      <c r="BS45" s="47" t="n"/>
      <c r="BT45" s="47" t="inlineStr">
        <is>
          <t>A</t>
        </is>
      </c>
      <c r="BU45" s="47" t="inlineStr">
        <is>
          <t>A</t>
        </is>
      </c>
      <c r="BV45" s="47" t="n"/>
      <c r="BW45" s="47" t="n"/>
      <c r="BX45" s="47" t="inlineStr">
        <is>
          <t>P</t>
        </is>
      </c>
      <c r="BY45" s="47" t="inlineStr">
        <is>
          <t>P</t>
        </is>
      </c>
      <c r="BZ45" s="47" t="n"/>
      <c r="CA45" s="47" t="n"/>
      <c r="CB45" s="47" t="inlineStr">
        <is>
          <t>P</t>
        </is>
      </c>
      <c r="CC45" s="47" t="n"/>
      <c r="CD45" s="47" t="n"/>
      <c r="CE45" s="47" t="n"/>
      <c r="CF45" s="47" t="inlineStr">
        <is>
          <t>P</t>
        </is>
      </c>
      <c r="CG45" s="47" t="n"/>
      <c r="CH45" s="47" t="n"/>
      <c r="CI45" s="47" t="n"/>
      <c r="CJ45" s="47" t="n"/>
      <c r="CK45" s="47" t="n"/>
      <c r="CL45" s="47" t="n"/>
      <c r="CM45" s="47" t="n"/>
      <c r="CN45" s="47" t="inlineStr">
        <is>
          <t>P</t>
        </is>
      </c>
      <c r="CO45" s="47" t="n"/>
      <c r="CP45" s="47" t="n"/>
      <c r="CQ45" s="47" t="inlineStr">
        <is>
          <t>A</t>
        </is>
      </c>
      <c r="CR45" s="47" t="inlineStr">
        <is>
          <t>A</t>
        </is>
      </c>
      <c r="CS45" s="47" t="n"/>
      <c r="CT45" s="47" t="n"/>
      <c r="CU45" s="47" t="inlineStr">
        <is>
          <t>A</t>
        </is>
      </c>
      <c r="CV45" s="47" t="inlineStr">
        <is>
          <t>A</t>
        </is>
      </c>
      <c r="CW45" s="47" t="n"/>
      <c r="CX45" s="47" t="n"/>
      <c r="CY45" s="47" t="n"/>
      <c r="CZ45" s="47" t="inlineStr">
        <is>
          <t>P</t>
        </is>
      </c>
      <c r="DA45" s="47" t="n"/>
      <c r="DB45" s="47" t="n"/>
      <c r="DC45" s="47" t="inlineStr">
        <is>
          <t>P</t>
        </is>
      </c>
      <c r="DD45" s="47" t="n"/>
      <c r="DE45" s="47" t="n"/>
      <c r="DF45" s="47" t="n"/>
      <c r="DG45" s="47" t="n"/>
      <c r="DH45" s="47" t="n"/>
      <c r="DI45" s="47" t="n"/>
      <c r="DJ45" s="47" t="n"/>
      <c r="DK45" s="47" t="inlineStr">
        <is>
          <t>P</t>
        </is>
      </c>
      <c r="DL45" s="47" t="n"/>
      <c r="DM45" s="47" t="n"/>
      <c r="DN45" s="47" t="inlineStr">
        <is>
          <t>P</t>
        </is>
      </c>
      <c r="DO45" s="47" t="inlineStr">
        <is>
          <t>P</t>
        </is>
      </c>
      <c r="DP45" s="47" t="n"/>
      <c r="DQ45" s="47" t="n"/>
      <c r="DR45" s="47" t="inlineStr">
        <is>
          <t>P</t>
        </is>
      </c>
      <c r="DS45" s="47" t="inlineStr">
        <is>
          <t>P</t>
        </is>
      </c>
      <c r="DT45" s="47" t="n"/>
      <c r="DU45" s="47" t="n"/>
      <c r="DV45" s="47" t="inlineStr">
        <is>
          <t>P</t>
        </is>
      </c>
      <c r="DW45" s="47" t="inlineStr">
        <is>
          <t>P</t>
        </is>
      </c>
      <c r="DX45" s="47" t="n"/>
      <c r="DY45" s="47" t="n"/>
      <c r="DZ45" s="47" t="inlineStr">
        <is>
          <t>P</t>
        </is>
      </c>
      <c r="EA45" s="47" t="n"/>
      <c r="EB45" s="47" t="n"/>
      <c r="EC45" s="47" t="n"/>
      <c r="ED45" s="47" t="n"/>
      <c r="EE45" s="47" t="n"/>
      <c r="EF45" s="47" t="n"/>
      <c r="EG45" s="47" t="n"/>
      <c r="EH45" s="47" t="inlineStr">
        <is>
          <t>P</t>
        </is>
      </c>
      <c r="EI45" s="47" t="n"/>
      <c r="EJ45" s="47" t="n"/>
      <c r="EK45" s="47" t="inlineStr">
        <is>
          <t>P</t>
        </is>
      </c>
      <c r="EL45" s="47" t="inlineStr">
        <is>
          <t>P</t>
        </is>
      </c>
      <c r="EM45" s="47" t="n"/>
      <c r="EN45" s="47" t="n"/>
      <c r="EO45" s="47" t="inlineStr">
        <is>
          <t>A</t>
        </is>
      </c>
      <c r="EP45" s="47" t="inlineStr">
        <is>
          <t>P</t>
        </is>
      </c>
      <c r="EQ45" s="47" t="n"/>
      <c r="ER45" s="47" t="n"/>
      <c r="ES45" s="47" t="inlineStr">
        <is>
          <t>P</t>
        </is>
      </c>
      <c r="ET45" s="47" t="inlineStr">
        <is>
          <t>A</t>
        </is>
      </c>
      <c r="EU45" s="47" t="n"/>
      <c r="EV45" s="47" t="n"/>
      <c r="EW45" s="47" t="n"/>
      <c r="EX45" s="47" t="n"/>
      <c r="EY45" s="47" t="n"/>
      <c r="EZ45" s="47" t="n"/>
      <c r="FA45" s="47" t="n"/>
      <c r="FB45" s="47" t="inlineStr">
        <is>
          <t>P</t>
        </is>
      </c>
      <c r="FC45" s="47" t="n"/>
      <c r="FD45" s="47" t="n"/>
      <c r="FE45" s="47" t="inlineStr">
        <is>
          <t>P</t>
        </is>
      </c>
      <c r="FF45" s="47" t="inlineStr">
        <is>
          <t>P</t>
        </is>
      </c>
      <c r="FG45" s="47" t="n"/>
      <c r="FH45" s="47" t="n"/>
      <c r="FI45" s="47" t="inlineStr">
        <is>
          <t>A</t>
        </is>
      </c>
      <c r="FJ45" s="47" t="inlineStr">
        <is>
          <t>P</t>
        </is>
      </c>
      <c r="FK45" s="47" t="n"/>
      <c r="FL45" s="47" t="n"/>
      <c r="FM45" s="47" t="n"/>
      <c r="FN45" s="47" t="n"/>
      <c r="FO45" s="47" t="n"/>
      <c r="FP45" s="47" t="n"/>
      <c r="FQ45" s="47" t="n"/>
      <c r="FR45" s="47" t="inlineStr">
        <is>
          <t>P</t>
        </is>
      </c>
      <c r="FS45" s="47" t="n"/>
      <c r="FT45" s="47" t="n"/>
      <c r="FU45" s="47" t="n"/>
      <c r="FV45" s="47" t="n"/>
      <c r="FW45" s="47" t="n"/>
      <c r="FX45" s="47" t="n"/>
      <c r="FY45" s="47" t="inlineStr">
        <is>
          <t>A</t>
        </is>
      </c>
      <c r="FZ45" s="47" t="inlineStr">
        <is>
          <t>A</t>
        </is>
      </c>
      <c r="GA45" s="47" t="n"/>
      <c r="GB45" s="47" t="n"/>
      <c r="GC45" s="47" t="n"/>
      <c r="GD45" s="47" t="inlineStr">
        <is>
          <t>P</t>
        </is>
      </c>
      <c r="GE45" s="47" t="n"/>
      <c r="GF45" s="47" t="n"/>
      <c r="GG45" s="47" t="inlineStr">
        <is>
          <t>P</t>
        </is>
      </c>
      <c r="GH45" s="47" t="n"/>
      <c r="GI45" s="47" t="n"/>
    </row>
    <row r="46" ht="14.25" customHeight="1" s="34">
      <c r="A46" s="46" t="n">
        <v>43</v>
      </c>
      <c r="B46" s="46" t="inlineStr">
        <is>
          <t>325106410043</t>
        </is>
      </c>
      <c r="C46" s="46" t="inlineStr">
        <is>
          <t>YASWANTH DURGA PRAVEEN REVADI</t>
        </is>
      </c>
      <c r="D46" s="47" t="inlineStr">
        <is>
          <t>A</t>
        </is>
      </c>
      <c r="E46" s="47" t="n"/>
      <c r="F46" s="47" t="n"/>
      <c r="G46" s="47" t="n"/>
      <c r="H46" s="47" t="n"/>
      <c r="I46" s="47" t="inlineStr">
        <is>
          <t>P</t>
        </is>
      </c>
      <c r="J46" s="47" t="n"/>
      <c r="K46" s="47" t="n"/>
      <c r="L46" s="47" t="inlineStr">
        <is>
          <t>P</t>
        </is>
      </c>
      <c r="M46" s="47" t="n"/>
      <c r="N46" s="47" t="n"/>
      <c r="O46" s="47" t="n"/>
      <c r="P46" s="47" t="inlineStr">
        <is>
          <t>P</t>
        </is>
      </c>
      <c r="Q46" s="47" t="inlineStr">
        <is>
          <t>P</t>
        </is>
      </c>
      <c r="R46" s="47" t="n"/>
      <c r="S46" s="47" t="n"/>
      <c r="T46" s="47" t="inlineStr">
        <is>
          <t>P</t>
        </is>
      </c>
      <c r="U46" s="47" t="n"/>
      <c r="V46" s="47" t="n"/>
      <c r="W46" s="47" t="n"/>
      <c r="X46" s="47" t="n"/>
      <c r="Y46" s="47" t="n"/>
      <c r="Z46" s="47" t="n"/>
      <c r="AA46" s="47" t="n"/>
      <c r="AB46" s="47" t="n"/>
      <c r="AC46" s="47" t="inlineStr">
        <is>
          <t>P</t>
        </is>
      </c>
      <c r="AD46" s="47" t="n"/>
      <c r="AE46" s="47" t="n"/>
      <c r="AF46" s="47" t="inlineStr">
        <is>
          <t>P</t>
        </is>
      </c>
      <c r="AG46" s="47" t="n"/>
      <c r="AH46" s="47" t="n"/>
      <c r="AI46" s="47" t="n"/>
      <c r="AJ46" s="47" t="inlineStr">
        <is>
          <t>P</t>
        </is>
      </c>
      <c r="AK46" s="47" t="inlineStr">
        <is>
          <t>P</t>
        </is>
      </c>
      <c r="AL46" s="47" t="n"/>
      <c r="AM46" s="47" t="n"/>
      <c r="AN46" s="47" t="inlineStr">
        <is>
          <t>P</t>
        </is>
      </c>
      <c r="AO46" s="47" t="n"/>
      <c r="AP46" s="47" t="n"/>
      <c r="AQ46" s="47" t="n"/>
      <c r="AR46" s="47" t="inlineStr">
        <is>
          <t>P</t>
        </is>
      </c>
      <c r="AS46" s="47" t="n"/>
      <c r="AT46" s="47" t="n"/>
      <c r="AU46" s="47" t="n"/>
      <c r="AV46" s="47" t="n"/>
      <c r="AW46" s="47" t="inlineStr">
        <is>
          <t>P</t>
        </is>
      </c>
      <c r="AX46" s="47" t="n"/>
      <c r="AY46" s="47" t="n"/>
      <c r="AZ46" s="47" t="inlineStr">
        <is>
          <t>P</t>
        </is>
      </c>
      <c r="BA46" s="47" t="inlineStr">
        <is>
          <t>P</t>
        </is>
      </c>
      <c r="BB46" s="47" t="n"/>
      <c r="BC46" s="47" t="n"/>
      <c r="BD46" s="47" t="inlineStr">
        <is>
          <t>P</t>
        </is>
      </c>
      <c r="BE46" s="47" t="inlineStr">
        <is>
          <t>P</t>
        </is>
      </c>
      <c r="BF46" s="47" t="n"/>
      <c r="BG46" s="47" t="n"/>
      <c r="BH46" s="47" t="inlineStr">
        <is>
          <t>P</t>
        </is>
      </c>
      <c r="BI46" s="47" t="inlineStr">
        <is>
          <t>P</t>
        </is>
      </c>
      <c r="BJ46" s="47" t="n"/>
      <c r="BK46" s="47" t="n"/>
      <c r="BL46" s="47" t="n"/>
      <c r="BM46" s="47" t="n"/>
      <c r="BN46" s="47" t="n"/>
      <c r="BO46" s="47" t="n"/>
      <c r="BP46" s="47" t="n"/>
      <c r="BQ46" s="47" t="inlineStr">
        <is>
          <t>P</t>
        </is>
      </c>
      <c r="BR46" s="47" t="n"/>
      <c r="BS46" s="47" t="n"/>
      <c r="BT46" s="47" t="inlineStr">
        <is>
          <t>P</t>
        </is>
      </c>
      <c r="BU46" s="47" t="inlineStr">
        <is>
          <t>P</t>
        </is>
      </c>
      <c r="BV46" s="47" t="n"/>
      <c r="BW46" s="47" t="n"/>
      <c r="BX46" s="47" t="inlineStr">
        <is>
          <t>P</t>
        </is>
      </c>
      <c r="BY46" s="47" t="inlineStr">
        <is>
          <t>P</t>
        </is>
      </c>
      <c r="BZ46" s="47" t="n"/>
      <c r="CA46" s="47" t="n"/>
      <c r="CB46" s="47" t="inlineStr">
        <is>
          <t>P</t>
        </is>
      </c>
      <c r="CC46" s="47" t="n"/>
      <c r="CD46" s="47" t="n"/>
      <c r="CE46" s="47" t="n"/>
      <c r="CF46" s="47" t="inlineStr">
        <is>
          <t>P</t>
        </is>
      </c>
      <c r="CG46" s="47" t="n"/>
      <c r="CH46" s="47" t="n"/>
      <c r="CI46" s="47" t="n"/>
      <c r="CJ46" s="47" t="n"/>
      <c r="CK46" s="47" t="n"/>
      <c r="CL46" s="47" t="n"/>
      <c r="CM46" s="47" t="n"/>
      <c r="CN46" s="47" t="inlineStr">
        <is>
          <t>P</t>
        </is>
      </c>
      <c r="CO46" s="47" t="n"/>
      <c r="CP46" s="47" t="n"/>
      <c r="CQ46" s="47" t="inlineStr">
        <is>
          <t>A</t>
        </is>
      </c>
      <c r="CR46" s="47" t="inlineStr">
        <is>
          <t>P</t>
        </is>
      </c>
      <c r="CS46" s="47" t="n"/>
      <c r="CT46" s="47" t="n"/>
      <c r="CU46" s="47" t="inlineStr">
        <is>
          <t>P</t>
        </is>
      </c>
      <c r="CV46" s="47" t="inlineStr">
        <is>
          <t>P</t>
        </is>
      </c>
      <c r="CW46" s="47" t="n"/>
      <c r="CX46" s="47" t="n"/>
      <c r="CY46" s="47" t="n"/>
      <c r="CZ46" s="47" t="inlineStr">
        <is>
          <t>P</t>
        </is>
      </c>
      <c r="DA46" s="47" t="n"/>
      <c r="DB46" s="47" t="n"/>
      <c r="DC46" s="47" t="inlineStr">
        <is>
          <t>P</t>
        </is>
      </c>
      <c r="DD46" s="47" t="n"/>
      <c r="DE46" s="47" t="n"/>
      <c r="DF46" s="47" t="n"/>
      <c r="DG46" s="47" t="n"/>
      <c r="DH46" s="47" t="n"/>
      <c r="DI46" s="47" t="n"/>
      <c r="DJ46" s="47" t="n"/>
      <c r="DK46" s="47" t="inlineStr">
        <is>
          <t>P</t>
        </is>
      </c>
      <c r="DL46" s="47" t="n"/>
      <c r="DM46" s="47" t="n"/>
      <c r="DN46" s="47" t="inlineStr">
        <is>
          <t>P</t>
        </is>
      </c>
      <c r="DO46" s="47" t="inlineStr">
        <is>
          <t>P</t>
        </is>
      </c>
      <c r="DP46" s="47" t="n"/>
      <c r="DQ46" s="47" t="n"/>
      <c r="DR46" s="47" t="inlineStr">
        <is>
          <t>P</t>
        </is>
      </c>
      <c r="DS46" s="47" t="inlineStr">
        <is>
          <t>P</t>
        </is>
      </c>
      <c r="DT46" s="47" t="n"/>
      <c r="DU46" s="47" t="n"/>
      <c r="DV46" s="47" t="inlineStr">
        <is>
          <t>P</t>
        </is>
      </c>
      <c r="DW46" s="47" t="inlineStr">
        <is>
          <t>P</t>
        </is>
      </c>
      <c r="DX46" s="47" t="n"/>
      <c r="DY46" s="47" t="n"/>
      <c r="DZ46" s="47" t="inlineStr">
        <is>
          <t>P</t>
        </is>
      </c>
      <c r="EA46" s="47" t="n"/>
      <c r="EB46" s="47" t="n"/>
      <c r="EC46" s="47" t="n"/>
      <c r="ED46" s="47" t="n"/>
      <c r="EE46" s="47" t="n"/>
      <c r="EF46" s="47" t="n"/>
      <c r="EG46" s="47" t="n"/>
      <c r="EH46" s="47" t="inlineStr">
        <is>
          <t>P</t>
        </is>
      </c>
      <c r="EI46" s="47" t="n"/>
      <c r="EJ46" s="47" t="n"/>
      <c r="EK46" s="47" t="inlineStr">
        <is>
          <t>P</t>
        </is>
      </c>
      <c r="EL46" s="47" t="inlineStr">
        <is>
          <t>P</t>
        </is>
      </c>
      <c r="EM46" s="47" t="n"/>
      <c r="EN46" s="47" t="n"/>
      <c r="EO46" s="47" t="inlineStr">
        <is>
          <t>P</t>
        </is>
      </c>
      <c r="EP46" s="47" t="inlineStr">
        <is>
          <t>P</t>
        </is>
      </c>
      <c r="EQ46" s="47" t="n"/>
      <c r="ER46" s="47" t="n"/>
      <c r="ES46" s="47" t="inlineStr">
        <is>
          <t>P</t>
        </is>
      </c>
      <c r="ET46" s="47" t="inlineStr">
        <is>
          <t>P</t>
        </is>
      </c>
      <c r="EU46" s="47" t="n"/>
      <c r="EV46" s="47" t="n"/>
      <c r="EW46" s="47" t="n"/>
      <c r="EX46" s="47" t="n"/>
      <c r="EY46" s="47" t="n"/>
      <c r="EZ46" s="47" t="n"/>
      <c r="FA46" s="47" t="n"/>
      <c r="FB46" s="47" t="inlineStr">
        <is>
          <t>P</t>
        </is>
      </c>
      <c r="FC46" s="47" t="n"/>
      <c r="FD46" s="47" t="n"/>
      <c r="FE46" s="47" t="inlineStr">
        <is>
          <t>P</t>
        </is>
      </c>
      <c r="FF46" s="47" t="inlineStr">
        <is>
          <t>P</t>
        </is>
      </c>
      <c r="FG46" s="47" t="n"/>
      <c r="FH46" s="47" t="n"/>
      <c r="FI46" s="47" t="inlineStr">
        <is>
          <t>P</t>
        </is>
      </c>
      <c r="FJ46" s="47" t="inlineStr">
        <is>
          <t>P</t>
        </is>
      </c>
      <c r="FK46" s="47" t="n"/>
      <c r="FL46" s="47" t="n"/>
      <c r="FM46" s="47" t="n"/>
      <c r="FN46" s="47" t="n"/>
      <c r="FO46" s="47" t="n"/>
      <c r="FP46" s="47" t="n"/>
      <c r="FQ46" s="47" t="n"/>
      <c r="FR46" s="47" t="inlineStr">
        <is>
          <t>P</t>
        </is>
      </c>
      <c r="FS46" s="47" t="n"/>
      <c r="FT46" s="47" t="n"/>
      <c r="FU46" s="47" t="n"/>
      <c r="FV46" s="47" t="n"/>
      <c r="FW46" s="47" t="n"/>
      <c r="FX46" s="47" t="n"/>
      <c r="FY46" s="47" t="inlineStr">
        <is>
          <t>P</t>
        </is>
      </c>
      <c r="FZ46" s="47" t="inlineStr">
        <is>
          <t>P</t>
        </is>
      </c>
      <c r="GA46" s="47" t="n"/>
      <c r="GB46" s="47" t="n"/>
      <c r="GC46" s="47" t="n"/>
      <c r="GD46" s="47" t="inlineStr">
        <is>
          <t>P</t>
        </is>
      </c>
      <c r="GE46" s="47" t="n"/>
      <c r="GF46" s="47" t="n"/>
      <c r="GG46" s="47" t="inlineStr">
        <is>
          <t>P</t>
        </is>
      </c>
      <c r="GH46" s="47" t="n"/>
      <c r="GI46" s="47" t="n"/>
    </row>
    <row r="47" ht="14.25" customHeight="1" s="34">
      <c r="A47" s="46" t="n">
        <v>44</v>
      </c>
      <c r="B47" s="46" t="inlineStr">
        <is>
          <t>325106410044</t>
        </is>
      </c>
      <c r="C47" s="46" t="inlineStr">
        <is>
          <t>TANUSREE ROUTHU</t>
        </is>
      </c>
      <c r="D47" s="47" t="inlineStr">
        <is>
          <t>A</t>
        </is>
      </c>
      <c r="E47" s="47" t="n"/>
      <c r="F47" s="47" t="n"/>
      <c r="G47" s="47" t="n"/>
      <c r="H47" s="47" t="n"/>
      <c r="I47" s="47" t="inlineStr">
        <is>
          <t>A</t>
        </is>
      </c>
      <c r="J47" s="47" t="n"/>
      <c r="K47" s="47" t="n"/>
      <c r="L47" s="47" t="inlineStr">
        <is>
          <t>A</t>
        </is>
      </c>
      <c r="M47" s="47" t="n"/>
      <c r="N47" s="47" t="n"/>
      <c r="O47" s="47" t="n"/>
      <c r="P47" s="47" t="inlineStr">
        <is>
          <t>A</t>
        </is>
      </c>
      <c r="Q47" s="47" t="inlineStr">
        <is>
          <t>A</t>
        </is>
      </c>
      <c r="R47" s="47" t="n"/>
      <c r="S47" s="47" t="n"/>
      <c r="T47" s="47" t="inlineStr">
        <is>
          <t>A</t>
        </is>
      </c>
      <c r="U47" s="47" t="n"/>
      <c r="V47" s="47" t="n"/>
      <c r="W47" s="47" t="n"/>
      <c r="X47" s="47" t="n"/>
      <c r="Y47" s="47" t="n"/>
      <c r="Z47" s="47" t="n"/>
      <c r="AA47" s="47" t="n"/>
      <c r="AB47" s="47" t="n"/>
      <c r="AC47" s="47" t="inlineStr">
        <is>
          <t>A</t>
        </is>
      </c>
      <c r="AD47" s="47" t="n"/>
      <c r="AE47" s="47" t="n"/>
      <c r="AF47" s="47" t="inlineStr">
        <is>
          <t>A</t>
        </is>
      </c>
      <c r="AG47" s="47" t="n"/>
      <c r="AH47" s="47" t="n"/>
      <c r="AI47" s="47" t="n"/>
      <c r="AJ47" s="47" t="inlineStr">
        <is>
          <t>P</t>
        </is>
      </c>
      <c r="AK47" s="47" t="inlineStr">
        <is>
          <t>P</t>
        </is>
      </c>
      <c r="AL47" s="47" t="n"/>
      <c r="AM47" s="47" t="n"/>
      <c r="AN47" s="47" t="inlineStr">
        <is>
          <t>A</t>
        </is>
      </c>
      <c r="AO47" s="47" t="n"/>
      <c r="AP47" s="47" t="n"/>
      <c r="AQ47" s="47" t="n"/>
      <c r="AR47" s="47" t="inlineStr">
        <is>
          <t>A</t>
        </is>
      </c>
      <c r="AS47" s="47" t="n"/>
      <c r="AT47" s="47" t="n"/>
      <c r="AU47" s="47" t="n"/>
      <c r="AV47" s="47" t="n"/>
      <c r="AW47" s="47" t="inlineStr">
        <is>
          <t>AA</t>
        </is>
      </c>
      <c r="AX47" s="47" t="n"/>
      <c r="AY47" s="47" t="n"/>
      <c r="AZ47" s="47" t="inlineStr">
        <is>
          <t>A</t>
        </is>
      </c>
      <c r="BA47" s="47" t="inlineStr">
        <is>
          <t>A</t>
        </is>
      </c>
      <c r="BB47" s="47" t="n"/>
      <c r="BC47" s="47" t="n"/>
      <c r="BD47" s="47" t="inlineStr">
        <is>
          <t>A</t>
        </is>
      </c>
      <c r="BE47" s="47" t="inlineStr">
        <is>
          <t>A</t>
        </is>
      </c>
      <c r="BF47" s="47" t="n"/>
      <c r="BG47" s="47" t="n"/>
      <c r="BH47" s="47" t="inlineStr">
        <is>
          <t>P</t>
        </is>
      </c>
      <c r="BI47" s="47" t="inlineStr">
        <is>
          <t>P</t>
        </is>
      </c>
      <c r="BJ47" s="47" t="n"/>
      <c r="BK47" s="47" t="n"/>
      <c r="BL47" s="47" t="n"/>
      <c r="BM47" s="47" t="n"/>
      <c r="BN47" s="47" t="n"/>
      <c r="BO47" s="47" t="n"/>
      <c r="BP47" s="47" t="n"/>
      <c r="BQ47" s="47" t="inlineStr">
        <is>
          <t>A</t>
        </is>
      </c>
      <c r="BR47" s="47" t="n"/>
      <c r="BS47" s="47" t="n"/>
      <c r="BT47" s="47" t="inlineStr">
        <is>
          <t>P</t>
        </is>
      </c>
      <c r="BU47" s="47" t="inlineStr">
        <is>
          <t>P</t>
        </is>
      </c>
      <c r="BV47" s="47" t="n"/>
      <c r="BW47" s="47" t="n"/>
      <c r="BX47" s="47" t="inlineStr">
        <is>
          <t>A</t>
        </is>
      </c>
      <c r="BY47" s="47" t="inlineStr">
        <is>
          <t>A</t>
        </is>
      </c>
      <c r="BZ47" s="47" t="n"/>
      <c r="CA47" s="47" t="n"/>
      <c r="CB47" s="47" t="inlineStr">
        <is>
          <t>A</t>
        </is>
      </c>
      <c r="CC47" s="47" t="n"/>
      <c r="CD47" s="47" t="n"/>
      <c r="CE47" s="47" t="n"/>
      <c r="CF47" s="47" t="inlineStr">
        <is>
          <t>P</t>
        </is>
      </c>
      <c r="CG47" s="47" t="n"/>
      <c r="CH47" s="47" t="n"/>
      <c r="CI47" s="47" t="n"/>
      <c r="CJ47" s="47" t="n"/>
      <c r="CK47" s="47" t="n"/>
      <c r="CL47" s="47" t="n"/>
      <c r="CM47" s="47" t="n"/>
      <c r="CN47" s="47" t="inlineStr">
        <is>
          <t>A</t>
        </is>
      </c>
      <c r="CO47" s="47" t="n"/>
      <c r="CP47" s="47" t="n"/>
      <c r="CQ47" s="47" t="inlineStr">
        <is>
          <t>P</t>
        </is>
      </c>
      <c r="CR47" s="47" t="inlineStr">
        <is>
          <t>P</t>
        </is>
      </c>
      <c r="CS47" s="47" t="n"/>
      <c r="CT47" s="47" t="n"/>
      <c r="CU47" s="47" t="inlineStr">
        <is>
          <t>A</t>
        </is>
      </c>
      <c r="CV47" s="47" t="inlineStr">
        <is>
          <t>A</t>
        </is>
      </c>
      <c r="CW47" s="47" t="n"/>
      <c r="CX47" s="47" t="n"/>
      <c r="CY47" s="47" t="n"/>
      <c r="CZ47" s="47" t="inlineStr">
        <is>
          <t>P</t>
        </is>
      </c>
      <c r="DA47" s="47" t="n"/>
      <c r="DB47" s="47" t="n"/>
      <c r="DC47" s="47" t="inlineStr">
        <is>
          <t>P</t>
        </is>
      </c>
      <c r="DD47" s="47" t="n"/>
      <c r="DE47" s="47" t="n"/>
      <c r="DF47" s="47" t="n"/>
      <c r="DG47" s="47" t="n"/>
      <c r="DH47" s="47" t="n"/>
      <c r="DI47" s="47" t="n"/>
      <c r="DJ47" s="47" t="n"/>
      <c r="DK47" s="47" t="inlineStr">
        <is>
          <t>A</t>
        </is>
      </c>
      <c r="DL47" s="47" t="n"/>
      <c r="DM47" s="47" t="n"/>
      <c r="DN47" s="47" t="inlineStr">
        <is>
          <t>P</t>
        </is>
      </c>
      <c r="DO47" s="47" t="inlineStr">
        <is>
          <t>P</t>
        </is>
      </c>
      <c r="DP47" s="47" t="n"/>
      <c r="DQ47" s="47" t="n"/>
      <c r="DR47" s="47" t="inlineStr">
        <is>
          <t>A</t>
        </is>
      </c>
      <c r="DS47" s="47" t="inlineStr">
        <is>
          <t>A</t>
        </is>
      </c>
      <c r="DT47" s="47" t="n"/>
      <c r="DU47" s="47" t="n"/>
      <c r="DV47" s="47" t="inlineStr">
        <is>
          <t>P</t>
        </is>
      </c>
      <c r="DW47" s="47" t="inlineStr">
        <is>
          <t>A</t>
        </is>
      </c>
      <c r="DX47" s="47" t="n"/>
      <c r="DY47" s="47" t="n"/>
      <c r="DZ47" s="47" t="inlineStr">
        <is>
          <t>A</t>
        </is>
      </c>
      <c r="EA47" s="47" t="n"/>
      <c r="EB47" s="47" t="n"/>
      <c r="EC47" s="47" t="n"/>
      <c r="ED47" s="47" t="n"/>
      <c r="EE47" s="47" t="n"/>
      <c r="EF47" s="47" t="n"/>
      <c r="EG47" s="47" t="n"/>
      <c r="EH47" s="47" t="inlineStr">
        <is>
          <t>P</t>
        </is>
      </c>
      <c r="EI47" s="47" t="n"/>
      <c r="EJ47" s="47" t="n"/>
      <c r="EK47" s="47" t="inlineStr">
        <is>
          <t>A</t>
        </is>
      </c>
      <c r="EL47" s="47" t="inlineStr">
        <is>
          <t>P</t>
        </is>
      </c>
      <c r="EM47" s="47" t="n"/>
      <c r="EN47" s="47" t="n"/>
      <c r="EO47" s="47" t="inlineStr">
        <is>
          <t>P</t>
        </is>
      </c>
      <c r="EP47" s="47" t="inlineStr">
        <is>
          <t>P</t>
        </is>
      </c>
      <c r="EQ47" s="47" t="n"/>
      <c r="ER47" s="47" t="n"/>
      <c r="ES47" s="47" t="inlineStr">
        <is>
          <t>A</t>
        </is>
      </c>
      <c r="ET47" s="47" t="inlineStr">
        <is>
          <t>P</t>
        </is>
      </c>
      <c r="EU47" s="47" t="n"/>
      <c r="EV47" s="47" t="n"/>
      <c r="EW47" s="47" t="n"/>
      <c r="EX47" s="47" t="n"/>
      <c r="EY47" s="47" t="n"/>
      <c r="EZ47" s="47" t="n"/>
      <c r="FA47" s="47" t="n"/>
      <c r="FB47" s="47" t="inlineStr">
        <is>
          <t>P</t>
        </is>
      </c>
      <c r="FC47" s="47" t="n"/>
      <c r="FD47" s="47" t="n"/>
      <c r="FE47" s="47" t="inlineStr">
        <is>
          <t>P</t>
        </is>
      </c>
      <c r="FF47" s="47" t="inlineStr">
        <is>
          <t>P</t>
        </is>
      </c>
      <c r="FG47" s="47" t="n"/>
      <c r="FH47" s="47" t="n"/>
      <c r="FI47" s="47" t="inlineStr">
        <is>
          <t>P</t>
        </is>
      </c>
      <c r="FJ47" s="47" t="inlineStr">
        <is>
          <t>P</t>
        </is>
      </c>
      <c r="FK47" s="47" t="n"/>
      <c r="FL47" s="47" t="n"/>
      <c r="FM47" s="47" t="n"/>
      <c r="FN47" s="47" t="n"/>
      <c r="FO47" s="47" t="n"/>
      <c r="FP47" s="47" t="n"/>
      <c r="FQ47" s="47" t="n"/>
      <c r="FR47" s="47" t="inlineStr">
        <is>
          <t>P</t>
        </is>
      </c>
      <c r="FS47" s="47" t="n"/>
      <c r="FT47" s="47" t="n"/>
      <c r="FU47" s="47" t="n"/>
      <c r="FV47" s="47" t="n"/>
      <c r="FW47" s="47" t="n"/>
      <c r="FX47" s="47" t="n"/>
      <c r="FY47" s="47" t="inlineStr">
        <is>
          <t>P</t>
        </is>
      </c>
      <c r="FZ47" s="47" t="inlineStr">
        <is>
          <t>P</t>
        </is>
      </c>
      <c r="GA47" s="47" t="n"/>
      <c r="GB47" s="47" t="n"/>
      <c r="GC47" s="47" t="n"/>
      <c r="GD47" s="47" t="inlineStr">
        <is>
          <t>A</t>
        </is>
      </c>
      <c r="GE47" s="47" t="n"/>
      <c r="GF47" s="47" t="n"/>
      <c r="GG47" s="47" t="inlineStr">
        <is>
          <t>A</t>
        </is>
      </c>
      <c r="GH47" s="47" t="n"/>
      <c r="GI47" s="47" t="n"/>
    </row>
    <row r="48" ht="14.25" customHeight="1" s="34">
      <c r="A48" s="46" t="n">
        <v>45</v>
      </c>
      <c r="B48" s="46" t="inlineStr">
        <is>
          <t>325106410045</t>
        </is>
      </c>
      <c r="C48" s="46" t="inlineStr">
        <is>
          <t>MOHANA LASYA SABBAVARAPU</t>
        </is>
      </c>
      <c r="D48" s="47" t="inlineStr">
        <is>
          <t>A</t>
        </is>
      </c>
      <c r="E48" s="47" t="n"/>
      <c r="F48" s="47" t="n"/>
      <c r="G48" s="47" t="n"/>
      <c r="H48" s="47" t="n"/>
      <c r="I48" s="47" t="inlineStr">
        <is>
          <t>A</t>
        </is>
      </c>
      <c r="J48" s="47" t="n"/>
      <c r="K48" s="47" t="n"/>
      <c r="L48" s="47" t="inlineStr">
        <is>
          <t>P</t>
        </is>
      </c>
      <c r="M48" s="47" t="n"/>
      <c r="N48" s="47" t="n"/>
      <c r="O48" s="47" t="n"/>
      <c r="P48" s="47" t="inlineStr">
        <is>
          <t>P</t>
        </is>
      </c>
      <c r="Q48" s="47" t="inlineStr">
        <is>
          <t>P</t>
        </is>
      </c>
      <c r="R48" s="47" t="n"/>
      <c r="S48" s="47" t="n"/>
      <c r="T48" s="47" t="inlineStr">
        <is>
          <t>P</t>
        </is>
      </c>
      <c r="U48" s="47" t="n"/>
      <c r="V48" s="47" t="n"/>
      <c r="W48" s="47" t="n"/>
      <c r="X48" s="47" t="n"/>
      <c r="Y48" s="47" t="n"/>
      <c r="Z48" s="47" t="n"/>
      <c r="AA48" s="47" t="n"/>
      <c r="AB48" s="47" t="n"/>
      <c r="AC48" s="47" t="inlineStr">
        <is>
          <t>P</t>
        </is>
      </c>
      <c r="AD48" s="47" t="n"/>
      <c r="AE48" s="47" t="n"/>
      <c r="AF48" s="47" t="inlineStr">
        <is>
          <t>A</t>
        </is>
      </c>
      <c r="AG48" s="47" t="n"/>
      <c r="AH48" s="47" t="n"/>
      <c r="AI48" s="47" t="n"/>
      <c r="AJ48" s="47" t="inlineStr">
        <is>
          <t>P</t>
        </is>
      </c>
      <c r="AK48" s="47" t="inlineStr">
        <is>
          <t>P</t>
        </is>
      </c>
      <c r="AL48" s="47" t="n"/>
      <c r="AM48" s="47" t="n"/>
      <c r="AN48" s="47" t="inlineStr">
        <is>
          <t>A</t>
        </is>
      </c>
      <c r="AO48" s="47" t="n"/>
      <c r="AP48" s="47" t="n"/>
      <c r="AQ48" s="47" t="n"/>
      <c r="AR48" s="47" t="inlineStr">
        <is>
          <t>P</t>
        </is>
      </c>
      <c r="AS48" s="47" t="n"/>
      <c r="AT48" s="47" t="n"/>
      <c r="AU48" s="47" t="n"/>
      <c r="AV48" s="47" t="n"/>
      <c r="AW48" s="47" t="inlineStr">
        <is>
          <t>A</t>
        </is>
      </c>
      <c r="AX48" s="47" t="n"/>
      <c r="AY48" s="47" t="n"/>
      <c r="AZ48" s="47" t="inlineStr">
        <is>
          <t>A</t>
        </is>
      </c>
      <c r="BA48" s="47" t="inlineStr">
        <is>
          <t>A</t>
        </is>
      </c>
      <c r="BB48" s="47" t="n"/>
      <c r="BC48" s="47" t="n"/>
      <c r="BD48" s="47" t="inlineStr">
        <is>
          <t>A</t>
        </is>
      </c>
      <c r="BE48" s="47" t="inlineStr">
        <is>
          <t>A</t>
        </is>
      </c>
      <c r="BF48" s="47" t="n"/>
      <c r="BG48" s="47" t="n"/>
      <c r="BH48" s="47" t="inlineStr">
        <is>
          <t>A</t>
        </is>
      </c>
      <c r="BI48" s="47" t="inlineStr">
        <is>
          <t>P</t>
        </is>
      </c>
      <c r="BJ48" s="47" t="n"/>
      <c r="BK48" s="47" t="n"/>
      <c r="BL48" s="47" t="n"/>
      <c r="BM48" s="47" t="n"/>
      <c r="BN48" s="47" t="n"/>
      <c r="BO48" s="47" t="n"/>
      <c r="BP48" s="47" t="n"/>
      <c r="BQ48" s="47" t="inlineStr">
        <is>
          <t>P</t>
        </is>
      </c>
      <c r="BR48" s="47" t="n"/>
      <c r="BS48" s="47" t="n"/>
      <c r="BT48" s="47" t="inlineStr">
        <is>
          <t>P</t>
        </is>
      </c>
      <c r="BU48" s="47" t="inlineStr">
        <is>
          <t>P</t>
        </is>
      </c>
      <c r="BV48" s="47" t="n"/>
      <c r="BW48" s="47" t="n"/>
      <c r="BX48" s="47" t="inlineStr">
        <is>
          <t>P</t>
        </is>
      </c>
      <c r="BY48" s="47" t="inlineStr">
        <is>
          <t>P</t>
        </is>
      </c>
      <c r="BZ48" s="47" t="n"/>
      <c r="CA48" s="47" t="n"/>
      <c r="CB48" s="47" t="inlineStr">
        <is>
          <t>A</t>
        </is>
      </c>
      <c r="CC48" s="47" t="n"/>
      <c r="CD48" s="47" t="n"/>
      <c r="CE48" s="47" t="n"/>
      <c r="CF48" s="47" t="inlineStr">
        <is>
          <t>P</t>
        </is>
      </c>
      <c r="CG48" s="47" t="n"/>
      <c r="CH48" s="47" t="n"/>
      <c r="CI48" s="47" t="n"/>
      <c r="CJ48" s="47" t="n"/>
      <c r="CK48" s="47" t="n"/>
      <c r="CL48" s="47" t="n"/>
      <c r="CM48" s="47" t="n"/>
      <c r="CN48" s="47" t="inlineStr">
        <is>
          <t>P</t>
        </is>
      </c>
      <c r="CO48" s="47" t="n"/>
      <c r="CP48" s="47" t="n"/>
      <c r="CQ48" s="47" t="inlineStr">
        <is>
          <t>P</t>
        </is>
      </c>
      <c r="CR48" s="47" t="inlineStr">
        <is>
          <t>P</t>
        </is>
      </c>
      <c r="CS48" s="47" t="n"/>
      <c r="CT48" s="47" t="n"/>
      <c r="CU48" s="47" t="inlineStr">
        <is>
          <t>A</t>
        </is>
      </c>
      <c r="CV48" s="47" t="inlineStr">
        <is>
          <t>A</t>
        </is>
      </c>
      <c r="CW48" s="47" t="n"/>
      <c r="CX48" s="47" t="n"/>
      <c r="CY48" s="47" t="n"/>
      <c r="CZ48" s="47" t="inlineStr">
        <is>
          <t>P</t>
        </is>
      </c>
      <c r="DA48" s="47" t="n"/>
      <c r="DB48" s="47" t="n"/>
      <c r="DC48" s="47" t="inlineStr">
        <is>
          <t>P</t>
        </is>
      </c>
      <c r="DD48" s="47" t="n"/>
      <c r="DE48" s="47" t="n"/>
      <c r="DF48" s="47" t="n"/>
      <c r="DG48" s="47" t="n"/>
      <c r="DH48" s="47" t="n"/>
      <c r="DI48" s="47" t="n"/>
      <c r="DJ48" s="47" t="n"/>
      <c r="DK48" s="47" t="inlineStr">
        <is>
          <t>P</t>
        </is>
      </c>
      <c r="DL48" s="47" t="n"/>
      <c r="DM48" s="47" t="n"/>
      <c r="DN48" s="47" t="inlineStr">
        <is>
          <t>A</t>
        </is>
      </c>
      <c r="DO48" s="47" t="inlineStr">
        <is>
          <t>A</t>
        </is>
      </c>
      <c r="DP48" s="47" t="n"/>
      <c r="DQ48" s="47" t="n"/>
      <c r="DR48" s="47" t="inlineStr">
        <is>
          <t>P</t>
        </is>
      </c>
      <c r="DS48" s="47" t="inlineStr">
        <is>
          <t>P</t>
        </is>
      </c>
      <c r="DT48" s="47" t="n"/>
      <c r="DU48" s="47" t="n"/>
      <c r="DV48" s="47" t="inlineStr">
        <is>
          <t>P</t>
        </is>
      </c>
      <c r="DW48" s="47" t="inlineStr">
        <is>
          <t>A</t>
        </is>
      </c>
      <c r="DX48" s="47" t="n"/>
      <c r="DY48" s="47" t="n"/>
      <c r="DZ48" s="47" t="inlineStr">
        <is>
          <t>A</t>
        </is>
      </c>
      <c r="EA48" s="47" t="n"/>
      <c r="EB48" s="47" t="n"/>
      <c r="EC48" s="47" t="n"/>
      <c r="ED48" s="47" t="n"/>
      <c r="EE48" s="47" t="n"/>
      <c r="EF48" s="47" t="n"/>
      <c r="EG48" s="47" t="n"/>
      <c r="EH48" s="47" t="inlineStr">
        <is>
          <t>P</t>
        </is>
      </c>
      <c r="EI48" s="47" t="n"/>
      <c r="EJ48" s="47" t="n"/>
      <c r="EK48" s="47" t="inlineStr">
        <is>
          <t>P</t>
        </is>
      </c>
      <c r="EL48" s="47" t="inlineStr">
        <is>
          <t>P</t>
        </is>
      </c>
      <c r="EM48" s="47" t="n"/>
      <c r="EN48" s="47" t="n"/>
      <c r="EO48" s="47" t="inlineStr">
        <is>
          <t>P</t>
        </is>
      </c>
      <c r="EP48" s="47" t="inlineStr">
        <is>
          <t>P</t>
        </is>
      </c>
      <c r="EQ48" s="47" t="n"/>
      <c r="ER48" s="47" t="n"/>
      <c r="ES48" s="47" t="inlineStr">
        <is>
          <t>A</t>
        </is>
      </c>
      <c r="ET48" s="47" t="inlineStr">
        <is>
          <t>A</t>
        </is>
      </c>
      <c r="EU48" s="47" t="n"/>
      <c r="EV48" s="47" t="n"/>
      <c r="EW48" s="47" t="n"/>
      <c r="EX48" s="47" t="n"/>
      <c r="EY48" s="47" t="n"/>
      <c r="EZ48" s="47" t="n"/>
      <c r="FA48" s="47" t="n"/>
      <c r="FB48" s="47" t="inlineStr">
        <is>
          <t>P</t>
        </is>
      </c>
      <c r="FC48" s="47" t="n"/>
      <c r="FD48" s="47" t="n"/>
      <c r="FE48" s="47" t="inlineStr">
        <is>
          <t>A</t>
        </is>
      </c>
      <c r="FF48" s="47" t="inlineStr">
        <is>
          <t>A</t>
        </is>
      </c>
      <c r="FG48" s="47" t="n"/>
      <c r="FH48" s="47" t="n"/>
      <c r="FI48" s="47" t="inlineStr">
        <is>
          <t>P</t>
        </is>
      </c>
      <c r="FJ48" s="47" t="inlineStr">
        <is>
          <t>A</t>
        </is>
      </c>
      <c r="FK48" s="47" t="n"/>
      <c r="FL48" s="47" t="n"/>
      <c r="FM48" s="47" t="n"/>
      <c r="FN48" s="47" t="n"/>
      <c r="FO48" s="47" t="n"/>
      <c r="FP48" s="47" t="n"/>
      <c r="FQ48" s="47" t="n"/>
      <c r="FR48" s="47" t="inlineStr">
        <is>
          <t>P</t>
        </is>
      </c>
      <c r="FS48" s="47" t="n"/>
      <c r="FT48" s="47" t="n"/>
      <c r="FU48" s="47" t="n"/>
      <c r="FV48" s="47" t="n"/>
      <c r="FW48" s="47" t="n"/>
      <c r="FX48" s="47" t="n"/>
      <c r="FY48" s="47" t="inlineStr">
        <is>
          <t>P</t>
        </is>
      </c>
      <c r="FZ48" s="47" t="inlineStr">
        <is>
          <t>P</t>
        </is>
      </c>
      <c r="GA48" s="47" t="n"/>
      <c r="GB48" s="47" t="n"/>
      <c r="GC48" s="47" t="n"/>
      <c r="GD48" s="47" t="inlineStr">
        <is>
          <t>P</t>
        </is>
      </c>
      <c r="GE48" s="47" t="n"/>
      <c r="GF48" s="47" t="n"/>
      <c r="GG48" s="47" t="inlineStr">
        <is>
          <t>A</t>
        </is>
      </c>
      <c r="GH48" s="47" t="n"/>
      <c r="GI48" s="47" t="n"/>
    </row>
    <row r="49" ht="14.25" customHeight="1" s="34">
      <c r="A49" s="46" t="n">
        <v>46</v>
      </c>
      <c r="B49" s="46" t="inlineStr">
        <is>
          <t>325106410046</t>
        </is>
      </c>
      <c r="C49" s="46" t="inlineStr">
        <is>
          <t>RONY JOEL</t>
        </is>
      </c>
      <c r="D49" s="47" t="inlineStr">
        <is>
          <t>A</t>
        </is>
      </c>
      <c r="E49" s="47" t="n"/>
      <c r="F49" s="47" t="n"/>
      <c r="G49" s="47" t="n"/>
      <c r="H49" s="47" t="n"/>
      <c r="I49" s="47" t="inlineStr">
        <is>
          <t>A</t>
        </is>
      </c>
      <c r="J49" s="47" t="n"/>
      <c r="K49" s="47" t="n"/>
      <c r="L49" s="47" t="inlineStr">
        <is>
          <t>A</t>
        </is>
      </c>
      <c r="M49" s="47" t="n"/>
      <c r="N49" s="47" t="n"/>
      <c r="O49" s="47" t="n"/>
      <c r="P49" s="47" t="inlineStr">
        <is>
          <t>A</t>
        </is>
      </c>
      <c r="Q49" s="47" t="inlineStr">
        <is>
          <t>A</t>
        </is>
      </c>
      <c r="R49" s="47" t="n"/>
      <c r="S49" s="47" t="n"/>
      <c r="T49" s="47" t="inlineStr">
        <is>
          <t>A</t>
        </is>
      </c>
      <c r="U49" s="47" t="n"/>
      <c r="V49" s="47" t="n"/>
      <c r="W49" s="47" t="n"/>
      <c r="X49" s="47" t="n"/>
      <c r="Y49" s="47" t="n"/>
      <c r="Z49" s="47" t="n"/>
      <c r="AA49" s="47" t="n"/>
      <c r="AB49" s="47" t="n"/>
      <c r="AC49" s="47" t="inlineStr">
        <is>
          <t>A</t>
        </is>
      </c>
      <c r="AD49" s="47" t="n"/>
      <c r="AE49" s="47" t="n"/>
      <c r="AF49" s="47" t="inlineStr">
        <is>
          <t>A</t>
        </is>
      </c>
      <c r="AG49" s="47" t="n"/>
      <c r="AH49" s="47" t="n"/>
      <c r="AI49" s="47" t="n"/>
      <c r="AJ49" s="47" t="inlineStr">
        <is>
          <t>A</t>
        </is>
      </c>
      <c r="AK49" s="47" t="inlineStr">
        <is>
          <t>A</t>
        </is>
      </c>
      <c r="AL49" s="47" t="n"/>
      <c r="AM49" s="47" t="n"/>
      <c r="AN49" s="47" t="inlineStr">
        <is>
          <t>A</t>
        </is>
      </c>
      <c r="AO49" s="47" t="n"/>
      <c r="AP49" s="47" t="n"/>
      <c r="AQ49" s="47" t="n"/>
      <c r="AR49" s="47" t="inlineStr">
        <is>
          <t>A</t>
        </is>
      </c>
      <c r="AS49" s="47" t="n"/>
      <c r="AT49" s="47" t="n"/>
      <c r="AU49" s="47" t="n"/>
      <c r="AV49" s="47" t="n"/>
      <c r="AW49" s="47" t="inlineStr">
        <is>
          <t>A</t>
        </is>
      </c>
      <c r="AX49" s="47" t="n"/>
      <c r="AY49" s="47" t="n"/>
      <c r="AZ49" s="47" t="inlineStr">
        <is>
          <t>A</t>
        </is>
      </c>
      <c r="BA49" s="47" t="inlineStr">
        <is>
          <t>A</t>
        </is>
      </c>
      <c r="BB49" s="47" t="n"/>
      <c r="BC49" s="47" t="n"/>
      <c r="BD49" s="47" t="inlineStr">
        <is>
          <t>A</t>
        </is>
      </c>
      <c r="BE49" s="47" t="inlineStr">
        <is>
          <t>A</t>
        </is>
      </c>
      <c r="BF49" s="47" t="n"/>
      <c r="BG49" s="47" t="n"/>
      <c r="BH49" s="47" t="inlineStr">
        <is>
          <t>A</t>
        </is>
      </c>
      <c r="BI49" s="47" t="inlineStr">
        <is>
          <t>A</t>
        </is>
      </c>
      <c r="BJ49" s="47" t="n"/>
      <c r="BK49" s="47" t="n"/>
      <c r="BL49" s="47" t="n"/>
      <c r="BM49" s="47" t="n"/>
      <c r="BN49" s="47" t="n"/>
      <c r="BO49" s="47" t="n"/>
      <c r="BP49" s="47" t="n"/>
      <c r="BQ49" s="47" t="inlineStr">
        <is>
          <t>A</t>
        </is>
      </c>
      <c r="BR49" s="47" t="n"/>
      <c r="BS49" s="47" t="n"/>
      <c r="BT49" s="47" t="inlineStr">
        <is>
          <t>A</t>
        </is>
      </c>
      <c r="BU49" s="47" t="inlineStr">
        <is>
          <t>A</t>
        </is>
      </c>
      <c r="BV49" s="47" t="n"/>
      <c r="BW49" s="47" t="n"/>
      <c r="BX49" s="47" t="inlineStr">
        <is>
          <t>A</t>
        </is>
      </c>
      <c r="BY49" s="47" t="inlineStr">
        <is>
          <t>A</t>
        </is>
      </c>
      <c r="BZ49" s="47" t="n"/>
      <c r="CA49" s="47" t="n"/>
      <c r="CB49" s="47" t="inlineStr">
        <is>
          <t>P</t>
        </is>
      </c>
      <c r="CC49" s="47" t="n"/>
      <c r="CD49" s="47" t="n"/>
      <c r="CE49" s="47" t="n"/>
      <c r="CF49" s="47" t="inlineStr">
        <is>
          <t>P</t>
        </is>
      </c>
      <c r="CG49" s="47" t="n"/>
      <c r="CH49" s="47" t="n"/>
      <c r="CI49" s="47" t="n"/>
      <c r="CJ49" s="47" t="n"/>
      <c r="CK49" s="47" t="n"/>
      <c r="CL49" s="47" t="n"/>
      <c r="CM49" s="47" t="n"/>
      <c r="CN49" s="47" t="inlineStr">
        <is>
          <t>P</t>
        </is>
      </c>
      <c r="CO49" s="47" t="n"/>
      <c r="CP49" s="47" t="n"/>
      <c r="CQ49" s="47" t="inlineStr">
        <is>
          <t>A</t>
        </is>
      </c>
      <c r="CR49" s="47" t="inlineStr">
        <is>
          <t>P</t>
        </is>
      </c>
      <c r="CS49" s="47" t="n"/>
      <c r="CT49" s="47" t="n"/>
      <c r="CU49" s="47" t="inlineStr">
        <is>
          <t>P</t>
        </is>
      </c>
      <c r="CV49" s="47" t="inlineStr">
        <is>
          <t>P</t>
        </is>
      </c>
      <c r="CW49" s="47" t="n"/>
      <c r="CX49" s="47" t="n"/>
      <c r="CY49" s="47" t="n"/>
      <c r="CZ49" s="47" t="inlineStr">
        <is>
          <t>P</t>
        </is>
      </c>
      <c r="DA49" s="47" t="n"/>
      <c r="DB49" s="47" t="n"/>
      <c r="DC49" s="47" t="inlineStr">
        <is>
          <t>P</t>
        </is>
      </c>
      <c r="DD49" s="47" t="n"/>
      <c r="DE49" s="47" t="n"/>
      <c r="DF49" s="47" t="n"/>
      <c r="DG49" s="47" t="n"/>
      <c r="DH49" s="47" t="n"/>
      <c r="DI49" s="47" t="n"/>
      <c r="DJ49" s="47" t="n"/>
      <c r="DK49" s="47" t="inlineStr">
        <is>
          <t>A</t>
        </is>
      </c>
      <c r="DL49" s="47" t="n"/>
      <c r="DM49" s="47" t="n"/>
      <c r="DN49" s="47" t="inlineStr">
        <is>
          <t>P</t>
        </is>
      </c>
      <c r="DO49" s="47" t="inlineStr">
        <is>
          <t>P</t>
        </is>
      </c>
      <c r="DP49" s="47" t="n"/>
      <c r="DQ49" s="47" t="n"/>
      <c r="DR49" s="47" t="inlineStr">
        <is>
          <t>P</t>
        </is>
      </c>
      <c r="DS49" s="47" t="inlineStr">
        <is>
          <t>P</t>
        </is>
      </c>
      <c r="DT49" s="47" t="n"/>
      <c r="DU49" s="47" t="n"/>
      <c r="DV49" s="47" t="inlineStr">
        <is>
          <t>P</t>
        </is>
      </c>
      <c r="DW49" s="47" t="inlineStr">
        <is>
          <t>A</t>
        </is>
      </c>
      <c r="DX49" s="47" t="n"/>
      <c r="DY49" s="47" t="n"/>
      <c r="DZ49" s="47" t="inlineStr">
        <is>
          <t>P</t>
        </is>
      </c>
      <c r="EA49" s="47" t="n"/>
      <c r="EB49" s="47" t="n"/>
      <c r="EC49" s="47" t="n"/>
      <c r="ED49" s="47" t="n"/>
      <c r="EE49" s="47" t="n"/>
      <c r="EF49" s="47" t="n"/>
      <c r="EG49" s="47" t="n"/>
      <c r="EH49" s="47" t="inlineStr">
        <is>
          <t>P</t>
        </is>
      </c>
      <c r="EI49" s="47" t="n"/>
      <c r="EJ49" s="47" t="n"/>
      <c r="EK49" s="47" t="inlineStr">
        <is>
          <t>P</t>
        </is>
      </c>
      <c r="EL49" s="47" t="inlineStr">
        <is>
          <t>P</t>
        </is>
      </c>
      <c r="EM49" s="47" t="n"/>
      <c r="EN49" s="47" t="n"/>
      <c r="EO49" s="47" t="inlineStr">
        <is>
          <t>P</t>
        </is>
      </c>
      <c r="EP49" s="47" t="inlineStr">
        <is>
          <t>P</t>
        </is>
      </c>
      <c r="EQ49" s="47" t="n"/>
      <c r="ER49" s="47" t="n"/>
      <c r="ES49" s="47" t="inlineStr">
        <is>
          <t>P</t>
        </is>
      </c>
      <c r="ET49" s="47" t="inlineStr">
        <is>
          <t>P</t>
        </is>
      </c>
      <c r="EU49" s="47" t="n"/>
      <c r="EV49" s="47" t="n"/>
      <c r="EW49" s="47" t="n"/>
      <c r="EX49" s="47" t="n"/>
      <c r="EY49" s="47" t="n"/>
      <c r="EZ49" s="47" t="n"/>
      <c r="FA49" s="47" t="n"/>
      <c r="FB49" s="47" t="inlineStr">
        <is>
          <t>P</t>
        </is>
      </c>
      <c r="FC49" s="47" t="n"/>
      <c r="FD49" s="47" t="n"/>
      <c r="FE49" s="47" t="inlineStr">
        <is>
          <t>P</t>
        </is>
      </c>
      <c r="FF49" s="47" t="inlineStr">
        <is>
          <t>P</t>
        </is>
      </c>
      <c r="FG49" s="47" t="n"/>
      <c r="FH49" s="47" t="n"/>
      <c r="FI49" s="47" t="inlineStr">
        <is>
          <t>P</t>
        </is>
      </c>
      <c r="FJ49" s="47" t="inlineStr">
        <is>
          <t>P</t>
        </is>
      </c>
      <c r="FK49" s="47" t="n"/>
      <c r="FL49" s="47" t="n"/>
      <c r="FM49" s="47" t="n"/>
      <c r="FN49" s="47" t="n"/>
      <c r="FO49" s="47" t="n"/>
      <c r="FP49" s="47" t="n"/>
      <c r="FQ49" s="47" t="n"/>
      <c r="FR49" s="47" t="inlineStr">
        <is>
          <t>P</t>
        </is>
      </c>
      <c r="FS49" s="47" t="n"/>
      <c r="FT49" s="47" t="n"/>
      <c r="FU49" s="47" t="n"/>
      <c r="FV49" s="47" t="n"/>
      <c r="FW49" s="47" t="n"/>
      <c r="FX49" s="47" t="n"/>
      <c r="FY49" s="47" t="inlineStr">
        <is>
          <t>A</t>
        </is>
      </c>
      <c r="FZ49" s="47" t="inlineStr">
        <is>
          <t>A</t>
        </is>
      </c>
      <c r="GA49" s="47" t="n"/>
      <c r="GB49" s="47" t="n"/>
      <c r="GC49" s="47" t="n"/>
      <c r="GD49" s="47" t="inlineStr">
        <is>
          <t>P</t>
        </is>
      </c>
      <c r="GE49" s="47" t="n"/>
      <c r="GF49" s="47" t="n"/>
      <c r="GG49" s="47" t="inlineStr">
        <is>
          <t>A</t>
        </is>
      </c>
      <c r="GH49" s="47" t="n"/>
      <c r="GI49" s="47" t="n"/>
    </row>
    <row r="50" ht="14.25" customHeight="1" s="34">
      <c r="A50" s="46" t="n">
        <v>47</v>
      </c>
      <c r="B50" s="46" t="inlineStr">
        <is>
          <t>325106410047</t>
        </is>
      </c>
      <c r="C50" s="46" t="inlineStr">
        <is>
          <t>NAGA HASINI SAYIMPU</t>
        </is>
      </c>
      <c r="D50" s="47" t="inlineStr">
        <is>
          <t>A</t>
        </is>
      </c>
      <c r="E50" s="47" t="n"/>
      <c r="F50" s="47" t="n"/>
      <c r="G50" s="47" t="n"/>
      <c r="H50" s="47" t="n"/>
      <c r="I50" s="47" t="inlineStr">
        <is>
          <t>A</t>
        </is>
      </c>
      <c r="J50" s="47" t="n"/>
      <c r="K50" s="47" t="n"/>
      <c r="L50" s="47" t="inlineStr">
        <is>
          <t>P</t>
        </is>
      </c>
      <c r="M50" s="47" t="n"/>
      <c r="N50" s="47" t="n"/>
      <c r="O50" s="47" t="n"/>
      <c r="P50" s="47" t="inlineStr">
        <is>
          <t>A</t>
        </is>
      </c>
      <c r="Q50" s="47" t="inlineStr">
        <is>
          <t>P</t>
        </is>
      </c>
      <c r="R50" s="47" t="n"/>
      <c r="S50" s="47" t="n"/>
      <c r="T50" s="47" t="inlineStr">
        <is>
          <t>P</t>
        </is>
      </c>
      <c r="U50" s="47" t="n"/>
      <c r="V50" s="47" t="n"/>
      <c r="W50" s="47" t="n"/>
      <c r="X50" s="47" t="n"/>
      <c r="Y50" s="47" t="n"/>
      <c r="Z50" s="47" t="n"/>
      <c r="AA50" s="47" t="n"/>
      <c r="AB50" s="47" t="n"/>
      <c r="AC50" s="47" t="inlineStr">
        <is>
          <t>A</t>
        </is>
      </c>
      <c r="AD50" s="47" t="n"/>
      <c r="AE50" s="47" t="n"/>
      <c r="AF50" s="47" t="inlineStr">
        <is>
          <t>P</t>
        </is>
      </c>
      <c r="AG50" s="47" t="n"/>
      <c r="AH50" s="47" t="n"/>
      <c r="AI50" s="47" t="n"/>
      <c r="AJ50" s="47" t="inlineStr">
        <is>
          <t>P</t>
        </is>
      </c>
      <c r="AK50" s="47" t="inlineStr">
        <is>
          <t>P</t>
        </is>
      </c>
      <c r="AL50" s="47" t="n"/>
      <c r="AM50" s="47" t="n"/>
      <c r="AN50" s="47" t="inlineStr">
        <is>
          <t>P</t>
        </is>
      </c>
      <c r="AO50" s="47" t="n"/>
      <c r="AP50" s="47" t="n"/>
      <c r="AQ50" s="47" t="n"/>
      <c r="AR50" s="47" t="inlineStr">
        <is>
          <t>P</t>
        </is>
      </c>
      <c r="AS50" s="47" t="n"/>
      <c r="AT50" s="47" t="n"/>
      <c r="AU50" s="47" t="n"/>
      <c r="AV50" s="47" t="n"/>
      <c r="AW50" s="47" t="inlineStr">
        <is>
          <t>P</t>
        </is>
      </c>
      <c r="AX50" s="47" t="n"/>
      <c r="AY50" s="47" t="n"/>
      <c r="AZ50" s="47" t="inlineStr">
        <is>
          <t>A</t>
        </is>
      </c>
      <c r="BA50" s="47" t="inlineStr">
        <is>
          <t>P</t>
        </is>
      </c>
      <c r="BB50" s="47" t="n"/>
      <c r="BC50" s="47" t="n"/>
      <c r="BD50" s="47" t="inlineStr">
        <is>
          <t>P</t>
        </is>
      </c>
      <c r="BE50" s="47" t="inlineStr">
        <is>
          <t>P</t>
        </is>
      </c>
      <c r="BF50" s="47" t="n"/>
      <c r="BG50" s="47" t="n"/>
      <c r="BH50" s="47" t="inlineStr">
        <is>
          <t>P</t>
        </is>
      </c>
      <c r="BI50" s="47" t="inlineStr">
        <is>
          <t>P</t>
        </is>
      </c>
      <c r="BJ50" s="47" t="n"/>
      <c r="BK50" s="47" t="n"/>
      <c r="BL50" s="47" t="n"/>
      <c r="BM50" s="47" t="n"/>
      <c r="BN50" s="47" t="n"/>
      <c r="BO50" s="47" t="n"/>
      <c r="BP50" s="47" t="n"/>
      <c r="BQ50" s="47" t="inlineStr">
        <is>
          <t>P</t>
        </is>
      </c>
      <c r="BR50" s="47" t="n"/>
      <c r="BS50" s="47" t="n"/>
      <c r="BT50" s="47" t="inlineStr">
        <is>
          <t>P</t>
        </is>
      </c>
      <c r="BU50" s="47" t="inlineStr">
        <is>
          <t>P</t>
        </is>
      </c>
      <c r="BV50" s="47" t="n"/>
      <c r="BW50" s="47" t="n"/>
      <c r="BX50" s="47" t="inlineStr">
        <is>
          <t>P</t>
        </is>
      </c>
      <c r="BY50" s="47" t="inlineStr">
        <is>
          <t>P</t>
        </is>
      </c>
      <c r="BZ50" s="47" t="n"/>
      <c r="CA50" s="47" t="n"/>
      <c r="CB50" s="47" t="inlineStr">
        <is>
          <t>P</t>
        </is>
      </c>
      <c r="CC50" s="47" t="n"/>
      <c r="CD50" s="47" t="n"/>
      <c r="CE50" s="47" t="n"/>
      <c r="CF50" s="47" t="inlineStr">
        <is>
          <t>P</t>
        </is>
      </c>
      <c r="CG50" s="47" t="n"/>
      <c r="CH50" s="47" t="n"/>
      <c r="CI50" s="47" t="n"/>
      <c r="CJ50" s="47" t="n"/>
      <c r="CK50" s="47" t="n"/>
      <c r="CL50" s="47" t="n"/>
      <c r="CM50" s="47" t="n"/>
      <c r="CN50" s="47" t="inlineStr">
        <is>
          <t>P</t>
        </is>
      </c>
      <c r="CO50" s="47" t="n"/>
      <c r="CP50" s="47" t="n"/>
      <c r="CQ50" s="47" t="inlineStr">
        <is>
          <t>P</t>
        </is>
      </c>
      <c r="CR50" s="47" t="inlineStr">
        <is>
          <t>P</t>
        </is>
      </c>
      <c r="CS50" s="47" t="n"/>
      <c r="CT50" s="47" t="n"/>
      <c r="CU50" s="47" t="inlineStr">
        <is>
          <t>A</t>
        </is>
      </c>
      <c r="CV50" s="47" t="inlineStr">
        <is>
          <t>P</t>
        </is>
      </c>
      <c r="CW50" s="47" t="n"/>
      <c r="CX50" s="47" t="n"/>
      <c r="CY50" s="47" t="n"/>
      <c r="CZ50" s="47" t="inlineStr">
        <is>
          <t>A</t>
        </is>
      </c>
      <c r="DA50" s="47" t="n"/>
      <c r="DB50" s="47" t="n"/>
      <c r="DC50" s="47" t="inlineStr">
        <is>
          <t>P</t>
        </is>
      </c>
      <c r="DD50" s="47" t="n"/>
      <c r="DE50" s="47" t="n"/>
      <c r="DF50" s="47" t="n"/>
      <c r="DG50" s="47" t="n"/>
      <c r="DH50" s="47" t="n"/>
      <c r="DI50" s="47" t="n"/>
      <c r="DJ50" s="47" t="n"/>
      <c r="DK50" s="47" t="inlineStr">
        <is>
          <t>A</t>
        </is>
      </c>
      <c r="DL50" s="47" t="n"/>
      <c r="DM50" s="47" t="n"/>
      <c r="DN50" s="47" t="inlineStr">
        <is>
          <t>P</t>
        </is>
      </c>
      <c r="DO50" s="47" t="inlineStr">
        <is>
          <t>P</t>
        </is>
      </c>
      <c r="DP50" s="47" t="n"/>
      <c r="DQ50" s="47" t="n"/>
      <c r="DR50" s="47" t="inlineStr">
        <is>
          <t>A</t>
        </is>
      </c>
      <c r="DS50" s="47" t="inlineStr">
        <is>
          <t>P</t>
        </is>
      </c>
      <c r="DT50" s="47" t="n"/>
      <c r="DU50" s="47" t="n"/>
      <c r="DV50" s="47" t="inlineStr">
        <is>
          <t>P</t>
        </is>
      </c>
      <c r="DW50" s="47" t="inlineStr">
        <is>
          <t>P</t>
        </is>
      </c>
      <c r="DX50" s="47" t="n"/>
      <c r="DY50" s="47" t="n"/>
      <c r="DZ50" s="47" t="inlineStr">
        <is>
          <t>P</t>
        </is>
      </c>
      <c r="EA50" s="47" t="n"/>
      <c r="EB50" s="47" t="n"/>
      <c r="EC50" s="47" t="n"/>
      <c r="ED50" s="47" t="n"/>
      <c r="EE50" s="47" t="n"/>
      <c r="EF50" s="47" t="n"/>
      <c r="EG50" s="47" t="n"/>
      <c r="EH50" s="47" t="inlineStr">
        <is>
          <t>A</t>
        </is>
      </c>
      <c r="EI50" s="47" t="n"/>
      <c r="EJ50" s="47" t="n"/>
      <c r="EK50" s="47" t="inlineStr">
        <is>
          <t>P</t>
        </is>
      </c>
      <c r="EL50" s="47" t="inlineStr">
        <is>
          <t>P</t>
        </is>
      </c>
      <c r="EM50" s="47" t="n"/>
      <c r="EN50" s="47" t="n"/>
      <c r="EO50" s="47" t="inlineStr">
        <is>
          <t>A</t>
        </is>
      </c>
      <c r="EP50" s="47" t="inlineStr">
        <is>
          <t>P</t>
        </is>
      </c>
      <c r="EQ50" s="47" t="n"/>
      <c r="ER50" s="47" t="n"/>
      <c r="ES50" s="47" t="inlineStr">
        <is>
          <t>P</t>
        </is>
      </c>
      <c r="ET50" s="47" t="inlineStr">
        <is>
          <t>P</t>
        </is>
      </c>
      <c r="EU50" s="47" t="n"/>
      <c r="EV50" s="47" t="n"/>
      <c r="EW50" s="47" t="n"/>
      <c r="EX50" s="47" t="n"/>
      <c r="EY50" s="47" t="n"/>
      <c r="EZ50" s="47" t="n"/>
      <c r="FA50" s="47" t="n"/>
      <c r="FB50" s="47" t="inlineStr">
        <is>
          <t>P</t>
        </is>
      </c>
      <c r="FC50" s="47" t="n"/>
      <c r="FD50" s="47" t="n"/>
      <c r="FE50" s="47" t="inlineStr">
        <is>
          <t>P</t>
        </is>
      </c>
      <c r="FF50" s="47" t="inlineStr">
        <is>
          <t>P</t>
        </is>
      </c>
      <c r="FG50" s="47" t="n"/>
      <c r="FH50" s="47" t="n"/>
      <c r="FI50" s="47" t="inlineStr">
        <is>
          <t>P</t>
        </is>
      </c>
      <c r="FJ50" s="47" t="inlineStr">
        <is>
          <t>P</t>
        </is>
      </c>
      <c r="FK50" s="47" t="n"/>
      <c r="FL50" s="47" t="n"/>
      <c r="FM50" s="47" t="n"/>
      <c r="FN50" s="47" t="n"/>
      <c r="FO50" s="47" t="n"/>
      <c r="FP50" s="47" t="n"/>
      <c r="FQ50" s="47" t="n"/>
      <c r="FR50" s="47" t="inlineStr">
        <is>
          <t>P</t>
        </is>
      </c>
      <c r="FS50" s="47" t="n"/>
      <c r="FT50" s="47" t="n"/>
      <c r="FU50" s="47" t="n"/>
      <c r="FV50" s="47" t="n"/>
      <c r="FW50" s="47" t="n"/>
      <c r="FX50" s="47" t="n"/>
      <c r="FY50" s="47" t="inlineStr">
        <is>
          <t>A</t>
        </is>
      </c>
      <c r="FZ50" s="47" t="inlineStr">
        <is>
          <t>P</t>
        </is>
      </c>
      <c r="GA50" s="47" t="n"/>
      <c r="GB50" s="47" t="n"/>
      <c r="GC50" s="47" t="n"/>
      <c r="GD50" s="47" t="inlineStr">
        <is>
          <t>P</t>
        </is>
      </c>
      <c r="GE50" s="47" t="n"/>
      <c r="GF50" s="47" t="n"/>
      <c r="GG50" s="47" t="inlineStr">
        <is>
          <t>P</t>
        </is>
      </c>
      <c r="GH50" s="47" t="n"/>
      <c r="GI50" s="47" t="n"/>
    </row>
    <row r="51" ht="14.25" customHeight="1" s="34">
      <c r="A51" s="46" t="n">
        <v>48</v>
      </c>
      <c r="B51" s="46" t="inlineStr">
        <is>
          <t>325106410048</t>
        </is>
      </c>
      <c r="C51" s="46" t="inlineStr">
        <is>
          <t>SHEHNAAZ BEGUM SHAIK</t>
        </is>
      </c>
      <c r="D51" s="47" t="inlineStr">
        <is>
          <t>A</t>
        </is>
      </c>
      <c r="E51" s="47" t="n"/>
      <c r="F51" s="47" t="n"/>
      <c r="G51" s="47" t="n"/>
      <c r="H51" s="47" t="n"/>
      <c r="I51" s="47" t="inlineStr">
        <is>
          <t>A</t>
        </is>
      </c>
      <c r="J51" s="47" t="n"/>
      <c r="K51" s="47" t="n"/>
      <c r="L51" s="47" t="inlineStr">
        <is>
          <t>A</t>
        </is>
      </c>
      <c r="M51" s="47" t="n"/>
      <c r="N51" s="47" t="n"/>
      <c r="O51" s="47" t="n"/>
      <c r="P51" s="47" t="inlineStr">
        <is>
          <t>A</t>
        </is>
      </c>
      <c r="Q51" s="47" t="inlineStr">
        <is>
          <t>A</t>
        </is>
      </c>
      <c r="R51" s="47" t="n"/>
      <c r="S51" s="47" t="n"/>
      <c r="T51" s="47" t="inlineStr">
        <is>
          <t>A</t>
        </is>
      </c>
      <c r="U51" s="47" t="n"/>
      <c r="V51" s="47" t="n"/>
      <c r="W51" s="47" t="n"/>
      <c r="X51" s="47" t="n"/>
      <c r="Y51" s="47" t="n"/>
      <c r="Z51" s="47" t="n"/>
      <c r="AA51" s="47" t="n"/>
      <c r="AB51" s="47" t="n"/>
      <c r="AC51" s="47" t="inlineStr">
        <is>
          <t>P</t>
        </is>
      </c>
      <c r="AD51" s="47" t="n"/>
      <c r="AE51" s="47" t="n"/>
      <c r="AF51" s="47" t="inlineStr">
        <is>
          <t>P</t>
        </is>
      </c>
      <c r="AG51" s="47" t="n"/>
      <c r="AH51" s="47" t="n"/>
      <c r="AI51" s="47" t="n"/>
      <c r="AJ51" s="47" t="inlineStr">
        <is>
          <t>P</t>
        </is>
      </c>
      <c r="AK51" s="47" t="inlineStr">
        <is>
          <t>P</t>
        </is>
      </c>
      <c r="AL51" s="47" t="n"/>
      <c r="AM51" s="47" t="n"/>
      <c r="AN51" s="47" t="inlineStr">
        <is>
          <t>P</t>
        </is>
      </c>
      <c r="AO51" s="47" t="n"/>
      <c r="AP51" s="47" t="n"/>
      <c r="AQ51" s="47" t="n"/>
      <c r="AR51" s="47" t="inlineStr">
        <is>
          <t>A</t>
        </is>
      </c>
      <c r="AS51" s="47" t="n"/>
      <c r="AT51" s="47" t="n"/>
      <c r="AU51" s="47" t="n"/>
      <c r="AV51" s="47" t="n"/>
      <c r="AW51" s="47" t="inlineStr">
        <is>
          <t>P</t>
        </is>
      </c>
      <c r="AX51" s="47" t="n"/>
      <c r="AY51" s="47" t="n"/>
      <c r="AZ51" s="47" t="inlineStr">
        <is>
          <t>P</t>
        </is>
      </c>
      <c r="BA51" s="47" t="inlineStr">
        <is>
          <t>P</t>
        </is>
      </c>
      <c r="BB51" s="47" t="n"/>
      <c r="BC51" s="47" t="n"/>
      <c r="BD51" s="47" t="inlineStr">
        <is>
          <t>P</t>
        </is>
      </c>
      <c r="BE51" s="47" t="inlineStr">
        <is>
          <t>P</t>
        </is>
      </c>
      <c r="BF51" s="47" t="n"/>
      <c r="BG51" s="47" t="n"/>
      <c r="BH51" s="47" t="inlineStr">
        <is>
          <t>P</t>
        </is>
      </c>
      <c r="BI51" s="47" t="inlineStr">
        <is>
          <t>P</t>
        </is>
      </c>
      <c r="BJ51" s="47" t="n"/>
      <c r="BK51" s="47" t="n"/>
      <c r="BL51" s="47" t="n"/>
      <c r="BM51" s="47" t="n"/>
      <c r="BN51" s="47" t="n"/>
      <c r="BO51" s="47" t="n"/>
      <c r="BP51" s="47" t="n"/>
      <c r="BQ51" s="47" t="inlineStr">
        <is>
          <t>P</t>
        </is>
      </c>
      <c r="BR51" s="47" t="n"/>
      <c r="BS51" s="47" t="n"/>
      <c r="BT51" s="47" t="inlineStr">
        <is>
          <t>A</t>
        </is>
      </c>
      <c r="BU51" s="47" t="inlineStr">
        <is>
          <t>A</t>
        </is>
      </c>
      <c r="BV51" s="47" t="n"/>
      <c r="BW51" s="47" t="n"/>
      <c r="BX51" s="47" t="inlineStr">
        <is>
          <t>A</t>
        </is>
      </c>
      <c r="BY51" s="47" t="inlineStr">
        <is>
          <t>P</t>
        </is>
      </c>
      <c r="BZ51" s="47" t="n"/>
      <c r="CA51" s="47" t="n"/>
      <c r="CB51" s="47" t="inlineStr">
        <is>
          <t>P</t>
        </is>
      </c>
      <c r="CC51" s="47" t="n"/>
      <c r="CD51" s="47" t="n"/>
      <c r="CE51" s="47" t="n"/>
      <c r="CF51" s="47" t="inlineStr">
        <is>
          <t>P</t>
        </is>
      </c>
      <c r="CG51" s="47" t="n"/>
      <c r="CH51" s="47" t="n"/>
      <c r="CI51" s="47" t="n"/>
      <c r="CJ51" s="47" t="n"/>
      <c r="CK51" s="47" t="n"/>
      <c r="CL51" s="47" t="n"/>
      <c r="CM51" s="47" t="n"/>
      <c r="CN51" s="47" t="inlineStr">
        <is>
          <t>P</t>
        </is>
      </c>
      <c r="CO51" s="47" t="n"/>
      <c r="CP51" s="47" t="n"/>
      <c r="CQ51" s="47" t="inlineStr">
        <is>
          <t>A</t>
        </is>
      </c>
      <c r="CR51" s="47" t="inlineStr">
        <is>
          <t>A</t>
        </is>
      </c>
      <c r="CS51" s="47" t="n"/>
      <c r="CT51" s="47" t="n"/>
      <c r="CU51" s="47" t="inlineStr">
        <is>
          <t>P</t>
        </is>
      </c>
      <c r="CV51" s="47" t="inlineStr">
        <is>
          <t>P</t>
        </is>
      </c>
      <c r="CW51" s="47" t="n"/>
      <c r="CX51" s="47" t="n"/>
      <c r="CY51" s="47" t="n"/>
      <c r="CZ51" s="47" t="inlineStr">
        <is>
          <t>P</t>
        </is>
      </c>
      <c r="DA51" s="47" t="n"/>
      <c r="DB51" s="47" t="n"/>
      <c r="DC51" s="47" t="inlineStr">
        <is>
          <t>P</t>
        </is>
      </c>
      <c r="DD51" s="47" t="n"/>
      <c r="DE51" s="47" t="n"/>
      <c r="DF51" s="47" t="n"/>
      <c r="DG51" s="47" t="n"/>
      <c r="DH51" s="47" t="n"/>
      <c r="DI51" s="47" t="n"/>
      <c r="DJ51" s="47" t="n"/>
      <c r="DK51" s="47" t="inlineStr">
        <is>
          <t>P</t>
        </is>
      </c>
      <c r="DL51" s="47" t="n"/>
      <c r="DM51" s="47" t="n"/>
      <c r="DN51" s="47" t="inlineStr">
        <is>
          <t>P</t>
        </is>
      </c>
      <c r="DO51" s="47" t="inlineStr">
        <is>
          <t>P</t>
        </is>
      </c>
      <c r="DP51" s="47" t="n"/>
      <c r="DQ51" s="47" t="n"/>
      <c r="DR51" s="47" t="inlineStr">
        <is>
          <t>P</t>
        </is>
      </c>
      <c r="DS51" s="47" t="inlineStr">
        <is>
          <t>P</t>
        </is>
      </c>
      <c r="DT51" s="47" t="n"/>
      <c r="DU51" s="47" t="n"/>
      <c r="DV51" s="47" t="inlineStr">
        <is>
          <t>P</t>
        </is>
      </c>
      <c r="DW51" s="47" t="inlineStr">
        <is>
          <t>A</t>
        </is>
      </c>
      <c r="DX51" s="47" t="n"/>
      <c r="DY51" s="47" t="n"/>
      <c r="DZ51" s="47" t="inlineStr">
        <is>
          <t>P</t>
        </is>
      </c>
      <c r="EA51" s="47" t="n"/>
      <c r="EB51" s="47" t="n"/>
      <c r="EC51" s="47" t="n"/>
      <c r="ED51" s="47" t="n"/>
      <c r="EE51" s="47" t="n"/>
      <c r="EF51" s="47" t="n"/>
      <c r="EG51" s="47" t="n"/>
      <c r="EH51" s="47" t="inlineStr">
        <is>
          <t>P</t>
        </is>
      </c>
      <c r="EI51" s="47" t="n"/>
      <c r="EJ51" s="47" t="n"/>
      <c r="EK51" s="47" t="inlineStr">
        <is>
          <t>P</t>
        </is>
      </c>
      <c r="EL51" s="47" t="inlineStr">
        <is>
          <t>P</t>
        </is>
      </c>
      <c r="EM51" s="47" t="n"/>
      <c r="EN51" s="47" t="n"/>
      <c r="EO51" s="47" t="inlineStr">
        <is>
          <t>P</t>
        </is>
      </c>
      <c r="EP51" s="47" t="inlineStr">
        <is>
          <t>P</t>
        </is>
      </c>
      <c r="EQ51" s="47" t="n"/>
      <c r="ER51" s="47" t="n"/>
      <c r="ES51" s="47" t="inlineStr">
        <is>
          <t>P</t>
        </is>
      </c>
      <c r="ET51" s="47" t="inlineStr">
        <is>
          <t>P</t>
        </is>
      </c>
      <c r="EU51" s="47" t="n"/>
      <c r="EV51" s="47" t="n"/>
      <c r="EW51" s="47" t="n"/>
      <c r="EX51" s="47" t="n"/>
      <c r="EY51" s="47" t="n"/>
      <c r="EZ51" s="47" t="n"/>
      <c r="FA51" s="47" t="n"/>
      <c r="FB51" s="47" t="inlineStr">
        <is>
          <t>P</t>
        </is>
      </c>
      <c r="FC51" s="47" t="n"/>
      <c r="FD51" s="47" t="n"/>
      <c r="FE51" s="47" t="inlineStr">
        <is>
          <t>P</t>
        </is>
      </c>
      <c r="FF51" s="47" t="inlineStr">
        <is>
          <t>P</t>
        </is>
      </c>
      <c r="FG51" s="47" t="n"/>
      <c r="FH51" s="47" t="n"/>
      <c r="FI51" s="47" t="inlineStr">
        <is>
          <t>P</t>
        </is>
      </c>
      <c r="FJ51" s="47" t="inlineStr">
        <is>
          <t>P</t>
        </is>
      </c>
      <c r="FK51" s="47" t="n"/>
      <c r="FL51" s="47" t="n"/>
      <c r="FM51" s="47" t="n"/>
      <c r="FN51" s="47" t="n"/>
      <c r="FO51" s="47" t="n"/>
      <c r="FP51" s="47" t="n"/>
      <c r="FQ51" s="47" t="n"/>
      <c r="FR51" s="47" t="inlineStr">
        <is>
          <t>P</t>
        </is>
      </c>
      <c r="FS51" s="47" t="n"/>
      <c r="FT51" s="47" t="n"/>
      <c r="FU51" s="47" t="n"/>
      <c r="FV51" s="47" t="n"/>
      <c r="FW51" s="47" t="n"/>
      <c r="FX51" s="47" t="n"/>
      <c r="FY51" s="47" t="inlineStr">
        <is>
          <t>P</t>
        </is>
      </c>
      <c r="FZ51" s="47" t="inlineStr">
        <is>
          <t>P</t>
        </is>
      </c>
      <c r="GA51" s="47" t="n"/>
      <c r="GB51" s="47" t="n"/>
      <c r="GC51" s="47" t="n"/>
      <c r="GD51" s="47" t="inlineStr">
        <is>
          <t>A</t>
        </is>
      </c>
      <c r="GE51" s="47" t="n"/>
      <c r="GF51" s="47" t="n"/>
      <c r="GG51" s="47" t="inlineStr">
        <is>
          <t>P</t>
        </is>
      </c>
      <c r="GH51" s="47" t="n"/>
      <c r="GI51" s="47" t="n"/>
    </row>
    <row r="52" ht="14.25" customHeight="1" s="34">
      <c r="A52" s="46" t="n">
        <v>49</v>
      </c>
      <c r="B52" s="46" t="inlineStr">
        <is>
          <t>325106410049</t>
        </is>
      </c>
      <c r="C52" s="46" t="inlineStr">
        <is>
          <t>SONALI SIMHADRI</t>
        </is>
      </c>
      <c r="D52" s="47" t="inlineStr">
        <is>
          <t>A</t>
        </is>
      </c>
      <c r="E52" s="47" t="n"/>
      <c r="F52" s="47" t="n"/>
      <c r="G52" s="47" t="n"/>
      <c r="H52" s="47" t="n"/>
      <c r="I52" s="47" t="inlineStr">
        <is>
          <t>A</t>
        </is>
      </c>
      <c r="J52" s="47" t="n"/>
      <c r="K52" s="47" t="n"/>
      <c r="L52" s="47" t="inlineStr">
        <is>
          <t>A</t>
        </is>
      </c>
      <c r="M52" s="47" t="n"/>
      <c r="N52" s="47" t="n"/>
      <c r="O52" s="47" t="n"/>
      <c r="P52" s="47" t="inlineStr">
        <is>
          <t>A</t>
        </is>
      </c>
      <c r="Q52" s="47" t="inlineStr">
        <is>
          <t>A</t>
        </is>
      </c>
      <c r="R52" s="47" t="n"/>
      <c r="S52" s="47" t="n"/>
      <c r="T52" s="47" t="inlineStr">
        <is>
          <t>A</t>
        </is>
      </c>
      <c r="U52" s="47" t="n"/>
      <c r="V52" s="47" t="n"/>
      <c r="W52" s="47" t="n"/>
      <c r="X52" s="47" t="n"/>
      <c r="Y52" s="47" t="n"/>
      <c r="Z52" s="47" t="n"/>
      <c r="AA52" s="47" t="n"/>
      <c r="AB52" s="47" t="n"/>
      <c r="AC52" s="47" t="inlineStr">
        <is>
          <t>P</t>
        </is>
      </c>
      <c r="AD52" s="47" t="n"/>
      <c r="AE52" s="47" t="n"/>
      <c r="AF52" s="47" t="inlineStr">
        <is>
          <t>P</t>
        </is>
      </c>
      <c r="AG52" s="47" t="n"/>
      <c r="AH52" s="47" t="n"/>
      <c r="AI52" s="47" t="n"/>
      <c r="AJ52" s="47" t="inlineStr">
        <is>
          <t>A</t>
        </is>
      </c>
      <c r="AK52" s="47" t="inlineStr">
        <is>
          <t>A</t>
        </is>
      </c>
      <c r="AL52" s="47" t="n"/>
      <c r="AM52" s="47" t="n"/>
      <c r="AN52" s="47" t="inlineStr">
        <is>
          <t>P</t>
        </is>
      </c>
      <c r="AO52" s="47" t="n"/>
      <c r="AP52" s="47" t="n"/>
      <c r="AQ52" s="47" t="n"/>
      <c r="AR52" s="47" t="inlineStr">
        <is>
          <t>P</t>
        </is>
      </c>
      <c r="AS52" s="47" t="n"/>
      <c r="AT52" s="47" t="n"/>
      <c r="AU52" s="47" t="n"/>
      <c r="AV52" s="47" t="n"/>
      <c r="AW52" s="47" t="inlineStr">
        <is>
          <t>P</t>
        </is>
      </c>
      <c r="AX52" s="47" t="n"/>
      <c r="AY52" s="47" t="n"/>
      <c r="AZ52" s="47" t="inlineStr">
        <is>
          <t>P</t>
        </is>
      </c>
      <c r="BA52" s="47" t="inlineStr">
        <is>
          <t>P</t>
        </is>
      </c>
      <c r="BB52" s="47" t="n"/>
      <c r="BC52" s="47" t="n"/>
      <c r="BD52" s="47" t="inlineStr">
        <is>
          <t>P</t>
        </is>
      </c>
      <c r="BE52" s="47" t="inlineStr">
        <is>
          <t>P</t>
        </is>
      </c>
      <c r="BF52" s="47" t="n"/>
      <c r="BG52" s="47" t="n"/>
      <c r="BH52" s="47" t="inlineStr">
        <is>
          <t>P</t>
        </is>
      </c>
      <c r="BI52" s="47" t="inlineStr">
        <is>
          <t>P</t>
        </is>
      </c>
      <c r="BJ52" s="47" t="n"/>
      <c r="BK52" s="47" t="n"/>
      <c r="BL52" s="47" t="n"/>
      <c r="BM52" s="47" t="n"/>
      <c r="BN52" s="47" t="n"/>
      <c r="BO52" s="47" t="n"/>
      <c r="BP52" s="47" t="n"/>
      <c r="BQ52" s="47" t="inlineStr">
        <is>
          <t>P</t>
        </is>
      </c>
      <c r="BR52" s="47" t="n"/>
      <c r="BS52" s="47" t="n"/>
      <c r="BT52" s="47" t="inlineStr">
        <is>
          <t>P</t>
        </is>
      </c>
      <c r="BU52" s="47" t="inlineStr">
        <is>
          <t>P</t>
        </is>
      </c>
      <c r="BV52" s="47" t="n"/>
      <c r="BW52" s="47" t="n"/>
      <c r="BX52" s="47" t="inlineStr">
        <is>
          <t>P</t>
        </is>
      </c>
      <c r="BY52" s="47" t="inlineStr">
        <is>
          <t>P</t>
        </is>
      </c>
      <c r="BZ52" s="47" t="n"/>
      <c r="CA52" s="47" t="n"/>
      <c r="CB52" s="47" t="inlineStr">
        <is>
          <t>P</t>
        </is>
      </c>
      <c r="CC52" s="47" t="n"/>
      <c r="CD52" s="47" t="n"/>
      <c r="CE52" s="47" t="n"/>
      <c r="CF52" s="47" t="inlineStr">
        <is>
          <t>P</t>
        </is>
      </c>
      <c r="CG52" s="47" t="n"/>
      <c r="CH52" s="47" t="n"/>
      <c r="CI52" s="47" t="n"/>
      <c r="CJ52" s="47" t="n"/>
      <c r="CK52" s="47" t="n"/>
      <c r="CL52" s="47" t="n"/>
      <c r="CM52" s="47" t="n"/>
      <c r="CN52" s="47" t="inlineStr">
        <is>
          <t>A</t>
        </is>
      </c>
      <c r="CO52" s="47" t="n"/>
      <c r="CP52" s="47" t="n"/>
      <c r="CQ52" s="47" t="inlineStr">
        <is>
          <t>A</t>
        </is>
      </c>
      <c r="CR52" s="47" t="inlineStr">
        <is>
          <t>P</t>
        </is>
      </c>
      <c r="CS52" s="47" t="n"/>
      <c r="CT52" s="47" t="n"/>
      <c r="CU52" s="47" t="inlineStr">
        <is>
          <t>P</t>
        </is>
      </c>
      <c r="CV52" s="47" t="inlineStr">
        <is>
          <t>P</t>
        </is>
      </c>
      <c r="CW52" s="47" t="n"/>
      <c r="CX52" s="47" t="n"/>
      <c r="CY52" s="47" t="n"/>
      <c r="CZ52" s="47" t="inlineStr">
        <is>
          <t>P</t>
        </is>
      </c>
      <c r="DA52" s="47" t="n"/>
      <c r="DB52" s="47" t="n"/>
      <c r="DC52" s="47" t="inlineStr">
        <is>
          <t>P</t>
        </is>
      </c>
      <c r="DD52" s="47" t="n"/>
      <c r="DE52" s="47" t="n"/>
      <c r="DF52" s="47" t="n"/>
      <c r="DG52" s="47" t="n"/>
      <c r="DH52" s="47" t="n"/>
      <c r="DI52" s="47" t="n"/>
      <c r="DJ52" s="47" t="n"/>
      <c r="DK52" s="47" t="inlineStr">
        <is>
          <t>P</t>
        </is>
      </c>
      <c r="DL52" s="47" t="n"/>
      <c r="DM52" s="47" t="n"/>
      <c r="DN52" s="47" t="inlineStr">
        <is>
          <t>P</t>
        </is>
      </c>
      <c r="DO52" s="47" t="inlineStr">
        <is>
          <t>P</t>
        </is>
      </c>
      <c r="DP52" s="47" t="n"/>
      <c r="DQ52" s="47" t="n"/>
      <c r="DR52" s="47" t="inlineStr">
        <is>
          <t>P</t>
        </is>
      </c>
      <c r="DS52" s="47" t="inlineStr">
        <is>
          <t>P</t>
        </is>
      </c>
      <c r="DT52" s="47" t="n"/>
      <c r="DU52" s="47" t="n"/>
      <c r="DV52" s="47" t="inlineStr">
        <is>
          <t>P</t>
        </is>
      </c>
      <c r="DW52" s="47" t="inlineStr">
        <is>
          <t>P</t>
        </is>
      </c>
      <c r="DX52" s="47" t="n"/>
      <c r="DY52" s="47" t="n"/>
      <c r="DZ52" s="47" t="inlineStr">
        <is>
          <t>P</t>
        </is>
      </c>
      <c r="EA52" s="47" t="n"/>
      <c r="EB52" s="47" t="n"/>
      <c r="EC52" s="47" t="n"/>
      <c r="ED52" s="47" t="n"/>
      <c r="EE52" s="47" t="n"/>
      <c r="EF52" s="47" t="n"/>
      <c r="EG52" s="47" t="n"/>
      <c r="EH52" s="47" t="inlineStr">
        <is>
          <t>P</t>
        </is>
      </c>
      <c r="EI52" s="47" t="n"/>
      <c r="EJ52" s="47" t="n"/>
      <c r="EK52" s="47" t="inlineStr">
        <is>
          <t>P</t>
        </is>
      </c>
      <c r="EL52" s="47" t="inlineStr">
        <is>
          <t>P</t>
        </is>
      </c>
      <c r="EM52" s="47" t="n"/>
      <c r="EN52" s="47" t="n"/>
      <c r="EO52" s="47" t="inlineStr">
        <is>
          <t>P</t>
        </is>
      </c>
      <c r="EP52" s="47" t="inlineStr">
        <is>
          <t>P</t>
        </is>
      </c>
      <c r="EQ52" s="47" t="n"/>
      <c r="ER52" s="47" t="n"/>
      <c r="ES52" s="47" t="inlineStr">
        <is>
          <t>P</t>
        </is>
      </c>
      <c r="ET52" s="47" t="inlineStr">
        <is>
          <t>P</t>
        </is>
      </c>
      <c r="EU52" s="47" t="n"/>
      <c r="EV52" s="47" t="n"/>
      <c r="EW52" s="47" t="n"/>
      <c r="EX52" s="47" t="n"/>
      <c r="EY52" s="47" t="n"/>
      <c r="EZ52" s="47" t="n"/>
      <c r="FA52" s="47" t="n"/>
      <c r="FB52" s="47" t="inlineStr">
        <is>
          <t>P</t>
        </is>
      </c>
      <c r="FC52" s="47" t="n"/>
      <c r="FD52" s="47" t="n"/>
      <c r="FE52" s="47" t="inlineStr">
        <is>
          <t>P</t>
        </is>
      </c>
      <c r="FF52" s="47" t="inlineStr">
        <is>
          <t>P</t>
        </is>
      </c>
      <c r="FG52" s="47" t="n"/>
      <c r="FH52" s="47" t="n"/>
      <c r="FI52" s="47" t="inlineStr">
        <is>
          <t>P</t>
        </is>
      </c>
      <c r="FJ52" s="47" t="inlineStr">
        <is>
          <t>P</t>
        </is>
      </c>
      <c r="FK52" s="47" t="n"/>
      <c r="FL52" s="47" t="n"/>
      <c r="FM52" s="47" t="n"/>
      <c r="FN52" s="47" t="n"/>
      <c r="FO52" s="47" t="n"/>
      <c r="FP52" s="47" t="n"/>
      <c r="FQ52" s="47" t="n"/>
      <c r="FR52" s="47" t="inlineStr">
        <is>
          <t>P</t>
        </is>
      </c>
      <c r="FS52" s="47" t="n"/>
      <c r="FT52" s="47" t="n"/>
      <c r="FU52" s="47" t="n"/>
      <c r="FV52" s="47" t="n"/>
      <c r="FW52" s="47" t="n"/>
      <c r="FX52" s="47" t="n"/>
      <c r="FY52" s="47" t="inlineStr">
        <is>
          <t>P</t>
        </is>
      </c>
      <c r="FZ52" s="47" t="inlineStr">
        <is>
          <t>P</t>
        </is>
      </c>
      <c r="GA52" s="47" t="n"/>
      <c r="GB52" s="47" t="n"/>
      <c r="GC52" s="47" t="n"/>
      <c r="GD52" s="47" t="inlineStr">
        <is>
          <t>A</t>
        </is>
      </c>
      <c r="GE52" s="47" t="n"/>
      <c r="GF52" s="47" t="n"/>
      <c r="GG52" s="47" t="inlineStr">
        <is>
          <t>P</t>
        </is>
      </c>
      <c r="GH52" s="47" t="n"/>
      <c r="GI52" s="47" t="n"/>
    </row>
    <row r="53" ht="14.25" customHeight="1" s="34">
      <c r="A53" s="46" t="n">
        <v>50</v>
      </c>
      <c r="B53" s="46" t="inlineStr">
        <is>
          <t>325106410050</t>
        </is>
      </c>
      <c r="C53" s="46" t="inlineStr">
        <is>
          <t>MOHAN TEJA TALUPULA</t>
        </is>
      </c>
      <c r="D53" s="47" t="inlineStr">
        <is>
          <t>A</t>
        </is>
      </c>
      <c r="E53" s="47" t="n"/>
      <c r="F53" s="47" t="n"/>
      <c r="G53" s="47" t="n"/>
      <c r="H53" s="47" t="n"/>
      <c r="I53" s="47" t="inlineStr">
        <is>
          <t>A</t>
        </is>
      </c>
      <c r="J53" s="47" t="n"/>
      <c r="K53" s="47" t="n"/>
      <c r="L53" s="47" t="inlineStr">
        <is>
          <t>A</t>
        </is>
      </c>
      <c r="M53" s="47" t="n"/>
      <c r="N53" s="47" t="n"/>
      <c r="O53" s="47" t="n"/>
      <c r="P53" s="47" t="inlineStr">
        <is>
          <t>A</t>
        </is>
      </c>
      <c r="Q53" s="47" t="inlineStr">
        <is>
          <t>A</t>
        </is>
      </c>
      <c r="R53" s="47" t="n"/>
      <c r="S53" s="47" t="n"/>
      <c r="T53" s="47" t="inlineStr">
        <is>
          <t>A</t>
        </is>
      </c>
      <c r="U53" s="47" t="n"/>
      <c r="V53" s="47" t="n"/>
      <c r="W53" s="47" t="n"/>
      <c r="X53" s="47" t="n"/>
      <c r="Y53" s="47" t="n"/>
      <c r="Z53" s="47" t="n"/>
      <c r="AA53" s="47" t="n"/>
      <c r="AB53" s="47" t="n"/>
      <c r="AC53" s="47" t="inlineStr">
        <is>
          <t>P</t>
        </is>
      </c>
      <c r="AD53" s="47" t="n"/>
      <c r="AE53" s="47" t="n"/>
      <c r="AF53" s="47" t="inlineStr">
        <is>
          <t>P</t>
        </is>
      </c>
      <c r="AG53" s="47" t="n"/>
      <c r="AH53" s="47" t="n"/>
      <c r="AI53" s="47" t="n"/>
      <c r="AJ53" s="47" t="inlineStr">
        <is>
          <t>A</t>
        </is>
      </c>
      <c r="AK53" s="47" t="inlineStr">
        <is>
          <t>A</t>
        </is>
      </c>
      <c r="AL53" s="47" t="n"/>
      <c r="AM53" s="47" t="n"/>
      <c r="AN53" s="47" t="inlineStr">
        <is>
          <t>P</t>
        </is>
      </c>
      <c r="AO53" s="47" t="n"/>
      <c r="AP53" s="47" t="n"/>
      <c r="AQ53" s="47" t="n"/>
      <c r="AR53" s="47" t="inlineStr">
        <is>
          <t>P</t>
        </is>
      </c>
      <c r="AS53" s="47" t="n"/>
      <c r="AT53" s="47" t="n"/>
      <c r="AU53" s="47" t="n"/>
      <c r="AV53" s="47" t="n"/>
      <c r="AW53" s="47" t="inlineStr">
        <is>
          <t>P</t>
        </is>
      </c>
      <c r="AX53" s="47" t="n"/>
      <c r="AY53" s="47" t="n"/>
      <c r="AZ53" s="47" t="inlineStr">
        <is>
          <t>P</t>
        </is>
      </c>
      <c r="BA53" s="47" t="inlineStr">
        <is>
          <t>P</t>
        </is>
      </c>
      <c r="BB53" s="47" t="n"/>
      <c r="BC53" s="47" t="n"/>
      <c r="BD53" s="47" t="inlineStr">
        <is>
          <t>A</t>
        </is>
      </c>
      <c r="BE53" s="47" t="inlineStr">
        <is>
          <t>P</t>
        </is>
      </c>
      <c r="BF53" s="47" t="n"/>
      <c r="BG53" s="47" t="n"/>
      <c r="BH53" s="47" t="inlineStr">
        <is>
          <t>P</t>
        </is>
      </c>
      <c r="BI53" s="47" t="inlineStr">
        <is>
          <t>P</t>
        </is>
      </c>
      <c r="BJ53" s="47" t="n"/>
      <c r="BK53" s="47" t="n"/>
      <c r="BL53" s="47" t="n"/>
      <c r="BM53" s="47" t="n"/>
      <c r="BN53" s="47" t="n"/>
      <c r="BO53" s="47" t="n"/>
      <c r="BP53" s="47" t="n"/>
      <c r="BQ53" s="47" t="inlineStr">
        <is>
          <t>P</t>
        </is>
      </c>
      <c r="BR53" s="47" t="n"/>
      <c r="BS53" s="47" t="n"/>
      <c r="BT53" s="47" t="inlineStr">
        <is>
          <t>P</t>
        </is>
      </c>
      <c r="BU53" s="47" t="inlineStr">
        <is>
          <t>P</t>
        </is>
      </c>
      <c r="BV53" s="47" t="n"/>
      <c r="BW53" s="47" t="n"/>
      <c r="BX53" s="47" t="inlineStr">
        <is>
          <t>P</t>
        </is>
      </c>
      <c r="BY53" s="47" t="inlineStr">
        <is>
          <t>P</t>
        </is>
      </c>
      <c r="BZ53" s="47" t="n"/>
      <c r="CA53" s="47" t="n"/>
      <c r="CB53" s="47" t="inlineStr">
        <is>
          <t>A</t>
        </is>
      </c>
      <c r="CC53" s="47" t="n"/>
      <c r="CD53" s="47" t="n"/>
      <c r="CE53" s="47" t="n"/>
      <c r="CF53" s="47" t="inlineStr">
        <is>
          <t>P</t>
        </is>
      </c>
      <c r="CG53" s="47" t="n"/>
      <c r="CH53" s="47" t="n"/>
      <c r="CI53" s="47" t="n"/>
      <c r="CJ53" s="47" t="n"/>
      <c r="CK53" s="47" t="n"/>
      <c r="CL53" s="47" t="n"/>
      <c r="CM53" s="47" t="n"/>
      <c r="CN53" s="47" t="inlineStr">
        <is>
          <t>P</t>
        </is>
      </c>
      <c r="CO53" s="47" t="n"/>
      <c r="CP53" s="47" t="n"/>
      <c r="CQ53" s="47" t="inlineStr">
        <is>
          <t>A</t>
        </is>
      </c>
      <c r="CR53" s="47" t="inlineStr">
        <is>
          <t>A</t>
        </is>
      </c>
      <c r="CS53" s="47" t="n"/>
      <c r="CT53" s="47" t="n"/>
      <c r="CU53" s="47" t="inlineStr">
        <is>
          <t>P</t>
        </is>
      </c>
      <c r="CV53" s="47" t="inlineStr">
        <is>
          <t>P</t>
        </is>
      </c>
      <c r="CW53" s="47" t="n"/>
      <c r="CX53" s="47" t="n"/>
      <c r="CY53" s="47" t="n"/>
      <c r="CZ53" s="47" t="inlineStr">
        <is>
          <t>P</t>
        </is>
      </c>
      <c r="DA53" s="47" t="n"/>
      <c r="DB53" s="47" t="n"/>
      <c r="DC53" s="47" t="inlineStr">
        <is>
          <t>P</t>
        </is>
      </c>
      <c r="DD53" s="47" t="n"/>
      <c r="DE53" s="47" t="n"/>
      <c r="DF53" s="47" t="n"/>
      <c r="DG53" s="47" t="n"/>
      <c r="DH53" s="47" t="n"/>
      <c r="DI53" s="47" t="n"/>
      <c r="DJ53" s="47" t="n"/>
      <c r="DK53" s="47" t="inlineStr">
        <is>
          <t>P</t>
        </is>
      </c>
      <c r="DL53" s="47" t="n"/>
      <c r="DM53" s="47" t="n"/>
      <c r="DN53" s="47" t="inlineStr">
        <is>
          <t>P</t>
        </is>
      </c>
      <c r="DO53" s="47" t="inlineStr">
        <is>
          <t>P</t>
        </is>
      </c>
      <c r="DP53" s="47" t="n"/>
      <c r="DQ53" s="47" t="n"/>
      <c r="DR53" s="47" t="inlineStr">
        <is>
          <t>P</t>
        </is>
      </c>
      <c r="DS53" s="47" t="inlineStr">
        <is>
          <t>P</t>
        </is>
      </c>
      <c r="DT53" s="47" t="n"/>
      <c r="DU53" s="47" t="n"/>
      <c r="DV53" s="47" t="inlineStr">
        <is>
          <t>P</t>
        </is>
      </c>
      <c r="DW53" s="47" t="inlineStr">
        <is>
          <t>P</t>
        </is>
      </c>
      <c r="DX53" s="47" t="n"/>
      <c r="DY53" s="47" t="n"/>
      <c r="DZ53" s="47" t="inlineStr">
        <is>
          <t>P</t>
        </is>
      </c>
      <c r="EA53" s="47" t="n"/>
      <c r="EB53" s="47" t="n"/>
      <c r="EC53" s="47" t="n"/>
      <c r="ED53" s="47" t="n"/>
      <c r="EE53" s="47" t="n"/>
      <c r="EF53" s="47" t="n"/>
      <c r="EG53" s="47" t="n"/>
      <c r="EH53" s="47" t="inlineStr">
        <is>
          <t>P</t>
        </is>
      </c>
      <c r="EI53" s="47" t="n"/>
      <c r="EJ53" s="47" t="n"/>
      <c r="EK53" s="47" t="inlineStr">
        <is>
          <t>P</t>
        </is>
      </c>
      <c r="EL53" s="47" t="inlineStr">
        <is>
          <t>P</t>
        </is>
      </c>
      <c r="EM53" s="47" t="n"/>
      <c r="EN53" s="47" t="n"/>
      <c r="EO53" s="47" t="inlineStr">
        <is>
          <t>P</t>
        </is>
      </c>
      <c r="EP53" s="47" t="inlineStr">
        <is>
          <t>P</t>
        </is>
      </c>
      <c r="EQ53" s="47" t="n"/>
      <c r="ER53" s="47" t="n"/>
      <c r="ES53" s="47" t="inlineStr">
        <is>
          <t>P</t>
        </is>
      </c>
      <c r="ET53" s="47" t="inlineStr">
        <is>
          <t>P</t>
        </is>
      </c>
      <c r="EU53" s="47" t="n"/>
      <c r="EV53" s="47" t="n"/>
      <c r="EW53" s="47" t="n"/>
      <c r="EX53" s="47" t="n"/>
      <c r="EY53" s="47" t="n"/>
      <c r="EZ53" s="47" t="n"/>
      <c r="FA53" s="47" t="n"/>
      <c r="FB53" s="47" t="inlineStr">
        <is>
          <t>P</t>
        </is>
      </c>
      <c r="FC53" s="47" t="n"/>
      <c r="FD53" s="47" t="n"/>
      <c r="FE53" s="47" t="inlineStr">
        <is>
          <t>P</t>
        </is>
      </c>
      <c r="FF53" s="47" t="inlineStr">
        <is>
          <t>P</t>
        </is>
      </c>
      <c r="FG53" s="47" t="n"/>
      <c r="FH53" s="47" t="n"/>
      <c r="FI53" s="47" t="inlineStr">
        <is>
          <t>P</t>
        </is>
      </c>
      <c r="FJ53" s="47" t="inlineStr">
        <is>
          <t>P</t>
        </is>
      </c>
      <c r="FK53" s="47" t="n"/>
      <c r="FL53" s="47" t="n"/>
      <c r="FM53" s="47" t="n"/>
      <c r="FN53" s="47" t="n"/>
      <c r="FO53" s="47" t="n"/>
      <c r="FP53" s="47" t="n"/>
      <c r="FQ53" s="47" t="n"/>
      <c r="FR53" s="47" t="inlineStr">
        <is>
          <t>P</t>
        </is>
      </c>
      <c r="FS53" s="47" t="n"/>
      <c r="FT53" s="47" t="n"/>
      <c r="FU53" s="47" t="n"/>
      <c r="FV53" s="47" t="n"/>
      <c r="FW53" s="47" t="n"/>
      <c r="FX53" s="47" t="n"/>
      <c r="FY53" s="47" t="inlineStr">
        <is>
          <t>P</t>
        </is>
      </c>
      <c r="FZ53" s="47" t="inlineStr">
        <is>
          <t>P</t>
        </is>
      </c>
      <c r="GA53" s="47" t="n"/>
      <c r="GB53" s="47" t="n"/>
      <c r="GC53" s="47" t="n"/>
      <c r="GD53" s="47" t="inlineStr">
        <is>
          <t>P</t>
        </is>
      </c>
      <c r="GE53" s="47" t="n"/>
      <c r="GF53" s="47" t="n"/>
      <c r="GG53" s="47" t="inlineStr">
        <is>
          <t>P</t>
        </is>
      </c>
      <c r="GH53" s="47" t="n"/>
      <c r="GI53" s="47" t="n"/>
    </row>
    <row r="54" ht="14.25" customHeight="1" s="34">
      <c r="A54" s="46" t="n">
        <v>51</v>
      </c>
      <c r="B54" s="46" t="inlineStr">
        <is>
          <t>325106410051</t>
        </is>
      </c>
      <c r="C54" s="46" t="inlineStr">
        <is>
          <t>VINEETHKUMAR THENNETI</t>
        </is>
      </c>
      <c r="D54" s="47" t="inlineStr">
        <is>
          <t>A</t>
        </is>
      </c>
      <c r="E54" s="47" t="n"/>
      <c r="F54" s="47" t="n"/>
      <c r="G54" s="47" t="n"/>
      <c r="H54" s="47" t="n"/>
      <c r="I54" s="47" t="inlineStr">
        <is>
          <t>P</t>
        </is>
      </c>
      <c r="J54" s="47" t="n"/>
      <c r="K54" s="47" t="n"/>
      <c r="L54" s="47" t="inlineStr">
        <is>
          <t>P</t>
        </is>
      </c>
      <c r="M54" s="47" t="n"/>
      <c r="N54" s="47" t="n"/>
      <c r="O54" s="47" t="n"/>
      <c r="P54" s="47" t="inlineStr">
        <is>
          <t>P</t>
        </is>
      </c>
      <c r="Q54" s="47" t="inlineStr">
        <is>
          <t>P</t>
        </is>
      </c>
      <c r="R54" s="47" t="n"/>
      <c r="S54" s="47" t="n"/>
      <c r="T54" s="47" t="inlineStr">
        <is>
          <t>P</t>
        </is>
      </c>
      <c r="U54" s="47" t="n"/>
      <c r="V54" s="47" t="n"/>
      <c r="W54" s="47" t="n"/>
      <c r="X54" s="47" t="n"/>
      <c r="Y54" s="47" t="n"/>
      <c r="Z54" s="47" t="n"/>
      <c r="AA54" s="47" t="n"/>
      <c r="AB54" s="47" t="n"/>
      <c r="AC54" s="47" t="inlineStr">
        <is>
          <t>P</t>
        </is>
      </c>
      <c r="AD54" s="47" t="n"/>
      <c r="AE54" s="47" t="n"/>
      <c r="AF54" s="47" t="inlineStr">
        <is>
          <t>A</t>
        </is>
      </c>
      <c r="AG54" s="47" t="n"/>
      <c r="AH54" s="47" t="n"/>
      <c r="AI54" s="47" t="n"/>
      <c r="AJ54" s="47" t="inlineStr">
        <is>
          <t>A</t>
        </is>
      </c>
      <c r="AK54" s="47" t="inlineStr">
        <is>
          <t>A</t>
        </is>
      </c>
      <c r="AL54" s="47" t="n"/>
      <c r="AM54" s="47" t="n"/>
      <c r="AN54" s="47" t="inlineStr">
        <is>
          <t>A</t>
        </is>
      </c>
      <c r="AO54" s="47" t="n"/>
      <c r="AP54" s="47" t="n"/>
      <c r="AQ54" s="47" t="n"/>
      <c r="AR54" s="47" t="inlineStr">
        <is>
          <t>P</t>
        </is>
      </c>
      <c r="AS54" s="47" t="n"/>
      <c r="AT54" s="47" t="n"/>
      <c r="AU54" s="47" t="n"/>
      <c r="AV54" s="47" t="n"/>
      <c r="AW54" s="47" t="inlineStr">
        <is>
          <t>P</t>
        </is>
      </c>
      <c r="AX54" s="47" t="n"/>
      <c r="AY54" s="47" t="n"/>
      <c r="AZ54" s="47" t="inlineStr">
        <is>
          <t>A</t>
        </is>
      </c>
      <c r="BA54" s="47" t="inlineStr">
        <is>
          <t>A</t>
        </is>
      </c>
      <c r="BB54" s="47" t="n"/>
      <c r="BC54" s="47" t="n"/>
      <c r="BD54" s="47" t="inlineStr">
        <is>
          <t>P</t>
        </is>
      </c>
      <c r="BE54" s="47" t="inlineStr">
        <is>
          <t>P</t>
        </is>
      </c>
      <c r="BF54" s="47" t="n"/>
      <c r="BG54" s="47" t="n"/>
      <c r="BH54" s="47" t="inlineStr">
        <is>
          <t>A</t>
        </is>
      </c>
      <c r="BI54" s="47" t="inlineStr">
        <is>
          <t>A</t>
        </is>
      </c>
      <c r="BJ54" s="47" t="n"/>
      <c r="BK54" s="47" t="n"/>
      <c r="BL54" s="47" t="n"/>
      <c r="BM54" s="47" t="n"/>
      <c r="BN54" s="47" t="n"/>
      <c r="BO54" s="47" t="n"/>
      <c r="BP54" s="47" t="n"/>
      <c r="BQ54" s="47" t="inlineStr">
        <is>
          <t>P</t>
        </is>
      </c>
      <c r="BR54" s="47" t="n"/>
      <c r="BS54" s="47" t="n"/>
      <c r="BT54" s="47" t="inlineStr">
        <is>
          <t>P</t>
        </is>
      </c>
      <c r="BU54" s="47" t="inlineStr">
        <is>
          <t>P</t>
        </is>
      </c>
      <c r="BV54" s="47" t="n"/>
      <c r="BW54" s="47" t="n"/>
      <c r="BX54" s="47" t="inlineStr">
        <is>
          <t>P</t>
        </is>
      </c>
      <c r="BY54" s="47" t="inlineStr">
        <is>
          <t>A</t>
        </is>
      </c>
      <c r="BZ54" s="47" t="n"/>
      <c r="CA54" s="47" t="n"/>
      <c r="CB54" s="47" t="inlineStr">
        <is>
          <t>A</t>
        </is>
      </c>
      <c r="CC54" s="47" t="n"/>
      <c r="CD54" s="47" t="n"/>
      <c r="CE54" s="47" t="n"/>
      <c r="CF54" s="47" t="inlineStr">
        <is>
          <t>A</t>
        </is>
      </c>
      <c r="CG54" s="47" t="n"/>
      <c r="CH54" s="47" t="n"/>
      <c r="CI54" s="47" t="n"/>
      <c r="CJ54" s="47" t="n"/>
      <c r="CK54" s="47" t="n"/>
      <c r="CL54" s="47" t="n"/>
      <c r="CM54" s="47" t="n"/>
      <c r="CN54" s="47" t="inlineStr">
        <is>
          <t>P</t>
        </is>
      </c>
      <c r="CO54" s="47" t="n"/>
      <c r="CP54" s="47" t="n"/>
      <c r="CQ54" s="47" t="inlineStr">
        <is>
          <t>A</t>
        </is>
      </c>
      <c r="CR54" s="47" t="inlineStr">
        <is>
          <t>A</t>
        </is>
      </c>
      <c r="CS54" s="47" t="n"/>
      <c r="CT54" s="47" t="n"/>
      <c r="CU54" s="47" t="inlineStr">
        <is>
          <t>A</t>
        </is>
      </c>
      <c r="CV54" s="47" t="inlineStr">
        <is>
          <t>P</t>
        </is>
      </c>
      <c r="CW54" s="47" t="n"/>
      <c r="CX54" s="47" t="n"/>
      <c r="CY54" s="47" t="n"/>
      <c r="CZ54" s="47" t="inlineStr">
        <is>
          <t>A</t>
        </is>
      </c>
      <c r="DA54" s="47" t="n"/>
      <c r="DB54" s="47" t="n"/>
      <c r="DC54" s="47" t="inlineStr">
        <is>
          <t>P</t>
        </is>
      </c>
      <c r="DD54" s="47" t="n"/>
      <c r="DE54" s="47" t="n"/>
      <c r="DF54" s="47" t="n"/>
      <c r="DG54" s="47" t="n"/>
      <c r="DH54" s="47" t="n"/>
      <c r="DI54" s="47" t="n"/>
      <c r="DJ54" s="47" t="n"/>
      <c r="DK54" s="47" t="inlineStr">
        <is>
          <t>P</t>
        </is>
      </c>
      <c r="DL54" s="47" t="n"/>
      <c r="DM54" s="47" t="n"/>
      <c r="DN54" s="47" t="inlineStr">
        <is>
          <t>A</t>
        </is>
      </c>
      <c r="DO54" s="47" t="inlineStr">
        <is>
          <t>A</t>
        </is>
      </c>
      <c r="DP54" s="47" t="n"/>
      <c r="DQ54" s="47" t="n"/>
      <c r="DR54" s="47" t="inlineStr">
        <is>
          <t>A</t>
        </is>
      </c>
      <c r="DS54" s="47" t="inlineStr">
        <is>
          <t>A</t>
        </is>
      </c>
      <c r="DT54" s="47" t="n"/>
      <c r="DU54" s="47" t="n"/>
      <c r="DV54" s="47" t="inlineStr">
        <is>
          <t>P</t>
        </is>
      </c>
      <c r="DW54" s="47" t="inlineStr">
        <is>
          <t>P</t>
        </is>
      </c>
      <c r="DX54" s="47" t="n"/>
      <c r="DY54" s="47" t="n"/>
      <c r="DZ54" s="47" t="inlineStr">
        <is>
          <t>A</t>
        </is>
      </c>
      <c r="EA54" s="47" t="n"/>
      <c r="EB54" s="47" t="n"/>
      <c r="EC54" s="47" t="n"/>
      <c r="ED54" s="47" t="n"/>
      <c r="EE54" s="47" t="n"/>
      <c r="EF54" s="47" t="n"/>
      <c r="EG54" s="47" t="n"/>
      <c r="EH54" s="47" t="inlineStr">
        <is>
          <t>P</t>
        </is>
      </c>
      <c r="EI54" s="47" t="n"/>
      <c r="EJ54" s="47" t="n"/>
      <c r="EK54" s="47" t="inlineStr">
        <is>
          <t>A</t>
        </is>
      </c>
      <c r="EL54" s="47" t="inlineStr">
        <is>
          <t>P</t>
        </is>
      </c>
      <c r="EM54" s="47" t="n"/>
      <c r="EN54" s="47" t="n"/>
      <c r="EO54" s="47" t="inlineStr">
        <is>
          <t>A</t>
        </is>
      </c>
      <c r="EP54" s="47" t="inlineStr">
        <is>
          <t>A</t>
        </is>
      </c>
      <c r="EQ54" s="47" t="n"/>
      <c r="ER54" s="47" t="n"/>
      <c r="ES54" s="47" t="inlineStr">
        <is>
          <t>A</t>
        </is>
      </c>
      <c r="ET54" s="47" t="inlineStr">
        <is>
          <t>P</t>
        </is>
      </c>
      <c r="EU54" s="47" t="n"/>
      <c r="EV54" s="47" t="n"/>
      <c r="EW54" s="47" t="n"/>
      <c r="EX54" s="47" t="n"/>
      <c r="EY54" s="47" t="n"/>
      <c r="EZ54" s="47" t="n"/>
      <c r="FA54" s="47" t="n"/>
      <c r="FB54" s="47" t="inlineStr">
        <is>
          <t>P</t>
        </is>
      </c>
      <c r="FC54" s="47" t="n"/>
      <c r="FD54" s="47" t="n"/>
      <c r="FE54" s="47" t="inlineStr">
        <is>
          <t>A</t>
        </is>
      </c>
      <c r="FF54" s="47" t="inlineStr">
        <is>
          <t>A</t>
        </is>
      </c>
      <c r="FG54" s="47" t="n"/>
      <c r="FH54" s="47" t="n"/>
      <c r="FI54" s="47" t="inlineStr">
        <is>
          <t>P</t>
        </is>
      </c>
      <c r="FJ54" s="47" t="inlineStr">
        <is>
          <t>P</t>
        </is>
      </c>
      <c r="FK54" s="47" t="n"/>
      <c r="FL54" s="47" t="n"/>
      <c r="FM54" s="47" t="n"/>
      <c r="FN54" s="47" t="n"/>
      <c r="FO54" s="47" t="n"/>
      <c r="FP54" s="47" t="n"/>
      <c r="FQ54" s="47" t="n"/>
      <c r="FR54" s="47" t="inlineStr">
        <is>
          <t>P</t>
        </is>
      </c>
      <c r="FS54" s="47" t="n"/>
      <c r="FT54" s="47" t="n"/>
      <c r="FU54" s="47" t="n"/>
      <c r="FV54" s="47" t="n"/>
      <c r="FW54" s="47" t="n"/>
      <c r="FX54" s="47" t="n"/>
      <c r="FY54" s="47" t="inlineStr">
        <is>
          <t>A</t>
        </is>
      </c>
      <c r="FZ54" s="47" t="inlineStr">
        <is>
          <t>P</t>
        </is>
      </c>
      <c r="GA54" s="47" t="n"/>
      <c r="GB54" s="47" t="n"/>
      <c r="GC54" s="47" t="n"/>
      <c r="GD54" s="47" t="inlineStr">
        <is>
          <t>P</t>
        </is>
      </c>
      <c r="GE54" s="47" t="n"/>
      <c r="GF54" s="47" t="n"/>
      <c r="GG54" s="47" t="inlineStr">
        <is>
          <t>P</t>
        </is>
      </c>
      <c r="GH54" s="47" t="n"/>
      <c r="GI54" s="47" t="n"/>
    </row>
    <row r="55" ht="14.25" customHeight="1" s="34">
      <c r="A55" s="46" t="n">
        <v>52</v>
      </c>
      <c r="B55" s="46" t="inlineStr">
        <is>
          <t>325106410052</t>
        </is>
      </c>
      <c r="C55" s="46" t="inlineStr">
        <is>
          <t>GAYATRI TIPPANA</t>
        </is>
      </c>
      <c r="D55" s="47" t="inlineStr">
        <is>
          <t>A</t>
        </is>
      </c>
      <c r="E55" s="47" t="n"/>
      <c r="F55" s="47" t="n"/>
      <c r="G55" s="47" t="n"/>
      <c r="H55" s="47" t="n"/>
      <c r="I55" s="47" t="inlineStr">
        <is>
          <t>A</t>
        </is>
      </c>
      <c r="J55" s="47" t="n"/>
      <c r="K55" s="47" t="n"/>
      <c r="L55" s="47" t="inlineStr">
        <is>
          <t>A</t>
        </is>
      </c>
      <c r="M55" s="47" t="n"/>
      <c r="N55" s="47" t="n"/>
      <c r="O55" s="47" t="n"/>
      <c r="P55" s="47" t="inlineStr">
        <is>
          <t>A</t>
        </is>
      </c>
      <c r="Q55" s="47" t="inlineStr">
        <is>
          <t>A</t>
        </is>
      </c>
      <c r="R55" s="47" t="n"/>
      <c r="S55" s="47" t="n"/>
      <c r="T55" s="47" t="inlineStr">
        <is>
          <t>A</t>
        </is>
      </c>
      <c r="U55" s="47" t="n"/>
      <c r="V55" s="47" t="n"/>
      <c r="W55" s="47" t="n"/>
      <c r="X55" s="47" t="n"/>
      <c r="Y55" s="47" t="n"/>
      <c r="Z55" s="47" t="n"/>
      <c r="AA55" s="47" t="n"/>
      <c r="AB55" s="47" t="n"/>
      <c r="AC55" s="47" t="inlineStr">
        <is>
          <t>P</t>
        </is>
      </c>
      <c r="AD55" s="47" t="n"/>
      <c r="AE55" s="47" t="n"/>
      <c r="AF55" s="47" t="inlineStr">
        <is>
          <t>P</t>
        </is>
      </c>
      <c r="AG55" s="47" t="n"/>
      <c r="AH55" s="47" t="n"/>
      <c r="AI55" s="47" t="n"/>
      <c r="AJ55" s="47" t="inlineStr">
        <is>
          <t>P</t>
        </is>
      </c>
      <c r="AK55" s="47" t="inlineStr">
        <is>
          <t>P</t>
        </is>
      </c>
      <c r="AL55" s="47" t="n"/>
      <c r="AM55" s="47" t="n"/>
      <c r="AN55" s="47" t="inlineStr">
        <is>
          <t>P</t>
        </is>
      </c>
      <c r="AO55" s="47" t="n"/>
      <c r="AP55" s="47" t="n"/>
      <c r="AQ55" s="47" t="n"/>
      <c r="AR55" s="47" t="inlineStr">
        <is>
          <t>P</t>
        </is>
      </c>
      <c r="AS55" s="47" t="n"/>
      <c r="AT55" s="47" t="n"/>
      <c r="AU55" s="47" t="n"/>
      <c r="AV55" s="47" t="n"/>
      <c r="AW55" s="47" t="inlineStr">
        <is>
          <t>P</t>
        </is>
      </c>
      <c r="AX55" s="47" t="n"/>
      <c r="AY55" s="47" t="n"/>
      <c r="AZ55" s="47" t="inlineStr">
        <is>
          <t>A</t>
        </is>
      </c>
      <c r="BA55" s="47" t="inlineStr">
        <is>
          <t>P</t>
        </is>
      </c>
      <c r="BB55" s="47" t="n"/>
      <c r="BC55" s="47" t="n"/>
      <c r="BD55" s="47" t="inlineStr">
        <is>
          <t>P</t>
        </is>
      </c>
      <c r="BE55" s="47" t="inlineStr">
        <is>
          <t>P</t>
        </is>
      </c>
      <c r="BF55" s="47" t="n"/>
      <c r="BG55" s="47" t="n"/>
      <c r="BH55" s="47" t="inlineStr">
        <is>
          <t>A</t>
        </is>
      </c>
      <c r="BI55" s="47" t="inlineStr">
        <is>
          <t>A</t>
        </is>
      </c>
      <c r="BJ55" s="47" t="n"/>
      <c r="BK55" s="47" t="n"/>
      <c r="BL55" s="47" t="n"/>
      <c r="BM55" s="47" t="n"/>
      <c r="BN55" s="47" t="n"/>
      <c r="BO55" s="47" t="n"/>
      <c r="BP55" s="47" t="n"/>
      <c r="BQ55" s="47" t="inlineStr">
        <is>
          <t>P</t>
        </is>
      </c>
      <c r="BR55" s="47" t="n"/>
      <c r="BS55" s="47" t="n"/>
      <c r="BT55" s="47" t="inlineStr">
        <is>
          <t>P</t>
        </is>
      </c>
      <c r="BU55" s="47" t="inlineStr">
        <is>
          <t>P</t>
        </is>
      </c>
      <c r="BV55" s="47" t="n"/>
      <c r="BW55" s="47" t="n"/>
      <c r="BX55" s="47" t="inlineStr">
        <is>
          <t>A</t>
        </is>
      </c>
      <c r="BY55" s="47" t="inlineStr">
        <is>
          <t>P</t>
        </is>
      </c>
      <c r="BZ55" s="47" t="n"/>
      <c r="CA55" s="47" t="n"/>
      <c r="CB55" s="47" t="inlineStr">
        <is>
          <t>P</t>
        </is>
      </c>
      <c r="CC55" s="47" t="n"/>
      <c r="CD55" s="47" t="n"/>
      <c r="CE55" s="47" t="n"/>
      <c r="CF55" s="47" t="inlineStr">
        <is>
          <t>P</t>
        </is>
      </c>
      <c r="CG55" s="47" t="n"/>
      <c r="CH55" s="47" t="n"/>
      <c r="CI55" s="47" t="n"/>
      <c r="CJ55" s="47" t="n"/>
      <c r="CK55" s="47" t="n"/>
      <c r="CL55" s="47" t="n"/>
      <c r="CM55" s="47" t="n"/>
      <c r="CN55" s="47" t="inlineStr">
        <is>
          <t>A</t>
        </is>
      </c>
      <c r="CO55" s="47" t="n"/>
      <c r="CP55" s="47" t="n"/>
      <c r="CQ55" s="47" t="inlineStr">
        <is>
          <t>P</t>
        </is>
      </c>
      <c r="CR55" s="47" t="inlineStr">
        <is>
          <t>P</t>
        </is>
      </c>
      <c r="CS55" s="47" t="n"/>
      <c r="CT55" s="47" t="n"/>
      <c r="CU55" s="47" t="inlineStr">
        <is>
          <t>P</t>
        </is>
      </c>
      <c r="CV55" s="47" t="inlineStr">
        <is>
          <t>P</t>
        </is>
      </c>
      <c r="CW55" s="47" t="n"/>
      <c r="CX55" s="47" t="n"/>
      <c r="CY55" s="47" t="n"/>
      <c r="CZ55" s="47" t="inlineStr">
        <is>
          <t>P</t>
        </is>
      </c>
      <c r="DA55" s="47" t="n"/>
      <c r="DB55" s="47" t="n"/>
      <c r="DC55" s="47" t="inlineStr">
        <is>
          <t>P</t>
        </is>
      </c>
      <c r="DD55" s="47" t="n"/>
      <c r="DE55" s="47" t="n"/>
      <c r="DF55" s="47" t="n"/>
      <c r="DG55" s="47" t="n"/>
      <c r="DH55" s="47" t="n"/>
      <c r="DI55" s="47" t="n"/>
      <c r="DJ55" s="47" t="n"/>
      <c r="DK55" s="47" t="inlineStr">
        <is>
          <t>P</t>
        </is>
      </c>
      <c r="DL55" s="47" t="n"/>
      <c r="DM55" s="47" t="n"/>
      <c r="DN55" s="47" t="inlineStr">
        <is>
          <t>P</t>
        </is>
      </c>
      <c r="DO55" s="47" t="inlineStr">
        <is>
          <t>P</t>
        </is>
      </c>
      <c r="DP55" s="47" t="n"/>
      <c r="DQ55" s="47" t="n"/>
      <c r="DR55" s="47" t="inlineStr">
        <is>
          <t>P</t>
        </is>
      </c>
      <c r="DS55" s="47" t="inlineStr">
        <is>
          <t>P</t>
        </is>
      </c>
      <c r="DT55" s="47" t="n"/>
      <c r="DU55" s="47" t="n"/>
      <c r="DV55" s="47" t="inlineStr">
        <is>
          <t>P</t>
        </is>
      </c>
      <c r="DW55" s="47" t="inlineStr">
        <is>
          <t>P</t>
        </is>
      </c>
      <c r="DX55" s="47" t="n"/>
      <c r="DY55" s="47" t="n"/>
      <c r="DZ55" s="47" t="inlineStr">
        <is>
          <t>P</t>
        </is>
      </c>
      <c r="EA55" s="47" t="n"/>
      <c r="EB55" s="47" t="n"/>
      <c r="EC55" s="47" t="n"/>
      <c r="ED55" s="47" t="n"/>
      <c r="EE55" s="47" t="n"/>
      <c r="EF55" s="47" t="n"/>
      <c r="EG55" s="47" t="n"/>
      <c r="EH55" s="47" t="inlineStr">
        <is>
          <t>P</t>
        </is>
      </c>
      <c r="EI55" s="47" t="n"/>
      <c r="EJ55" s="47" t="n"/>
      <c r="EK55" s="47" t="inlineStr">
        <is>
          <t>P</t>
        </is>
      </c>
      <c r="EL55" s="47" t="inlineStr">
        <is>
          <t>P</t>
        </is>
      </c>
      <c r="EM55" s="47" t="n"/>
      <c r="EN55" s="47" t="n"/>
      <c r="EO55" s="47" t="inlineStr">
        <is>
          <t>P</t>
        </is>
      </c>
      <c r="EP55" s="47" t="inlineStr">
        <is>
          <t>P</t>
        </is>
      </c>
      <c r="EQ55" s="47" t="n"/>
      <c r="ER55" s="47" t="n"/>
      <c r="ES55" s="47" t="inlineStr">
        <is>
          <t>A</t>
        </is>
      </c>
      <c r="ET55" s="47" t="inlineStr">
        <is>
          <t>A</t>
        </is>
      </c>
      <c r="EU55" s="47" t="n"/>
      <c r="EV55" s="47" t="n"/>
      <c r="EW55" s="47" t="n"/>
      <c r="EX55" s="47" t="n"/>
      <c r="EY55" s="47" t="n"/>
      <c r="EZ55" s="47" t="n"/>
      <c r="FA55" s="47" t="n"/>
      <c r="FB55" s="47" t="inlineStr">
        <is>
          <t>P</t>
        </is>
      </c>
      <c r="FC55" s="47" t="n"/>
      <c r="FD55" s="47" t="n"/>
      <c r="FE55" s="47" t="inlineStr">
        <is>
          <t>P</t>
        </is>
      </c>
      <c r="FF55" s="47" t="inlineStr">
        <is>
          <t>P</t>
        </is>
      </c>
      <c r="FG55" s="47" t="n"/>
      <c r="FH55" s="47" t="n"/>
      <c r="FI55" s="47" t="inlineStr">
        <is>
          <t>A</t>
        </is>
      </c>
      <c r="FJ55" s="47" t="inlineStr">
        <is>
          <t>P</t>
        </is>
      </c>
      <c r="FK55" s="47" t="n"/>
      <c r="FL55" s="47" t="n"/>
      <c r="FM55" s="47" t="n"/>
      <c r="FN55" s="47" t="n"/>
      <c r="FO55" s="47" t="n"/>
      <c r="FP55" s="47" t="n"/>
      <c r="FQ55" s="47" t="n"/>
      <c r="FR55" s="47" t="inlineStr">
        <is>
          <t>P</t>
        </is>
      </c>
      <c r="FS55" s="47" t="n"/>
      <c r="FT55" s="47" t="n"/>
      <c r="FU55" s="47" t="n"/>
      <c r="FV55" s="47" t="n"/>
      <c r="FW55" s="47" t="n"/>
      <c r="FX55" s="47" t="n"/>
      <c r="FY55" s="47" t="inlineStr">
        <is>
          <t>A</t>
        </is>
      </c>
      <c r="FZ55" s="47" t="inlineStr">
        <is>
          <t>P</t>
        </is>
      </c>
      <c r="GA55" s="47" t="n"/>
      <c r="GB55" s="47" t="n"/>
      <c r="GC55" s="47" t="n"/>
      <c r="GD55" s="47" t="inlineStr">
        <is>
          <t>A</t>
        </is>
      </c>
      <c r="GE55" s="47" t="n"/>
      <c r="GF55" s="47" t="n"/>
      <c r="GG55" s="47" t="inlineStr">
        <is>
          <t>P</t>
        </is>
      </c>
      <c r="GH55" s="47" t="n"/>
      <c r="GI55" s="47" t="n"/>
    </row>
    <row r="56" ht="14.25" customHeight="1" s="34">
      <c r="A56" s="46" t="n">
        <v>53</v>
      </c>
      <c r="B56" s="46" t="inlineStr">
        <is>
          <t>325106410053</t>
        </is>
      </c>
      <c r="C56" s="46" t="inlineStr">
        <is>
          <t>SURYA VENKATA SRINIVAS TIRANDI</t>
        </is>
      </c>
      <c r="D56" s="47" t="inlineStr">
        <is>
          <t>A</t>
        </is>
      </c>
      <c r="E56" s="47" t="n"/>
      <c r="F56" s="47" t="n"/>
      <c r="G56" s="47" t="n"/>
      <c r="H56" s="47" t="n"/>
      <c r="I56" s="47" t="inlineStr">
        <is>
          <t>A</t>
        </is>
      </c>
      <c r="J56" s="47" t="n"/>
      <c r="K56" s="47" t="n"/>
      <c r="L56" s="47" t="inlineStr">
        <is>
          <t>A</t>
        </is>
      </c>
      <c r="M56" s="47" t="n"/>
      <c r="N56" s="47" t="n"/>
      <c r="O56" s="47" t="n"/>
      <c r="P56" s="47" t="inlineStr">
        <is>
          <t>P</t>
        </is>
      </c>
      <c r="Q56" s="47" t="inlineStr">
        <is>
          <t>P</t>
        </is>
      </c>
      <c r="R56" s="47" t="n"/>
      <c r="S56" s="47" t="n"/>
      <c r="T56" s="47" t="inlineStr">
        <is>
          <t>P</t>
        </is>
      </c>
      <c r="U56" s="47" t="n"/>
      <c r="V56" s="47" t="n"/>
      <c r="W56" s="47" t="n"/>
      <c r="X56" s="47" t="n"/>
      <c r="Y56" s="47" t="n"/>
      <c r="Z56" s="47" t="n"/>
      <c r="AA56" s="47" t="n"/>
      <c r="AB56" s="47" t="n"/>
      <c r="AC56" s="47" t="inlineStr">
        <is>
          <t>P</t>
        </is>
      </c>
      <c r="AD56" s="47" t="n"/>
      <c r="AE56" s="47" t="n"/>
      <c r="AF56" s="47" t="inlineStr">
        <is>
          <t>P</t>
        </is>
      </c>
      <c r="AG56" s="47" t="n"/>
      <c r="AH56" s="47" t="n"/>
      <c r="AI56" s="47" t="n"/>
      <c r="AJ56" s="47" t="inlineStr">
        <is>
          <t>P</t>
        </is>
      </c>
      <c r="AK56" s="47" t="inlineStr">
        <is>
          <t>P</t>
        </is>
      </c>
      <c r="AL56" s="47" t="n"/>
      <c r="AM56" s="47" t="n"/>
      <c r="AN56" s="47" t="inlineStr">
        <is>
          <t>P</t>
        </is>
      </c>
      <c r="AO56" s="47" t="n"/>
      <c r="AP56" s="47" t="n"/>
      <c r="AQ56" s="47" t="n"/>
      <c r="AR56" s="47" t="inlineStr">
        <is>
          <t>P</t>
        </is>
      </c>
      <c r="AS56" s="47" t="n"/>
      <c r="AT56" s="47" t="n"/>
      <c r="AU56" s="47" t="n"/>
      <c r="AV56" s="47" t="n"/>
      <c r="AW56" s="47" t="inlineStr">
        <is>
          <t>P</t>
        </is>
      </c>
      <c r="AX56" s="47" t="n"/>
      <c r="AY56" s="47" t="n"/>
      <c r="AZ56" s="47" t="inlineStr">
        <is>
          <t>P</t>
        </is>
      </c>
      <c r="BA56" s="47" t="inlineStr">
        <is>
          <t>P</t>
        </is>
      </c>
      <c r="BB56" s="47" t="n"/>
      <c r="BC56" s="47" t="n"/>
      <c r="BD56" s="47" t="inlineStr">
        <is>
          <t>P</t>
        </is>
      </c>
      <c r="BE56" s="47" t="inlineStr">
        <is>
          <t>P</t>
        </is>
      </c>
      <c r="BF56" s="47" t="n"/>
      <c r="BG56" s="47" t="n"/>
      <c r="BH56" s="47" t="inlineStr">
        <is>
          <t>P</t>
        </is>
      </c>
      <c r="BI56" s="47" t="inlineStr">
        <is>
          <t>P</t>
        </is>
      </c>
      <c r="BJ56" s="47" t="n"/>
      <c r="BK56" s="47" t="n"/>
      <c r="BL56" s="47" t="n"/>
      <c r="BM56" s="47" t="n"/>
      <c r="BN56" s="47" t="n"/>
      <c r="BO56" s="47" t="n"/>
      <c r="BP56" s="47" t="n"/>
      <c r="BQ56" s="47" t="inlineStr">
        <is>
          <t>P</t>
        </is>
      </c>
      <c r="BR56" s="47" t="n"/>
      <c r="BS56" s="47" t="n"/>
      <c r="BT56" s="47" t="inlineStr">
        <is>
          <t>P</t>
        </is>
      </c>
      <c r="BU56" s="47" t="inlineStr">
        <is>
          <t>P</t>
        </is>
      </c>
      <c r="BV56" s="47" t="n"/>
      <c r="BW56" s="47" t="n"/>
      <c r="BX56" s="47" t="inlineStr">
        <is>
          <t>P</t>
        </is>
      </c>
      <c r="BY56" s="47" t="inlineStr">
        <is>
          <t>P</t>
        </is>
      </c>
      <c r="BZ56" s="47" t="n"/>
      <c r="CA56" s="47" t="n"/>
      <c r="CB56" s="47" t="inlineStr">
        <is>
          <t>P</t>
        </is>
      </c>
      <c r="CC56" s="47" t="n"/>
      <c r="CD56" s="47" t="n"/>
      <c r="CE56" s="47" t="n"/>
      <c r="CF56" s="47" t="inlineStr">
        <is>
          <t>P</t>
        </is>
      </c>
      <c r="CG56" s="47" t="n"/>
      <c r="CH56" s="47" t="n"/>
      <c r="CI56" s="47" t="n"/>
      <c r="CJ56" s="47" t="n"/>
      <c r="CK56" s="47" t="n"/>
      <c r="CL56" s="47" t="n"/>
      <c r="CM56" s="47" t="n"/>
      <c r="CN56" s="47" t="inlineStr">
        <is>
          <t>P</t>
        </is>
      </c>
      <c r="CO56" s="47" t="n"/>
      <c r="CP56" s="47" t="n"/>
      <c r="CQ56" s="47" t="inlineStr">
        <is>
          <t>P</t>
        </is>
      </c>
      <c r="CR56" s="47" t="inlineStr">
        <is>
          <t>P</t>
        </is>
      </c>
      <c r="CS56" s="47" t="n"/>
      <c r="CT56" s="47" t="n"/>
      <c r="CU56" s="47" t="inlineStr">
        <is>
          <t>P</t>
        </is>
      </c>
      <c r="CV56" s="47" t="inlineStr">
        <is>
          <t>P</t>
        </is>
      </c>
      <c r="CW56" s="47" t="n"/>
      <c r="CX56" s="47" t="n"/>
      <c r="CY56" s="47" t="n"/>
      <c r="CZ56" s="47" t="inlineStr">
        <is>
          <t>P</t>
        </is>
      </c>
      <c r="DA56" s="47" t="n"/>
      <c r="DB56" s="47" t="n"/>
      <c r="DC56" s="47" t="inlineStr">
        <is>
          <t>P</t>
        </is>
      </c>
      <c r="DD56" s="47" t="n"/>
      <c r="DE56" s="47" t="n"/>
      <c r="DF56" s="47" t="n"/>
      <c r="DG56" s="47" t="n"/>
      <c r="DH56" s="47" t="n"/>
      <c r="DI56" s="47" t="n"/>
      <c r="DJ56" s="47" t="n"/>
      <c r="DK56" s="47" t="inlineStr">
        <is>
          <t>P</t>
        </is>
      </c>
      <c r="DL56" s="47" t="n"/>
      <c r="DM56" s="47" t="n"/>
      <c r="DN56" s="47" t="inlineStr">
        <is>
          <t>P</t>
        </is>
      </c>
      <c r="DO56" s="47" t="inlineStr">
        <is>
          <t>P</t>
        </is>
      </c>
      <c r="DP56" s="47" t="n"/>
      <c r="DQ56" s="47" t="n"/>
      <c r="DR56" s="47" t="inlineStr">
        <is>
          <t>P</t>
        </is>
      </c>
      <c r="DS56" s="47" t="inlineStr">
        <is>
          <t>P</t>
        </is>
      </c>
      <c r="DT56" s="47" t="n"/>
      <c r="DU56" s="47" t="n"/>
      <c r="DV56" s="47" t="inlineStr">
        <is>
          <t>P</t>
        </is>
      </c>
      <c r="DW56" s="47" t="inlineStr">
        <is>
          <t>P</t>
        </is>
      </c>
      <c r="DX56" s="47" t="n"/>
      <c r="DY56" s="47" t="n"/>
      <c r="DZ56" s="47" t="inlineStr">
        <is>
          <t>P</t>
        </is>
      </c>
      <c r="EA56" s="47" t="n"/>
      <c r="EB56" s="47" t="n"/>
      <c r="EC56" s="47" t="n"/>
      <c r="ED56" s="47" t="n"/>
      <c r="EE56" s="47" t="n"/>
      <c r="EF56" s="47" t="n"/>
      <c r="EG56" s="47" t="n"/>
      <c r="EH56" s="47" t="inlineStr">
        <is>
          <t>P</t>
        </is>
      </c>
      <c r="EI56" s="47" t="n"/>
      <c r="EJ56" s="47" t="n"/>
      <c r="EK56" s="47" t="inlineStr">
        <is>
          <t>P</t>
        </is>
      </c>
      <c r="EL56" s="47" t="inlineStr">
        <is>
          <t>P</t>
        </is>
      </c>
      <c r="EM56" s="47" t="n"/>
      <c r="EN56" s="47" t="n"/>
      <c r="EO56" s="47" t="inlineStr">
        <is>
          <t>P</t>
        </is>
      </c>
      <c r="EP56" s="47" t="inlineStr">
        <is>
          <t>P</t>
        </is>
      </c>
      <c r="EQ56" s="47" t="n"/>
      <c r="ER56" s="47" t="n"/>
      <c r="ES56" s="47" t="inlineStr">
        <is>
          <t>P</t>
        </is>
      </c>
      <c r="ET56" s="47" t="inlineStr">
        <is>
          <t>P</t>
        </is>
      </c>
      <c r="EU56" s="47" t="n"/>
      <c r="EV56" s="47" t="n"/>
      <c r="EW56" s="47" t="n"/>
      <c r="EX56" s="47" t="n"/>
      <c r="EY56" s="47" t="n"/>
      <c r="EZ56" s="47" t="n"/>
      <c r="FA56" s="47" t="n"/>
      <c r="FB56" s="47" t="inlineStr">
        <is>
          <t>P</t>
        </is>
      </c>
      <c r="FC56" s="47" t="n"/>
      <c r="FD56" s="47" t="n"/>
      <c r="FE56" s="47" t="inlineStr">
        <is>
          <t>P</t>
        </is>
      </c>
      <c r="FF56" s="47" t="inlineStr">
        <is>
          <t>P</t>
        </is>
      </c>
      <c r="FG56" s="47" t="n"/>
      <c r="FH56" s="47" t="n"/>
      <c r="FI56" s="47" t="inlineStr">
        <is>
          <t>A</t>
        </is>
      </c>
      <c r="FJ56" s="47" t="inlineStr">
        <is>
          <t>P</t>
        </is>
      </c>
      <c r="FK56" s="47" t="n"/>
      <c r="FL56" s="47" t="n"/>
      <c r="FM56" s="47" t="n"/>
      <c r="FN56" s="47" t="n"/>
      <c r="FO56" s="47" t="n"/>
      <c r="FP56" s="47" t="n"/>
      <c r="FQ56" s="47" t="n"/>
      <c r="FR56" s="47" t="inlineStr">
        <is>
          <t>P</t>
        </is>
      </c>
      <c r="FS56" s="47" t="n"/>
      <c r="FT56" s="47" t="n"/>
      <c r="FU56" s="47" t="n"/>
      <c r="FV56" s="47" t="n"/>
      <c r="FW56" s="47" t="n"/>
      <c r="FX56" s="47" t="n"/>
      <c r="FY56" s="47" t="inlineStr">
        <is>
          <t>A</t>
        </is>
      </c>
      <c r="FZ56" s="47" t="inlineStr">
        <is>
          <t>A</t>
        </is>
      </c>
      <c r="GA56" s="47" t="n"/>
      <c r="GB56" s="47" t="n"/>
      <c r="GC56" s="47" t="n"/>
      <c r="GD56" s="47" t="inlineStr">
        <is>
          <t>P</t>
        </is>
      </c>
      <c r="GE56" s="47" t="n"/>
      <c r="GF56" s="47" t="n"/>
      <c r="GG56" s="47" t="inlineStr">
        <is>
          <t>P</t>
        </is>
      </c>
      <c r="GH56" s="47" t="n"/>
      <c r="GI56" s="47" t="n"/>
    </row>
    <row r="57" ht="14.25" customHeight="1" s="34">
      <c r="A57" s="46" t="n">
        <v>54</v>
      </c>
      <c r="B57" s="46" t="inlineStr">
        <is>
          <t>325106410054</t>
        </is>
      </c>
      <c r="C57" s="46" t="inlineStr">
        <is>
          <t>PRANAVI V</t>
        </is>
      </c>
      <c r="D57" s="47" t="inlineStr">
        <is>
          <t>P</t>
        </is>
      </c>
      <c r="E57" s="47" t="n"/>
      <c r="F57" s="47" t="n"/>
      <c r="G57" s="47" t="n"/>
      <c r="H57" s="47" t="n"/>
      <c r="I57" s="47" t="inlineStr">
        <is>
          <t>P</t>
        </is>
      </c>
      <c r="J57" s="47" t="n"/>
      <c r="K57" s="47" t="n"/>
      <c r="L57" s="47" t="inlineStr">
        <is>
          <t>P</t>
        </is>
      </c>
      <c r="M57" s="47" t="n"/>
      <c r="N57" s="47" t="n"/>
      <c r="O57" s="47" t="n"/>
      <c r="P57" s="47" t="inlineStr">
        <is>
          <t>P</t>
        </is>
      </c>
      <c r="Q57" s="47" t="inlineStr">
        <is>
          <t>P</t>
        </is>
      </c>
      <c r="R57" s="47" t="n"/>
      <c r="S57" s="47" t="n"/>
      <c r="T57" s="47" t="inlineStr">
        <is>
          <t>P</t>
        </is>
      </c>
      <c r="U57" s="47" t="n"/>
      <c r="V57" s="47" t="n"/>
      <c r="W57" s="47" t="n"/>
      <c r="X57" s="47" t="n"/>
      <c r="Y57" s="47" t="n"/>
      <c r="Z57" s="47" t="n"/>
      <c r="AA57" s="47" t="n"/>
      <c r="AB57" s="47" t="n"/>
      <c r="AC57" s="47" t="inlineStr">
        <is>
          <t>P</t>
        </is>
      </c>
      <c r="AD57" s="47" t="n"/>
      <c r="AE57" s="47" t="n"/>
      <c r="AF57" s="47" t="inlineStr">
        <is>
          <t>P</t>
        </is>
      </c>
      <c r="AG57" s="47" t="n"/>
      <c r="AH57" s="47" t="n"/>
      <c r="AI57" s="47" t="n"/>
      <c r="AJ57" s="47" t="inlineStr">
        <is>
          <t>P</t>
        </is>
      </c>
      <c r="AK57" s="47" t="inlineStr">
        <is>
          <t>P</t>
        </is>
      </c>
      <c r="AL57" s="47" t="n"/>
      <c r="AM57" s="47" t="n"/>
      <c r="AN57" s="47" t="inlineStr">
        <is>
          <t>P</t>
        </is>
      </c>
      <c r="AO57" s="47" t="n"/>
      <c r="AP57" s="47" t="n"/>
      <c r="AQ57" s="47" t="n"/>
      <c r="AR57" s="47" t="inlineStr">
        <is>
          <t>A</t>
        </is>
      </c>
      <c r="AS57" s="47" t="n"/>
      <c r="AT57" s="47" t="n"/>
      <c r="AU57" s="47" t="n"/>
      <c r="AV57" s="47" t="n"/>
      <c r="AW57" s="47" t="inlineStr">
        <is>
          <t>P</t>
        </is>
      </c>
      <c r="AX57" s="47" t="n"/>
      <c r="AY57" s="47" t="n"/>
      <c r="AZ57" s="47" t="inlineStr">
        <is>
          <t>P</t>
        </is>
      </c>
      <c r="BA57" s="47" t="inlineStr">
        <is>
          <t>P</t>
        </is>
      </c>
      <c r="BB57" s="47" t="n"/>
      <c r="BC57" s="47" t="n"/>
      <c r="BD57" s="47" t="inlineStr">
        <is>
          <t>P</t>
        </is>
      </c>
      <c r="BE57" s="47" t="inlineStr">
        <is>
          <t>P</t>
        </is>
      </c>
      <c r="BF57" s="47" t="n"/>
      <c r="BG57" s="47" t="n"/>
      <c r="BH57" s="47" t="inlineStr">
        <is>
          <t>P</t>
        </is>
      </c>
      <c r="BI57" s="47" t="inlineStr">
        <is>
          <t>P</t>
        </is>
      </c>
      <c r="BJ57" s="47" t="n"/>
      <c r="BK57" s="47" t="n"/>
      <c r="BL57" s="47" t="n"/>
      <c r="BM57" s="47" t="n"/>
      <c r="BN57" s="47" t="n"/>
      <c r="BO57" s="47" t="n"/>
      <c r="BP57" s="47" t="n"/>
      <c r="BQ57" s="47" t="inlineStr">
        <is>
          <t>P</t>
        </is>
      </c>
      <c r="BR57" s="47" t="n"/>
      <c r="BS57" s="47" t="n"/>
      <c r="BT57" s="47" t="inlineStr">
        <is>
          <t>P</t>
        </is>
      </c>
      <c r="BU57" s="47" t="inlineStr">
        <is>
          <t>P</t>
        </is>
      </c>
      <c r="BV57" s="47" t="n"/>
      <c r="BW57" s="47" t="n"/>
      <c r="BX57" s="47" t="inlineStr">
        <is>
          <t>P</t>
        </is>
      </c>
      <c r="BY57" s="47" t="inlineStr">
        <is>
          <t>P</t>
        </is>
      </c>
      <c r="BZ57" s="47" t="n"/>
      <c r="CA57" s="47" t="n"/>
      <c r="CB57" s="47" t="inlineStr">
        <is>
          <t>P</t>
        </is>
      </c>
      <c r="CC57" s="47" t="n"/>
      <c r="CD57" s="47" t="n"/>
      <c r="CE57" s="47" t="n"/>
      <c r="CF57" s="47" t="inlineStr">
        <is>
          <t>P</t>
        </is>
      </c>
      <c r="CG57" s="47" t="n"/>
      <c r="CH57" s="47" t="n"/>
      <c r="CI57" s="47" t="n"/>
      <c r="CJ57" s="47" t="n"/>
      <c r="CK57" s="47" t="n"/>
      <c r="CL57" s="47" t="n"/>
      <c r="CM57" s="47" t="n"/>
      <c r="CN57" s="47" t="inlineStr">
        <is>
          <t>P</t>
        </is>
      </c>
      <c r="CO57" s="47" t="n"/>
      <c r="CP57" s="47" t="n"/>
      <c r="CQ57" s="47" t="inlineStr">
        <is>
          <t>P</t>
        </is>
      </c>
      <c r="CR57" s="47" t="inlineStr">
        <is>
          <t>P</t>
        </is>
      </c>
      <c r="CS57" s="47" t="n"/>
      <c r="CT57" s="47" t="n"/>
      <c r="CU57" s="47" t="inlineStr">
        <is>
          <t>P</t>
        </is>
      </c>
      <c r="CV57" s="47" t="inlineStr">
        <is>
          <t>P</t>
        </is>
      </c>
      <c r="CW57" s="47" t="n"/>
      <c r="CX57" s="47" t="n"/>
      <c r="CY57" s="47" t="n"/>
      <c r="CZ57" s="47" t="inlineStr">
        <is>
          <t>P</t>
        </is>
      </c>
      <c r="DA57" s="47" t="n"/>
      <c r="DB57" s="47" t="n"/>
      <c r="DC57" s="47" t="inlineStr">
        <is>
          <t>P</t>
        </is>
      </c>
      <c r="DD57" s="47" t="n"/>
      <c r="DE57" s="47" t="n"/>
      <c r="DF57" s="47" t="n"/>
      <c r="DG57" s="47" t="n"/>
      <c r="DH57" s="47" t="n"/>
      <c r="DI57" s="47" t="n"/>
      <c r="DJ57" s="47" t="n"/>
      <c r="DK57" s="47" t="inlineStr">
        <is>
          <t>P</t>
        </is>
      </c>
      <c r="DL57" s="47" t="n"/>
      <c r="DM57" s="47" t="n"/>
      <c r="DN57" s="47" t="inlineStr">
        <is>
          <t>P</t>
        </is>
      </c>
      <c r="DO57" s="47" t="inlineStr">
        <is>
          <t>P</t>
        </is>
      </c>
      <c r="DP57" s="47" t="n"/>
      <c r="DQ57" s="47" t="n"/>
      <c r="DR57" s="47" t="inlineStr">
        <is>
          <t>P</t>
        </is>
      </c>
      <c r="DS57" s="47" t="inlineStr">
        <is>
          <t>P</t>
        </is>
      </c>
      <c r="DT57" s="47" t="n"/>
      <c r="DU57" s="47" t="n"/>
      <c r="DV57" s="47" t="inlineStr">
        <is>
          <t>P</t>
        </is>
      </c>
      <c r="DW57" s="47" t="inlineStr">
        <is>
          <t>P</t>
        </is>
      </c>
      <c r="DX57" s="47" t="n"/>
      <c r="DY57" s="47" t="n"/>
      <c r="DZ57" s="47" t="inlineStr">
        <is>
          <t>P</t>
        </is>
      </c>
      <c r="EA57" s="47" t="n"/>
      <c r="EB57" s="47" t="n"/>
      <c r="EC57" s="47" t="n"/>
      <c r="ED57" s="47" t="n"/>
      <c r="EE57" s="47" t="n"/>
      <c r="EF57" s="47" t="n"/>
      <c r="EG57" s="47" t="n"/>
      <c r="EH57" s="47" t="inlineStr">
        <is>
          <t>P</t>
        </is>
      </c>
      <c r="EI57" s="47" t="n"/>
      <c r="EJ57" s="47" t="n"/>
      <c r="EK57" s="47" t="inlineStr">
        <is>
          <t>P</t>
        </is>
      </c>
      <c r="EL57" s="47" t="inlineStr">
        <is>
          <t>P</t>
        </is>
      </c>
      <c r="EM57" s="47" t="n"/>
      <c r="EN57" s="47" t="n"/>
      <c r="EO57" s="47" t="inlineStr">
        <is>
          <t>P</t>
        </is>
      </c>
      <c r="EP57" s="47" t="inlineStr">
        <is>
          <t>P</t>
        </is>
      </c>
      <c r="EQ57" s="47" t="n"/>
      <c r="ER57" s="47" t="n"/>
      <c r="ES57" s="47" t="inlineStr">
        <is>
          <t>P</t>
        </is>
      </c>
      <c r="ET57" s="47" t="inlineStr">
        <is>
          <t>P</t>
        </is>
      </c>
      <c r="EU57" s="47" t="n"/>
      <c r="EV57" s="47" t="n"/>
      <c r="EW57" s="47" t="n"/>
      <c r="EX57" s="47" t="n"/>
      <c r="EY57" s="47" t="n"/>
      <c r="EZ57" s="47" t="n"/>
      <c r="FA57" s="47" t="n"/>
      <c r="FB57" s="47" t="inlineStr">
        <is>
          <t>P</t>
        </is>
      </c>
      <c r="FC57" s="47" t="n"/>
      <c r="FD57" s="47" t="n"/>
      <c r="FE57" s="47" t="inlineStr">
        <is>
          <t>P</t>
        </is>
      </c>
      <c r="FF57" s="47" t="inlineStr">
        <is>
          <t>P</t>
        </is>
      </c>
      <c r="FG57" s="47" t="n"/>
      <c r="FH57" s="47" t="n"/>
      <c r="FI57" s="47" t="inlineStr">
        <is>
          <t>P</t>
        </is>
      </c>
      <c r="FJ57" s="47" t="inlineStr">
        <is>
          <t>P</t>
        </is>
      </c>
      <c r="FK57" s="47" t="n"/>
      <c r="FL57" s="47" t="n"/>
      <c r="FM57" s="47" t="n"/>
      <c r="FN57" s="47" t="n"/>
      <c r="FO57" s="47" t="n"/>
      <c r="FP57" s="47" t="n"/>
      <c r="FQ57" s="47" t="n"/>
      <c r="FR57" s="47" t="inlineStr">
        <is>
          <t>P</t>
        </is>
      </c>
      <c r="FS57" s="47" t="n"/>
      <c r="FT57" s="47" t="n"/>
      <c r="FU57" s="47" t="n"/>
      <c r="FV57" s="47" t="n"/>
      <c r="FW57" s="47" t="n"/>
      <c r="FX57" s="47" t="n"/>
      <c r="FY57" s="47" t="inlineStr">
        <is>
          <t>P</t>
        </is>
      </c>
      <c r="FZ57" s="47" t="inlineStr">
        <is>
          <t>P</t>
        </is>
      </c>
      <c r="GA57" s="47" t="n"/>
      <c r="GB57" s="47" t="n"/>
      <c r="GC57" s="47" t="n"/>
      <c r="GD57" s="47" t="inlineStr">
        <is>
          <t>A</t>
        </is>
      </c>
      <c r="GE57" s="47" t="n"/>
      <c r="GF57" s="47" t="n"/>
      <c r="GG57" s="47" t="inlineStr">
        <is>
          <t>P</t>
        </is>
      </c>
      <c r="GH57" s="47" t="n"/>
      <c r="GI57" s="47" t="n"/>
    </row>
    <row r="58" ht="14.25" customHeight="1" s="34">
      <c r="A58" s="46" t="n">
        <v>55</v>
      </c>
      <c r="B58" s="46" t="inlineStr">
        <is>
          <t>325106410055</t>
        </is>
      </c>
      <c r="C58" s="46" t="inlineStr">
        <is>
          <t>JAYANTH RAM ACHYUTH VALLABASETTI</t>
        </is>
      </c>
      <c r="D58" s="47" t="inlineStr">
        <is>
          <t>A</t>
        </is>
      </c>
      <c r="E58" s="47" t="n"/>
      <c r="F58" s="47" t="n"/>
      <c r="G58" s="47" t="n"/>
      <c r="H58" s="47" t="n"/>
      <c r="I58" s="47" t="inlineStr">
        <is>
          <t>A</t>
        </is>
      </c>
      <c r="J58" s="47" t="n"/>
      <c r="K58" s="47" t="n"/>
      <c r="L58" s="47" t="inlineStr">
        <is>
          <t>A</t>
        </is>
      </c>
      <c r="M58" s="47" t="n"/>
      <c r="N58" s="47" t="n"/>
      <c r="O58" s="47" t="n"/>
      <c r="P58" s="47" t="inlineStr">
        <is>
          <t>A</t>
        </is>
      </c>
      <c r="Q58" s="47" t="inlineStr">
        <is>
          <t>A</t>
        </is>
      </c>
      <c r="R58" s="47" t="n"/>
      <c r="S58" s="47" t="n"/>
      <c r="T58" s="47" t="inlineStr">
        <is>
          <t>A</t>
        </is>
      </c>
      <c r="U58" s="47" t="n"/>
      <c r="V58" s="47" t="n"/>
      <c r="W58" s="47" t="n"/>
      <c r="X58" s="47" t="n"/>
      <c r="Y58" s="47" t="n"/>
      <c r="Z58" s="47" t="n"/>
      <c r="AA58" s="47" t="n"/>
      <c r="AB58" s="47" t="n"/>
      <c r="AC58" s="47" t="inlineStr">
        <is>
          <t>P</t>
        </is>
      </c>
      <c r="AD58" s="47" t="n"/>
      <c r="AE58" s="47" t="n"/>
      <c r="AF58" s="47" t="inlineStr">
        <is>
          <t>P</t>
        </is>
      </c>
      <c r="AG58" s="47" t="n"/>
      <c r="AH58" s="47" t="n"/>
      <c r="AI58" s="47" t="n"/>
      <c r="AJ58" s="47" t="inlineStr">
        <is>
          <t>P</t>
        </is>
      </c>
      <c r="AK58" s="47" t="inlineStr">
        <is>
          <t>P</t>
        </is>
      </c>
      <c r="AL58" s="47" t="n"/>
      <c r="AM58" s="47" t="n"/>
      <c r="AN58" s="47" t="inlineStr">
        <is>
          <t>A</t>
        </is>
      </c>
      <c r="AO58" s="47" t="n"/>
      <c r="AP58" s="47" t="n"/>
      <c r="AQ58" s="47" t="n"/>
      <c r="AR58" s="47" t="inlineStr">
        <is>
          <t>A</t>
        </is>
      </c>
      <c r="AS58" s="47" t="n"/>
      <c r="AT58" s="47" t="n"/>
      <c r="AU58" s="47" t="n"/>
      <c r="AV58" s="47" t="n"/>
      <c r="AW58" s="47" t="inlineStr">
        <is>
          <t>P</t>
        </is>
      </c>
      <c r="AX58" s="47" t="n"/>
      <c r="AY58" s="47" t="n"/>
      <c r="AZ58" s="47" t="inlineStr">
        <is>
          <t>P</t>
        </is>
      </c>
      <c r="BA58" s="47" t="inlineStr">
        <is>
          <t>P</t>
        </is>
      </c>
      <c r="BB58" s="47" t="n"/>
      <c r="BC58" s="47" t="n"/>
      <c r="BD58" s="47" t="inlineStr">
        <is>
          <t>P</t>
        </is>
      </c>
      <c r="BE58" s="47" t="inlineStr">
        <is>
          <t>P</t>
        </is>
      </c>
      <c r="BF58" s="47" t="n"/>
      <c r="BG58" s="47" t="n"/>
      <c r="BH58" s="47" t="inlineStr">
        <is>
          <t>P</t>
        </is>
      </c>
      <c r="BI58" s="47" t="inlineStr">
        <is>
          <t>P</t>
        </is>
      </c>
      <c r="BJ58" s="47" t="n"/>
      <c r="BK58" s="47" t="n"/>
      <c r="BL58" s="47" t="n"/>
      <c r="BM58" s="47" t="n"/>
      <c r="BN58" s="47" t="n"/>
      <c r="BO58" s="47" t="n"/>
      <c r="BP58" s="47" t="n"/>
      <c r="BQ58" s="47" t="inlineStr">
        <is>
          <t>P</t>
        </is>
      </c>
      <c r="BR58" s="47" t="n"/>
      <c r="BS58" s="47" t="n"/>
      <c r="BT58" s="47" t="inlineStr">
        <is>
          <t>P</t>
        </is>
      </c>
      <c r="BU58" s="47" t="inlineStr">
        <is>
          <t>A</t>
        </is>
      </c>
      <c r="BV58" s="47" t="n"/>
      <c r="BW58" s="47" t="n"/>
      <c r="BX58" s="47" t="inlineStr">
        <is>
          <t>P</t>
        </is>
      </c>
      <c r="BY58" s="47" t="inlineStr">
        <is>
          <t>P</t>
        </is>
      </c>
      <c r="BZ58" s="47" t="n"/>
      <c r="CA58" s="47" t="n"/>
      <c r="CB58" s="47" t="inlineStr">
        <is>
          <t>P</t>
        </is>
      </c>
      <c r="CC58" s="47" t="n"/>
      <c r="CD58" s="47" t="n"/>
      <c r="CE58" s="47" t="n"/>
      <c r="CF58" s="47" t="inlineStr">
        <is>
          <t>P</t>
        </is>
      </c>
      <c r="CG58" s="47" t="n"/>
      <c r="CH58" s="47" t="n"/>
      <c r="CI58" s="47" t="n"/>
      <c r="CJ58" s="47" t="n"/>
      <c r="CK58" s="47" t="n"/>
      <c r="CL58" s="47" t="n"/>
      <c r="CM58" s="47" t="n"/>
      <c r="CN58" s="47" t="inlineStr">
        <is>
          <t>P</t>
        </is>
      </c>
      <c r="CO58" s="47" t="n"/>
      <c r="CP58" s="47" t="n"/>
      <c r="CQ58" s="47" t="inlineStr">
        <is>
          <t>P</t>
        </is>
      </c>
      <c r="CR58" s="47" t="inlineStr">
        <is>
          <t>A</t>
        </is>
      </c>
      <c r="CS58" s="47" t="n"/>
      <c r="CT58" s="47" t="n"/>
      <c r="CU58" s="47" t="inlineStr">
        <is>
          <t>P</t>
        </is>
      </c>
      <c r="CV58" s="47" t="inlineStr">
        <is>
          <t>P</t>
        </is>
      </c>
      <c r="CW58" s="47" t="n"/>
      <c r="CX58" s="47" t="n"/>
      <c r="CY58" s="47" t="n"/>
      <c r="CZ58" s="47" t="inlineStr">
        <is>
          <t>P</t>
        </is>
      </c>
      <c r="DA58" s="47" t="n"/>
      <c r="DB58" s="47" t="n"/>
      <c r="DC58" s="47" t="inlineStr">
        <is>
          <t>P</t>
        </is>
      </c>
      <c r="DD58" s="47" t="n"/>
      <c r="DE58" s="47" t="n"/>
      <c r="DF58" s="47" t="n"/>
      <c r="DG58" s="47" t="n"/>
      <c r="DH58" s="47" t="n"/>
      <c r="DI58" s="47" t="n"/>
      <c r="DJ58" s="47" t="n"/>
      <c r="DK58" s="47" t="inlineStr">
        <is>
          <t>P</t>
        </is>
      </c>
      <c r="DL58" s="47" t="n"/>
      <c r="DM58" s="47" t="n"/>
      <c r="DN58" s="47" t="inlineStr">
        <is>
          <t>P</t>
        </is>
      </c>
      <c r="DO58" s="47" t="inlineStr">
        <is>
          <t>P</t>
        </is>
      </c>
      <c r="DP58" s="47" t="n"/>
      <c r="DQ58" s="47" t="n"/>
      <c r="DR58" s="47" t="inlineStr">
        <is>
          <t>P</t>
        </is>
      </c>
      <c r="DS58" s="47" t="inlineStr">
        <is>
          <t>P</t>
        </is>
      </c>
      <c r="DT58" s="47" t="n"/>
      <c r="DU58" s="47" t="n"/>
      <c r="DV58" s="47" t="inlineStr">
        <is>
          <t>A</t>
        </is>
      </c>
      <c r="DW58" s="47" t="inlineStr">
        <is>
          <t>P</t>
        </is>
      </c>
      <c r="DX58" s="47" t="n"/>
      <c r="DY58" s="47" t="n"/>
      <c r="DZ58" s="47" t="inlineStr">
        <is>
          <t>P</t>
        </is>
      </c>
      <c r="EA58" s="47" t="n"/>
      <c r="EB58" s="47" t="n"/>
      <c r="EC58" s="47" t="n"/>
      <c r="ED58" s="47" t="n"/>
      <c r="EE58" s="47" t="n"/>
      <c r="EF58" s="47" t="n"/>
      <c r="EG58" s="47" t="n"/>
      <c r="EH58" s="47" t="inlineStr">
        <is>
          <t>P</t>
        </is>
      </c>
      <c r="EI58" s="47" t="n"/>
      <c r="EJ58" s="47" t="n"/>
      <c r="EK58" s="47" t="inlineStr">
        <is>
          <t>P</t>
        </is>
      </c>
      <c r="EL58" s="47" t="inlineStr">
        <is>
          <t>P</t>
        </is>
      </c>
      <c r="EM58" s="47" t="n"/>
      <c r="EN58" s="47" t="n"/>
      <c r="EO58" s="47" t="inlineStr">
        <is>
          <t>P</t>
        </is>
      </c>
      <c r="EP58" s="47" t="inlineStr">
        <is>
          <t>P</t>
        </is>
      </c>
      <c r="EQ58" s="47" t="n"/>
      <c r="ER58" s="47" t="n"/>
      <c r="ES58" s="47" t="inlineStr">
        <is>
          <t>A</t>
        </is>
      </c>
      <c r="ET58" s="47" t="inlineStr">
        <is>
          <t>A</t>
        </is>
      </c>
      <c r="EU58" s="47" t="n"/>
      <c r="EV58" s="47" t="n"/>
      <c r="EW58" s="47" t="n"/>
      <c r="EX58" s="47" t="n"/>
      <c r="EY58" s="47" t="n"/>
      <c r="EZ58" s="47" t="n"/>
      <c r="FA58" s="47" t="n"/>
      <c r="FB58" s="47" t="inlineStr">
        <is>
          <t>P</t>
        </is>
      </c>
      <c r="FC58" s="47" t="n"/>
      <c r="FD58" s="47" t="n"/>
      <c r="FE58" s="47" t="inlineStr">
        <is>
          <t>P</t>
        </is>
      </c>
      <c r="FF58" s="47" t="inlineStr">
        <is>
          <t>P</t>
        </is>
      </c>
      <c r="FG58" s="47" t="n"/>
      <c r="FH58" s="47" t="n"/>
      <c r="FI58" s="47" t="inlineStr">
        <is>
          <t>P</t>
        </is>
      </c>
      <c r="FJ58" s="47" t="inlineStr">
        <is>
          <t>P</t>
        </is>
      </c>
      <c r="FK58" s="47" t="n"/>
      <c r="FL58" s="47" t="n"/>
      <c r="FM58" s="47" t="n"/>
      <c r="FN58" s="47" t="n"/>
      <c r="FO58" s="47" t="n"/>
      <c r="FP58" s="47" t="n"/>
      <c r="FQ58" s="47" t="n"/>
      <c r="FR58" s="47" t="inlineStr">
        <is>
          <t>P</t>
        </is>
      </c>
      <c r="FS58" s="47" t="n"/>
      <c r="FT58" s="47" t="n"/>
      <c r="FU58" s="47" t="n"/>
      <c r="FV58" s="47" t="n"/>
      <c r="FW58" s="47" t="n"/>
      <c r="FX58" s="47" t="n"/>
      <c r="FY58" s="47" t="inlineStr">
        <is>
          <t>A</t>
        </is>
      </c>
      <c r="FZ58" s="47" t="inlineStr">
        <is>
          <t>A</t>
        </is>
      </c>
      <c r="GA58" s="47" t="n"/>
      <c r="GB58" s="47" t="n"/>
      <c r="GC58" s="47" t="n"/>
      <c r="GD58" s="47" t="inlineStr">
        <is>
          <t>A</t>
        </is>
      </c>
      <c r="GE58" s="47" t="n"/>
      <c r="GF58" s="47" t="n"/>
      <c r="GG58" s="47" t="inlineStr">
        <is>
          <t>P</t>
        </is>
      </c>
      <c r="GH58" s="47" t="n"/>
      <c r="GI58" s="47" t="n"/>
    </row>
    <row r="59" ht="14.25" customHeight="1" s="34">
      <c r="A59" s="46" t="n">
        <v>56</v>
      </c>
      <c r="B59" s="46" t="inlineStr">
        <is>
          <t>325106410056</t>
        </is>
      </c>
      <c r="C59" s="46" t="inlineStr">
        <is>
          <t>RAKESH VANIMINA</t>
        </is>
      </c>
      <c r="D59" s="47" t="inlineStr">
        <is>
          <t>A</t>
        </is>
      </c>
      <c r="E59" s="47" t="n"/>
      <c r="F59" s="47" t="n"/>
      <c r="G59" s="47" t="n"/>
      <c r="H59" s="47" t="n"/>
      <c r="I59" s="47" t="inlineStr">
        <is>
          <t>A</t>
        </is>
      </c>
      <c r="J59" s="47" t="n"/>
      <c r="K59" s="47" t="n"/>
      <c r="L59" s="47" t="inlineStr">
        <is>
          <t>A</t>
        </is>
      </c>
      <c r="M59" s="47" t="n"/>
      <c r="N59" s="47" t="n"/>
      <c r="O59" s="47" t="n"/>
      <c r="P59" s="47" t="inlineStr">
        <is>
          <t>P</t>
        </is>
      </c>
      <c r="Q59" s="47" t="inlineStr">
        <is>
          <t>P</t>
        </is>
      </c>
      <c r="R59" s="47" t="n"/>
      <c r="S59" s="47" t="n"/>
      <c r="T59" s="47" t="inlineStr">
        <is>
          <t>P</t>
        </is>
      </c>
      <c r="U59" s="47" t="n"/>
      <c r="V59" s="47" t="n"/>
      <c r="W59" s="47" t="n"/>
      <c r="X59" s="47" t="n"/>
      <c r="Y59" s="47" t="n"/>
      <c r="Z59" s="47" t="n"/>
      <c r="AA59" s="47" t="n"/>
      <c r="AB59" s="47" t="n"/>
      <c r="AC59" s="47" t="inlineStr">
        <is>
          <t>P</t>
        </is>
      </c>
      <c r="AD59" s="47" t="n"/>
      <c r="AE59" s="47" t="n"/>
      <c r="AF59" s="47" t="inlineStr">
        <is>
          <t>P</t>
        </is>
      </c>
      <c r="AG59" s="47" t="n"/>
      <c r="AH59" s="47" t="n"/>
      <c r="AI59" s="47" t="n"/>
      <c r="AJ59" s="47" t="inlineStr">
        <is>
          <t>P</t>
        </is>
      </c>
      <c r="AK59" s="47" t="inlineStr">
        <is>
          <t>P</t>
        </is>
      </c>
      <c r="AL59" s="47" t="n"/>
      <c r="AM59" s="47" t="n"/>
      <c r="AN59" s="47" t="inlineStr">
        <is>
          <t>P</t>
        </is>
      </c>
      <c r="AO59" s="47" t="n"/>
      <c r="AP59" s="47" t="n"/>
      <c r="AQ59" s="47" t="n"/>
      <c r="AR59" s="47" t="inlineStr">
        <is>
          <t>P</t>
        </is>
      </c>
      <c r="AS59" s="47" t="n"/>
      <c r="AT59" s="47" t="n"/>
      <c r="AU59" s="47" t="n"/>
      <c r="AV59" s="47" t="n"/>
      <c r="AW59" s="47" t="inlineStr">
        <is>
          <t>A</t>
        </is>
      </c>
      <c r="AX59" s="47" t="n"/>
      <c r="AY59" s="47" t="n"/>
      <c r="AZ59" s="47" t="inlineStr">
        <is>
          <t>P</t>
        </is>
      </c>
      <c r="BA59" s="47" t="inlineStr">
        <is>
          <t>P</t>
        </is>
      </c>
      <c r="BB59" s="47" t="n"/>
      <c r="BC59" s="47" t="n"/>
      <c r="BD59" s="47" t="inlineStr">
        <is>
          <t>P</t>
        </is>
      </c>
      <c r="BE59" s="47" t="inlineStr">
        <is>
          <t>P</t>
        </is>
      </c>
      <c r="BF59" s="47" t="n"/>
      <c r="BG59" s="47" t="n"/>
      <c r="BH59" s="47" t="inlineStr">
        <is>
          <t>P</t>
        </is>
      </c>
      <c r="BI59" s="47" t="inlineStr">
        <is>
          <t>P</t>
        </is>
      </c>
      <c r="BJ59" s="47" t="n"/>
      <c r="BK59" s="47" t="n"/>
      <c r="BL59" s="47" t="n"/>
      <c r="BM59" s="47" t="n"/>
      <c r="BN59" s="47" t="n"/>
      <c r="BO59" s="47" t="n"/>
      <c r="BP59" s="47" t="n"/>
      <c r="BQ59" s="47" t="inlineStr">
        <is>
          <t>P</t>
        </is>
      </c>
      <c r="BR59" s="47" t="n"/>
      <c r="BS59" s="47" t="n"/>
      <c r="BT59" s="47" t="inlineStr">
        <is>
          <t>P</t>
        </is>
      </c>
      <c r="BU59" s="47" t="inlineStr">
        <is>
          <t>P</t>
        </is>
      </c>
      <c r="BV59" s="47" t="n"/>
      <c r="BW59" s="47" t="n"/>
      <c r="BX59" s="47" t="inlineStr">
        <is>
          <t>P</t>
        </is>
      </c>
      <c r="BY59" s="47" t="inlineStr">
        <is>
          <t>P</t>
        </is>
      </c>
      <c r="BZ59" s="47" t="n"/>
      <c r="CA59" s="47" t="n"/>
      <c r="CB59" s="47" t="inlineStr">
        <is>
          <t>P</t>
        </is>
      </c>
      <c r="CC59" s="47" t="n"/>
      <c r="CD59" s="47" t="n"/>
      <c r="CE59" s="47" t="n"/>
      <c r="CF59" s="47" t="inlineStr">
        <is>
          <t>P</t>
        </is>
      </c>
      <c r="CG59" s="47" t="n"/>
      <c r="CH59" s="47" t="n"/>
      <c r="CI59" s="47" t="n"/>
      <c r="CJ59" s="47" t="n"/>
      <c r="CK59" s="47" t="n"/>
      <c r="CL59" s="47" t="n"/>
      <c r="CM59" s="47" t="n"/>
      <c r="CN59" s="47" t="inlineStr">
        <is>
          <t>P</t>
        </is>
      </c>
      <c r="CO59" s="47" t="n"/>
      <c r="CP59" s="47" t="n"/>
      <c r="CQ59" s="47" t="inlineStr">
        <is>
          <t>P</t>
        </is>
      </c>
      <c r="CR59" s="47" t="inlineStr">
        <is>
          <t>P</t>
        </is>
      </c>
      <c r="CS59" s="47" t="n"/>
      <c r="CT59" s="47" t="n"/>
      <c r="CU59" s="47" t="inlineStr">
        <is>
          <t>A</t>
        </is>
      </c>
      <c r="CV59" s="47" t="inlineStr">
        <is>
          <t>P</t>
        </is>
      </c>
      <c r="CW59" s="47" t="n"/>
      <c r="CX59" s="47" t="n"/>
      <c r="CY59" s="47" t="n"/>
      <c r="CZ59" s="47" t="inlineStr">
        <is>
          <t>P</t>
        </is>
      </c>
      <c r="DA59" s="47" t="n"/>
      <c r="DB59" s="47" t="n"/>
      <c r="DC59" s="47" t="inlineStr">
        <is>
          <t>P</t>
        </is>
      </c>
      <c r="DD59" s="47" t="n"/>
      <c r="DE59" s="47" t="n"/>
      <c r="DF59" s="47" t="n"/>
      <c r="DG59" s="47" t="n"/>
      <c r="DH59" s="47" t="n"/>
      <c r="DI59" s="47" t="n"/>
      <c r="DJ59" s="47" t="n"/>
      <c r="DK59" s="47" t="inlineStr">
        <is>
          <t>P</t>
        </is>
      </c>
      <c r="DL59" s="47" t="n"/>
      <c r="DM59" s="47" t="n"/>
      <c r="DN59" s="47" t="inlineStr">
        <is>
          <t>P</t>
        </is>
      </c>
      <c r="DO59" s="47" t="inlineStr">
        <is>
          <t>P</t>
        </is>
      </c>
      <c r="DP59" s="47" t="n"/>
      <c r="DQ59" s="47" t="n"/>
      <c r="DR59" s="47" t="inlineStr">
        <is>
          <t>P</t>
        </is>
      </c>
      <c r="DS59" s="47" t="inlineStr">
        <is>
          <t>P</t>
        </is>
      </c>
      <c r="DT59" s="47" t="n"/>
      <c r="DU59" s="47" t="n"/>
      <c r="DV59" s="47" t="inlineStr">
        <is>
          <t>P</t>
        </is>
      </c>
      <c r="DW59" s="47" t="inlineStr">
        <is>
          <t>P</t>
        </is>
      </c>
      <c r="DX59" s="47" t="n"/>
      <c r="DY59" s="47" t="n"/>
      <c r="DZ59" s="47" t="inlineStr">
        <is>
          <t>P</t>
        </is>
      </c>
      <c r="EA59" s="47" t="n"/>
      <c r="EB59" s="47" t="n"/>
      <c r="EC59" s="47" t="n"/>
      <c r="ED59" s="47" t="n"/>
      <c r="EE59" s="47" t="n"/>
      <c r="EF59" s="47" t="n"/>
      <c r="EG59" s="47" t="n"/>
      <c r="EH59" s="47" t="inlineStr">
        <is>
          <t>A</t>
        </is>
      </c>
      <c r="EI59" s="47" t="n"/>
      <c r="EJ59" s="47" t="n"/>
      <c r="EK59" s="47" t="inlineStr">
        <is>
          <t>A</t>
        </is>
      </c>
      <c r="EL59" s="47" t="inlineStr">
        <is>
          <t>P</t>
        </is>
      </c>
      <c r="EM59" s="47" t="n"/>
      <c r="EN59" s="47" t="n"/>
      <c r="EO59" s="47" t="inlineStr">
        <is>
          <t>P</t>
        </is>
      </c>
      <c r="EP59" s="47" t="inlineStr">
        <is>
          <t>P</t>
        </is>
      </c>
      <c r="EQ59" s="47" t="n"/>
      <c r="ER59" s="47" t="n"/>
      <c r="ES59" s="47" t="inlineStr">
        <is>
          <t>P</t>
        </is>
      </c>
      <c r="ET59" s="47" t="inlineStr">
        <is>
          <t>P</t>
        </is>
      </c>
      <c r="EU59" s="47" t="n"/>
      <c r="EV59" s="47" t="n"/>
      <c r="EW59" s="47" t="n"/>
      <c r="EX59" s="47" t="n"/>
      <c r="EY59" s="47" t="n"/>
      <c r="EZ59" s="47" t="n"/>
      <c r="FA59" s="47" t="n"/>
      <c r="FB59" s="47" t="inlineStr">
        <is>
          <t>A</t>
        </is>
      </c>
      <c r="FC59" s="47" t="n"/>
      <c r="FD59" s="47" t="n"/>
      <c r="FE59" s="47" t="inlineStr">
        <is>
          <t>P</t>
        </is>
      </c>
      <c r="FF59" s="47" t="inlineStr">
        <is>
          <t>P</t>
        </is>
      </c>
      <c r="FG59" s="47" t="n"/>
      <c r="FH59" s="47" t="n"/>
      <c r="FI59" s="47" t="inlineStr">
        <is>
          <t>P</t>
        </is>
      </c>
      <c r="FJ59" s="47" t="inlineStr">
        <is>
          <t>P</t>
        </is>
      </c>
      <c r="FK59" s="47" t="n"/>
      <c r="FL59" s="47" t="n"/>
      <c r="FM59" s="47" t="n"/>
      <c r="FN59" s="47" t="n"/>
      <c r="FO59" s="47" t="n"/>
      <c r="FP59" s="47" t="n"/>
      <c r="FQ59" s="47" t="n"/>
      <c r="FR59" s="47" t="inlineStr">
        <is>
          <t>P</t>
        </is>
      </c>
      <c r="FS59" s="47" t="n"/>
      <c r="FT59" s="47" t="n"/>
      <c r="FU59" s="47" t="n"/>
      <c r="FV59" s="47" t="n"/>
      <c r="FW59" s="47" t="n"/>
      <c r="FX59" s="47" t="n"/>
      <c r="FY59" s="47" t="inlineStr">
        <is>
          <t>A</t>
        </is>
      </c>
      <c r="FZ59" s="47" t="inlineStr">
        <is>
          <t>A</t>
        </is>
      </c>
      <c r="GA59" s="47" t="n"/>
      <c r="GB59" s="47" t="n"/>
      <c r="GC59" s="47" t="n"/>
      <c r="GD59" s="47" t="inlineStr">
        <is>
          <t>P</t>
        </is>
      </c>
      <c r="GE59" s="47" t="n"/>
      <c r="GF59" s="47" t="n"/>
      <c r="GG59" s="47" t="inlineStr">
        <is>
          <t>P</t>
        </is>
      </c>
      <c r="GH59" s="47" t="n"/>
      <c r="GI59" s="47" t="n"/>
    </row>
    <row r="60" ht="14.25" customHeight="1" s="34">
      <c r="A60" s="46" t="n">
        <v>57</v>
      </c>
      <c r="B60" s="46" t="inlineStr">
        <is>
          <t>325106410057</t>
        </is>
      </c>
      <c r="C60" s="46" t="inlineStr">
        <is>
          <t>YASWANTH MANIKANTA VATTIPROLU</t>
        </is>
      </c>
      <c r="D60" s="47" t="inlineStr">
        <is>
          <t>A</t>
        </is>
      </c>
      <c r="E60" s="47" t="n"/>
      <c r="F60" s="47" t="n"/>
      <c r="G60" s="47" t="n"/>
      <c r="H60" s="47" t="n"/>
      <c r="I60" s="47" t="inlineStr">
        <is>
          <t>A</t>
        </is>
      </c>
      <c r="J60" s="47" t="n"/>
      <c r="K60" s="47" t="n"/>
      <c r="L60" s="47" t="inlineStr">
        <is>
          <t>A</t>
        </is>
      </c>
      <c r="M60" s="47" t="n"/>
      <c r="N60" s="47" t="n"/>
      <c r="O60" s="47" t="n"/>
      <c r="P60" s="47" t="inlineStr">
        <is>
          <t>P</t>
        </is>
      </c>
      <c r="Q60" s="47" t="inlineStr">
        <is>
          <t>P</t>
        </is>
      </c>
      <c r="R60" s="47" t="n"/>
      <c r="S60" s="47" t="n"/>
      <c r="T60" s="47" t="inlineStr">
        <is>
          <t>P</t>
        </is>
      </c>
      <c r="U60" s="47" t="n"/>
      <c r="V60" s="47" t="n"/>
      <c r="W60" s="47" t="n"/>
      <c r="X60" s="47" t="n"/>
      <c r="Y60" s="47" t="n"/>
      <c r="Z60" s="47" t="n"/>
      <c r="AA60" s="47" t="n"/>
      <c r="AB60" s="47" t="n"/>
      <c r="AC60" s="47" t="inlineStr">
        <is>
          <t>P</t>
        </is>
      </c>
      <c r="AD60" s="47" t="n"/>
      <c r="AE60" s="47" t="n"/>
      <c r="AF60" s="47" t="inlineStr">
        <is>
          <t>P</t>
        </is>
      </c>
      <c r="AG60" s="47" t="n"/>
      <c r="AH60" s="47" t="n"/>
      <c r="AI60" s="47" t="n"/>
      <c r="AJ60" s="47" t="inlineStr">
        <is>
          <t>P</t>
        </is>
      </c>
      <c r="AK60" s="47" t="inlineStr">
        <is>
          <t>P</t>
        </is>
      </c>
      <c r="AL60" s="47" t="n"/>
      <c r="AM60" s="47" t="n"/>
      <c r="AN60" s="47" t="inlineStr">
        <is>
          <t>P</t>
        </is>
      </c>
      <c r="AO60" s="47" t="n"/>
      <c r="AP60" s="47" t="n"/>
      <c r="AQ60" s="47" t="n"/>
      <c r="AR60" s="47" t="inlineStr">
        <is>
          <t>P</t>
        </is>
      </c>
      <c r="AS60" s="47" t="n"/>
      <c r="AT60" s="47" t="n"/>
      <c r="AU60" s="47" t="n"/>
      <c r="AV60" s="47" t="n"/>
      <c r="AW60" s="47" t="inlineStr">
        <is>
          <t>A</t>
        </is>
      </c>
      <c r="AX60" s="47" t="n"/>
      <c r="AY60" s="47" t="n"/>
      <c r="AZ60" s="47" t="inlineStr">
        <is>
          <t>A</t>
        </is>
      </c>
      <c r="BA60" s="47" t="inlineStr">
        <is>
          <t>P</t>
        </is>
      </c>
      <c r="BB60" s="47" t="n"/>
      <c r="BC60" s="47" t="n"/>
      <c r="BD60" s="47" t="inlineStr">
        <is>
          <t>A</t>
        </is>
      </c>
      <c r="BE60" s="47" t="inlineStr">
        <is>
          <t>A</t>
        </is>
      </c>
      <c r="BF60" s="47" t="n"/>
      <c r="BG60" s="47" t="n"/>
      <c r="BH60" s="47" t="inlineStr">
        <is>
          <t>A</t>
        </is>
      </c>
      <c r="BI60" s="47" t="inlineStr">
        <is>
          <t>P</t>
        </is>
      </c>
      <c r="BJ60" s="47" t="n"/>
      <c r="BK60" s="47" t="n"/>
      <c r="BL60" s="47" t="n"/>
      <c r="BM60" s="47" t="n"/>
      <c r="BN60" s="47" t="n"/>
      <c r="BO60" s="47" t="n"/>
      <c r="BP60" s="47" t="n"/>
      <c r="BQ60" s="47" t="inlineStr">
        <is>
          <t>P</t>
        </is>
      </c>
      <c r="BR60" s="47" t="n"/>
      <c r="BS60" s="47" t="n"/>
      <c r="BT60" s="47" t="inlineStr">
        <is>
          <t>P</t>
        </is>
      </c>
      <c r="BU60" s="47" t="inlineStr">
        <is>
          <t>P</t>
        </is>
      </c>
      <c r="BV60" s="47" t="n"/>
      <c r="BW60" s="47" t="n"/>
      <c r="BX60" s="47" t="inlineStr">
        <is>
          <t>P</t>
        </is>
      </c>
      <c r="BY60" s="47" t="inlineStr">
        <is>
          <t>P</t>
        </is>
      </c>
      <c r="BZ60" s="47" t="n"/>
      <c r="CA60" s="47" t="n"/>
      <c r="CB60" s="47" t="inlineStr">
        <is>
          <t>P</t>
        </is>
      </c>
      <c r="CC60" s="47" t="n"/>
      <c r="CD60" s="47" t="n"/>
      <c r="CE60" s="47" t="n"/>
      <c r="CF60" s="47" t="inlineStr">
        <is>
          <t>P</t>
        </is>
      </c>
      <c r="CG60" s="47" t="n"/>
      <c r="CH60" s="47" t="n"/>
      <c r="CI60" s="47" t="n"/>
      <c r="CJ60" s="47" t="n"/>
      <c r="CK60" s="47" t="n"/>
      <c r="CL60" s="47" t="n"/>
      <c r="CM60" s="47" t="n"/>
      <c r="CN60" s="47" t="inlineStr">
        <is>
          <t>P</t>
        </is>
      </c>
      <c r="CO60" s="47" t="n"/>
      <c r="CP60" s="47" t="n"/>
      <c r="CQ60" s="47" t="inlineStr">
        <is>
          <t>A</t>
        </is>
      </c>
      <c r="CR60" s="47" t="inlineStr">
        <is>
          <t>A</t>
        </is>
      </c>
      <c r="CS60" s="47" t="n"/>
      <c r="CT60" s="47" t="n"/>
      <c r="CU60" s="47" t="inlineStr">
        <is>
          <t>P</t>
        </is>
      </c>
      <c r="CV60" s="47" t="inlineStr">
        <is>
          <t>A</t>
        </is>
      </c>
      <c r="CW60" s="47" t="n"/>
      <c r="CX60" s="47" t="n"/>
      <c r="CY60" s="47" t="n"/>
      <c r="CZ60" s="47" t="inlineStr">
        <is>
          <t>P</t>
        </is>
      </c>
      <c r="DA60" s="47" t="n"/>
      <c r="DB60" s="47" t="n"/>
      <c r="DC60" s="47" t="inlineStr">
        <is>
          <t>P</t>
        </is>
      </c>
      <c r="DD60" s="47" t="n"/>
      <c r="DE60" s="47" t="n"/>
      <c r="DF60" s="47" t="n"/>
      <c r="DG60" s="47" t="n"/>
      <c r="DH60" s="47" t="n"/>
      <c r="DI60" s="47" t="n"/>
      <c r="DJ60" s="47" t="n"/>
      <c r="DK60" s="47" t="inlineStr">
        <is>
          <t>P</t>
        </is>
      </c>
      <c r="DL60" s="47" t="n"/>
      <c r="DM60" s="47" t="n"/>
      <c r="DN60" s="47" t="inlineStr">
        <is>
          <t>P</t>
        </is>
      </c>
      <c r="DO60" s="47" t="inlineStr">
        <is>
          <t>P</t>
        </is>
      </c>
      <c r="DP60" s="47" t="n"/>
      <c r="DQ60" s="47" t="n"/>
      <c r="DR60" s="47" t="inlineStr">
        <is>
          <t>P</t>
        </is>
      </c>
      <c r="DS60" s="47" t="inlineStr">
        <is>
          <t>P</t>
        </is>
      </c>
      <c r="DT60" s="47" t="n"/>
      <c r="DU60" s="47" t="n"/>
      <c r="DV60" s="47" t="inlineStr">
        <is>
          <t>P</t>
        </is>
      </c>
      <c r="DW60" s="47" t="inlineStr">
        <is>
          <t>P</t>
        </is>
      </c>
      <c r="DX60" s="47" t="n"/>
      <c r="DY60" s="47" t="n"/>
      <c r="DZ60" s="47" t="inlineStr">
        <is>
          <t>P</t>
        </is>
      </c>
      <c r="EA60" s="47" t="n"/>
      <c r="EB60" s="47" t="n"/>
      <c r="EC60" s="47" t="n"/>
      <c r="ED60" s="47" t="n"/>
      <c r="EE60" s="47" t="n"/>
      <c r="EF60" s="47" t="n"/>
      <c r="EG60" s="47" t="n"/>
      <c r="EH60" s="47" t="inlineStr">
        <is>
          <t>A</t>
        </is>
      </c>
      <c r="EI60" s="47" t="n"/>
      <c r="EJ60" s="47" t="n"/>
      <c r="EK60" s="47" t="inlineStr">
        <is>
          <t>P</t>
        </is>
      </c>
      <c r="EL60" s="47" t="inlineStr">
        <is>
          <t>P</t>
        </is>
      </c>
      <c r="EM60" s="47" t="n"/>
      <c r="EN60" s="47" t="n"/>
      <c r="EO60" s="47" t="inlineStr">
        <is>
          <t>P</t>
        </is>
      </c>
      <c r="EP60" s="47" t="inlineStr">
        <is>
          <t>P</t>
        </is>
      </c>
      <c r="EQ60" s="47" t="n"/>
      <c r="ER60" s="47" t="n"/>
      <c r="ES60" s="47" t="inlineStr">
        <is>
          <t>P</t>
        </is>
      </c>
      <c r="ET60" s="47" t="inlineStr">
        <is>
          <t>P</t>
        </is>
      </c>
      <c r="EU60" s="47" t="n"/>
      <c r="EV60" s="47" t="n"/>
      <c r="EW60" s="47" t="n"/>
      <c r="EX60" s="47" t="n"/>
      <c r="EY60" s="47" t="n"/>
      <c r="EZ60" s="47" t="n"/>
      <c r="FA60" s="47" t="n"/>
      <c r="FB60" s="47" t="inlineStr">
        <is>
          <t>P</t>
        </is>
      </c>
      <c r="FC60" s="47" t="n"/>
      <c r="FD60" s="47" t="n"/>
      <c r="FE60" s="47" t="inlineStr">
        <is>
          <t>P</t>
        </is>
      </c>
      <c r="FF60" s="47" t="inlineStr">
        <is>
          <t>P</t>
        </is>
      </c>
      <c r="FG60" s="47" t="n"/>
      <c r="FH60" s="47" t="n"/>
      <c r="FI60" s="47" t="inlineStr">
        <is>
          <t>A</t>
        </is>
      </c>
      <c r="FJ60" s="47" t="inlineStr">
        <is>
          <t>P</t>
        </is>
      </c>
      <c r="FK60" s="47" t="n"/>
      <c r="FL60" s="47" t="n"/>
      <c r="FM60" s="47" t="n"/>
      <c r="FN60" s="47" t="n"/>
      <c r="FO60" s="47" t="n"/>
      <c r="FP60" s="47" t="n"/>
      <c r="FQ60" s="47" t="n"/>
      <c r="FR60" s="47" t="inlineStr">
        <is>
          <t>P</t>
        </is>
      </c>
      <c r="FS60" s="47" t="n"/>
      <c r="FT60" s="47" t="n"/>
      <c r="FU60" s="47" t="n"/>
      <c r="FV60" s="47" t="n"/>
      <c r="FW60" s="47" t="n"/>
      <c r="FX60" s="47" t="n"/>
      <c r="FY60" s="47" t="inlineStr">
        <is>
          <t>P</t>
        </is>
      </c>
      <c r="FZ60" s="47" t="inlineStr">
        <is>
          <t>P</t>
        </is>
      </c>
      <c r="GA60" s="47" t="n"/>
      <c r="GB60" s="47" t="n"/>
      <c r="GC60" s="47" t="n"/>
      <c r="GD60" s="47" t="inlineStr">
        <is>
          <t>A</t>
        </is>
      </c>
      <c r="GE60" s="47" t="n"/>
      <c r="GF60" s="47" t="n"/>
      <c r="GG60" s="47" t="inlineStr">
        <is>
          <t>P</t>
        </is>
      </c>
      <c r="GH60" s="47" t="n"/>
      <c r="GI60" s="47" t="n"/>
    </row>
    <row r="61" ht="14.25" customHeight="1" s="34">
      <c r="A61" s="46" t="n">
        <v>58</v>
      </c>
      <c r="B61" s="46" t="inlineStr">
        <is>
          <t>325106410058</t>
        </is>
      </c>
      <c r="C61" s="46" t="inlineStr">
        <is>
          <t>VEDA VARSHIT GOKAVARAPU</t>
        </is>
      </c>
      <c r="D61" s="47" t="inlineStr">
        <is>
          <t>A</t>
        </is>
      </c>
      <c r="E61" s="47" t="n"/>
      <c r="F61" s="47" t="n"/>
      <c r="G61" s="47" t="n"/>
      <c r="H61" s="47" t="n"/>
      <c r="I61" s="47" t="inlineStr">
        <is>
          <t>P</t>
        </is>
      </c>
      <c r="J61" s="47" t="n"/>
      <c r="K61" s="47" t="n"/>
      <c r="L61" s="47" t="inlineStr">
        <is>
          <t>P</t>
        </is>
      </c>
      <c r="M61" s="47" t="n"/>
      <c r="N61" s="47" t="n"/>
      <c r="O61" s="47" t="n"/>
      <c r="P61" s="47" t="inlineStr">
        <is>
          <t>P</t>
        </is>
      </c>
      <c r="Q61" s="47" t="inlineStr">
        <is>
          <t>P</t>
        </is>
      </c>
      <c r="R61" s="47" t="n"/>
      <c r="S61" s="47" t="n"/>
      <c r="T61" s="47" t="inlineStr">
        <is>
          <t>P</t>
        </is>
      </c>
      <c r="U61" s="47" t="n"/>
      <c r="V61" s="47" t="n"/>
      <c r="W61" s="47" t="n"/>
      <c r="X61" s="47" t="n"/>
      <c r="Y61" s="47" t="n"/>
      <c r="Z61" s="47" t="n"/>
      <c r="AA61" s="47" t="n"/>
      <c r="AB61" s="47" t="n"/>
      <c r="AC61" s="47" t="inlineStr">
        <is>
          <t>P</t>
        </is>
      </c>
      <c r="AD61" s="47" t="n"/>
      <c r="AE61" s="47" t="n"/>
      <c r="AF61" s="47" t="inlineStr">
        <is>
          <t>P</t>
        </is>
      </c>
      <c r="AG61" s="47" t="n"/>
      <c r="AH61" s="47" t="n"/>
      <c r="AI61" s="47" t="n"/>
      <c r="AJ61" s="47" t="inlineStr">
        <is>
          <t>P</t>
        </is>
      </c>
      <c r="AK61" s="47" t="inlineStr">
        <is>
          <t>P</t>
        </is>
      </c>
      <c r="AL61" s="47" t="n"/>
      <c r="AM61" s="47" t="n"/>
      <c r="AN61" s="47" t="inlineStr">
        <is>
          <t>P</t>
        </is>
      </c>
      <c r="AO61" s="47" t="n"/>
      <c r="AP61" s="47" t="n"/>
      <c r="AQ61" s="47" t="n"/>
      <c r="AR61" s="47" t="inlineStr">
        <is>
          <t>P</t>
        </is>
      </c>
      <c r="AS61" s="47" t="n"/>
      <c r="AT61" s="47" t="n"/>
      <c r="AU61" s="47" t="n"/>
      <c r="AV61" s="47" t="n"/>
      <c r="AW61" s="47" t="inlineStr">
        <is>
          <t>P</t>
        </is>
      </c>
      <c r="AX61" s="47" t="n"/>
      <c r="AY61" s="47" t="n"/>
      <c r="AZ61" s="47" t="inlineStr">
        <is>
          <t>A</t>
        </is>
      </c>
      <c r="BA61" s="47" t="inlineStr">
        <is>
          <t>P</t>
        </is>
      </c>
      <c r="BB61" s="47" t="n"/>
      <c r="BC61" s="47" t="n"/>
      <c r="BD61" s="47" t="inlineStr">
        <is>
          <t>A</t>
        </is>
      </c>
      <c r="BE61" s="47" t="inlineStr">
        <is>
          <t>A</t>
        </is>
      </c>
      <c r="BF61" s="47" t="n"/>
      <c r="BG61" s="47" t="n"/>
      <c r="BH61" s="47" t="inlineStr">
        <is>
          <t>A</t>
        </is>
      </c>
      <c r="BI61" s="47" t="inlineStr">
        <is>
          <t>P</t>
        </is>
      </c>
      <c r="BJ61" s="47" t="n"/>
      <c r="BK61" s="47" t="n"/>
      <c r="BL61" s="47" t="n"/>
      <c r="BM61" s="47" t="n"/>
      <c r="BN61" s="47" t="n"/>
      <c r="BO61" s="47" t="n"/>
      <c r="BP61" s="47" t="n"/>
      <c r="BQ61" s="47" t="inlineStr">
        <is>
          <t>P</t>
        </is>
      </c>
      <c r="BR61" s="47" t="n"/>
      <c r="BS61" s="47" t="n"/>
      <c r="BT61" s="47" t="inlineStr">
        <is>
          <t>P</t>
        </is>
      </c>
      <c r="BU61" s="47" t="inlineStr">
        <is>
          <t>P</t>
        </is>
      </c>
      <c r="BV61" s="47" t="n"/>
      <c r="BW61" s="47" t="n"/>
      <c r="BX61" s="47" t="inlineStr">
        <is>
          <t>P</t>
        </is>
      </c>
      <c r="BY61" s="47" t="inlineStr">
        <is>
          <t>P</t>
        </is>
      </c>
      <c r="BZ61" s="47" t="n"/>
      <c r="CA61" s="47" t="n"/>
      <c r="CB61" s="47" t="inlineStr">
        <is>
          <t>P</t>
        </is>
      </c>
      <c r="CC61" s="47" t="n"/>
      <c r="CD61" s="47" t="n"/>
      <c r="CE61" s="47" t="n"/>
      <c r="CF61" s="47" t="inlineStr">
        <is>
          <t>P</t>
        </is>
      </c>
      <c r="CG61" s="47" t="n"/>
      <c r="CH61" s="47" t="n"/>
      <c r="CI61" s="47" t="n"/>
      <c r="CJ61" s="47" t="n"/>
      <c r="CK61" s="47" t="n"/>
      <c r="CL61" s="47" t="n"/>
      <c r="CM61" s="47" t="n"/>
      <c r="CN61" s="47" t="inlineStr">
        <is>
          <t>P</t>
        </is>
      </c>
      <c r="CO61" s="47" t="n"/>
      <c r="CP61" s="47" t="n"/>
      <c r="CQ61" s="47" t="inlineStr">
        <is>
          <t>P</t>
        </is>
      </c>
      <c r="CR61" s="47" t="inlineStr">
        <is>
          <t>P</t>
        </is>
      </c>
      <c r="CS61" s="47" t="n"/>
      <c r="CT61" s="47" t="n"/>
      <c r="CU61" s="47" t="inlineStr">
        <is>
          <t>P</t>
        </is>
      </c>
      <c r="CV61" s="47" t="inlineStr">
        <is>
          <t>P</t>
        </is>
      </c>
      <c r="CW61" s="47" t="n"/>
      <c r="CX61" s="47" t="n"/>
      <c r="CY61" s="47" t="n"/>
      <c r="CZ61" s="47" t="inlineStr">
        <is>
          <t>P</t>
        </is>
      </c>
      <c r="DA61" s="47" t="n"/>
      <c r="DB61" s="47" t="n"/>
      <c r="DC61" s="47" t="inlineStr">
        <is>
          <t>P</t>
        </is>
      </c>
      <c r="DD61" s="47" t="n"/>
      <c r="DE61" s="47" t="n"/>
      <c r="DF61" s="47" t="n"/>
      <c r="DG61" s="47" t="n"/>
      <c r="DH61" s="47" t="n"/>
      <c r="DI61" s="47" t="n"/>
      <c r="DJ61" s="47" t="n"/>
      <c r="DK61" s="47" t="inlineStr">
        <is>
          <t>P</t>
        </is>
      </c>
      <c r="DL61" s="47" t="n"/>
      <c r="DM61" s="47" t="n"/>
      <c r="DN61" s="47" t="inlineStr">
        <is>
          <t>P</t>
        </is>
      </c>
      <c r="DO61" s="47" t="inlineStr">
        <is>
          <t>P</t>
        </is>
      </c>
      <c r="DP61" s="47" t="n"/>
      <c r="DQ61" s="47" t="n"/>
      <c r="DR61" s="47" t="inlineStr">
        <is>
          <t>P</t>
        </is>
      </c>
      <c r="DS61" s="47" t="inlineStr">
        <is>
          <t>P</t>
        </is>
      </c>
      <c r="DT61" s="47" t="n"/>
      <c r="DU61" s="47" t="n"/>
      <c r="DV61" s="47" t="inlineStr">
        <is>
          <t>P</t>
        </is>
      </c>
      <c r="DW61" s="47" t="inlineStr">
        <is>
          <t>P</t>
        </is>
      </c>
      <c r="DX61" s="47" t="n"/>
      <c r="DY61" s="47" t="n"/>
      <c r="DZ61" s="47" t="inlineStr">
        <is>
          <t>A</t>
        </is>
      </c>
      <c r="EA61" s="47" t="n"/>
      <c r="EB61" s="47" t="n"/>
      <c r="EC61" s="47" t="n"/>
      <c r="ED61" s="47" t="n"/>
      <c r="EE61" s="47" t="n"/>
      <c r="EF61" s="47" t="n"/>
      <c r="EG61" s="47" t="n"/>
      <c r="EH61" s="47" t="inlineStr">
        <is>
          <t>P</t>
        </is>
      </c>
      <c r="EI61" s="47" t="n"/>
      <c r="EJ61" s="47" t="n"/>
      <c r="EK61" s="47" t="inlineStr">
        <is>
          <t>P</t>
        </is>
      </c>
      <c r="EL61" s="47" t="inlineStr">
        <is>
          <t>P</t>
        </is>
      </c>
      <c r="EM61" s="47" t="n"/>
      <c r="EN61" s="47" t="n"/>
      <c r="EO61" s="47" t="inlineStr">
        <is>
          <t>P</t>
        </is>
      </c>
      <c r="EP61" s="47" t="inlineStr">
        <is>
          <t>P</t>
        </is>
      </c>
      <c r="EQ61" s="47" t="n"/>
      <c r="ER61" s="47" t="n"/>
      <c r="ES61" s="47" t="inlineStr">
        <is>
          <t>P</t>
        </is>
      </c>
      <c r="ET61" s="47" t="inlineStr">
        <is>
          <t>P</t>
        </is>
      </c>
      <c r="EU61" s="47" t="n"/>
      <c r="EV61" s="47" t="n"/>
      <c r="EW61" s="47" t="n"/>
      <c r="EX61" s="47" t="n"/>
      <c r="EY61" s="47" t="n"/>
      <c r="EZ61" s="47" t="n"/>
      <c r="FA61" s="47" t="n"/>
      <c r="FB61" s="47" t="inlineStr">
        <is>
          <t>P</t>
        </is>
      </c>
      <c r="FC61" s="47" t="n"/>
      <c r="FD61" s="47" t="n"/>
      <c r="FE61" s="47" t="inlineStr">
        <is>
          <t>P</t>
        </is>
      </c>
      <c r="FF61" s="47" t="inlineStr">
        <is>
          <t>P</t>
        </is>
      </c>
      <c r="FG61" s="47" t="n"/>
      <c r="FH61" s="47" t="n"/>
      <c r="FI61" s="47" t="inlineStr">
        <is>
          <t>P</t>
        </is>
      </c>
      <c r="FJ61" s="47" t="inlineStr">
        <is>
          <t>P</t>
        </is>
      </c>
      <c r="FK61" s="47" t="n"/>
      <c r="FL61" s="47" t="n"/>
      <c r="FM61" s="47" t="n"/>
      <c r="FN61" s="47" t="n"/>
      <c r="FO61" s="47" t="n"/>
      <c r="FP61" s="47" t="n"/>
      <c r="FQ61" s="47" t="n"/>
      <c r="FR61" s="47" t="inlineStr">
        <is>
          <t>P</t>
        </is>
      </c>
      <c r="FS61" s="47" t="n"/>
      <c r="FT61" s="47" t="n"/>
      <c r="FU61" s="47" t="n"/>
      <c r="FV61" s="47" t="n"/>
      <c r="FW61" s="47" t="n"/>
      <c r="FX61" s="47" t="n"/>
      <c r="FY61" s="47" t="inlineStr">
        <is>
          <t>P</t>
        </is>
      </c>
      <c r="FZ61" s="47" t="inlineStr">
        <is>
          <t>P</t>
        </is>
      </c>
      <c r="GA61" s="47" t="n"/>
      <c r="GB61" s="47" t="n"/>
      <c r="GC61" s="47" t="n"/>
      <c r="GD61" s="47" t="inlineStr">
        <is>
          <t>P</t>
        </is>
      </c>
      <c r="GE61" s="47" t="n"/>
      <c r="GF61" s="47" t="n"/>
      <c r="GG61" s="47" t="inlineStr">
        <is>
          <t>P</t>
        </is>
      </c>
      <c r="GH61" s="47" t="n"/>
      <c r="GI61" s="47" t="n"/>
    </row>
    <row r="62" ht="14.25" customHeight="1" s="34">
      <c r="A62" s="46" t="n">
        <v>59</v>
      </c>
      <c r="B62" s="46" t="inlineStr">
        <is>
          <t>325106410059</t>
        </is>
      </c>
      <c r="C62" s="46" t="inlineStr">
        <is>
          <t>SAI KEERTHANA VEMURI</t>
        </is>
      </c>
      <c r="D62" s="47" t="inlineStr">
        <is>
          <t>A</t>
        </is>
      </c>
      <c r="E62" s="47" t="n"/>
      <c r="F62" s="47" t="n"/>
      <c r="G62" s="47" t="n"/>
      <c r="H62" s="47" t="n"/>
      <c r="I62" s="47" t="inlineStr">
        <is>
          <t>A</t>
        </is>
      </c>
      <c r="J62" s="47" t="n"/>
      <c r="K62" s="47" t="n"/>
      <c r="L62" s="47" t="inlineStr">
        <is>
          <t>P</t>
        </is>
      </c>
      <c r="M62" s="47" t="n"/>
      <c r="N62" s="47" t="n"/>
      <c r="O62" s="47" t="n"/>
      <c r="P62" s="47" t="inlineStr">
        <is>
          <t>P</t>
        </is>
      </c>
      <c r="Q62" s="47" t="inlineStr">
        <is>
          <t>P</t>
        </is>
      </c>
      <c r="R62" s="47" t="n"/>
      <c r="S62" s="47" t="n"/>
      <c r="T62" s="47" t="inlineStr">
        <is>
          <t>P</t>
        </is>
      </c>
      <c r="U62" s="47" t="n"/>
      <c r="V62" s="47" t="n"/>
      <c r="W62" s="47" t="n"/>
      <c r="X62" s="47" t="n"/>
      <c r="Y62" s="47" t="n"/>
      <c r="Z62" s="47" t="n"/>
      <c r="AA62" s="47" t="n"/>
      <c r="AB62" s="47" t="n"/>
      <c r="AC62" s="47" t="inlineStr">
        <is>
          <t>P</t>
        </is>
      </c>
      <c r="AD62" s="47" t="n"/>
      <c r="AE62" s="47" t="n"/>
      <c r="AF62" s="47" t="inlineStr">
        <is>
          <t>A</t>
        </is>
      </c>
      <c r="AG62" s="47" t="n"/>
      <c r="AH62" s="47" t="n"/>
      <c r="AI62" s="47" t="n"/>
      <c r="AJ62" s="47" t="inlineStr">
        <is>
          <t>P</t>
        </is>
      </c>
      <c r="AK62" s="47" t="inlineStr">
        <is>
          <t>P</t>
        </is>
      </c>
      <c r="AL62" s="47" t="n"/>
      <c r="AM62" s="47" t="n"/>
      <c r="AN62" s="47" t="inlineStr">
        <is>
          <t>P</t>
        </is>
      </c>
      <c r="AO62" s="47" t="n"/>
      <c r="AP62" s="47" t="n"/>
      <c r="AQ62" s="47" t="n"/>
      <c r="AR62" s="47" t="inlineStr">
        <is>
          <t>P</t>
        </is>
      </c>
      <c r="AS62" s="47" t="n"/>
      <c r="AT62" s="47" t="n"/>
      <c r="AU62" s="47" t="n"/>
      <c r="AV62" s="47" t="n"/>
      <c r="AW62" s="47" t="inlineStr">
        <is>
          <t>P</t>
        </is>
      </c>
      <c r="AX62" s="47" t="n"/>
      <c r="AY62" s="47" t="n"/>
      <c r="AZ62" s="47" t="inlineStr">
        <is>
          <t>A</t>
        </is>
      </c>
      <c r="BA62" s="47" t="inlineStr">
        <is>
          <t>P</t>
        </is>
      </c>
      <c r="BB62" s="47" t="n"/>
      <c r="BC62" s="47" t="n"/>
      <c r="BD62" s="47" t="inlineStr">
        <is>
          <t>P</t>
        </is>
      </c>
      <c r="BE62" s="47" t="inlineStr">
        <is>
          <t>P</t>
        </is>
      </c>
      <c r="BF62" s="47" t="n"/>
      <c r="BG62" s="47" t="n"/>
      <c r="BH62" s="47" t="inlineStr">
        <is>
          <t>P</t>
        </is>
      </c>
      <c r="BI62" s="47" t="inlineStr">
        <is>
          <t>P</t>
        </is>
      </c>
      <c r="BJ62" s="47" t="n"/>
      <c r="BK62" s="47" t="n"/>
      <c r="BL62" s="47" t="n"/>
      <c r="BM62" s="47" t="n"/>
      <c r="BN62" s="47" t="n"/>
      <c r="BO62" s="47" t="n"/>
      <c r="BP62" s="47" t="n"/>
      <c r="BQ62" s="47" t="inlineStr">
        <is>
          <t>P</t>
        </is>
      </c>
      <c r="BR62" s="47" t="n"/>
      <c r="BS62" s="47" t="n"/>
      <c r="BT62" s="47" t="inlineStr">
        <is>
          <t>P</t>
        </is>
      </c>
      <c r="BU62" s="47" t="inlineStr">
        <is>
          <t>P</t>
        </is>
      </c>
      <c r="BV62" s="47" t="n"/>
      <c r="BW62" s="47" t="n"/>
      <c r="BX62" s="47" t="inlineStr">
        <is>
          <t>P</t>
        </is>
      </c>
      <c r="BY62" s="47" t="inlineStr">
        <is>
          <t>P</t>
        </is>
      </c>
      <c r="BZ62" s="47" t="n"/>
      <c r="CA62" s="47" t="n"/>
      <c r="CB62" s="47" t="inlineStr">
        <is>
          <t>P</t>
        </is>
      </c>
      <c r="CC62" s="47" t="n"/>
      <c r="CD62" s="47" t="n"/>
      <c r="CE62" s="47" t="n"/>
      <c r="CF62" s="47" t="inlineStr">
        <is>
          <t>P</t>
        </is>
      </c>
      <c r="CG62" s="47" t="n"/>
      <c r="CH62" s="47" t="n"/>
      <c r="CI62" s="47" t="n"/>
      <c r="CJ62" s="47" t="n"/>
      <c r="CK62" s="47" t="n"/>
      <c r="CL62" s="47" t="n"/>
      <c r="CM62" s="47" t="n"/>
      <c r="CN62" s="47" t="inlineStr">
        <is>
          <t>P</t>
        </is>
      </c>
      <c r="CO62" s="47" t="n"/>
      <c r="CP62" s="47" t="n"/>
      <c r="CQ62" s="47" t="inlineStr">
        <is>
          <t>P</t>
        </is>
      </c>
      <c r="CR62" s="47" t="inlineStr">
        <is>
          <t>P</t>
        </is>
      </c>
      <c r="CS62" s="47" t="n"/>
      <c r="CT62" s="47" t="n"/>
      <c r="CU62" s="47" t="inlineStr">
        <is>
          <t>A</t>
        </is>
      </c>
      <c r="CV62" s="47" t="inlineStr">
        <is>
          <t>P</t>
        </is>
      </c>
      <c r="CW62" s="47" t="n"/>
      <c r="CX62" s="47" t="n"/>
      <c r="CY62" s="47" t="n"/>
      <c r="CZ62" s="47" t="inlineStr">
        <is>
          <t>A</t>
        </is>
      </c>
      <c r="DA62" s="47" t="n"/>
      <c r="DB62" s="47" t="n"/>
      <c r="DC62" s="47" t="inlineStr">
        <is>
          <t>P</t>
        </is>
      </c>
      <c r="DD62" s="47" t="n"/>
      <c r="DE62" s="47" t="n"/>
      <c r="DF62" s="47" t="n"/>
      <c r="DG62" s="47" t="n"/>
      <c r="DH62" s="47" t="n"/>
      <c r="DI62" s="47" t="n"/>
      <c r="DJ62" s="47" t="n"/>
      <c r="DK62" s="47" t="inlineStr">
        <is>
          <t>A</t>
        </is>
      </c>
      <c r="DL62" s="47" t="n"/>
      <c r="DM62" s="47" t="n"/>
      <c r="DN62" s="47" t="inlineStr">
        <is>
          <t>P</t>
        </is>
      </c>
      <c r="DO62" s="47" t="inlineStr">
        <is>
          <t>P</t>
        </is>
      </c>
      <c r="DP62" s="47" t="n"/>
      <c r="DQ62" s="47" t="n"/>
      <c r="DR62" s="47" t="inlineStr">
        <is>
          <t>A</t>
        </is>
      </c>
      <c r="DS62" s="47" t="inlineStr">
        <is>
          <t>P</t>
        </is>
      </c>
      <c r="DT62" s="47" t="n"/>
      <c r="DU62" s="47" t="n"/>
      <c r="DV62" s="47" t="inlineStr">
        <is>
          <t>P</t>
        </is>
      </c>
      <c r="DW62" s="47" t="inlineStr">
        <is>
          <t>P</t>
        </is>
      </c>
      <c r="DX62" s="47" t="n"/>
      <c r="DY62" s="47" t="n"/>
      <c r="DZ62" s="47" t="inlineStr">
        <is>
          <t>A</t>
        </is>
      </c>
      <c r="EA62" s="47" t="n"/>
      <c r="EB62" s="47" t="n"/>
      <c r="EC62" s="47" t="n"/>
      <c r="ED62" s="47" t="n"/>
      <c r="EE62" s="47" t="n"/>
      <c r="EF62" s="47" t="n"/>
      <c r="EG62" s="47" t="n"/>
      <c r="EH62" s="47" t="inlineStr">
        <is>
          <t>A</t>
        </is>
      </c>
      <c r="EI62" s="47" t="n"/>
      <c r="EJ62" s="47" t="n"/>
      <c r="EK62" s="47" t="inlineStr">
        <is>
          <t>A</t>
        </is>
      </c>
      <c r="EL62" s="47" t="inlineStr">
        <is>
          <t>P</t>
        </is>
      </c>
      <c r="EM62" s="47" t="n"/>
      <c r="EN62" s="47" t="n"/>
      <c r="EO62" s="47" t="inlineStr">
        <is>
          <t>A</t>
        </is>
      </c>
      <c r="EP62" s="47" t="inlineStr">
        <is>
          <t>P</t>
        </is>
      </c>
      <c r="EQ62" s="47" t="n"/>
      <c r="ER62" s="47" t="n"/>
      <c r="ES62" s="47" t="inlineStr">
        <is>
          <t>P</t>
        </is>
      </c>
      <c r="ET62" s="47" t="inlineStr">
        <is>
          <t>P</t>
        </is>
      </c>
      <c r="EU62" s="47" t="n"/>
      <c r="EV62" s="47" t="n"/>
      <c r="EW62" s="47" t="n"/>
      <c r="EX62" s="47" t="n"/>
      <c r="EY62" s="47" t="n"/>
      <c r="EZ62" s="47" t="n"/>
      <c r="FA62" s="47" t="n"/>
      <c r="FB62" s="47" t="inlineStr">
        <is>
          <t>P</t>
        </is>
      </c>
      <c r="FC62" s="47" t="n"/>
      <c r="FD62" s="47" t="n"/>
      <c r="FE62" s="47" t="inlineStr">
        <is>
          <t>P</t>
        </is>
      </c>
      <c r="FF62" s="47" t="inlineStr">
        <is>
          <t>P</t>
        </is>
      </c>
      <c r="FG62" s="47" t="n"/>
      <c r="FH62" s="47" t="n"/>
      <c r="FI62" s="47" t="inlineStr">
        <is>
          <t>P</t>
        </is>
      </c>
      <c r="FJ62" s="47" t="inlineStr">
        <is>
          <t>P</t>
        </is>
      </c>
      <c r="FK62" s="47" t="n"/>
      <c r="FL62" s="47" t="n"/>
      <c r="FM62" s="47" t="n"/>
      <c r="FN62" s="47" t="n"/>
      <c r="FO62" s="47" t="n"/>
      <c r="FP62" s="47" t="n"/>
      <c r="FQ62" s="47" t="n"/>
      <c r="FR62" s="47" t="inlineStr">
        <is>
          <t>P</t>
        </is>
      </c>
      <c r="FS62" s="47" t="n"/>
      <c r="FT62" s="47" t="n"/>
      <c r="FU62" s="47" t="n"/>
      <c r="FV62" s="47" t="n"/>
      <c r="FW62" s="47" t="n"/>
      <c r="FX62" s="47" t="n"/>
      <c r="FY62" s="47" t="inlineStr">
        <is>
          <t>A</t>
        </is>
      </c>
      <c r="FZ62" s="47" t="inlineStr">
        <is>
          <t>P</t>
        </is>
      </c>
      <c r="GA62" s="47" t="n"/>
      <c r="GB62" s="47" t="n"/>
      <c r="GC62" s="47" t="n"/>
      <c r="GD62" s="47" t="inlineStr">
        <is>
          <t>A</t>
        </is>
      </c>
      <c r="GE62" s="47" t="n"/>
      <c r="GF62" s="47" t="n"/>
      <c r="GG62" s="47" t="inlineStr">
        <is>
          <t>P</t>
        </is>
      </c>
      <c r="GH62" s="47" t="n"/>
      <c r="GI62" s="47" t="n"/>
    </row>
    <row r="63" ht="14.25" customHeight="1" s="34">
      <c r="A63" s="46" t="n">
        <v>60</v>
      </c>
      <c r="B63" s="46" t="inlineStr">
        <is>
          <t>325106410060</t>
        </is>
      </c>
      <c r="C63" s="46" t="inlineStr">
        <is>
          <t>MANJULA VENGALA</t>
        </is>
      </c>
      <c r="D63" s="47" t="inlineStr">
        <is>
          <t>A</t>
        </is>
      </c>
      <c r="E63" s="47" t="n"/>
      <c r="F63" s="47" t="n"/>
      <c r="G63" s="47" t="n"/>
      <c r="H63" s="47" t="n"/>
      <c r="I63" s="47" t="inlineStr">
        <is>
          <t>A</t>
        </is>
      </c>
      <c r="J63" s="47" t="n"/>
      <c r="K63" s="47" t="n"/>
      <c r="L63" s="47" t="inlineStr">
        <is>
          <t>P</t>
        </is>
      </c>
      <c r="M63" s="47" t="n"/>
      <c r="N63" s="47" t="n"/>
      <c r="O63" s="47" t="n"/>
      <c r="P63" s="47" t="inlineStr">
        <is>
          <t>A</t>
        </is>
      </c>
      <c r="Q63" s="47" t="inlineStr">
        <is>
          <t>A</t>
        </is>
      </c>
      <c r="R63" s="47" t="n"/>
      <c r="S63" s="47" t="n"/>
      <c r="T63" s="47" t="inlineStr">
        <is>
          <t>A</t>
        </is>
      </c>
      <c r="U63" s="47" t="n"/>
      <c r="V63" s="47" t="n"/>
      <c r="W63" s="47" t="n"/>
      <c r="X63" s="47" t="n"/>
      <c r="Y63" s="47" t="n"/>
      <c r="Z63" s="47" t="n"/>
      <c r="AA63" s="47" t="n"/>
      <c r="AB63" s="47" t="n"/>
      <c r="AC63" s="47" t="inlineStr">
        <is>
          <t>P</t>
        </is>
      </c>
      <c r="AD63" s="47" t="n"/>
      <c r="AE63" s="47" t="n"/>
      <c r="AF63" s="47" t="inlineStr">
        <is>
          <t>P</t>
        </is>
      </c>
      <c r="AG63" s="47" t="n"/>
      <c r="AH63" s="47" t="n"/>
      <c r="AI63" s="47" t="n"/>
      <c r="AJ63" s="47" t="inlineStr">
        <is>
          <t>P</t>
        </is>
      </c>
      <c r="AK63" s="47" t="inlineStr">
        <is>
          <t>P</t>
        </is>
      </c>
      <c r="AL63" s="47" t="n"/>
      <c r="AM63" s="47" t="n"/>
      <c r="AN63" s="47" t="inlineStr">
        <is>
          <t>A</t>
        </is>
      </c>
      <c r="AO63" s="47" t="n"/>
      <c r="AP63" s="47" t="n"/>
      <c r="AQ63" s="47" t="n"/>
      <c r="AR63" s="47" t="inlineStr">
        <is>
          <t>P</t>
        </is>
      </c>
      <c r="AS63" s="47" t="n"/>
      <c r="AT63" s="47" t="n"/>
      <c r="AU63" s="47" t="n"/>
      <c r="AV63" s="47" t="n"/>
      <c r="AW63" s="47" t="inlineStr">
        <is>
          <t>P</t>
        </is>
      </c>
      <c r="AX63" s="47" t="n"/>
      <c r="AY63" s="47" t="n"/>
      <c r="AZ63" s="47" t="inlineStr">
        <is>
          <t>P</t>
        </is>
      </c>
      <c r="BA63" s="47" t="inlineStr">
        <is>
          <t>P</t>
        </is>
      </c>
      <c r="BB63" s="47" t="n"/>
      <c r="BC63" s="47" t="n"/>
      <c r="BD63" s="47" t="inlineStr">
        <is>
          <t>P</t>
        </is>
      </c>
      <c r="BE63" s="47" t="inlineStr">
        <is>
          <t>P</t>
        </is>
      </c>
      <c r="BF63" s="47" t="n"/>
      <c r="BG63" s="47" t="n"/>
      <c r="BH63" s="47" t="inlineStr">
        <is>
          <t>P</t>
        </is>
      </c>
      <c r="BI63" s="47" t="inlineStr">
        <is>
          <t>P</t>
        </is>
      </c>
      <c r="BJ63" s="47" t="n"/>
      <c r="BK63" s="47" t="n"/>
      <c r="BL63" s="47" t="n"/>
      <c r="BM63" s="47" t="n"/>
      <c r="BN63" s="47" t="n"/>
      <c r="BO63" s="47" t="n"/>
      <c r="BP63" s="47" t="n"/>
      <c r="BQ63" s="47" t="inlineStr">
        <is>
          <t>P</t>
        </is>
      </c>
      <c r="BR63" s="47" t="n"/>
      <c r="BS63" s="47" t="n"/>
      <c r="BT63" s="47" t="inlineStr">
        <is>
          <t>P</t>
        </is>
      </c>
      <c r="BU63" s="47" t="inlineStr">
        <is>
          <t>P</t>
        </is>
      </c>
      <c r="BV63" s="47" t="n"/>
      <c r="BW63" s="47" t="n"/>
      <c r="BX63" s="47" t="inlineStr">
        <is>
          <t>P</t>
        </is>
      </c>
      <c r="BY63" s="47" t="inlineStr">
        <is>
          <t>P</t>
        </is>
      </c>
      <c r="BZ63" s="47" t="n"/>
      <c r="CA63" s="47" t="n"/>
      <c r="CB63" s="47" t="inlineStr">
        <is>
          <t>P</t>
        </is>
      </c>
      <c r="CC63" s="47" t="n"/>
      <c r="CD63" s="47" t="n"/>
      <c r="CE63" s="47" t="n"/>
      <c r="CF63" s="47" t="inlineStr">
        <is>
          <t>P</t>
        </is>
      </c>
      <c r="CG63" s="47" t="n"/>
      <c r="CH63" s="47" t="n"/>
      <c r="CI63" s="47" t="n"/>
      <c r="CJ63" s="47" t="n"/>
      <c r="CK63" s="47" t="n"/>
      <c r="CL63" s="47" t="n"/>
      <c r="CM63" s="47" t="n"/>
      <c r="CN63" s="47" t="inlineStr">
        <is>
          <t>P</t>
        </is>
      </c>
      <c r="CO63" s="47" t="n"/>
      <c r="CP63" s="47" t="n"/>
      <c r="CQ63" s="47" t="inlineStr">
        <is>
          <t>P</t>
        </is>
      </c>
      <c r="CR63" s="47" t="inlineStr">
        <is>
          <t>P</t>
        </is>
      </c>
      <c r="CS63" s="47" t="n"/>
      <c r="CT63" s="47" t="n"/>
      <c r="CU63" s="47" t="inlineStr">
        <is>
          <t>P</t>
        </is>
      </c>
      <c r="CV63" s="47" t="inlineStr">
        <is>
          <t>P</t>
        </is>
      </c>
      <c r="CW63" s="47" t="n"/>
      <c r="CX63" s="47" t="n"/>
      <c r="CY63" s="47" t="n"/>
      <c r="CZ63" s="47" t="inlineStr">
        <is>
          <t>P</t>
        </is>
      </c>
      <c r="DA63" s="47" t="n"/>
      <c r="DB63" s="47" t="n"/>
      <c r="DC63" s="47" t="inlineStr">
        <is>
          <t>P</t>
        </is>
      </c>
      <c r="DD63" s="47" t="n"/>
      <c r="DE63" s="47" t="n"/>
      <c r="DF63" s="47" t="n"/>
      <c r="DG63" s="47" t="n"/>
      <c r="DH63" s="47" t="n"/>
      <c r="DI63" s="47" t="n"/>
      <c r="DJ63" s="47" t="n"/>
      <c r="DK63" s="47" t="inlineStr">
        <is>
          <t>P</t>
        </is>
      </c>
      <c r="DL63" s="47" t="n"/>
      <c r="DM63" s="47" t="n"/>
      <c r="DN63" s="47" t="inlineStr">
        <is>
          <t>P</t>
        </is>
      </c>
      <c r="DO63" s="47" t="inlineStr">
        <is>
          <t>P</t>
        </is>
      </c>
      <c r="DP63" s="47" t="n"/>
      <c r="DQ63" s="47" t="n"/>
      <c r="DR63" s="47" t="inlineStr">
        <is>
          <t>P</t>
        </is>
      </c>
      <c r="DS63" s="47" t="inlineStr">
        <is>
          <t>P</t>
        </is>
      </c>
      <c r="DT63" s="47" t="n"/>
      <c r="DU63" s="47" t="n"/>
      <c r="DV63" s="47" t="inlineStr">
        <is>
          <t>P</t>
        </is>
      </c>
      <c r="DW63" s="47" t="inlineStr">
        <is>
          <t>P</t>
        </is>
      </c>
      <c r="DX63" s="47" t="n"/>
      <c r="DY63" s="47" t="n"/>
      <c r="DZ63" s="47" t="inlineStr">
        <is>
          <t>P</t>
        </is>
      </c>
      <c r="EA63" s="47" t="n"/>
      <c r="EB63" s="47" t="n"/>
      <c r="EC63" s="47" t="n"/>
      <c r="ED63" s="47" t="n"/>
      <c r="EE63" s="47" t="n"/>
      <c r="EF63" s="47" t="n"/>
      <c r="EG63" s="47" t="n"/>
      <c r="EH63" s="47" t="inlineStr">
        <is>
          <t>P</t>
        </is>
      </c>
      <c r="EI63" s="47" t="n"/>
      <c r="EJ63" s="47" t="n"/>
      <c r="EK63" s="47" t="inlineStr">
        <is>
          <t>P</t>
        </is>
      </c>
      <c r="EL63" s="47" t="inlineStr">
        <is>
          <t>P</t>
        </is>
      </c>
      <c r="EM63" s="47" t="n"/>
      <c r="EN63" s="47" t="n"/>
      <c r="EO63" s="47" t="inlineStr">
        <is>
          <t>P</t>
        </is>
      </c>
      <c r="EP63" s="47" t="inlineStr">
        <is>
          <t>P</t>
        </is>
      </c>
      <c r="EQ63" s="47" t="n"/>
      <c r="ER63" s="47" t="n"/>
      <c r="ES63" s="47" t="inlineStr">
        <is>
          <t>P</t>
        </is>
      </c>
      <c r="ET63" s="47" t="inlineStr">
        <is>
          <t>P</t>
        </is>
      </c>
      <c r="EU63" s="47" t="n"/>
      <c r="EV63" s="47" t="n"/>
      <c r="EW63" s="47" t="n"/>
      <c r="EX63" s="47" t="n"/>
      <c r="EY63" s="47" t="n"/>
      <c r="EZ63" s="47" t="n"/>
      <c r="FA63" s="47" t="n"/>
      <c r="FB63" s="47" t="inlineStr">
        <is>
          <t>P</t>
        </is>
      </c>
      <c r="FC63" s="47" t="n"/>
      <c r="FD63" s="47" t="n"/>
      <c r="FE63" s="47" t="inlineStr">
        <is>
          <t>A</t>
        </is>
      </c>
      <c r="FF63" s="47" t="inlineStr">
        <is>
          <t>P</t>
        </is>
      </c>
      <c r="FG63" s="47" t="n"/>
      <c r="FH63" s="47" t="n"/>
      <c r="FI63" s="47" t="inlineStr">
        <is>
          <t>P</t>
        </is>
      </c>
      <c r="FJ63" s="47" t="inlineStr">
        <is>
          <t>P</t>
        </is>
      </c>
      <c r="FK63" s="47" t="n"/>
      <c r="FL63" s="47" t="n"/>
      <c r="FM63" s="47" t="n"/>
      <c r="FN63" s="47" t="n"/>
      <c r="FO63" s="47" t="n"/>
      <c r="FP63" s="47" t="n"/>
      <c r="FQ63" s="47" t="n"/>
      <c r="FR63" s="47" t="inlineStr">
        <is>
          <t>P</t>
        </is>
      </c>
      <c r="FS63" s="47" t="n"/>
      <c r="FT63" s="47" t="n"/>
      <c r="FU63" s="47" t="n"/>
      <c r="FV63" s="47" t="n"/>
      <c r="FW63" s="47" t="n"/>
      <c r="FX63" s="47" t="n"/>
      <c r="FY63" s="47" t="inlineStr">
        <is>
          <t>P</t>
        </is>
      </c>
      <c r="FZ63" s="47" t="inlineStr">
        <is>
          <t>A</t>
        </is>
      </c>
      <c r="GA63" s="47" t="n"/>
      <c r="GB63" s="47" t="n"/>
      <c r="GC63" s="47" t="n"/>
      <c r="GD63" s="47" t="inlineStr">
        <is>
          <t>A</t>
        </is>
      </c>
      <c r="GE63" s="47" t="n"/>
      <c r="GF63" s="47" t="n"/>
      <c r="GG63" s="47" t="inlineStr">
        <is>
          <t>P</t>
        </is>
      </c>
      <c r="GH63" s="47" t="n"/>
      <c r="GI63" s="47" t="n"/>
    </row>
    <row r="64" ht="14.25" customHeight="1" s="34">
      <c r="A64" s="46" t="n">
        <v>61</v>
      </c>
      <c r="B64" s="46" t="inlineStr">
        <is>
          <t>325106410061</t>
        </is>
      </c>
      <c r="C64" s="46" t="inlineStr">
        <is>
          <t>GOKUL SAI YANNAMANENI</t>
        </is>
      </c>
      <c r="D64" s="47" t="inlineStr">
        <is>
          <t>A</t>
        </is>
      </c>
      <c r="E64" s="47" t="n"/>
      <c r="F64" s="47" t="n"/>
      <c r="G64" s="47" t="n"/>
      <c r="H64" s="47" t="n"/>
      <c r="I64" s="47" t="inlineStr">
        <is>
          <t>A</t>
        </is>
      </c>
      <c r="J64" s="47" t="n"/>
      <c r="K64" s="47" t="n"/>
      <c r="L64" s="47" t="inlineStr">
        <is>
          <t>A</t>
        </is>
      </c>
      <c r="M64" s="47" t="n"/>
      <c r="N64" s="47" t="n"/>
      <c r="O64" s="47" t="n"/>
      <c r="P64" s="47" t="inlineStr">
        <is>
          <t>A</t>
        </is>
      </c>
      <c r="Q64" s="47" t="inlineStr">
        <is>
          <t>A</t>
        </is>
      </c>
      <c r="R64" s="47" t="n"/>
      <c r="S64" s="47" t="n"/>
      <c r="T64" s="47" t="inlineStr">
        <is>
          <t>P</t>
        </is>
      </c>
      <c r="U64" s="47" t="n"/>
      <c r="V64" s="47" t="n"/>
      <c r="W64" s="47" t="n"/>
      <c r="X64" s="47" t="n"/>
      <c r="Y64" s="47" t="n"/>
      <c r="Z64" s="47" t="n"/>
      <c r="AA64" s="47" t="n"/>
      <c r="AB64" s="47" t="n"/>
      <c r="AC64" s="47" t="inlineStr">
        <is>
          <t>A</t>
        </is>
      </c>
      <c r="AD64" s="47" t="n"/>
      <c r="AE64" s="47" t="n"/>
      <c r="AF64" s="47" t="inlineStr">
        <is>
          <t>A</t>
        </is>
      </c>
      <c r="AG64" s="47" t="n"/>
      <c r="AH64" s="47" t="n"/>
      <c r="AI64" s="47" t="n"/>
      <c r="AJ64" s="47" t="inlineStr">
        <is>
          <t>A</t>
        </is>
      </c>
      <c r="AK64" s="47" t="inlineStr">
        <is>
          <t>A</t>
        </is>
      </c>
      <c r="AL64" s="47" t="n"/>
      <c r="AM64" s="47" t="n"/>
      <c r="AN64" s="47" t="inlineStr">
        <is>
          <t>P</t>
        </is>
      </c>
      <c r="AO64" s="47" t="n"/>
      <c r="AP64" s="47" t="n"/>
      <c r="AQ64" s="47" t="n"/>
      <c r="AR64" s="47" t="inlineStr">
        <is>
          <t>P</t>
        </is>
      </c>
      <c r="AS64" s="47" t="n"/>
      <c r="AT64" s="47" t="n"/>
      <c r="AU64" s="47" t="n"/>
      <c r="AV64" s="47" t="n"/>
      <c r="AW64" s="47" t="inlineStr">
        <is>
          <t>P</t>
        </is>
      </c>
      <c r="AX64" s="47" t="n"/>
      <c r="AY64" s="47" t="n"/>
      <c r="AZ64" s="47" t="inlineStr">
        <is>
          <t>P</t>
        </is>
      </c>
      <c r="BA64" s="47" t="inlineStr">
        <is>
          <t>P</t>
        </is>
      </c>
      <c r="BB64" s="47" t="n"/>
      <c r="BC64" s="47" t="n"/>
      <c r="BD64" s="47" t="inlineStr">
        <is>
          <t>P</t>
        </is>
      </c>
      <c r="BE64" s="47" t="inlineStr">
        <is>
          <t>P</t>
        </is>
      </c>
      <c r="BF64" s="47" t="n"/>
      <c r="BG64" s="47" t="n"/>
      <c r="BH64" s="47" t="inlineStr">
        <is>
          <t>P</t>
        </is>
      </c>
      <c r="BI64" s="47" t="inlineStr">
        <is>
          <t>P</t>
        </is>
      </c>
      <c r="BJ64" s="47" t="n"/>
      <c r="BK64" s="47" t="n"/>
      <c r="BL64" s="47" t="n"/>
      <c r="BM64" s="47" t="n"/>
      <c r="BN64" s="47" t="n"/>
      <c r="BO64" s="47" t="n"/>
      <c r="BP64" s="47" t="n"/>
      <c r="BQ64" s="47" t="inlineStr">
        <is>
          <t>P</t>
        </is>
      </c>
      <c r="BR64" s="47" t="n"/>
      <c r="BS64" s="47" t="n"/>
      <c r="BT64" s="47" t="inlineStr">
        <is>
          <t>P</t>
        </is>
      </c>
      <c r="BU64" s="47" t="inlineStr">
        <is>
          <t>P</t>
        </is>
      </c>
      <c r="BV64" s="47" t="n"/>
      <c r="BW64" s="47" t="n"/>
      <c r="BX64" s="47" t="inlineStr">
        <is>
          <t>P</t>
        </is>
      </c>
      <c r="BY64" s="47" t="inlineStr">
        <is>
          <t>P</t>
        </is>
      </c>
      <c r="BZ64" s="47" t="n"/>
      <c r="CA64" s="47" t="n"/>
      <c r="CB64" s="47" t="inlineStr">
        <is>
          <t>P</t>
        </is>
      </c>
      <c r="CC64" s="47" t="n"/>
      <c r="CD64" s="47" t="n"/>
      <c r="CE64" s="47" t="n"/>
      <c r="CF64" s="47" t="inlineStr">
        <is>
          <t>P</t>
        </is>
      </c>
      <c r="CG64" s="47" t="n"/>
      <c r="CH64" s="47" t="n"/>
      <c r="CI64" s="47" t="n"/>
      <c r="CJ64" s="47" t="n"/>
      <c r="CK64" s="47" t="n"/>
      <c r="CL64" s="47" t="n"/>
      <c r="CM64" s="47" t="n"/>
      <c r="CN64" s="47" t="inlineStr">
        <is>
          <t>P</t>
        </is>
      </c>
      <c r="CO64" s="47" t="n"/>
      <c r="CP64" s="47" t="n"/>
      <c r="CQ64" s="47" t="inlineStr">
        <is>
          <t>A</t>
        </is>
      </c>
      <c r="CR64" s="47" t="inlineStr">
        <is>
          <t>A</t>
        </is>
      </c>
      <c r="CS64" s="47" t="n"/>
      <c r="CT64" s="47" t="n"/>
      <c r="CU64" s="47" t="inlineStr">
        <is>
          <t>P</t>
        </is>
      </c>
      <c r="CV64" s="47" t="inlineStr">
        <is>
          <t>P</t>
        </is>
      </c>
      <c r="CW64" s="47" t="n"/>
      <c r="CX64" s="47" t="n"/>
      <c r="CY64" s="47" t="n"/>
      <c r="CZ64" s="47" t="inlineStr">
        <is>
          <t>P</t>
        </is>
      </c>
      <c r="DA64" s="47" t="n"/>
      <c r="DB64" s="47" t="n"/>
      <c r="DC64" s="47" t="inlineStr">
        <is>
          <t>P</t>
        </is>
      </c>
      <c r="DD64" s="47" t="n"/>
      <c r="DE64" s="47" t="n"/>
      <c r="DF64" s="47" t="n"/>
      <c r="DG64" s="47" t="n"/>
      <c r="DH64" s="47" t="n"/>
      <c r="DI64" s="47" t="n"/>
      <c r="DJ64" s="47" t="n"/>
      <c r="DK64" s="47" t="inlineStr">
        <is>
          <t>P</t>
        </is>
      </c>
      <c r="DL64" s="47" t="n"/>
      <c r="DM64" s="47" t="n"/>
      <c r="DN64" s="47" t="inlineStr">
        <is>
          <t>P</t>
        </is>
      </c>
      <c r="DO64" s="47" t="inlineStr">
        <is>
          <t>P</t>
        </is>
      </c>
      <c r="DP64" s="47" t="n"/>
      <c r="DQ64" s="47" t="n"/>
      <c r="DR64" s="47" t="inlineStr">
        <is>
          <t>P</t>
        </is>
      </c>
      <c r="DS64" s="47" t="inlineStr">
        <is>
          <t>P</t>
        </is>
      </c>
      <c r="DT64" s="47" t="n"/>
      <c r="DU64" s="47" t="n"/>
      <c r="DV64" s="47" t="inlineStr">
        <is>
          <t>P</t>
        </is>
      </c>
      <c r="DW64" s="47" t="inlineStr">
        <is>
          <t>P</t>
        </is>
      </c>
      <c r="DX64" s="47" t="n"/>
      <c r="DY64" s="47" t="n"/>
      <c r="DZ64" s="47" t="inlineStr">
        <is>
          <t>A</t>
        </is>
      </c>
      <c r="EA64" s="47" t="n"/>
      <c r="EB64" s="47" t="n"/>
      <c r="EC64" s="47" t="n"/>
      <c r="ED64" s="47" t="n"/>
      <c r="EE64" s="47" t="n"/>
      <c r="EF64" s="47" t="n"/>
      <c r="EG64" s="47" t="n"/>
      <c r="EH64" s="47" t="inlineStr">
        <is>
          <t>P</t>
        </is>
      </c>
      <c r="EI64" s="47" t="n"/>
      <c r="EJ64" s="47" t="n"/>
      <c r="EK64" s="47" t="inlineStr">
        <is>
          <t>A</t>
        </is>
      </c>
      <c r="EL64" s="47" t="inlineStr">
        <is>
          <t>A</t>
        </is>
      </c>
      <c r="EM64" s="47" t="n"/>
      <c r="EN64" s="47" t="n"/>
      <c r="EO64" s="47" t="inlineStr">
        <is>
          <t>P</t>
        </is>
      </c>
      <c r="EP64" s="47" t="inlineStr">
        <is>
          <t>P</t>
        </is>
      </c>
      <c r="EQ64" s="47" t="n"/>
      <c r="ER64" s="47" t="n"/>
      <c r="ES64" s="47" t="inlineStr">
        <is>
          <t>P</t>
        </is>
      </c>
      <c r="ET64" s="47" t="inlineStr">
        <is>
          <t>P</t>
        </is>
      </c>
      <c r="EU64" s="47" t="n"/>
      <c r="EV64" s="47" t="n"/>
      <c r="EW64" s="47" t="n"/>
      <c r="EX64" s="47" t="n"/>
      <c r="EY64" s="47" t="n"/>
      <c r="EZ64" s="47" t="n"/>
      <c r="FA64" s="47" t="n"/>
      <c r="FB64" s="47" t="inlineStr">
        <is>
          <t>P</t>
        </is>
      </c>
      <c r="FC64" s="47" t="n"/>
      <c r="FD64" s="47" t="n"/>
      <c r="FE64" s="47" t="inlineStr">
        <is>
          <t>P</t>
        </is>
      </c>
      <c r="FF64" s="47" t="inlineStr">
        <is>
          <t>P</t>
        </is>
      </c>
      <c r="FG64" s="47" t="n"/>
      <c r="FH64" s="47" t="n"/>
      <c r="FI64" s="47" t="inlineStr">
        <is>
          <t>P</t>
        </is>
      </c>
      <c r="FJ64" s="47" t="inlineStr">
        <is>
          <t>P</t>
        </is>
      </c>
      <c r="FK64" s="47" t="n"/>
      <c r="FL64" s="47" t="n"/>
      <c r="FM64" s="47" t="n"/>
      <c r="FN64" s="47" t="n"/>
      <c r="FO64" s="47" t="n"/>
      <c r="FP64" s="47" t="n"/>
      <c r="FQ64" s="47" t="n"/>
      <c r="FR64" s="47" t="inlineStr">
        <is>
          <t>P</t>
        </is>
      </c>
      <c r="FS64" s="47" t="n"/>
      <c r="FT64" s="47" t="n"/>
      <c r="FU64" s="47" t="n"/>
      <c r="FV64" s="47" t="n"/>
      <c r="FW64" s="47" t="n"/>
      <c r="FX64" s="47" t="n"/>
      <c r="FY64" s="47" t="inlineStr">
        <is>
          <t>P</t>
        </is>
      </c>
      <c r="FZ64" s="47" t="inlineStr">
        <is>
          <t>P</t>
        </is>
      </c>
      <c r="GA64" s="47" t="n"/>
      <c r="GB64" s="47" t="n"/>
      <c r="GC64" s="47" t="n"/>
      <c r="GD64" s="47" t="inlineStr">
        <is>
          <t>P</t>
        </is>
      </c>
      <c r="GE64" s="47" t="n"/>
      <c r="GF64" s="47" t="n"/>
      <c r="GG64" s="47" t="inlineStr">
        <is>
          <t>P</t>
        </is>
      </c>
      <c r="GH64" s="47" t="n"/>
      <c r="GI64" s="47" t="n"/>
    </row>
    <row r="65" ht="14.25" customHeight="1" s="34">
      <c r="A65" s="46" t="n">
        <v>62</v>
      </c>
      <c r="B65" s="46" t="inlineStr">
        <is>
          <t>325106410062</t>
        </is>
      </c>
      <c r="C65" s="46" t="inlineStr">
        <is>
          <t>SRI AKSHITH YELLAI</t>
        </is>
      </c>
      <c r="D65" s="47" t="inlineStr">
        <is>
          <t>P</t>
        </is>
      </c>
      <c r="E65" s="47" t="n"/>
      <c r="F65" s="47" t="n"/>
      <c r="G65" s="47" t="n"/>
      <c r="H65" s="47" t="n"/>
      <c r="I65" s="47" t="inlineStr">
        <is>
          <t>P</t>
        </is>
      </c>
      <c r="J65" s="47" t="n"/>
      <c r="K65" s="47" t="n"/>
      <c r="L65" s="47" t="inlineStr">
        <is>
          <t>P</t>
        </is>
      </c>
      <c r="M65" s="47" t="n"/>
      <c r="N65" s="47" t="n"/>
      <c r="O65" s="47" t="n"/>
      <c r="P65" s="47" t="inlineStr">
        <is>
          <t>P</t>
        </is>
      </c>
      <c r="Q65" s="47" t="inlineStr">
        <is>
          <t>P</t>
        </is>
      </c>
      <c r="R65" s="47" t="n"/>
      <c r="S65" s="47" t="n"/>
      <c r="T65" s="47" t="inlineStr">
        <is>
          <t>P</t>
        </is>
      </c>
      <c r="U65" s="47" t="n"/>
      <c r="V65" s="47" t="n"/>
      <c r="W65" s="47" t="n"/>
      <c r="X65" s="47" t="n"/>
      <c r="Y65" s="47" t="n"/>
      <c r="Z65" s="47" t="n"/>
      <c r="AA65" s="47" t="n"/>
      <c r="AB65" s="47" t="n"/>
      <c r="AC65" s="47" t="inlineStr">
        <is>
          <t>P</t>
        </is>
      </c>
      <c r="AD65" s="47" t="n"/>
      <c r="AE65" s="47" t="n"/>
      <c r="AF65" s="47" t="inlineStr">
        <is>
          <t>A</t>
        </is>
      </c>
      <c r="AG65" s="47" t="n"/>
      <c r="AH65" s="47" t="n"/>
      <c r="AI65" s="47" t="n"/>
      <c r="AJ65" s="47" t="inlineStr">
        <is>
          <t>P</t>
        </is>
      </c>
      <c r="AK65" s="47" t="inlineStr">
        <is>
          <t>P</t>
        </is>
      </c>
      <c r="AL65" s="47" t="n"/>
      <c r="AM65" s="47" t="n"/>
      <c r="AN65" s="47" t="inlineStr">
        <is>
          <t>A</t>
        </is>
      </c>
      <c r="AO65" s="47" t="n"/>
      <c r="AP65" s="47" t="n"/>
      <c r="AQ65" s="47" t="n"/>
      <c r="AR65" s="47" t="inlineStr">
        <is>
          <t>P</t>
        </is>
      </c>
      <c r="AS65" s="47" t="n"/>
      <c r="AT65" s="47" t="n"/>
      <c r="AU65" s="47" t="n"/>
      <c r="AV65" s="47" t="n"/>
      <c r="AW65" s="47" t="inlineStr">
        <is>
          <t>P</t>
        </is>
      </c>
      <c r="AX65" s="47" t="n"/>
      <c r="AY65" s="47" t="n"/>
      <c r="AZ65" s="47" t="inlineStr">
        <is>
          <t>A</t>
        </is>
      </c>
      <c r="BA65" s="47" t="inlineStr">
        <is>
          <t>P</t>
        </is>
      </c>
      <c r="BB65" s="47" t="n"/>
      <c r="BC65" s="47" t="n"/>
      <c r="BD65" s="47" t="inlineStr">
        <is>
          <t>A</t>
        </is>
      </c>
      <c r="BE65" s="47" t="inlineStr">
        <is>
          <t>P</t>
        </is>
      </c>
      <c r="BF65" s="47" t="n"/>
      <c r="BG65" s="47" t="n"/>
      <c r="BH65" s="47" t="inlineStr">
        <is>
          <t>A</t>
        </is>
      </c>
      <c r="BI65" s="47" t="inlineStr">
        <is>
          <t>P</t>
        </is>
      </c>
      <c r="BJ65" s="47" t="n"/>
      <c r="BK65" s="47" t="n"/>
      <c r="BL65" s="47" t="n"/>
      <c r="BM65" s="47" t="n"/>
      <c r="BN65" s="47" t="n"/>
      <c r="BO65" s="47" t="n"/>
      <c r="BP65" s="47" t="n"/>
      <c r="BQ65" s="47" t="inlineStr">
        <is>
          <t>P</t>
        </is>
      </c>
      <c r="BR65" s="47" t="n"/>
      <c r="BS65" s="47" t="n"/>
      <c r="BT65" s="47" t="inlineStr">
        <is>
          <t>P</t>
        </is>
      </c>
      <c r="BU65" s="47" t="inlineStr">
        <is>
          <t>P</t>
        </is>
      </c>
      <c r="BV65" s="47" t="n"/>
      <c r="BW65" s="47" t="n"/>
      <c r="BX65" s="47" t="inlineStr">
        <is>
          <t>P</t>
        </is>
      </c>
      <c r="BY65" s="47" t="inlineStr">
        <is>
          <t>P</t>
        </is>
      </c>
      <c r="BZ65" s="47" t="n"/>
      <c r="CA65" s="47" t="n"/>
      <c r="CB65" s="47" t="inlineStr">
        <is>
          <t>P</t>
        </is>
      </c>
      <c r="CC65" s="47" t="n"/>
      <c r="CD65" s="47" t="n"/>
      <c r="CE65" s="47" t="n"/>
      <c r="CF65" s="47" t="inlineStr">
        <is>
          <t>P</t>
        </is>
      </c>
      <c r="CG65" s="47" t="n"/>
      <c r="CH65" s="47" t="n"/>
      <c r="CI65" s="47" t="n"/>
      <c r="CJ65" s="47" t="n"/>
      <c r="CK65" s="47" t="n"/>
      <c r="CL65" s="47" t="n"/>
      <c r="CM65" s="47" t="n"/>
      <c r="CN65" s="47" t="inlineStr">
        <is>
          <t>P</t>
        </is>
      </c>
      <c r="CO65" s="47" t="n"/>
      <c r="CP65" s="47" t="n"/>
      <c r="CQ65" s="47" t="inlineStr">
        <is>
          <t>A</t>
        </is>
      </c>
      <c r="CR65" s="47" t="inlineStr">
        <is>
          <t>A</t>
        </is>
      </c>
      <c r="CS65" s="47" t="n"/>
      <c r="CT65" s="47" t="n"/>
      <c r="CU65" s="47" t="inlineStr">
        <is>
          <t>A</t>
        </is>
      </c>
      <c r="CV65" s="47" t="inlineStr">
        <is>
          <t>P</t>
        </is>
      </c>
      <c r="CW65" s="47" t="n"/>
      <c r="CX65" s="47" t="n"/>
      <c r="CY65" s="47" t="n"/>
      <c r="CZ65" s="47" t="inlineStr">
        <is>
          <t>P</t>
        </is>
      </c>
      <c r="DA65" s="47" t="n"/>
      <c r="DB65" s="47" t="n"/>
      <c r="DC65" s="47" t="inlineStr">
        <is>
          <t>P</t>
        </is>
      </c>
      <c r="DD65" s="47" t="n"/>
      <c r="DE65" s="47" t="n"/>
      <c r="DF65" s="47" t="n"/>
      <c r="DG65" s="47" t="n"/>
      <c r="DH65" s="47" t="n"/>
      <c r="DI65" s="47" t="n"/>
      <c r="DJ65" s="47" t="n"/>
      <c r="DK65" s="47" t="inlineStr">
        <is>
          <t>P</t>
        </is>
      </c>
      <c r="DL65" s="47" t="n"/>
      <c r="DM65" s="47" t="n"/>
      <c r="DN65" s="47" t="inlineStr">
        <is>
          <t>A</t>
        </is>
      </c>
      <c r="DO65" s="47" t="inlineStr">
        <is>
          <t>P</t>
        </is>
      </c>
      <c r="DP65" s="47" t="n"/>
      <c r="DQ65" s="47" t="n"/>
      <c r="DR65" s="47" t="inlineStr">
        <is>
          <t>A</t>
        </is>
      </c>
      <c r="DS65" s="47" t="inlineStr">
        <is>
          <t>P</t>
        </is>
      </c>
      <c r="DT65" s="47" t="n"/>
      <c r="DU65" s="47" t="n"/>
      <c r="DV65" s="47" t="inlineStr">
        <is>
          <t>A</t>
        </is>
      </c>
      <c r="DW65" s="47" t="inlineStr">
        <is>
          <t>P</t>
        </is>
      </c>
      <c r="DX65" s="47" t="n"/>
      <c r="DY65" s="47" t="n"/>
      <c r="DZ65" s="47" t="inlineStr">
        <is>
          <t>P</t>
        </is>
      </c>
      <c r="EA65" s="47" t="n"/>
      <c r="EB65" s="47" t="n"/>
      <c r="EC65" s="47" t="n"/>
      <c r="ED65" s="47" t="n"/>
      <c r="EE65" s="47" t="n"/>
      <c r="EF65" s="47" t="n"/>
      <c r="EG65" s="47" t="n"/>
      <c r="EH65" s="47" t="inlineStr">
        <is>
          <t>P</t>
        </is>
      </c>
      <c r="EI65" s="47" t="n"/>
      <c r="EJ65" s="47" t="n"/>
      <c r="EK65" s="47" t="inlineStr">
        <is>
          <t>P</t>
        </is>
      </c>
      <c r="EL65" s="47" t="inlineStr">
        <is>
          <t>P</t>
        </is>
      </c>
      <c r="EM65" s="47" t="n"/>
      <c r="EN65" s="47" t="n"/>
      <c r="EO65" s="47" t="inlineStr">
        <is>
          <t>P</t>
        </is>
      </c>
      <c r="EP65" s="47" t="inlineStr">
        <is>
          <t>P</t>
        </is>
      </c>
      <c r="EQ65" s="47" t="n"/>
      <c r="ER65" s="47" t="n"/>
      <c r="ES65" s="47" t="inlineStr">
        <is>
          <t>P</t>
        </is>
      </c>
      <c r="ET65" s="47" t="inlineStr">
        <is>
          <t>P</t>
        </is>
      </c>
      <c r="EU65" s="47" t="n"/>
      <c r="EV65" s="47" t="n"/>
      <c r="EW65" s="47" t="n"/>
      <c r="EX65" s="47" t="n"/>
      <c r="EY65" s="47" t="n"/>
      <c r="EZ65" s="47" t="n"/>
      <c r="FA65" s="47" t="n"/>
      <c r="FB65" s="47" t="inlineStr">
        <is>
          <t>P</t>
        </is>
      </c>
      <c r="FC65" s="47" t="n"/>
      <c r="FD65" s="47" t="n"/>
      <c r="FE65" s="47" t="inlineStr">
        <is>
          <t>P</t>
        </is>
      </c>
      <c r="FF65" s="47" t="inlineStr">
        <is>
          <t>P</t>
        </is>
      </c>
      <c r="FG65" s="47" t="n"/>
      <c r="FH65" s="47" t="n"/>
      <c r="FI65" s="47" t="inlineStr">
        <is>
          <t>A</t>
        </is>
      </c>
      <c r="FJ65" s="47" t="inlineStr">
        <is>
          <t>P</t>
        </is>
      </c>
      <c r="FK65" s="47" t="n"/>
      <c r="FL65" s="47" t="n"/>
      <c r="FM65" s="47" t="n"/>
      <c r="FN65" s="47" t="n"/>
      <c r="FO65" s="47" t="n"/>
      <c r="FP65" s="47" t="n"/>
      <c r="FQ65" s="47" t="n"/>
      <c r="FR65" s="47" t="inlineStr">
        <is>
          <t>P</t>
        </is>
      </c>
      <c r="FS65" s="47" t="n"/>
      <c r="FT65" s="47" t="n"/>
      <c r="FU65" s="47" t="n"/>
      <c r="FV65" s="47" t="n"/>
      <c r="FW65" s="47" t="n"/>
      <c r="FX65" s="47" t="n"/>
      <c r="FY65" s="47" t="inlineStr">
        <is>
          <t>A</t>
        </is>
      </c>
      <c r="FZ65" s="47" t="inlineStr">
        <is>
          <t>P</t>
        </is>
      </c>
      <c r="GA65" s="47" t="n"/>
      <c r="GB65" s="47" t="n"/>
      <c r="GC65" s="47" t="n"/>
      <c r="GD65" s="47" t="inlineStr">
        <is>
          <t>P</t>
        </is>
      </c>
      <c r="GE65" s="47" t="n"/>
      <c r="GF65" s="47" t="n"/>
      <c r="GG65" s="47" t="inlineStr">
        <is>
          <t>P</t>
        </is>
      </c>
      <c r="GH65" s="47" t="n"/>
      <c r="GI65" s="47" t="n"/>
    </row>
    <row r="66" ht="14.25" customHeight="1" s="34">
      <c r="A66" s="46" t="n">
        <v>63</v>
      </c>
      <c r="B66" s="46" t="inlineStr">
        <is>
          <t>325106410063</t>
        </is>
      </c>
      <c r="C66" s="46" t="inlineStr">
        <is>
          <t>VARSHA</t>
        </is>
      </c>
      <c r="D66" s="47" t="inlineStr">
        <is>
          <t>A</t>
        </is>
      </c>
      <c r="E66" s="47" t="n"/>
      <c r="F66" s="47" t="n"/>
      <c r="G66" s="47" t="n"/>
      <c r="H66" s="47" t="n"/>
      <c r="I66" s="47" t="inlineStr">
        <is>
          <t>A</t>
        </is>
      </c>
      <c r="J66" s="47" t="n"/>
      <c r="K66" s="47" t="n"/>
      <c r="L66" s="47" t="inlineStr">
        <is>
          <t>P</t>
        </is>
      </c>
      <c r="M66" s="47" t="n"/>
      <c r="N66" s="47" t="n"/>
      <c r="O66" s="47" t="n"/>
      <c r="P66" s="47" t="inlineStr">
        <is>
          <t>P</t>
        </is>
      </c>
      <c r="Q66" s="47" t="inlineStr">
        <is>
          <t>P</t>
        </is>
      </c>
      <c r="R66" s="47" t="n"/>
      <c r="S66" s="47" t="n"/>
      <c r="T66" s="47" t="inlineStr">
        <is>
          <t>A</t>
        </is>
      </c>
      <c r="U66" s="47" t="n"/>
      <c r="V66" s="47" t="n"/>
      <c r="W66" s="47" t="n"/>
      <c r="X66" s="47" t="n"/>
      <c r="Y66" s="47" t="n"/>
      <c r="Z66" s="47" t="n"/>
      <c r="AA66" s="47" t="n"/>
      <c r="AB66" s="47" t="n"/>
      <c r="AC66" s="47" t="inlineStr">
        <is>
          <t>P</t>
        </is>
      </c>
      <c r="AD66" s="47" t="n"/>
      <c r="AE66" s="47" t="n"/>
      <c r="AF66" s="47" t="inlineStr">
        <is>
          <t>P</t>
        </is>
      </c>
      <c r="AG66" s="47" t="n"/>
      <c r="AH66" s="47" t="n"/>
      <c r="AI66" s="47" t="n"/>
      <c r="AJ66" s="47" t="inlineStr">
        <is>
          <t>P</t>
        </is>
      </c>
      <c r="AK66" s="47" t="inlineStr">
        <is>
          <t>P</t>
        </is>
      </c>
      <c r="AL66" s="47" t="n"/>
      <c r="AM66" s="47" t="n"/>
      <c r="AN66" s="47" t="inlineStr">
        <is>
          <t>A</t>
        </is>
      </c>
      <c r="AO66" s="47" t="n"/>
      <c r="AP66" s="47" t="n"/>
      <c r="AQ66" s="47" t="n"/>
      <c r="AR66" s="47" t="inlineStr">
        <is>
          <t>A</t>
        </is>
      </c>
      <c r="AS66" s="47" t="n"/>
      <c r="AT66" s="47" t="n"/>
      <c r="AU66" s="47" t="n"/>
      <c r="AV66" s="47" t="n"/>
      <c r="AW66" s="47" t="inlineStr">
        <is>
          <t>P</t>
        </is>
      </c>
      <c r="AX66" s="47" t="n"/>
      <c r="AY66" s="47" t="n"/>
      <c r="AZ66" s="47" t="inlineStr">
        <is>
          <t>P</t>
        </is>
      </c>
      <c r="BA66" s="47" t="inlineStr">
        <is>
          <t>P</t>
        </is>
      </c>
      <c r="BB66" s="47" t="n"/>
      <c r="BC66" s="47" t="n"/>
      <c r="BD66" s="47" t="inlineStr">
        <is>
          <t>P</t>
        </is>
      </c>
      <c r="BE66" s="47" t="inlineStr">
        <is>
          <t>P</t>
        </is>
      </c>
      <c r="BF66" s="47" t="n"/>
      <c r="BG66" s="47" t="n"/>
      <c r="BH66" s="47" t="inlineStr">
        <is>
          <t>P</t>
        </is>
      </c>
      <c r="BI66" s="47" t="inlineStr">
        <is>
          <t>P</t>
        </is>
      </c>
      <c r="BJ66" s="47" t="n"/>
      <c r="BK66" s="47" t="n"/>
      <c r="BL66" s="47" t="n"/>
      <c r="BM66" s="47" t="n"/>
      <c r="BN66" s="47" t="n"/>
      <c r="BO66" s="47" t="n"/>
      <c r="BP66" s="47" t="n"/>
      <c r="BQ66" s="47" t="inlineStr">
        <is>
          <t>P</t>
        </is>
      </c>
      <c r="BR66" s="47" t="n"/>
      <c r="BS66" s="47" t="n"/>
      <c r="BT66" s="47" t="inlineStr">
        <is>
          <t>A</t>
        </is>
      </c>
      <c r="BU66" s="47" t="inlineStr">
        <is>
          <t>A</t>
        </is>
      </c>
      <c r="BV66" s="47" t="n"/>
      <c r="BW66" s="47" t="n"/>
      <c r="BX66" s="47" t="inlineStr">
        <is>
          <t>P</t>
        </is>
      </c>
      <c r="BY66" s="47" t="inlineStr">
        <is>
          <t>P</t>
        </is>
      </c>
      <c r="BZ66" s="47" t="n"/>
      <c r="CA66" s="47" t="n"/>
      <c r="CB66" s="47" t="inlineStr">
        <is>
          <t>A</t>
        </is>
      </c>
      <c r="CC66" s="47" t="n"/>
      <c r="CD66" s="47" t="n"/>
      <c r="CE66" s="47" t="n"/>
      <c r="CF66" s="47" t="inlineStr">
        <is>
          <t>A</t>
        </is>
      </c>
      <c r="CG66" s="47" t="n"/>
      <c r="CH66" s="47" t="n"/>
      <c r="CI66" s="47" t="n"/>
      <c r="CJ66" s="47" t="n"/>
      <c r="CK66" s="47" t="n"/>
      <c r="CL66" s="47" t="n"/>
      <c r="CM66" s="47" t="n"/>
      <c r="CN66" s="47" t="inlineStr">
        <is>
          <t>P</t>
        </is>
      </c>
      <c r="CO66" s="47" t="n"/>
      <c r="CP66" s="47" t="n"/>
      <c r="CQ66" s="47" t="inlineStr">
        <is>
          <t>P</t>
        </is>
      </c>
      <c r="CR66" s="47" t="inlineStr">
        <is>
          <t>P</t>
        </is>
      </c>
      <c r="CS66" s="47" t="n"/>
      <c r="CT66" s="47" t="n"/>
      <c r="CU66" s="47" t="inlineStr">
        <is>
          <t>P</t>
        </is>
      </c>
      <c r="CV66" s="47" t="inlineStr">
        <is>
          <t>P</t>
        </is>
      </c>
      <c r="CW66" s="47" t="n"/>
      <c r="CX66" s="47" t="n"/>
      <c r="CY66" s="47" t="n"/>
      <c r="CZ66" s="47" t="inlineStr">
        <is>
          <t>P</t>
        </is>
      </c>
      <c r="DA66" s="47" t="n"/>
      <c r="DB66" s="47" t="n"/>
      <c r="DC66" s="47" t="inlineStr">
        <is>
          <t>A</t>
        </is>
      </c>
      <c r="DD66" s="47" t="n"/>
      <c r="DE66" s="47" t="n"/>
      <c r="DF66" s="47" t="n"/>
      <c r="DG66" s="47" t="n"/>
      <c r="DH66" s="47" t="n"/>
      <c r="DI66" s="47" t="n"/>
      <c r="DJ66" s="47" t="n"/>
      <c r="DK66" s="47" t="inlineStr">
        <is>
          <t>P</t>
        </is>
      </c>
      <c r="DL66" s="47" t="n"/>
      <c r="DM66" s="47" t="n"/>
      <c r="DN66" s="47" t="inlineStr">
        <is>
          <t>A</t>
        </is>
      </c>
      <c r="DO66" s="47" t="inlineStr">
        <is>
          <t>A</t>
        </is>
      </c>
      <c r="DP66" s="47" t="n"/>
      <c r="DQ66" s="47" t="n"/>
      <c r="DR66" s="47" t="inlineStr">
        <is>
          <t>P</t>
        </is>
      </c>
      <c r="DS66" s="47" t="inlineStr">
        <is>
          <t>P</t>
        </is>
      </c>
      <c r="DT66" s="47" t="n"/>
      <c r="DU66" s="47" t="n"/>
      <c r="DV66" s="47" t="inlineStr">
        <is>
          <t>P</t>
        </is>
      </c>
      <c r="DW66" s="47" t="inlineStr">
        <is>
          <t>A</t>
        </is>
      </c>
      <c r="DX66" s="47" t="n"/>
      <c r="DY66" s="47" t="n"/>
      <c r="DZ66" s="47" t="inlineStr">
        <is>
          <t>P</t>
        </is>
      </c>
      <c r="EA66" s="47" t="n"/>
      <c r="EB66" s="47" t="n"/>
      <c r="EC66" s="47" t="n"/>
      <c r="ED66" s="47" t="n"/>
      <c r="EE66" s="47" t="n"/>
      <c r="EF66" s="47" t="n"/>
      <c r="EG66" s="47" t="n"/>
      <c r="EH66" s="47" t="inlineStr">
        <is>
          <t>P</t>
        </is>
      </c>
      <c r="EI66" s="47" t="n"/>
      <c r="EJ66" s="47" t="n"/>
      <c r="EK66" s="47" t="inlineStr">
        <is>
          <t>P</t>
        </is>
      </c>
      <c r="EL66" s="47" t="inlineStr">
        <is>
          <t>P</t>
        </is>
      </c>
      <c r="EM66" s="47" t="n"/>
      <c r="EN66" s="47" t="n"/>
      <c r="EO66" s="47" t="inlineStr">
        <is>
          <t>P</t>
        </is>
      </c>
      <c r="EP66" s="47" t="inlineStr">
        <is>
          <t>P</t>
        </is>
      </c>
      <c r="EQ66" s="47" t="n"/>
      <c r="ER66" s="47" t="n"/>
      <c r="ES66" s="47" t="inlineStr">
        <is>
          <t>P</t>
        </is>
      </c>
      <c r="ET66" s="47" t="inlineStr">
        <is>
          <t>P</t>
        </is>
      </c>
      <c r="EU66" s="47" t="n"/>
      <c r="EV66" s="47" t="n"/>
      <c r="EW66" s="47" t="n"/>
      <c r="EX66" s="47" t="n"/>
      <c r="EY66" s="47" t="n"/>
      <c r="EZ66" s="47" t="n"/>
      <c r="FA66" s="47" t="n"/>
      <c r="FB66" s="47" t="inlineStr">
        <is>
          <t>A</t>
        </is>
      </c>
      <c r="FC66" s="47" t="n"/>
      <c r="FD66" s="47" t="n"/>
      <c r="FE66" s="47" t="inlineStr">
        <is>
          <t>A</t>
        </is>
      </c>
      <c r="FF66" s="47" t="inlineStr">
        <is>
          <t>P</t>
        </is>
      </c>
      <c r="FG66" s="47" t="n"/>
      <c r="FH66" s="47" t="n"/>
      <c r="FI66" s="47" t="inlineStr">
        <is>
          <t>P</t>
        </is>
      </c>
      <c r="FJ66" s="47" t="inlineStr">
        <is>
          <t>P</t>
        </is>
      </c>
      <c r="FK66" s="47" t="n"/>
      <c r="FL66" s="47" t="n"/>
      <c r="FM66" s="47" t="n"/>
      <c r="FN66" s="47" t="n"/>
      <c r="FO66" s="47" t="n"/>
      <c r="FP66" s="47" t="n"/>
      <c r="FQ66" s="47" t="n"/>
      <c r="FR66" s="47" t="inlineStr">
        <is>
          <t>P</t>
        </is>
      </c>
      <c r="FS66" s="47" t="n"/>
      <c r="FT66" s="47" t="n"/>
      <c r="FU66" s="47" t="n"/>
      <c r="FV66" s="47" t="n"/>
      <c r="FW66" s="47" t="n"/>
      <c r="FX66" s="47" t="n"/>
      <c r="FY66" s="47" t="inlineStr">
        <is>
          <t>A</t>
        </is>
      </c>
      <c r="FZ66" s="47" t="inlineStr">
        <is>
          <t>A</t>
        </is>
      </c>
      <c r="GA66" s="47" t="n"/>
      <c r="GB66" s="47" t="n"/>
      <c r="GC66" s="47" t="n"/>
      <c r="GD66" s="47" t="inlineStr">
        <is>
          <t>A</t>
        </is>
      </c>
      <c r="GE66" s="47" t="n"/>
      <c r="GF66" s="47" t="n"/>
      <c r="GG66" s="47" t="inlineStr">
        <is>
          <t>P</t>
        </is>
      </c>
      <c r="GH66" s="47" t="n"/>
      <c r="GI66" s="47" t="n"/>
    </row>
    <row r="67" ht="14.25" customHeight="1" s="34">
      <c r="A67" s="46" t="n">
        <v>64</v>
      </c>
      <c r="B67" s="46" t="inlineStr">
        <is>
          <t>325106410064</t>
        </is>
      </c>
      <c r="C67" s="46" t="inlineStr">
        <is>
          <t>KARTHIKEYA KOLANUKUDURU</t>
        </is>
      </c>
      <c r="D67" s="47" t="inlineStr">
        <is>
          <t>A</t>
        </is>
      </c>
      <c r="E67" s="47" t="n"/>
      <c r="F67" s="47" t="n"/>
      <c r="G67" s="47" t="n"/>
      <c r="H67" s="47" t="n"/>
      <c r="I67" s="47" t="inlineStr">
        <is>
          <t>A</t>
        </is>
      </c>
      <c r="J67" s="47" t="n"/>
      <c r="K67" s="47" t="n"/>
      <c r="L67" s="47" t="inlineStr">
        <is>
          <t>A</t>
        </is>
      </c>
      <c r="M67" s="47" t="n"/>
      <c r="N67" s="47" t="n"/>
      <c r="O67" s="47" t="n"/>
      <c r="P67" s="47" t="inlineStr">
        <is>
          <t>A</t>
        </is>
      </c>
      <c r="Q67" s="47" t="inlineStr">
        <is>
          <t>A</t>
        </is>
      </c>
      <c r="R67" s="47" t="n"/>
      <c r="S67" s="47" t="n"/>
      <c r="T67" s="47" t="inlineStr">
        <is>
          <t>A</t>
        </is>
      </c>
      <c r="U67" s="47" t="n"/>
      <c r="V67" s="47" t="n"/>
      <c r="W67" s="47" t="n"/>
      <c r="X67" s="47" t="n"/>
      <c r="Y67" s="47" t="n"/>
      <c r="Z67" s="47" t="n"/>
      <c r="AA67" s="47" t="n"/>
      <c r="AB67" s="47" t="n"/>
      <c r="AC67" s="47" t="inlineStr">
        <is>
          <t>P</t>
        </is>
      </c>
      <c r="AD67" s="47" t="n"/>
      <c r="AE67" s="47" t="n"/>
      <c r="AF67" s="47" t="inlineStr">
        <is>
          <t>P</t>
        </is>
      </c>
      <c r="AG67" s="47" t="n"/>
      <c r="AH67" s="47" t="n"/>
      <c r="AI67" s="47" t="n"/>
      <c r="AJ67" s="47" t="inlineStr">
        <is>
          <t>P</t>
        </is>
      </c>
      <c r="AK67" s="47" t="inlineStr">
        <is>
          <t>P</t>
        </is>
      </c>
      <c r="AL67" s="47" t="n"/>
      <c r="AM67" s="47" t="n"/>
      <c r="AN67" s="47" t="inlineStr">
        <is>
          <t>P</t>
        </is>
      </c>
      <c r="AO67" s="47" t="n"/>
      <c r="AP67" s="47" t="n"/>
      <c r="AQ67" s="47" t="n"/>
      <c r="AR67" s="47" t="inlineStr">
        <is>
          <t>A</t>
        </is>
      </c>
      <c r="AS67" s="47" t="n"/>
      <c r="AT67" s="47" t="n"/>
      <c r="AU67" s="47" t="n"/>
      <c r="AV67" s="47" t="n"/>
      <c r="AW67" s="47" t="inlineStr">
        <is>
          <t>P</t>
        </is>
      </c>
      <c r="AX67" s="47" t="n"/>
      <c r="AY67" s="47" t="n"/>
      <c r="AZ67" s="47" t="inlineStr">
        <is>
          <t>P</t>
        </is>
      </c>
      <c r="BA67" s="47" t="inlineStr">
        <is>
          <t>P</t>
        </is>
      </c>
      <c r="BB67" s="47" t="n"/>
      <c r="BC67" s="47" t="n"/>
      <c r="BD67" s="47" t="inlineStr">
        <is>
          <t>A</t>
        </is>
      </c>
      <c r="BE67" s="47" t="inlineStr">
        <is>
          <t>A</t>
        </is>
      </c>
      <c r="BF67" s="47" t="n"/>
      <c r="BG67" s="47" t="n"/>
      <c r="BH67" s="47" t="inlineStr">
        <is>
          <t>P</t>
        </is>
      </c>
      <c r="BI67" s="47" t="inlineStr">
        <is>
          <t>P</t>
        </is>
      </c>
      <c r="BJ67" s="47" t="n"/>
      <c r="BK67" s="47" t="n"/>
      <c r="BL67" s="47" t="n"/>
      <c r="BM67" s="47" t="n"/>
      <c r="BN67" s="47" t="n"/>
      <c r="BO67" s="47" t="n"/>
      <c r="BP67" s="47" t="n"/>
      <c r="BQ67" s="47" t="inlineStr">
        <is>
          <t>P</t>
        </is>
      </c>
      <c r="BR67" s="47" t="n"/>
      <c r="BS67" s="47" t="n"/>
      <c r="BT67" s="47" t="inlineStr">
        <is>
          <t>P</t>
        </is>
      </c>
      <c r="BU67" s="47" t="inlineStr">
        <is>
          <t>P</t>
        </is>
      </c>
      <c r="BV67" s="47" t="n"/>
      <c r="BW67" s="47" t="n"/>
      <c r="BX67" s="47" t="inlineStr">
        <is>
          <t>P</t>
        </is>
      </c>
      <c r="BY67" s="47" t="inlineStr">
        <is>
          <t>P</t>
        </is>
      </c>
      <c r="BZ67" s="47" t="n"/>
      <c r="CA67" s="47" t="n"/>
      <c r="CB67" s="47" t="inlineStr">
        <is>
          <t>P</t>
        </is>
      </c>
      <c r="CC67" s="47" t="n"/>
      <c r="CD67" s="47" t="n"/>
      <c r="CE67" s="47" t="n"/>
      <c r="CF67" s="47" t="inlineStr">
        <is>
          <t>P</t>
        </is>
      </c>
      <c r="CG67" s="47" t="n"/>
      <c r="CH67" s="47" t="n"/>
      <c r="CI67" s="47" t="n"/>
      <c r="CJ67" s="47" t="n"/>
      <c r="CK67" s="47" t="n"/>
      <c r="CL67" s="47" t="n"/>
      <c r="CM67" s="47" t="n"/>
      <c r="CN67" s="47" t="inlineStr">
        <is>
          <t>P</t>
        </is>
      </c>
      <c r="CO67" s="47" t="n"/>
      <c r="CP67" s="47" t="n"/>
      <c r="CQ67" s="47" t="inlineStr">
        <is>
          <t>P</t>
        </is>
      </c>
      <c r="CR67" s="47" t="inlineStr">
        <is>
          <t>P</t>
        </is>
      </c>
      <c r="CS67" s="47" t="n"/>
      <c r="CT67" s="47" t="n"/>
      <c r="CU67" s="47" t="inlineStr">
        <is>
          <t>P</t>
        </is>
      </c>
      <c r="CV67" s="47" t="inlineStr">
        <is>
          <t>P</t>
        </is>
      </c>
      <c r="CW67" s="47" t="n"/>
      <c r="CX67" s="47" t="n"/>
      <c r="CY67" s="47" t="n"/>
      <c r="CZ67" s="47" t="inlineStr">
        <is>
          <t>P</t>
        </is>
      </c>
      <c r="DA67" s="47" t="n"/>
      <c r="DB67" s="47" t="n"/>
      <c r="DC67" s="47" t="inlineStr">
        <is>
          <t>P</t>
        </is>
      </c>
      <c r="DD67" s="47" t="n"/>
      <c r="DE67" s="47" t="n"/>
      <c r="DF67" s="47" t="n"/>
      <c r="DG67" s="47" t="n"/>
      <c r="DH67" s="47" t="n"/>
      <c r="DI67" s="47" t="n"/>
      <c r="DJ67" s="47" t="n"/>
      <c r="DK67" s="47" t="inlineStr">
        <is>
          <t>P</t>
        </is>
      </c>
      <c r="DL67" s="47" t="n"/>
      <c r="DM67" s="47" t="n"/>
      <c r="DN67" s="47" t="inlineStr">
        <is>
          <t>A</t>
        </is>
      </c>
      <c r="DO67" s="47" t="inlineStr">
        <is>
          <t>A</t>
        </is>
      </c>
      <c r="DP67" s="47" t="n"/>
      <c r="DQ67" s="47" t="n"/>
      <c r="DR67" s="47" t="inlineStr">
        <is>
          <t>A</t>
        </is>
      </c>
      <c r="DS67" s="47" t="inlineStr">
        <is>
          <t>A</t>
        </is>
      </c>
      <c r="DT67" s="47" t="n"/>
      <c r="DU67" s="47" t="n"/>
      <c r="DV67" s="47" t="inlineStr">
        <is>
          <t>P</t>
        </is>
      </c>
      <c r="DW67" s="47" t="inlineStr">
        <is>
          <t>A</t>
        </is>
      </c>
      <c r="DX67" s="47" t="n"/>
      <c r="DY67" s="47" t="n"/>
      <c r="DZ67" s="47" t="inlineStr">
        <is>
          <t>P</t>
        </is>
      </c>
      <c r="EA67" s="47" t="n"/>
      <c r="EB67" s="47" t="n"/>
      <c r="EC67" s="47" t="n"/>
      <c r="ED67" s="47" t="n"/>
      <c r="EE67" s="47" t="n"/>
      <c r="EF67" s="47" t="n"/>
      <c r="EG67" s="47" t="n"/>
      <c r="EH67" s="47" t="inlineStr">
        <is>
          <t>P</t>
        </is>
      </c>
      <c r="EI67" s="47" t="n"/>
      <c r="EJ67" s="47" t="n"/>
      <c r="EK67" s="47" t="inlineStr">
        <is>
          <t>A</t>
        </is>
      </c>
      <c r="EL67" s="47" t="inlineStr">
        <is>
          <t>P</t>
        </is>
      </c>
      <c r="EM67" s="47" t="n"/>
      <c r="EN67" s="47" t="n"/>
      <c r="EO67" s="47" t="inlineStr">
        <is>
          <t>A</t>
        </is>
      </c>
      <c r="EP67" s="47" t="inlineStr">
        <is>
          <t>A</t>
        </is>
      </c>
      <c r="EQ67" s="47" t="n"/>
      <c r="ER67" s="47" t="n"/>
      <c r="ES67" s="47" t="inlineStr">
        <is>
          <t>A</t>
        </is>
      </c>
      <c r="ET67" s="47" t="inlineStr">
        <is>
          <t>A</t>
        </is>
      </c>
      <c r="EU67" s="47" t="n"/>
      <c r="EV67" s="47" t="n"/>
      <c r="EW67" s="47" t="n"/>
      <c r="EX67" s="47" t="n"/>
      <c r="EY67" s="47" t="n"/>
      <c r="EZ67" s="47" t="n"/>
      <c r="FA67" s="47" t="n"/>
      <c r="FB67" s="47" t="inlineStr">
        <is>
          <t>P</t>
        </is>
      </c>
      <c r="FC67" s="47" t="n"/>
      <c r="FD67" s="47" t="n"/>
      <c r="FE67" s="47" t="inlineStr">
        <is>
          <t>P</t>
        </is>
      </c>
      <c r="FF67" s="47" t="inlineStr">
        <is>
          <t>P</t>
        </is>
      </c>
      <c r="FG67" s="47" t="n"/>
      <c r="FH67" s="47" t="n"/>
      <c r="FI67" s="47" t="inlineStr">
        <is>
          <t>P</t>
        </is>
      </c>
      <c r="FJ67" s="47" t="inlineStr">
        <is>
          <t>P</t>
        </is>
      </c>
      <c r="FK67" s="47" t="n"/>
      <c r="FL67" s="47" t="n"/>
      <c r="FM67" s="47" t="n"/>
      <c r="FN67" s="47" t="n"/>
      <c r="FO67" s="47" t="n"/>
      <c r="FP67" s="47" t="n"/>
      <c r="FQ67" s="47" t="n"/>
      <c r="FR67" s="47" t="inlineStr">
        <is>
          <t>P</t>
        </is>
      </c>
      <c r="FS67" s="47" t="n"/>
      <c r="FT67" s="47" t="n"/>
      <c r="FU67" s="47" t="n"/>
      <c r="FV67" s="47" t="n"/>
      <c r="FW67" s="47" t="n"/>
      <c r="FX67" s="47" t="n"/>
      <c r="FY67" s="47" t="inlineStr">
        <is>
          <t>P</t>
        </is>
      </c>
      <c r="FZ67" s="47" t="inlineStr">
        <is>
          <t>P</t>
        </is>
      </c>
      <c r="GA67" s="47" t="n"/>
      <c r="GB67" s="47" t="n"/>
      <c r="GC67" s="47" t="n"/>
      <c r="GD67" s="47" t="inlineStr">
        <is>
          <t>A</t>
        </is>
      </c>
      <c r="GE67" s="47" t="n"/>
      <c r="GF67" s="47" t="n"/>
      <c r="GG67" s="47" t="inlineStr">
        <is>
          <t>A</t>
        </is>
      </c>
      <c r="GH67" s="47" t="n"/>
      <c r="GI67" s="47" t="n"/>
    </row>
    <row r="68" ht="14.25" customHeight="1" s="34">
      <c r="A68" s="46" t="n">
        <v>65</v>
      </c>
      <c r="B68" s="46" t="inlineStr">
        <is>
          <t>325106410065</t>
        </is>
      </c>
      <c r="C68" s="46" t="inlineStr">
        <is>
          <t>IBRAHIM SAHR KABBA</t>
        </is>
      </c>
      <c r="D68" s="47" t="inlineStr">
        <is>
          <t>A</t>
        </is>
      </c>
      <c r="E68" s="47" t="n"/>
      <c r="F68" s="47" t="n"/>
      <c r="G68" s="47" t="n"/>
      <c r="H68" s="47" t="n"/>
      <c r="I68" s="47" t="inlineStr">
        <is>
          <t>P</t>
        </is>
      </c>
      <c r="J68" s="47" t="n"/>
      <c r="K68" s="47" t="n"/>
      <c r="L68" s="47" t="inlineStr">
        <is>
          <t>P</t>
        </is>
      </c>
      <c r="M68" s="47" t="n"/>
      <c r="N68" s="47" t="n"/>
      <c r="O68" s="47" t="n"/>
      <c r="P68" s="47" t="inlineStr">
        <is>
          <t>A</t>
        </is>
      </c>
      <c r="Q68" s="47" t="inlineStr">
        <is>
          <t>A</t>
        </is>
      </c>
      <c r="R68" s="47" t="n"/>
      <c r="S68" s="47" t="n"/>
      <c r="T68" s="47" t="inlineStr">
        <is>
          <t>A</t>
        </is>
      </c>
      <c r="U68" s="47" t="n"/>
      <c r="V68" s="47" t="n"/>
      <c r="W68" s="47" t="n"/>
      <c r="X68" s="47" t="n"/>
      <c r="Y68" s="47" t="n"/>
      <c r="Z68" s="47" t="n"/>
      <c r="AA68" s="47" t="n"/>
      <c r="AB68" s="47" t="n"/>
      <c r="AC68" s="47" t="inlineStr">
        <is>
          <t>P</t>
        </is>
      </c>
      <c r="AD68" s="47" t="n"/>
      <c r="AE68" s="47" t="n"/>
      <c r="AF68" s="47" t="inlineStr">
        <is>
          <t>P</t>
        </is>
      </c>
      <c r="AG68" s="47" t="n"/>
      <c r="AH68" s="47" t="n"/>
      <c r="AI68" s="47" t="n"/>
      <c r="AJ68" s="47" t="inlineStr">
        <is>
          <t>P</t>
        </is>
      </c>
      <c r="AK68" s="47" t="inlineStr">
        <is>
          <t>P</t>
        </is>
      </c>
      <c r="AL68" s="47" t="n"/>
      <c r="AM68" s="47" t="n"/>
      <c r="AN68" s="47" t="inlineStr">
        <is>
          <t>P</t>
        </is>
      </c>
      <c r="AO68" s="47" t="n"/>
      <c r="AP68" s="47" t="n"/>
      <c r="AQ68" s="47" t="n"/>
      <c r="AR68" s="47" t="inlineStr">
        <is>
          <t>P</t>
        </is>
      </c>
      <c r="AS68" s="47" t="n"/>
      <c r="AT68" s="47" t="n"/>
      <c r="AU68" s="47" t="n"/>
      <c r="AV68" s="47" t="n"/>
      <c r="AW68" s="47" t="inlineStr">
        <is>
          <t>P</t>
        </is>
      </c>
      <c r="AX68" s="47" t="n"/>
      <c r="AY68" s="47" t="n"/>
      <c r="AZ68" s="47" t="inlineStr">
        <is>
          <t>P</t>
        </is>
      </c>
      <c r="BA68" s="47" t="inlineStr">
        <is>
          <t>P</t>
        </is>
      </c>
      <c r="BB68" s="47" t="n"/>
      <c r="BC68" s="47" t="n"/>
      <c r="BD68" s="47" t="inlineStr">
        <is>
          <t>P</t>
        </is>
      </c>
      <c r="BE68" s="47" t="inlineStr">
        <is>
          <t>P</t>
        </is>
      </c>
      <c r="BF68" s="47" t="n"/>
      <c r="BG68" s="47" t="n"/>
      <c r="BH68" s="47" t="inlineStr">
        <is>
          <t>P</t>
        </is>
      </c>
      <c r="BI68" s="47" t="inlineStr">
        <is>
          <t>P</t>
        </is>
      </c>
      <c r="BJ68" s="47" t="n"/>
      <c r="BK68" s="47" t="n"/>
      <c r="BL68" s="47" t="n"/>
      <c r="BM68" s="47" t="n"/>
      <c r="BN68" s="47" t="n"/>
      <c r="BO68" s="47" t="n"/>
      <c r="BP68" s="47" t="n"/>
      <c r="BQ68" s="47" t="inlineStr">
        <is>
          <t>P</t>
        </is>
      </c>
      <c r="BR68" s="47" t="n"/>
      <c r="BS68" s="47" t="n"/>
      <c r="BT68" s="47" t="inlineStr">
        <is>
          <t>P</t>
        </is>
      </c>
      <c r="BU68" s="47" t="inlineStr">
        <is>
          <t>P</t>
        </is>
      </c>
      <c r="BV68" s="47" t="n"/>
      <c r="BW68" s="47" t="n"/>
      <c r="BX68" s="47" t="inlineStr">
        <is>
          <t>P</t>
        </is>
      </c>
      <c r="BY68" s="47" t="inlineStr">
        <is>
          <t>P</t>
        </is>
      </c>
      <c r="BZ68" s="47" t="n"/>
      <c r="CA68" s="47" t="n"/>
      <c r="CB68" s="47" t="inlineStr">
        <is>
          <t>A</t>
        </is>
      </c>
      <c r="CC68" s="47" t="n"/>
      <c r="CD68" s="47" t="n"/>
      <c r="CE68" s="47" t="n"/>
      <c r="CF68" s="47" t="inlineStr">
        <is>
          <t>P</t>
        </is>
      </c>
      <c r="CG68" s="47" t="n"/>
      <c r="CH68" s="47" t="n"/>
      <c r="CI68" s="47" t="n"/>
      <c r="CJ68" s="47" t="n"/>
      <c r="CK68" s="47" t="n"/>
      <c r="CL68" s="47" t="n"/>
      <c r="CM68" s="47" t="n"/>
      <c r="CN68" s="47" t="inlineStr">
        <is>
          <t>P</t>
        </is>
      </c>
      <c r="CO68" s="47" t="n"/>
      <c r="CP68" s="47" t="n"/>
      <c r="CQ68" s="47" t="inlineStr">
        <is>
          <t>P</t>
        </is>
      </c>
      <c r="CR68" s="47" t="inlineStr">
        <is>
          <t>P</t>
        </is>
      </c>
      <c r="CS68" s="47" t="n"/>
      <c r="CT68" s="47" t="n"/>
      <c r="CU68" s="47" t="inlineStr">
        <is>
          <t>P</t>
        </is>
      </c>
      <c r="CV68" s="47" t="inlineStr">
        <is>
          <t>P</t>
        </is>
      </c>
      <c r="CW68" s="47" t="n"/>
      <c r="CX68" s="47" t="n"/>
      <c r="CY68" s="47" t="n"/>
      <c r="CZ68" s="47" t="inlineStr">
        <is>
          <t>P</t>
        </is>
      </c>
      <c r="DA68" s="47" t="n"/>
      <c r="DB68" s="47" t="n"/>
      <c r="DC68" s="47" t="inlineStr">
        <is>
          <t>P</t>
        </is>
      </c>
      <c r="DD68" s="47" t="n"/>
      <c r="DE68" s="47" t="n"/>
      <c r="DF68" s="47" t="n"/>
      <c r="DG68" s="47" t="n"/>
      <c r="DH68" s="47" t="n"/>
      <c r="DI68" s="47" t="n"/>
      <c r="DJ68" s="47" t="n"/>
      <c r="DK68" s="47" t="inlineStr">
        <is>
          <t>P</t>
        </is>
      </c>
      <c r="DL68" s="47" t="n"/>
      <c r="DM68" s="47" t="n"/>
      <c r="DN68" s="47" t="inlineStr">
        <is>
          <t>P</t>
        </is>
      </c>
      <c r="DO68" s="47" t="inlineStr">
        <is>
          <t>P</t>
        </is>
      </c>
      <c r="DP68" s="47" t="n"/>
      <c r="DQ68" s="47" t="n"/>
      <c r="DR68" s="47" t="inlineStr">
        <is>
          <t>P</t>
        </is>
      </c>
      <c r="DS68" s="47" t="inlineStr">
        <is>
          <t>P</t>
        </is>
      </c>
      <c r="DT68" s="47" t="n"/>
      <c r="DU68" s="47" t="n"/>
      <c r="DV68" s="47" t="inlineStr">
        <is>
          <t>P</t>
        </is>
      </c>
      <c r="DW68" s="47" t="inlineStr">
        <is>
          <t>P</t>
        </is>
      </c>
      <c r="DX68" s="47" t="n"/>
      <c r="DY68" s="47" t="n"/>
      <c r="DZ68" s="47" t="inlineStr">
        <is>
          <t>P</t>
        </is>
      </c>
      <c r="EA68" s="47" t="n"/>
      <c r="EB68" s="47" t="n"/>
      <c r="EC68" s="47" t="n"/>
      <c r="ED68" s="47" t="n"/>
      <c r="EE68" s="47" t="n"/>
      <c r="EF68" s="47" t="n"/>
      <c r="EG68" s="47" t="n"/>
      <c r="EH68" s="47" t="inlineStr">
        <is>
          <t>P</t>
        </is>
      </c>
      <c r="EI68" s="47" t="n"/>
      <c r="EJ68" s="47" t="n"/>
      <c r="EK68" s="47" t="inlineStr">
        <is>
          <t>P</t>
        </is>
      </c>
      <c r="EL68" s="47" t="inlineStr">
        <is>
          <t>P</t>
        </is>
      </c>
      <c r="EM68" s="47" t="n"/>
      <c r="EN68" s="47" t="n"/>
      <c r="EO68" s="47" t="inlineStr">
        <is>
          <t>P</t>
        </is>
      </c>
      <c r="EP68" s="47" t="inlineStr">
        <is>
          <t>A</t>
        </is>
      </c>
      <c r="EQ68" s="47" t="n"/>
      <c r="ER68" s="47" t="n"/>
      <c r="ES68" s="47" t="inlineStr">
        <is>
          <t>P</t>
        </is>
      </c>
      <c r="ET68" s="47" t="inlineStr">
        <is>
          <t>P</t>
        </is>
      </c>
      <c r="EU68" s="47" t="n"/>
      <c r="EV68" s="47" t="n"/>
      <c r="EW68" s="47" t="n"/>
      <c r="EX68" s="47" t="n"/>
      <c r="EY68" s="47" t="n"/>
      <c r="EZ68" s="47" t="n"/>
      <c r="FA68" s="47" t="n"/>
      <c r="FB68" s="47" t="inlineStr">
        <is>
          <t>P</t>
        </is>
      </c>
      <c r="FC68" s="47" t="n"/>
      <c r="FD68" s="47" t="n"/>
      <c r="FE68" s="47" t="inlineStr">
        <is>
          <t>P</t>
        </is>
      </c>
      <c r="FF68" s="47" t="inlineStr">
        <is>
          <t>P</t>
        </is>
      </c>
      <c r="FG68" s="47" t="n"/>
      <c r="FH68" s="47" t="n"/>
      <c r="FI68" s="47" t="inlineStr">
        <is>
          <t>P</t>
        </is>
      </c>
      <c r="FJ68" s="47" t="inlineStr">
        <is>
          <t>P</t>
        </is>
      </c>
      <c r="FK68" s="47" t="n"/>
      <c r="FL68" s="47" t="n"/>
      <c r="FM68" s="47" t="n"/>
      <c r="FN68" s="47" t="n"/>
      <c r="FO68" s="47" t="n"/>
      <c r="FP68" s="47" t="n"/>
      <c r="FQ68" s="47" t="n"/>
      <c r="FR68" s="47" t="inlineStr">
        <is>
          <t>P</t>
        </is>
      </c>
      <c r="FS68" s="47" t="n"/>
      <c r="FT68" s="47" t="n"/>
      <c r="FU68" s="47" t="n"/>
      <c r="FV68" s="47" t="n"/>
      <c r="FW68" s="47" t="n"/>
      <c r="FX68" s="47" t="n"/>
      <c r="FY68" s="47" t="inlineStr">
        <is>
          <t>P</t>
        </is>
      </c>
      <c r="FZ68" s="47" t="inlineStr">
        <is>
          <t>P</t>
        </is>
      </c>
      <c r="GA68" s="47" t="n"/>
      <c r="GB68" s="47" t="n"/>
      <c r="GC68" s="47" t="n"/>
      <c r="GD68" s="47" t="inlineStr">
        <is>
          <t>P</t>
        </is>
      </c>
      <c r="GE68" s="47" t="n"/>
      <c r="GF68" s="47" t="n"/>
      <c r="GG68" s="47" t="inlineStr">
        <is>
          <t>A</t>
        </is>
      </c>
      <c r="GH68" s="47" t="n"/>
      <c r="GI68" s="47" t="n"/>
    </row>
    <row r="69" ht="14.25" customHeight="1" s="34">
      <c r="A69" s="46" t="n">
        <v>66</v>
      </c>
      <c r="B69" s="46" t="inlineStr">
        <is>
          <t>325106410066</t>
        </is>
      </c>
      <c r="C69" s="46" t="inlineStr">
        <is>
          <t>ABDISAMIC YASIN ABDIRAHMAN</t>
        </is>
      </c>
      <c r="D69" s="47" t="inlineStr">
        <is>
          <t>A</t>
        </is>
      </c>
      <c r="E69" s="47" t="n"/>
      <c r="F69" s="47" t="n"/>
      <c r="G69" s="47" t="n"/>
      <c r="H69" s="47" t="n"/>
      <c r="I69" s="47" t="inlineStr">
        <is>
          <t>A</t>
        </is>
      </c>
      <c r="J69" s="47" t="n"/>
      <c r="K69" s="47" t="n"/>
      <c r="L69" s="47" t="inlineStr">
        <is>
          <t>P</t>
        </is>
      </c>
      <c r="M69" s="47" t="n"/>
      <c r="N69" s="47" t="n"/>
      <c r="O69" s="47" t="n"/>
      <c r="P69" s="47" t="inlineStr">
        <is>
          <t>P</t>
        </is>
      </c>
      <c r="Q69" s="47" t="inlineStr">
        <is>
          <t>P</t>
        </is>
      </c>
      <c r="R69" s="47" t="n"/>
      <c r="S69" s="47" t="n"/>
      <c r="T69" s="47" t="inlineStr">
        <is>
          <t>A</t>
        </is>
      </c>
      <c r="U69" s="47" t="n"/>
      <c r="V69" s="47" t="n"/>
      <c r="W69" s="47" t="n"/>
      <c r="X69" s="47" t="n"/>
      <c r="Y69" s="47" t="n"/>
      <c r="Z69" s="47" t="n"/>
      <c r="AA69" s="47" t="n"/>
      <c r="AB69" s="47" t="n"/>
      <c r="AC69" s="47" t="inlineStr">
        <is>
          <t>A</t>
        </is>
      </c>
      <c r="AD69" s="47" t="n"/>
      <c r="AE69" s="47" t="n"/>
      <c r="AF69" s="47" t="inlineStr">
        <is>
          <t>A</t>
        </is>
      </c>
      <c r="AG69" s="47" t="n"/>
      <c r="AH69" s="47" t="n"/>
      <c r="AI69" s="47" t="n"/>
      <c r="AJ69" s="47" t="inlineStr">
        <is>
          <t>A</t>
        </is>
      </c>
      <c r="AK69" s="47" t="inlineStr">
        <is>
          <t>A</t>
        </is>
      </c>
      <c r="AL69" s="47" t="n"/>
      <c r="AM69" s="47" t="n"/>
      <c r="AN69" s="47" t="inlineStr">
        <is>
          <t>P</t>
        </is>
      </c>
      <c r="AO69" s="47" t="n"/>
      <c r="AP69" s="47" t="n"/>
      <c r="AQ69" s="47" t="n"/>
      <c r="AR69" s="47" t="inlineStr">
        <is>
          <t>A</t>
        </is>
      </c>
      <c r="AS69" s="47" t="n"/>
      <c r="AT69" s="47" t="n"/>
      <c r="AU69" s="47" t="n"/>
      <c r="AV69" s="47" t="n"/>
      <c r="AW69" s="47" t="inlineStr">
        <is>
          <t>P</t>
        </is>
      </c>
      <c r="AX69" s="47" t="n"/>
      <c r="AY69" s="47" t="n"/>
      <c r="AZ69" s="47" t="inlineStr">
        <is>
          <t>P</t>
        </is>
      </c>
      <c r="BA69" s="47" t="inlineStr">
        <is>
          <t>P</t>
        </is>
      </c>
      <c r="BB69" s="47" t="n"/>
      <c r="BC69" s="47" t="n"/>
      <c r="BD69" s="47" t="inlineStr">
        <is>
          <t>P</t>
        </is>
      </c>
      <c r="BE69" s="47" t="inlineStr">
        <is>
          <t>P</t>
        </is>
      </c>
      <c r="BF69" s="47" t="n"/>
      <c r="BG69" s="47" t="n"/>
      <c r="BH69" s="47" t="inlineStr">
        <is>
          <t>P</t>
        </is>
      </c>
      <c r="BI69" s="47" t="inlineStr">
        <is>
          <t>P</t>
        </is>
      </c>
      <c r="BJ69" s="47" t="n"/>
      <c r="BK69" s="47" t="n"/>
      <c r="BL69" s="47" t="n"/>
      <c r="BM69" s="47" t="n"/>
      <c r="BN69" s="47" t="n"/>
      <c r="BO69" s="47" t="n"/>
      <c r="BP69" s="47" t="n"/>
      <c r="BQ69" s="47" t="inlineStr">
        <is>
          <t>P</t>
        </is>
      </c>
      <c r="BR69" s="47" t="n"/>
      <c r="BS69" s="47" t="n"/>
      <c r="BT69" s="47" t="inlineStr">
        <is>
          <t>A</t>
        </is>
      </c>
      <c r="BU69" s="47" t="inlineStr">
        <is>
          <t>A</t>
        </is>
      </c>
      <c r="BV69" s="47" t="n"/>
      <c r="BW69" s="47" t="n"/>
      <c r="BX69" s="47" t="inlineStr">
        <is>
          <t>P</t>
        </is>
      </c>
      <c r="BY69" s="47" t="inlineStr">
        <is>
          <t>P</t>
        </is>
      </c>
      <c r="BZ69" s="47" t="n"/>
      <c r="CA69" s="47" t="n"/>
      <c r="CB69" s="47" t="inlineStr">
        <is>
          <t>P</t>
        </is>
      </c>
      <c r="CC69" s="47" t="n"/>
      <c r="CD69" s="47" t="n"/>
      <c r="CE69" s="47" t="n"/>
      <c r="CF69" s="47" t="inlineStr">
        <is>
          <t>A</t>
        </is>
      </c>
      <c r="CG69" s="47" t="n"/>
      <c r="CH69" s="47" t="n"/>
      <c r="CI69" s="47" t="n"/>
      <c r="CJ69" s="47" t="n"/>
      <c r="CK69" s="47" t="n"/>
      <c r="CL69" s="47" t="n"/>
      <c r="CM69" s="47" t="n"/>
      <c r="CN69" s="47" t="inlineStr">
        <is>
          <t>A</t>
        </is>
      </c>
      <c r="CO69" s="47" t="n"/>
      <c r="CP69" s="47" t="n"/>
      <c r="CQ69" s="47" t="inlineStr">
        <is>
          <t>P</t>
        </is>
      </c>
      <c r="CR69" s="47" t="inlineStr">
        <is>
          <t>P</t>
        </is>
      </c>
      <c r="CS69" s="47" t="n"/>
      <c r="CT69" s="47" t="n"/>
      <c r="CU69" s="47" t="inlineStr">
        <is>
          <t>A</t>
        </is>
      </c>
      <c r="CV69" s="47" t="inlineStr">
        <is>
          <t>A</t>
        </is>
      </c>
      <c r="CW69" s="47" t="n"/>
      <c r="CX69" s="47" t="n"/>
      <c r="CY69" s="47" t="n"/>
      <c r="CZ69" s="47" t="inlineStr">
        <is>
          <t>P</t>
        </is>
      </c>
      <c r="DA69" s="47" t="n"/>
      <c r="DB69" s="47" t="n"/>
      <c r="DC69" s="47" t="inlineStr">
        <is>
          <t>P</t>
        </is>
      </c>
      <c r="DD69" s="47" t="n"/>
      <c r="DE69" s="47" t="n"/>
      <c r="DF69" s="47" t="n"/>
      <c r="DG69" s="47" t="n"/>
      <c r="DH69" s="47" t="n"/>
      <c r="DI69" s="47" t="n"/>
      <c r="DJ69" s="47" t="n"/>
      <c r="DK69" s="47" t="inlineStr">
        <is>
          <t>P</t>
        </is>
      </c>
      <c r="DL69" s="47" t="n"/>
      <c r="DM69" s="47" t="n"/>
      <c r="DN69" s="47" t="inlineStr">
        <is>
          <t>A</t>
        </is>
      </c>
      <c r="DO69" s="47" t="inlineStr">
        <is>
          <t>A</t>
        </is>
      </c>
      <c r="DP69" s="47" t="n"/>
      <c r="DQ69" s="47" t="n"/>
      <c r="DR69" s="47" t="inlineStr">
        <is>
          <t>P</t>
        </is>
      </c>
      <c r="DS69" s="47" t="inlineStr">
        <is>
          <t>P</t>
        </is>
      </c>
      <c r="DT69" s="47" t="n"/>
      <c r="DU69" s="47" t="n"/>
      <c r="DV69" s="47" t="inlineStr">
        <is>
          <t>A</t>
        </is>
      </c>
      <c r="DW69" s="47" t="inlineStr">
        <is>
          <t>A</t>
        </is>
      </c>
      <c r="DX69" s="47" t="n"/>
      <c r="DY69" s="47" t="n"/>
      <c r="DZ69" s="47" t="inlineStr">
        <is>
          <t>A</t>
        </is>
      </c>
      <c r="EA69" s="47" t="n"/>
      <c r="EB69" s="47" t="n"/>
      <c r="EC69" s="47" t="n"/>
      <c r="ED69" s="47" t="n"/>
      <c r="EE69" s="47" t="n"/>
      <c r="EF69" s="47" t="n"/>
      <c r="EG69" s="47" t="n"/>
      <c r="EH69" s="47" t="inlineStr">
        <is>
          <t>P</t>
        </is>
      </c>
      <c r="EI69" s="47" t="n"/>
      <c r="EJ69" s="47" t="n"/>
      <c r="EK69" s="47" t="inlineStr">
        <is>
          <t>P</t>
        </is>
      </c>
      <c r="EL69" s="47" t="inlineStr">
        <is>
          <t>P</t>
        </is>
      </c>
      <c r="EM69" s="47" t="n"/>
      <c r="EN69" s="47" t="n"/>
      <c r="EO69" s="47" t="inlineStr">
        <is>
          <t>P</t>
        </is>
      </c>
      <c r="EP69" s="47" t="inlineStr">
        <is>
          <t>P</t>
        </is>
      </c>
      <c r="EQ69" s="47" t="n"/>
      <c r="ER69" s="47" t="n"/>
      <c r="ES69" s="47" t="inlineStr">
        <is>
          <t>P</t>
        </is>
      </c>
      <c r="ET69" s="47" t="inlineStr">
        <is>
          <t>P</t>
        </is>
      </c>
      <c r="EU69" s="47" t="n"/>
      <c r="EV69" s="47" t="n"/>
      <c r="EW69" s="47" t="n"/>
      <c r="EX69" s="47" t="n"/>
      <c r="EY69" s="47" t="n"/>
      <c r="EZ69" s="47" t="n"/>
      <c r="FA69" s="47" t="n"/>
      <c r="FB69" s="47" t="inlineStr">
        <is>
          <t>P</t>
        </is>
      </c>
      <c r="FC69" s="47" t="n"/>
      <c r="FD69" s="47" t="n"/>
      <c r="FE69" s="47" t="inlineStr">
        <is>
          <t>P</t>
        </is>
      </c>
      <c r="FF69" s="47" t="inlineStr">
        <is>
          <t>P</t>
        </is>
      </c>
      <c r="FG69" s="47" t="n"/>
      <c r="FH69" s="47" t="n"/>
      <c r="FI69" s="47" t="inlineStr">
        <is>
          <t>P</t>
        </is>
      </c>
      <c r="FJ69" s="47" t="inlineStr">
        <is>
          <t>P</t>
        </is>
      </c>
      <c r="FK69" s="47" t="n"/>
      <c r="FL69" s="47" t="n"/>
      <c r="FM69" s="47" t="n"/>
      <c r="FN69" s="47" t="n"/>
      <c r="FO69" s="47" t="n"/>
      <c r="FP69" s="47" t="n"/>
      <c r="FQ69" s="47" t="n"/>
      <c r="FR69" s="47" t="inlineStr">
        <is>
          <t>P</t>
        </is>
      </c>
      <c r="FS69" s="47" t="n"/>
      <c r="FT69" s="47" t="n"/>
      <c r="FU69" s="47" t="n"/>
      <c r="FV69" s="47" t="n"/>
      <c r="FW69" s="47" t="n"/>
      <c r="FX69" s="47" t="n"/>
      <c r="FY69" s="47" t="inlineStr">
        <is>
          <t>P</t>
        </is>
      </c>
      <c r="FZ69" s="47" t="inlineStr">
        <is>
          <t>P</t>
        </is>
      </c>
      <c r="GA69" s="47" t="n"/>
      <c r="GB69" s="47" t="n"/>
      <c r="GC69" s="47" t="n"/>
      <c r="GD69" s="47" t="inlineStr">
        <is>
          <t>P</t>
        </is>
      </c>
      <c r="GE69" s="47" t="n"/>
      <c r="GF69" s="47" t="n"/>
      <c r="GG69" s="47" t="inlineStr">
        <is>
          <t>A</t>
        </is>
      </c>
      <c r="GH69" s="47" t="n"/>
      <c r="GI69" s="47" t="n"/>
    </row>
    <row r="70" ht="14.25" customHeight="1" s="34">
      <c r="A70" s="46" t="n">
        <v>67</v>
      </c>
      <c r="B70" s="46" t="inlineStr">
        <is>
          <t>325106410067</t>
        </is>
      </c>
      <c r="C70" s="46" t="inlineStr">
        <is>
          <t>AHMED ABDHULAHI</t>
        </is>
      </c>
      <c r="D70" s="47" t="inlineStr">
        <is>
          <t>A</t>
        </is>
      </c>
      <c r="E70" s="47" t="n"/>
      <c r="F70" s="47" t="n"/>
      <c r="G70" s="47" t="n"/>
      <c r="H70" s="47" t="n"/>
      <c r="I70" s="47" t="inlineStr">
        <is>
          <t>A</t>
        </is>
      </c>
      <c r="J70" s="47" t="n"/>
      <c r="K70" s="47" t="n"/>
      <c r="L70" s="47" t="inlineStr">
        <is>
          <t>A</t>
        </is>
      </c>
      <c r="M70" s="47" t="n"/>
      <c r="N70" s="47" t="n"/>
      <c r="O70" s="47" t="n"/>
      <c r="P70" s="47" t="inlineStr">
        <is>
          <t>A</t>
        </is>
      </c>
      <c r="Q70" s="47" t="inlineStr">
        <is>
          <t>A</t>
        </is>
      </c>
      <c r="R70" s="47" t="n"/>
      <c r="S70" s="47" t="n"/>
      <c r="T70" s="47" t="inlineStr">
        <is>
          <t>A</t>
        </is>
      </c>
      <c r="U70" s="47" t="n"/>
      <c r="V70" s="47" t="n"/>
      <c r="W70" s="47" t="n"/>
      <c r="X70" s="47" t="n"/>
      <c r="Y70" s="47" t="n"/>
      <c r="Z70" s="47" t="n"/>
      <c r="AA70" s="47" t="n"/>
      <c r="AB70" s="47" t="n"/>
      <c r="AC70" s="47" t="inlineStr">
        <is>
          <t>P</t>
        </is>
      </c>
      <c r="AD70" s="47" t="n"/>
      <c r="AE70" s="47" t="n"/>
      <c r="AF70" s="47" t="inlineStr">
        <is>
          <t>A</t>
        </is>
      </c>
      <c r="AG70" s="47" t="n"/>
      <c r="AH70" s="47" t="n"/>
      <c r="AI70" s="47" t="n"/>
      <c r="AJ70" s="47" t="inlineStr">
        <is>
          <t>P</t>
        </is>
      </c>
      <c r="AK70" s="47" t="inlineStr">
        <is>
          <t>P</t>
        </is>
      </c>
      <c r="AL70" s="47" t="n"/>
      <c r="AM70" s="47" t="n"/>
      <c r="AN70" s="47" t="inlineStr">
        <is>
          <t>A</t>
        </is>
      </c>
      <c r="AO70" s="47" t="n"/>
      <c r="AP70" s="47" t="n"/>
      <c r="AQ70" s="47" t="n"/>
      <c r="AR70" s="47" t="inlineStr">
        <is>
          <t>P</t>
        </is>
      </c>
      <c r="AS70" s="47" t="n"/>
      <c r="AT70" s="47" t="n"/>
      <c r="AU70" s="47" t="n"/>
      <c r="AV70" s="47" t="n"/>
      <c r="AW70" s="47" t="inlineStr">
        <is>
          <t>A</t>
        </is>
      </c>
      <c r="AX70" s="47" t="n"/>
      <c r="AY70" s="47" t="n"/>
      <c r="AZ70" s="47" t="inlineStr">
        <is>
          <t>P</t>
        </is>
      </c>
      <c r="BA70" s="47" t="inlineStr">
        <is>
          <t>P</t>
        </is>
      </c>
      <c r="BB70" s="47" t="n"/>
      <c r="BC70" s="47" t="n"/>
      <c r="BD70" s="47" t="inlineStr">
        <is>
          <t>A</t>
        </is>
      </c>
      <c r="BE70" s="47" t="inlineStr">
        <is>
          <t>P</t>
        </is>
      </c>
      <c r="BF70" s="47" t="n"/>
      <c r="BG70" s="47" t="n"/>
      <c r="BH70" s="47" t="inlineStr">
        <is>
          <t>P</t>
        </is>
      </c>
      <c r="BI70" s="47" t="inlineStr">
        <is>
          <t>P</t>
        </is>
      </c>
      <c r="BJ70" s="47" t="n"/>
      <c r="BK70" s="47" t="n"/>
      <c r="BL70" s="47" t="n"/>
      <c r="BM70" s="47" t="n"/>
      <c r="BN70" s="47" t="n"/>
      <c r="BO70" s="47" t="n"/>
      <c r="BP70" s="47" t="n"/>
      <c r="BQ70" s="47" t="inlineStr">
        <is>
          <t>P</t>
        </is>
      </c>
      <c r="BR70" s="47" t="n"/>
      <c r="BS70" s="47" t="n"/>
      <c r="BT70" s="47" t="inlineStr">
        <is>
          <t>P</t>
        </is>
      </c>
      <c r="BU70" s="47" t="inlineStr">
        <is>
          <t>P</t>
        </is>
      </c>
      <c r="BV70" s="47" t="n"/>
      <c r="BW70" s="47" t="n"/>
      <c r="BX70" s="47" t="inlineStr">
        <is>
          <t>P</t>
        </is>
      </c>
      <c r="BY70" s="47" t="inlineStr">
        <is>
          <t>P</t>
        </is>
      </c>
      <c r="BZ70" s="47" t="n"/>
      <c r="CA70" s="47" t="n"/>
      <c r="CB70" s="47" t="inlineStr">
        <is>
          <t>A</t>
        </is>
      </c>
      <c r="CC70" s="47" t="n"/>
      <c r="CD70" s="47" t="n"/>
      <c r="CE70" s="47" t="n"/>
      <c r="CF70" s="47" t="inlineStr">
        <is>
          <t>A</t>
        </is>
      </c>
      <c r="CG70" s="47" t="n"/>
      <c r="CH70" s="47" t="n"/>
      <c r="CI70" s="47" t="n"/>
      <c r="CJ70" s="47" t="n"/>
      <c r="CK70" s="47" t="n"/>
      <c r="CL70" s="47" t="n"/>
      <c r="CM70" s="47" t="n"/>
      <c r="CN70" s="47" t="inlineStr">
        <is>
          <t>A</t>
        </is>
      </c>
      <c r="CO70" s="47" t="n"/>
      <c r="CP70" s="47" t="n"/>
      <c r="CQ70" s="47" t="inlineStr">
        <is>
          <t>A</t>
        </is>
      </c>
      <c r="CR70" s="47" t="inlineStr">
        <is>
          <t>A</t>
        </is>
      </c>
      <c r="CS70" s="47" t="n"/>
      <c r="CT70" s="47" t="n"/>
      <c r="CU70" s="47" t="inlineStr">
        <is>
          <t>P</t>
        </is>
      </c>
      <c r="CV70" s="47" t="inlineStr">
        <is>
          <t>P</t>
        </is>
      </c>
      <c r="CW70" s="47" t="n"/>
      <c r="CX70" s="47" t="n"/>
      <c r="CY70" s="47" t="n"/>
      <c r="CZ70" s="47" t="inlineStr">
        <is>
          <t>A</t>
        </is>
      </c>
      <c r="DA70" s="47" t="n"/>
      <c r="DB70" s="47" t="n"/>
      <c r="DC70" s="47" t="inlineStr">
        <is>
          <t>A</t>
        </is>
      </c>
      <c r="DD70" s="47" t="n"/>
      <c r="DE70" s="47" t="n"/>
      <c r="DF70" s="47" t="n"/>
      <c r="DG70" s="47" t="n"/>
      <c r="DH70" s="47" t="n"/>
      <c r="DI70" s="47" t="n"/>
      <c r="DJ70" s="47" t="n"/>
      <c r="DK70" s="47" t="inlineStr">
        <is>
          <t>P</t>
        </is>
      </c>
      <c r="DL70" s="47" t="n"/>
      <c r="DM70" s="47" t="n"/>
      <c r="DN70" s="47" t="inlineStr">
        <is>
          <t>P</t>
        </is>
      </c>
      <c r="DO70" s="47" t="inlineStr">
        <is>
          <t>P</t>
        </is>
      </c>
      <c r="DP70" s="47" t="n"/>
      <c r="DQ70" s="47" t="n"/>
      <c r="DR70" s="47" t="inlineStr">
        <is>
          <t>P</t>
        </is>
      </c>
      <c r="DS70" s="47" t="inlineStr">
        <is>
          <t>P</t>
        </is>
      </c>
      <c r="DT70" s="47" t="n"/>
      <c r="DU70" s="47" t="n"/>
      <c r="DV70" s="47" t="inlineStr">
        <is>
          <t>A</t>
        </is>
      </c>
      <c r="DW70" s="47" t="inlineStr">
        <is>
          <t>P</t>
        </is>
      </c>
      <c r="DX70" s="47" t="n"/>
      <c r="DY70" s="47" t="n"/>
      <c r="DZ70" s="47" t="inlineStr">
        <is>
          <t>P</t>
        </is>
      </c>
      <c r="EA70" s="47" t="n"/>
      <c r="EB70" s="47" t="n"/>
      <c r="EC70" s="47" t="n"/>
      <c r="ED70" s="47" t="n"/>
      <c r="EE70" s="47" t="n"/>
      <c r="EF70" s="47" t="n"/>
      <c r="EG70" s="47" t="n"/>
      <c r="EH70" s="47" t="inlineStr">
        <is>
          <t>P</t>
        </is>
      </c>
      <c r="EI70" s="47" t="n"/>
      <c r="EJ70" s="47" t="n"/>
      <c r="EK70" s="47" t="inlineStr">
        <is>
          <t>A</t>
        </is>
      </c>
      <c r="EL70" s="47" t="inlineStr">
        <is>
          <t>P</t>
        </is>
      </c>
      <c r="EM70" s="47" t="n"/>
      <c r="EN70" s="47" t="n"/>
      <c r="EO70" s="47" t="inlineStr">
        <is>
          <t>P</t>
        </is>
      </c>
      <c r="EP70" s="47" t="inlineStr">
        <is>
          <t>P</t>
        </is>
      </c>
      <c r="EQ70" s="47" t="n"/>
      <c r="ER70" s="47" t="n"/>
      <c r="ES70" s="47" t="inlineStr">
        <is>
          <t>P</t>
        </is>
      </c>
      <c r="ET70" s="47" t="inlineStr">
        <is>
          <t>P</t>
        </is>
      </c>
      <c r="EU70" s="47" t="n"/>
      <c r="EV70" s="47" t="n"/>
      <c r="EW70" s="47" t="n"/>
      <c r="EX70" s="47" t="n"/>
      <c r="EY70" s="47" t="n"/>
      <c r="EZ70" s="47" t="n"/>
      <c r="FA70" s="47" t="n"/>
      <c r="FB70" s="47" t="inlineStr">
        <is>
          <t>P</t>
        </is>
      </c>
      <c r="FC70" s="47" t="n"/>
      <c r="FD70" s="47" t="n"/>
      <c r="FE70" s="47" t="inlineStr">
        <is>
          <t>P</t>
        </is>
      </c>
      <c r="FF70" s="47" t="inlineStr">
        <is>
          <t>P</t>
        </is>
      </c>
      <c r="FG70" s="47" t="n"/>
      <c r="FH70" s="47" t="n"/>
      <c r="FI70" s="47" t="inlineStr">
        <is>
          <t>P</t>
        </is>
      </c>
      <c r="FJ70" s="47" t="inlineStr">
        <is>
          <t>P</t>
        </is>
      </c>
      <c r="FK70" s="47" t="n"/>
      <c r="FL70" s="47" t="n"/>
      <c r="FM70" s="47" t="n"/>
      <c r="FN70" s="47" t="n"/>
      <c r="FO70" s="47" t="n"/>
      <c r="FP70" s="47" t="n"/>
      <c r="FQ70" s="47" t="n"/>
      <c r="FR70" s="47" t="inlineStr">
        <is>
          <t>P</t>
        </is>
      </c>
      <c r="FS70" s="47" t="n"/>
      <c r="FT70" s="47" t="n"/>
      <c r="FU70" s="47" t="n"/>
      <c r="FV70" s="47" t="n"/>
      <c r="FW70" s="47" t="n"/>
      <c r="FX70" s="47" t="n"/>
      <c r="FY70" s="47" t="inlineStr">
        <is>
          <t>P</t>
        </is>
      </c>
      <c r="FZ70" s="47" t="inlineStr">
        <is>
          <t>P</t>
        </is>
      </c>
      <c r="GA70" s="47" t="n"/>
      <c r="GB70" s="47" t="n"/>
      <c r="GC70" s="47" t="n"/>
      <c r="GD70" s="47" t="inlineStr">
        <is>
          <t>A</t>
        </is>
      </c>
      <c r="GE70" s="47" t="n"/>
      <c r="GF70" s="47" t="n"/>
      <c r="GG70" s="47" t="inlineStr">
        <is>
          <t>A</t>
        </is>
      </c>
      <c r="GH70" s="47" t="n"/>
      <c r="GI70" s="47" t="n"/>
    </row>
    <row r="71" ht="14.25" customHeight="1" s="34">
      <c r="A71" s="46" t="n">
        <v>68</v>
      </c>
      <c r="B71" s="46" t="inlineStr">
        <is>
          <t>325106410068</t>
        </is>
      </c>
      <c r="C71" s="46" t="inlineStr">
        <is>
          <t>ABDULAZIZ AL-MASLAMI</t>
        </is>
      </c>
      <c r="D71" s="47" t="inlineStr">
        <is>
          <t>P</t>
        </is>
      </c>
      <c r="E71" s="47" t="n"/>
      <c r="F71" s="47" t="n"/>
      <c r="G71" s="47" t="n"/>
      <c r="H71" s="47" t="n"/>
      <c r="I71" s="47" t="inlineStr">
        <is>
          <t>P</t>
        </is>
      </c>
      <c r="J71" s="47" t="n"/>
      <c r="K71" s="47" t="n"/>
      <c r="L71" s="47" t="inlineStr">
        <is>
          <t>P</t>
        </is>
      </c>
      <c r="M71" s="47" t="n"/>
      <c r="N71" s="47" t="n"/>
      <c r="O71" s="47" t="n"/>
      <c r="P71" s="47" t="inlineStr">
        <is>
          <t>P</t>
        </is>
      </c>
      <c r="Q71" s="47" t="inlineStr">
        <is>
          <t>P</t>
        </is>
      </c>
      <c r="R71" s="47" t="n"/>
      <c r="S71" s="47" t="n"/>
      <c r="T71" s="47" t="inlineStr">
        <is>
          <t>P</t>
        </is>
      </c>
      <c r="U71" s="47" t="n"/>
      <c r="V71" s="47" t="n"/>
      <c r="W71" s="47" t="n"/>
      <c r="X71" s="47" t="n"/>
      <c r="Y71" s="47" t="n"/>
      <c r="Z71" s="47" t="n"/>
      <c r="AA71" s="47" t="n"/>
      <c r="AB71" s="47" t="n"/>
      <c r="AC71" s="47" t="inlineStr">
        <is>
          <t>P</t>
        </is>
      </c>
      <c r="AD71" s="47" t="n"/>
      <c r="AE71" s="47" t="n"/>
      <c r="AF71" s="47" t="inlineStr">
        <is>
          <t>P</t>
        </is>
      </c>
      <c r="AG71" s="47" t="n"/>
      <c r="AH71" s="47" t="n"/>
      <c r="AI71" s="47" t="n"/>
      <c r="AJ71" s="47" t="inlineStr">
        <is>
          <t>P</t>
        </is>
      </c>
      <c r="AK71" s="47" t="inlineStr">
        <is>
          <t>P</t>
        </is>
      </c>
      <c r="AL71" s="47" t="n"/>
      <c r="AM71" s="47" t="n"/>
      <c r="AN71" s="47" t="inlineStr">
        <is>
          <t>A</t>
        </is>
      </c>
      <c r="AO71" s="47" t="n"/>
      <c r="AP71" s="47" t="n"/>
      <c r="AQ71" s="47" t="n"/>
      <c r="AR71" s="47" t="inlineStr">
        <is>
          <t>A</t>
        </is>
      </c>
      <c r="AS71" s="47" t="n"/>
      <c r="AT71" s="47" t="n"/>
      <c r="AU71" s="47" t="n"/>
      <c r="AV71" s="47" t="n"/>
      <c r="AW71" s="47" t="inlineStr">
        <is>
          <t>P</t>
        </is>
      </c>
      <c r="AX71" s="47" t="n"/>
      <c r="AY71" s="47" t="n"/>
      <c r="AZ71" s="47" t="inlineStr">
        <is>
          <t>A</t>
        </is>
      </c>
      <c r="BA71" s="47" t="inlineStr">
        <is>
          <t>A</t>
        </is>
      </c>
      <c r="BB71" s="47" t="n"/>
      <c r="BC71" s="47" t="n"/>
      <c r="BD71" s="47" t="inlineStr">
        <is>
          <t>A</t>
        </is>
      </c>
      <c r="BE71" s="47" t="inlineStr">
        <is>
          <t>A</t>
        </is>
      </c>
      <c r="BF71" s="47" t="n"/>
      <c r="BG71" s="47" t="n"/>
      <c r="BH71" s="47" t="inlineStr">
        <is>
          <t>P</t>
        </is>
      </c>
      <c r="BI71" s="47" t="inlineStr">
        <is>
          <t>P</t>
        </is>
      </c>
      <c r="BJ71" s="47" t="n"/>
      <c r="BK71" s="47" t="n"/>
      <c r="BL71" s="47" t="n"/>
      <c r="BM71" s="47" t="n"/>
      <c r="BN71" s="47" t="n"/>
      <c r="BO71" s="47" t="n"/>
      <c r="BP71" s="47" t="n"/>
      <c r="BQ71" s="47" t="inlineStr">
        <is>
          <t>A</t>
        </is>
      </c>
      <c r="BR71" s="47" t="n"/>
      <c r="BS71" s="47" t="n"/>
      <c r="BT71" s="47" t="inlineStr">
        <is>
          <t>A</t>
        </is>
      </c>
      <c r="BU71" s="47" t="inlineStr">
        <is>
          <t>P</t>
        </is>
      </c>
      <c r="BV71" s="47" t="n"/>
      <c r="BW71" s="47" t="n"/>
      <c r="BX71" s="47" t="inlineStr">
        <is>
          <t>P</t>
        </is>
      </c>
      <c r="BY71" s="47" t="inlineStr">
        <is>
          <t>P</t>
        </is>
      </c>
      <c r="BZ71" s="47" t="n"/>
      <c r="CA71" s="47" t="n"/>
      <c r="CB71" s="47" t="inlineStr">
        <is>
          <t>A</t>
        </is>
      </c>
      <c r="CC71" s="47" t="n"/>
      <c r="CD71" s="47" t="n"/>
      <c r="CE71" s="47" t="n"/>
      <c r="CF71" s="47" t="inlineStr">
        <is>
          <t>P</t>
        </is>
      </c>
      <c r="CG71" s="47" t="n"/>
      <c r="CH71" s="47" t="n"/>
      <c r="CI71" s="47" t="n"/>
      <c r="CJ71" s="47" t="n"/>
      <c r="CK71" s="47" t="n"/>
      <c r="CL71" s="47" t="n"/>
      <c r="CM71" s="47" t="n"/>
      <c r="CN71" s="47" t="inlineStr">
        <is>
          <t>P</t>
        </is>
      </c>
      <c r="CO71" s="47" t="n"/>
      <c r="CP71" s="47" t="n"/>
      <c r="CQ71" s="47" t="inlineStr">
        <is>
          <t>P</t>
        </is>
      </c>
      <c r="CR71" s="47" t="inlineStr">
        <is>
          <t>P</t>
        </is>
      </c>
      <c r="CS71" s="47" t="n"/>
      <c r="CT71" s="47" t="n"/>
      <c r="CU71" s="47" t="inlineStr">
        <is>
          <t>P</t>
        </is>
      </c>
      <c r="CV71" s="47" t="inlineStr">
        <is>
          <t>P</t>
        </is>
      </c>
      <c r="CW71" s="47" t="n"/>
      <c r="CX71" s="47" t="n"/>
      <c r="CY71" s="47" t="n"/>
      <c r="CZ71" s="47" t="inlineStr">
        <is>
          <t>P</t>
        </is>
      </c>
      <c r="DA71" s="47" t="n"/>
      <c r="DB71" s="47" t="n"/>
      <c r="DC71" s="47" t="inlineStr">
        <is>
          <t>A</t>
        </is>
      </c>
      <c r="DD71" s="47" t="n"/>
      <c r="DE71" s="47" t="n"/>
      <c r="DF71" s="47" t="n"/>
      <c r="DG71" s="47" t="n"/>
      <c r="DH71" s="47" t="n"/>
      <c r="DI71" s="47" t="n"/>
      <c r="DJ71" s="47" t="n"/>
      <c r="DK71" s="47" t="inlineStr">
        <is>
          <t>P</t>
        </is>
      </c>
      <c r="DL71" s="47" t="n"/>
      <c r="DM71" s="47" t="n"/>
      <c r="DN71" s="47" t="inlineStr">
        <is>
          <t>A</t>
        </is>
      </c>
      <c r="DO71" s="47" t="inlineStr">
        <is>
          <t>A</t>
        </is>
      </c>
      <c r="DP71" s="47" t="n"/>
      <c r="DQ71" s="47" t="n"/>
      <c r="DR71" s="47" t="inlineStr">
        <is>
          <t>P</t>
        </is>
      </c>
      <c r="DS71" s="47" t="inlineStr">
        <is>
          <t>P</t>
        </is>
      </c>
      <c r="DT71" s="47" t="n"/>
      <c r="DU71" s="47" t="n"/>
      <c r="DV71" s="47" t="inlineStr">
        <is>
          <t>P</t>
        </is>
      </c>
      <c r="DW71" s="47" t="inlineStr">
        <is>
          <t>P</t>
        </is>
      </c>
      <c r="DX71" s="47" t="n"/>
      <c r="DY71" s="47" t="n"/>
      <c r="DZ71" s="47" t="inlineStr">
        <is>
          <t>P</t>
        </is>
      </c>
      <c r="EA71" s="47" t="n"/>
      <c r="EB71" s="47" t="n"/>
      <c r="EC71" s="47" t="n"/>
      <c r="ED71" s="47" t="n"/>
      <c r="EE71" s="47" t="n"/>
      <c r="EF71" s="47" t="n"/>
      <c r="EG71" s="47" t="n"/>
      <c r="EH71" s="47" t="inlineStr">
        <is>
          <t>P</t>
        </is>
      </c>
      <c r="EI71" s="47" t="n"/>
      <c r="EJ71" s="47" t="n"/>
      <c r="EK71" s="47" t="inlineStr">
        <is>
          <t>P</t>
        </is>
      </c>
      <c r="EL71" s="47" t="inlineStr">
        <is>
          <t>P</t>
        </is>
      </c>
      <c r="EM71" s="47" t="n"/>
      <c r="EN71" s="47" t="n"/>
      <c r="EO71" s="47" t="inlineStr">
        <is>
          <t>P</t>
        </is>
      </c>
      <c r="EP71" s="47" t="inlineStr">
        <is>
          <t>P</t>
        </is>
      </c>
      <c r="EQ71" s="47" t="n"/>
      <c r="ER71" s="47" t="n"/>
      <c r="ES71" s="47" t="inlineStr">
        <is>
          <t>A</t>
        </is>
      </c>
      <c r="ET71" s="47" t="inlineStr">
        <is>
          <t>P</t>
        </is>
      </c>
      <c r="EU71" s="47" t="n"/>
      <c r="EV71" s="47" t="n"/>
      <c r="EW71" s="47" t="n"/>
      <c r="EX71" s="47" t="n"/>
      <c r="EY71" s="47" t="n"/>
      <c r="EZ71" s="47" t="n"/>
      <c r="FA71" s="47" t="n"/>
      <c r="FB71" s="47" t="inlineStr">
        <is>
          <t>P</t>
        </is>
      </c>
      <c r="FC71" s="47" t="n"/>
      <c r="FD71" s="47" t="n"/>
      <c r="FE71" s="47" t="inlineStr">
        <is>
          <t>P</t>
        </is>
      </c>
      <c r="FF71" s="47" t="inlineStr">
        <is>
          <t>P</t>
        </is>
      </c>
      <c r="FG71" s="47" t="n"/>
      <c r="FH71" s="47" t="n"/>
      <c r="FI71" s="47" t="inlineStr">
        <is>
          <t>P</t>
        </is>
      </c>
      <c r="FJ71" s="47" t="inlineStr">
        <is>
          <t>P</t>
        </is>
      </c>
      <c r="FK71" s="47" t="n"/>
      <c r="FL71" s="47" t="n"/>
      <c r="FM71" s="47" t="n"/>
      <c r="FN71" s="47" t="n"/>
      <c r="FO71" s="47" t="n"/>
      <c r="FP71" s="47" t="n"/>
      <c r="FQ71" s="47" t="n"/>
      <c r="FR71" s="47" t="inlineStr">
        <is>
          <t>P</t>
        </is>
      </c>
      <c r="FS71" s="47" t="n"/>
      <c r="FT71" s="47" t="n"/>
      <c r="FU71" s="47" t="n"/>
      <c r="FV71" s="47" t="n"/>
      <c r="FW71" s="47" t="n"/>
      <c r="FX71" s="47" t="n"/>
      <c r="FY71" s="47" t="inlineStr">
        <is>
          <t>A</t>
        </is>
      </c>
      <c r="FZ71" s="47" t="inlineStr">
        <is>
          <t>P</t>
        </is>
      </c>
      <c r="GA71" s="47" t="n"/>
      <c r="GB71" s="47" t="n"/>
      <c r="GC71" s="47" t="n"/>
      <c r="GD71" s="47" t="inlineStr">
        <is>
          <t>P</t>
        </is>
      </c>
      <c r="GE71" s="47" t="n"/>
      <c r="GF71" s="47" t="n"/>
      <c r="GG71" s="47" t="inlineStr">
        <is>
          <t>P</t>
        </is>
      </c>
      <c r="GH71" s="47" t="n"/>
      <c r="GI71" s="47" t="n"/>
    </row>
    <row r="72" ht="14.25" customHeight="1" s="34">
      <c r="A72" s="46" t="n">
        <v>69</v>
      </c>
      <c r="B72" s="46" t="inlineStr">
        <is>
          <t>325106410069</t>
        </is>
      </c>
      <c r="C72" s="46" t="inlineStr">
        <is>
          <t>ABDULRAHMAN HAGEB</t>
        </is>
      </c>
      <c r="D72" s="47" t="inlineStr">
        <is>
          <t>P</t>
        </is>
      </c>
      <c r="E72" s="47" t="n"/>
      <c r="F72" s="47" t="n"/>
      <c r="G72" s="47" t="n"/>
      <c r="H72" s="47" t="n"/>
      <c r="I72" s="47" t="inlineStr">
        <is>
          <t>P</t>
        </is>
      </c>
      <c r="J72" s="47" t="n"/>
      <c r="K72" s="47" t="n"/>
      <c r="L72" s="47" t="inlineStr">
        <is>
          <t>P</t>
        </is>
      </c>
      <c r="M72" s="47" t="n"/>
      <c r="N72" s="47" t="n"/>
      <c r="O72" s="47" t="n"/>
      <c r="P72" s="47" t="inlineStr">
        <is>
          <t>P</t>
        </is>
      </c>
      <c r="Q72" s="47" t="inlineStr">
        <is>
          <t>P</t>
        </is>
      </c>
      <c r="R72" s="47" t="n"/>
      <c r="S72" s="47" t="n"/>
      <c r="T72" s="47" t="inlineStr">
        <is>
          <t>P</t>
        </is>
      </c>
      <c r="U72" s="47" t="n"/>
      <c r="V72" s="47" t="n"/>
      <c r="W72" s="47" t="n"/>
      <c r="X72" s="47" t="n"/>
      <c r="Y72" s="47" t="n"/>
      <c r="Z72" s="47" t="n"/>
      <c r="AA72" s="47" t="n"/>
      <c r="AB72" s="47" t="n"/>
      <c r="AC72" s="47" t="inlineStr">
        <is>
          <t>P</t>
        </is>
      </c>
      <c r="AD72" s="47" t="n"/>
      <c r="AE72" s="47" t="n"/>
      <c r="AF72" s="47" t="inlineStr">
        <is>
          <t>P</t>
        </is>
      </c>
      <c r="AG72" s="47" t="n"/>
      <c r="AH72" s="47" t="n"/>
      <c r="AI72" s="47" t="n"/>
      <c r="AJ72" s="47" t="inlineStr">
        <is>
          <t>P</t>
        </is>
      </c>
      <c r="AK72" s="47" t="inlineStr">
        <is>
          <t>P</t>
        </is>
      </c>
      <c r="AL72" s="47" t="n"/>
      <c r="AM72" s="47" t="n"/>
      <c r="AN72" s="47" t="inlineStr">
        <is>
          <t>A</t>
        </is>
      </c>
      <c r="AO72" s="47" t="n"/>
      <c r="AP72" s="47" t="n"/>
      <c r="AQ72" s="47" t="n"/>
      <c r="AR72" s="47" t="inlineStr">
        <is>
          <t>A</t>
        </is>
      </c>
      <c r="AS72" s="47" t="n"/>
      <c r="AT72" s="47" t="n"/>
      <c r="AU72" s="47" t="n"/>
      <c r="AV72" s="47" t="n"/>
      <c r="AW72" s="47" t="inlineStr">
        <is>
          <t>P</t>
        </is>
      </c>
      <c r="AX72" s="47" t="n"/>
      <c r="AY72" s="47" t="n"/>
      <c r="AZ72" s="47" t="inlineStr">
        <is>
          <t>P</t>
        </is>
      </c>
      <c r="BA72" s="47" t="inlineStr">
        <is>
          <t>P</t>
        </is>
      </c>
      <c r="BB72" s="47" t="n"/>
      <c r="BC72" s="47" t="n"/>
      <c r="BD72" s="47" t="inlineStr">
        <is>
          <t>P</t>
        </is>
      </c>
      <c r="BE72" s="47" t="inlineStr">
        <is>
          <t>A</t>
        </is>
      </c>
      <c r="BF72" s="47" t="n"/>
      <c r="BG72" s="47" t="n"/>
      <c r="BH72" s="47" t="inlineStr">
        <is>
          <t>A</t>
        </is>
      </c>
      <c r="BI72" s="47" t="inlineStr">
        <is>
          <t>P</t>
        </is>
      </c>
      <c r="BJ72" s="47" t="n"/>
      <c r="BK72" s="47" t="n"/>
      <c r="BL72" s="47" t="n"/>
      <c r="BM72" s="47" t="n"/>
      <c r="BN72" s="47" t="n"/>
      <c r="BO72" s="47" t="n"/>
      <c r="BP72" s="47" t="n"/>
      <c r="BQ72" s="47" t="inlineStr">
        <is>
          <t>A</t>
        </is>
      </c>
      <c r="BR72" s="47" t="n"/>
      <c r="BS72" s="47" t="n"/>
      <c r="BT72" s="47" t="inlineStr">
        <is>
          <t>A</t>
        </is>
      </c>
      <c r="BU72" s="47" t="inlineStr">
        <is>
          <t>P</t>
        </is>
      </c>
      <c r="BV72" s="47" t="n"/>
      <c r="BW72" s="47" t="n"/>
      <c r="BX72" s="47" t="inlineStr">
        <is>
          <t>P</t>
        </is>
      </c>
      <c r="BY72" s="47" t="inlineStr">
        <is>
          <t>P</t>
        </is>
      </c>
      <c r="BZ72" s="47" t="n"/>
      <c r="CA72" s="47" t="n"/>
      <c r="CB72" s="47" t="inlineStr">
        <is>
          <t>P</t>
        </is>
      </c>
      <c r="CC72" s="47" t="n"/>
      <c r="CD72" s="47" t="n"/>
      <c r="CE72" s="47" t="n"/>
      <c r="CF72" s="47" t="inlineStr">
        <is>
          <t>P</t>
        </is>
      </c>
      <c r="CG72" s="47" t="n"/>
      <c r="CH72" s="47" t="n"/>
      <c r="CI72" s="47" t="n"/>
      <c r="CJ72" s="47" t="n"/>
      <c r="CK72" s="47" t="n"/>
      <c r="CL72" s="47" t="n"/>
      <c r="CM72" s="47" t="n"/>
      <c r="CN72" s="47" t="inlineStr">
        <is>
          <t>P</t>
        </is>
      </c>
      <c r="CO72" s="47" t="n"/>
      <c r="CP72" s="47" t="n"/>
      <c r="CQ72" s="47" t="inlineStr">
        <is>
          <t>A</t>
        </is>
      </c>
      <c r="CR72" s="47" t="inlineStr">
        <is>
          <t>P</t>
        </is>
      </c>
      <c r="CS72" s="47" t="n"/>
      <c r="CT72" s="47" t="n"/>
      <c r="CU72" s="47" t="inlineStr">
        <is>
          <t>P</t>
        </is>
      </c>
      <c r="CV72" s="47" t="inlineStr">
        <is>
          <t>P</t>
        </is>
      </c>
      <c r="CW72" s="47" t="n"/>
      <c r="CX72" s="47" t="n"/>
      <c r="CY72" s="47" t="n"/>
      <c r="CZ72" s="47" t="inlineStr">
        <is>
          <t>P</t>
        </is>
      </c>
      <c r="DA72" s="47" t="n"/>
      <c r="DB72" s="47" t="n"/>
      <c r="DC72" s="47" t="inlineStr">
        <is>
          <t>P</t>
        </is>
      </c>
      <c r="DD72" s="47" t="n"/>
      <c r="DE72" s="47" t="n"/>
      <c r="DF72" s="47" t="n"/>
      <c r="DG72" s="47" t="n"/>
      <c r="DH72" s="47" t="n"/>
      <c r="DI72" s="47" t="n"/>
      <c r="DJ72" s="47" t="n"/>
      <c r="DK72" s="47" t="inlineStr">
        <is>
          <t>P</t>
        </is>
      </c>
      <c r="DL72" s="47" t="n"/>
      <c r="DM72" s="47" t="n"/>
      <c r="DN72" s="47" t="inlineStr">
        <is>
          <t>P</t>
        </is>
      </c>
      <c r="DO72" s="47" t="inlineStr">
        <is>
          <t>P</t>
        </is>
      </c>
      <c r="DP72" s="47" t="n"/>
      <c r="DQ72" s="47" t="n"/>
      <c r="DR72" s="47" t="inlineStr">
        <is>
          <t>A</t>
        </is>
      </c>
      <c r="DS72" s="47" t="inlineStr">
        <is>
          <t>A</t>
        </is>
      </c>
      <c r="DT72" s="47" t="n"/>
      <c r="DU72" s="47" t="n"/>
      <c r="DV72" s="47" t="inlineStr">
        <is>
          <t>A</t>
        </is>
      </c>
      <c r="DW72" s="47" t="inlineStr">
        <is>
          <t>A</t>
        </is>
      </c>
      <c r="DX72" s="47" t="n"/>
      <c r="DY72" s="47" t="n"/>
      <c r="DZ72" s="47" t="inlineStr">
        <is>
          <t>P</t>
        </is>
      </c>
      <c r="EA72" s="47" t="n"/>
      <c r="EB72" s="47" t="n"/>
      <c r="EC72" s="47" t="n"/>
      <c r="ED72" s="47" t="n"/>
      <c r="EE72" s="47" t="n"/>
      <c r="EF72" s="47" t="n"/>
      <c r="EG72" s="47" t="n"/>
      <c r="EH72" s="47" t="inlineStr">
        <is>
          <t>P</t>
        </is>
      </c>
      <c r="EI72" s="47" t="n"/>
      <c r="EJ72" s="47" t="n"/>
      <c r="EK72" s="47" t="inlineStr">
        <is>
          <t>P</t>
        </is>
      </c>
      <c r="EL72" s="47" t="inlineStr">
        <is>
          <t>P</t>
        </is>
      </c>
      <c r="EM72" s="47" t="n"/>
      <c r="EN72" s="47" t="n"/>
      <c r="EO72" s="47" t="inlineStr">
        <is>
          <t>P</t>
        </is>
      </c>
      <c r="EP72" s="47" t="inlineStr">
        <is>
          <t>P</t>
        </is>
      </c>
      <c r="EQ72" s="47" t="n"/>
      <c r="ER72" s="47" t="n"/>
      <c r="ES72" s="47" t="inlineStr">
        <is>
          <t>A</t>
        </is>
      </c>
      <c r="ET72" s="47" t="inlineStr">
        <is>
          <t>P</t>
        </is>
      </c>
      <c r="EU72" s="47" t="n"/>
      <c r="EV72" s="47" t="n"/>
      <c r="EW72" s="47" t="n"/>
      <c r="EX72" s="47" t="n"/>
      <c r="EY72" s="47" t="n"/>
      <c r="EZ72" s="47" t="n"/>
      <c r="FA72" s="47" t="n"/>
      <c r="FB72" s="47" t="inlineStr">
        <is>
          <t>P</t>
        </is>
      </c>
      <c r="FC72" s="47" t="n"/>
      <c r="FD72" s="47" t="n"/>
      <c r="FE72" s="47" t="inlineStr">
        <is>
          <t>P</t>
        </is>
      </c>
      <c r="FF72" s="47" t="inlineStr">
        <is>
          <t>P</t>
        </is>
      </c>
      <c r="FG72" s="47" t="n"/>
      <c r="FH72" s="47" t="n"/>
      <c r="FI72" s="47" t="inlineStr">
        <is>
          <t>P</t>
        </is>
      </c>
      <c r="FJ72" s="47" t="inlineStr">
        <is>
          <t>P</t>
        </is>
      </c>
      <c r="FK72" s="47" t="n"/>
      <c r="FL72" s="47" t="n"/>
      <c r="FM72" s="47" t="n"/>
      <c r="FN72" s="47" t="n"/>
      <c r="FO72" s="47" t="n"/>
      <c r="FP72" s="47" t="n"/>
      <c r="FQ72" s="47" t="n"/>
      <c r="FR72" s="47" t="inlineStr">
        <is>
          <t>P</t>
        </is>
      </c>
      <c r="FS72" s="47" t="n"/>
      <c r="FT72" s="47" t="n"/>
      <c r="FU72" s="47" t="n"/>
      <c r="FV72" s="47" t="n"/>
      <c r="FW72" s="47" t="n"/>
      <c r="FX72" s="47" t="n"/>
      <c r="FY72" s="47" t="inlineStr">
        <is>
          <t>A</t>
        </is>
      </c>
      <c r="FZ72" s="47" t="inlineStr">
        <is>
          <t>P</t>
        </is>
      </c>
      <c r="GA72" s="47" t="n"/>
      <c r="GB72" s="47" t="n"/>
      <c r="GC72" s="47" t="n"/>
      <c r="GD72" s="47" t="inlineStr">
        <is>
          <t>P</t>
        </is>
      </c>
      <c r="GE72" s="47" t="n"/>
      <c r="GF72" s="47" t="n"/>
      <c r="GG72" s="47" t="inlineStr">
        <is>
          <t>P</t>
        </is>
      </c>
      <c r="GH72" s="47" t="n"/>
      <c r="GI72" s="47" t="n"/>
    </row>
    <row r="73" ht="14.25" customHeight="1" s="34">
      <c r="A73" s="46" t="n">
        <v>70</v>
      </c>
      <c r="B73" s="46" t="inlineStr">
        <is>
          <t>325106410070</t>
        </is>
      </c>
      <c r="C73" s="46" t="inlineStr">
        <is>
          <t>ABUBAKAR SAMINU</t>
        </is>
      </c>
      <c r="D73" s="47" t="inlineStr">
        <is>
          <t>A</t>
        </is>
      </c>
      <c r="E73" s="47" t="n"/>
      <c r="F73" s="47" t="n"/>
      <c r="G73" s="47" t="n"/>
      <c r="H73" s="47" t="n"/>
      <c r="I73" s="47" t="inlineStr">
        <is>
          <t>A</t>
        </is>
      </c>
      <c r="J73" s="47" t="n"/>
      <c r="K73" s="47" t="n"/>
      <c r="L73" s="47" t="inlineStr">
        <is>
          <t>P</t>
        </is>
      </c>
      <c r="M73" s="47" t="n"/>
      <c r="N73" s="47" t="n"/>
      <c r="O73" s="47" t="n"/>
      <c r="P73" s="47" t="inlineStr">
        <is>
          <t>A</t>
        </is>
      </c>
      <c r="Q73" s="47" t="inlineStr">
        <is>
          <t>A</t>
        </is>
      </c>
      <c r="R73" s="47" t="n"/>
      <c r="S73" s="47" t="n"/>
      <c r="T73" s="47" t="inlineStr">
        <is>
          <t>A</t>
        </is>
      </c>
      <c r="U73" s="47" t="n"/>
      <c r="V73" s="47" t="n"/>
      <c r="W73" s="47" t="n"/>
      <c r="X73" s="47" t="n"/>
      <c r="Y73" s="47" t="n"/>
      <c r="Z73" s="47" t="n"/>
      <c r="AA73" s="47" t="n"/>
      <c r="AB73" s="47" t="n"/>
      <c r="AC73" s="47" t="inlineStr">
        <is>
          <t>A</t>
        </is>
      </c>
      <c r="AD73" s="47" t="n"/>
      <c r="AE73" s="47" t="n"/>
      <c r="AF73" s="47" t="inlineStr">
        <is>
          <t>A</t>
        </is>
      </c>
      <c r="AG73" s="47" t="n"/>
      <c r="AH73" s="47" t="n"/>
      <c r="AI73" s="47" t="n"/>
      <c r="AJ73" s="47" t="inlineStr">
        <is>
          <t>P</t>
        </is>
      </c>
      <c r="AK73" s="47" t="inlineStr">
        <is>
          <t>P</t>
        </is>
      </c>
      <c r="AL73" s="47" t="n"/>
      <c r="AM73" s="47" t="n"/>
      <c r="AN73" s="47" t="inlineStr">
        <is>
          <t>P</t>
        </is>
      </c>
      <c r="AO73" s="47" t="n"/>
      <c r="AP73" s="47" t="n"/>
      <c r="AQ73" s="47" t="n"/>
      <c r="AR73" s="47" t="inlineStr">
        <is>
          <t>A</t>
        </is>
      </c>
      <c r="AS73" s="47" t="n"/>
      <c r="AT73" s="47" t="n"/>
      <c r="AU73" s="47" t="n"/>
      <c r="AV73" s="47" t="n"/>
      <c r="AW73" s="47" t="inlineStr">
        <is>
          <t>P</t>
        </is>
      </c>
      <c r="AX73" s="47" t="n"/>
      <c r="AY73" s="47" t="n"/>
      <c r="AZ73" s="47" t="inlineStr">
        <is>
          <t>P</t>
        </is>
      </c>
      <c r="BA73" s="47" t="inlineStr">
        <is>
          <t>P</t>
        </is>
      </c>
      <c r="BB73" s="47" t="n"/>
      <c r="BC73" s="47" t="n"/>
      <c r="BD73" s="47" t="inlineStr">
        <is>
          <t>P</t>
        </is>
      </c>
      <c r="BE73" s="47" t="inlineStr">
        <is>
          <t>A</t>
        </is>
      </c>
      <c r="BF73" s="47" t="n"/>
      <c r="BG73" s="47" t="n"/>
      <c r="BH73" s="47" t="inlineStr">
        <is>
          <t>P</t>
        </is>
      </c>
      <c r="BI73" s="47" t="inlineStr">
        <is>
          <t>P</t>
        </is>
      </c>
      <c r="BJ73" s="47" t="n"/>
      <c r="BK73" s="47" t="n"/>
      <c r="BL73" s="47" t="n"/>
      <c r="BM73" s="47" t="n"/>
      <c r="BN73" s="47" t="n"/>
      <c r="BO73" s="47" t="n"/>
      <c r="BP73" s="47" t="n"/>
      <c r="BQ73" s="47" t="inlineStr">
        <is>
          <t>P</t>
        </is>
      </c>
      <c r="BR73" s="47" t="n"/>
      <c r="BS73" s="47" t="n"/>
      <c r="BT73" s="47" t="inlineStr">
        <is>
          <t>P</t>
        </is>
      </c>
      <c r="BU73" s="47" t="inlineStr">
        <is>
          <t>P</t>
        </is>
      </c>
      <c r="BV73" s="47" t="n"/>
      <c r="BW73" s="47" t="n"/>
      <c r="BX73" s="47" t="inlineStr">
        <is>
          <t>P</t>
        </is>
      </c>
      <c r="BY73" s="47" t="inlineStr">
        <is>
          <t>P</t>
        </is>
      </c>
      <c r="BZ73" s="47" t="n"/>
      <c r="CA73" s="47" t="n"/>
      <c r="CB73" s="47" t="inlineStr">
        <is>
          <t>P</t>
        </is>
      </c>
      <c r="CC73" s="47" t="n"/>
      <c r="CD73" s="47" t="n"/>
      <c r="CE73" s="47" t="n"/>
      <c r="CF73" s="47" t="inlineStr">
        <is>
          <t>P</t>
        </is>
      </c>
      <c r="CG73" s="47" t="n"/>
      <c r="CH73" s="47" t="n"/>
      <c r="CI73" s="47" t="n"/>
      <c r="CJ73" s="47" t="n"/>
      <c r="CK73" s="47" t="n"/>
      <c r="CL73" s="47" t="n"/>
      <c r="CM73" s="47" t="n"/>
      <c r="CN73" s="47" t="inlineStr">
        <is>
          <t>P</t>
        </is>
      </c>
      <c r="CO73" s="47" t="n"/>
      <c r="CP73" s="47" t="n"/>
      <c r="CQ73" s="47" t="inlineStr">
        <is>
          <t>P</t>
        </is>
      </c>
      <c r="CR73" s="47" t="inlineStr">
        <is>
          <t>P</t>
        </is>
      </c>
      <c r="CS73" s="47" t="n"/>
      <c r="CT73" s="47" t="n"/>
      <c r="CU73" s="47" t="inlineStr">
        <is>
          <t>P</t>
        </is>
      </c>
      <c r="CV73" s="47" t="inlineStr">
        <is>
          <t>P</t>
        </is>
      </c>
      <c r="CW73" s="47" t="n"/>
      <c r="CX73" s="47" t="n"/>
      <c r="CY73" s="47" t="n"/>
      <c r="CZ73" s="47" t="inlineStr">
        <is>
          <t>P</t>
        </is>
      </c>
      <c r="DA73" s="47" t="n"/>
      <c r="DB73" s="47" t="n"/>
      <c r="DC73" s="47" t="inlineStr">
        <is>
          <t>P</t>
        </is>
      </c>
      <c r="DD73" s="47" t="n"/>
      <c r="DE73" s="47" t="n"/>
      <c r="DF73" s="47" t="n"/>
      <c r="DG73" s="47" t="n"/>
      <c r="DH73" s="47" t="n"/>
      <c r="DI73" s="47" t="n"/>
      <c r="DJ73" s="47" t="n"/>
      <c r="DK73" s="47" t="inlineStr">
        <is>
          <t>P</t>
        </is>
      </c>
      <c r="DL73" s="47" t="n"/>
      <c r="DM73" s="47" t="n"/>
      <c r="DN73" s="47" t="inlineStr">
        <is>
          <t>P</t>
        </is>
      </c>
      <c r="DO73" s="47" t="inlineStr">
        <is>
          <t>P</t>
        </is>
      </c>
      <c r="DP73" s="47" t="n"/>
      <c r="DQ73" s="47" t="n"/>
      <c r="DR73" s="47" t="inlineStr">
        <is>
          <t>P</t>
        </is>
      </c>
      <c r="DS73" s="47" t="inlineStr">
        <is>
          <t>P</t>
        </is>
      </c>
      <c r="DT73" s="47" t="n"/>
      <c r="DU73" s="47" t="n"/>
      <c r="DV73" s="47" t="inlineStr">
        <is>
          <t>P</t>
        </is>
      </c>
      <c r="DW73" s="47" t="inlineStr">
        <is>
          <t>P</t>
        </is>
      </c>
      <c r="DX73" s="47" t="n"/>
      <c r="DY73" s="47" t="n"/>
      <c r="DZ73" s="47" t="inlineStr">
        <is>
          <t>P</t>
        </is>
      </c>
      <c r="EA73" s="47" t="n"/>
      <c r="EB73" s="47" t="n"/>
      <c r="EC73" s="47" t="n"/>
      <c r="ED73" s="47" t="n"/>
      <c r="EE73" s="47" t="n"/>
      <c r="EF73" s="47" t="n"/>
      <c r="EG73" s="47" t="n"/>
      <c r="EH73" s="47" t="inlineStr">
        <is>
          <t>A</t>
        </is>
      </c>
      <c r="EI73" s="47" t="n"/>
      <c r="EJ73" s="47" t="n"/>
      <c r="EK73" s="47" t="inlineStr">
        <is>
          <t>A</t>
        </is>
      </c>
      <c r="EL73" s="47" t="inlineStr">
        <is>
          <t>A</t>
        </is>
      </c>
      <c r="EM73" s="47" t="n"/>
      <c r="EN73" s="47" t="n"/>
      <c r="EO73" s="47" t="inlineStr">
        <is>
          <t>P</t>
        </is>
      </c>
      <c r="EP73" s="47" t="inlineStr">
        <is>
          <t>P</t>
        </is>
      </c>
      <c r="EQ73" s="47" t="n"/>
      <c r="ER73" s="47" t="n"/>
      <c r="ES73" s="47" t="inlineStr">
        <is>
          <t>P</t>
        </is>
      </c>
      <c r="ET73" s="47" t="inlineStr">
        <is>
          <t>P</t>
        </is>
      </c>
      <c r="EU73" s="47" t="n"/>
      <c r="EV73" s="47" t="n"/>
      <c r="EW73" s="47" t="n"/>
      <c r="EX73" s="47" t="n"/>
      <c r="EY73" s="47" t="n"/>
      <c r="EZ73" s="47" t="n"/>
      <c r="FA73" s="47" t="n"/>
      <c r="FB73" s="47" t="inlineStr">
        <is>
          <t>P</t>
        </is>
      </c>
      <c r="FC73" s="47" t="n"/>
      <c r="FD73" s="47" t="n"/>
      <c r="FE73" s="47" t="inlineStr">
        <is>
          <t>P</t>
        </is>
      </c>
      <c r="FF73" s="47" t="inlineStr">
        <is>
          <t>P</t>
        </is>
      </c>
      <c r="FG73" s="47" t="n"/>
      <c r="FH73" s="47" t="n"/>
      <c r="FI73" s="47" t="inlineStr">
        <is>
          <t>P</t>
        </is>
      </c>
      <c r="FJ73" s="47" t="inlineStr">
        <is>
          <t>P</t>
        </is>
      </c>
      <c r="FK73" s="47" t="n"/>
      <c r="FL73" s="47" t="n"/>
      <c r="FM73" s="47" t="n"/>
      <c r="FN73" s="47" t="n"/>
      <c r="FO73" s="47" t="n"/>
      <c r="FP73" s="47" t="n"/>
      <c r="FQ73" s="47" t="n"/>
      <c r="FR73" s="47" t="inlineStr">
        <is>
          <t>P</t>
        </is>
      </c>
      <c r="FS73" s="47" t="n"/>
      <c r="FT73" s="47" t="n"/>
      <c r="FU73" s="47" t="n"/>
      <c r="FV73" s="47" t="n"/>
      <c r="FW73" s="47" t="n"/>
      <c r="FX73" s="47" t="n"/>
      <c r="FY73" s="47" t="inlineStr">
        <is>
          <t>P</t>
        </is>
      </c>
      <c r="FZ73" s="47" t="inlineStr">
        <is>
          <t>P</t>
        </is>
      </c>
      <c r="GA73" s="47" t="n"/>
      <c r="GB73" s="47" t="n"/>
      <c r="GC73" s="47" t="n"/>
      <c r="GD73" s="47" t="inlineStr">
        <is>
          <t>P</t>
        </is>
      </c>
      <c r="GE73" s="47" t="n"/>
      <c r="GF73" s="47" t="n"/>
      <c r="GG73" s="47" t="inlineStr">
        <is>
          <t>P</t>
        </is>
      </c>
      <c r="GH73" s="47" t="n"/>
      <c r="GI73" s="47" t="n"/>
    </row>
    <row r="74" ht="14.25" customHeight="1" s="34">
      <c r="A74" s="46" t="n">
        <v>71</v>
      </c>
      <c r="B74" s="46" t="inlineStr">
        <is>
          <t>325106410071</t>
        </is>
      </c>
      <c r="C74" s="46" t="inlineStr">
        <is>
          <t>ANGIRA CHOWDHURY</t>
        </is>
      </c>
      <c r="D74" s="47" t="inlineStr">
        <is>
          <t>A</t>
        </is>
      </c>
      <c r="E74" s="47" t="n"/>
      <c r="F74" s="47" t="n"/>
      <c r="G74" s="47" t="n"/>
      <c r="H74" s="47" t="n"/>
      <c r="I74" s="47" t="inlineStr">
        <is>
          <t>A</t>
        </is>
      </c>
      <c r="J74" s="47" t="n"/>
      <c r="K74" s="47" t="n"/>
      <c r="L74" s="47" t="inlineStr">
        <is>
          <t>P</t>
        </is>
      </c>
      <c r="M74" s="47" t="n"/>
      <c r="N74" s="47" t="n"/>
      <c r="O74" s="47" t="n"/>
      <c r="P74" s="47" t="inlineStr">
        <is>
          <t>P</t>
        </is>
      </c>
      <c r="Q74" s="47" t="inlineStr">
        <is>
          <t>P</t>
        </is>
      </c>
      <c r="R74" s="47" t="n"/>
      <c r="S74" s="47" t="n"/>
      <c r="T74" s="47" t="inlineStr">
        <is>
          <t>P</t>
        </is>
      </c>
      <c r="U74" s="47" t="n"/>
      <c r="V74" s="47" t="n"/>
      <c r="W74" s="47" t="n"/>
      <c r="X74" s="47" t="n"/>
      <c r="Y74" s="47" t="n"/>
      <c r="Z74" s="47" t="n"/>
      <c r="AA74" s="47" t="n"/>
      <c r="AB74" s="47" t="n"/>
      <c r="AC74" s="47" t="inlineStr">
        <is>
          <t>P</t>
        </is>
      </c>
      <c r="AD74" s="47" t="n"/>
      <c r="AE74" s="47" t="n"/>
      <c r="AF74" s="47" t="inlineStr">
        <is>
          <t>P</t>
        </is>
      </c>
      <c r="AG74" s="47" t="n"/>
      <c r="AH74" s="47" t="n"/>
      <c r="AI74" s="47" t="n"/>
      <c r="AJ74" s="47" t="inlineStr">
        <is>
          <t>P</t>
        </is>
      </c>
      <c r="AK74" s="47" t="inlineStr">
        <is>
          <t>P</t>
        </is>
      </c>
      <c r="AL74" s="47" t="n"/>
      <c r="AM74" s="47" t="n"/>
      <c r="AN74" s="47" t="inlineStr">
        <is>
          <t>A</t>
        </is>
      </c>
      <c r="AO74" s="47" t="n"/>
      <c r="AP74" s="47" t="n"/>
      <c r="AQ74" s="47" t="n"/>
      <c r="AR74" s="47" t="inlineStr">
        <is>
          <t>A</t>
        </is>
      </c>
      <c r="AS74" s="47" t="n"/>
      <c r="AT74" s="47" t="n"/>
      <c r="AU74" s="47" t="n"/>
      <c r="AV74" s="47" t="n"/>
      <c r="AW74" s="47" t="inlineStr">
        <is>
          <t>P</t>
        </is>
      </c>
      <c r="AX74" s="47" t="n"/>
      <c r="AY74" s="47" t="n"/>
      <c r="AZ74" s="47" t="inlineStr">
        <is>
          <t>A</t>
        </is>
      </c>
      <c r="BA74" s="47" t="inlineStr">
        <is>
          <t>A</t>
        </is>
      </c>
      <c r="BB74" s="47" t="n"/>
      <c r="BC74" s="47" t="n"/>
      <c r="BD74" s="47" t="inlineStr">
        <is>
          <t>P</t>
        </is>
      </c>
      <c r="BE74" s="47" t="inlineStr">
        <is>
          <t>P</t>
        </is>
      </c>
      <c r="BF74" s="47" t="n"/>
      <c r="BG74" s="47" t="n"/>
      <c r="BH74" s="47" t="inlineStr">
        <is>
          <t>P</t>
        </is>
      </c>
      <c r="BI74" s="47" t="inlineStr">
        <is>
          <t>P</t>
        </is>
      </c>
      <c r="BJ74" s="47" t="n"/>
      <c r="BK74" s="47" t="n"/>
      <c r="BL74" s="47" t="n"/>
      <c r="BM74" s="47" t="n"/>
      <c r="BN74" s="47" t="n"/>
      <c r="BO74" s="47" t="n"/>
      <c r="BP74" s="47" t="n"/>
      <c r="BQ74" s="47" t="inlineStr">
        <is>
          <t>P</t>
        </is>
      </c>
      <c r="BR74" s="47" t="n"/>
      <c r="BS74" s="47" t="n"/>
      <c r="BT74" s="47" t="inlineStr">
        <is>
          <t>P</t>
        </is>
      </c>
      <c r="BU74" s="47" t="inlineStr">
        <is>
          <t>P</t>
        </is>
      </c>
      <c r="BV74" s="47" t="n"/>
      <c r="BW74" s="47" t="n"/>
      <c r="BX74" s="47" t="inlineStr">
        <is>
          <t>A</t>
        </is>
      </c>
      <c r="BY74" s="47" t="inlineStr">
        <is>
          <t>P</t>
        </is>
      </c>
      <c r="BZ74" s="47" t="n"/>
      <c r="CA74" s="47" t="n"/>
      <c r="CB74" s="47" t="inlineStr">
        <is>
          <t>P</t>
        </is>
      </c>
      <c r="CC74" s="47" t="n"/>
      <c r="CD74" s="47" t="n"/>
      <c r="CE74" s="47" t="n"/>
      <c r="CF74" s="47" t="inlineStr">
        <is>
          <t>P</t>
        </is>
      </c>
      <c r="CG74" s="47" t="n"/>
      <c r="CH74" s="47" t="n"/>
      <c r="CI74" s="47" t="n"/>
      <c r="CJ74" s="47" t="n"/>
      <c r="CK74" s="47" t="n"/>
      <c r="CL74" s="47" t="n"/>
      <c r="CM74" s="47" t="n"/>
      <c r="CN74" s="47" t="inlineStr">
        <is>
          <t>P</t>
        </is>
      </c>
      <c r="CO74" s="47" t="n"/>
      <c r="CP74" s="47" t="n"/>
      <c r="CQ74" s="47" t="inlineStr">
        <is>
          <t>P</t>
        </is>
      </c>
      <c r="CR74" s="47" t="inlineStr">
        <is>
          <t>P</t>
        </is>
      </c>
      <c r="CS74" s="47" t="n"/>
      <c r="CT74" s="47" t="n"/>
      <c r="CU74" s="47" t="inlineStr">
        <is>
          <t>A</t>
        </is>
      </c>
      <c r="CV74" s="47" t="inlineStr">
        <is>
          <t>A</t>
        </is>
      </c>
      <c r="CW74" s="47" t="n"/>
      <c r="CX74" s="47" t="n"/>
      <c r="CY74" s="47" t="n"/>
      <c r="CZ74" s="47" t="inlineStr">
        <is>
          <t>P</t>
        </is>
      </c>
      <c r="DA74" s="47" t="n"/>
      <c r="DB74" s="47" t="n"/>
      <c r="DC74" s="47" t="inlineStr">
        <is>
          <t>P</t>
        </is>
      </c>
      <c r="DD74" s="47" t="n"/>
      <c r="DE74" s="47" t="n"/>
      <c r="DF74" s="47" t="n"/>
      <c r="DG74" s="47" t="n"/>
      <c r="DH74" s="47" t="n"/>
      <c r="DI74" s="47" t="n"/>
      <c r="DJ74" s="47" t="n"/>
      <c r="DK74" s="47" t="inlineStr">
        <is>
          <t>P</t>
        </is>
      </c>
      <c r="DL74" s="47" t="n"/>
      <c r="DM74" s="47" t="n"/>
      <c r="DN74" s="47" t="inlineStr">
        <is>
          <t>P</t>
        </is>
      </c>
      <c r="DO74" s="47" t="inlineStr">
        <is>
          <t>P</t>
        </is>
      </c>
      <c r="DP74" s="47" t="n"/>
      <c r="DQ74" s="47" t="n"/>
      <c r="DR74" s="47" t="inlineStr">
        <is>
          <t>P</t>
        </is>
      </c>
      <c r="DS74" s="47" t="inlineStr">
        <is>
          <t>P</t>
        </is>
      </c>
      <c r="DT74" s="47" t="n"/>
      <c r="DU74" s="47" t="n"/>
      <c r="DV74" s="47" t="inlineStr">
        <is>
          <t>P</t>
        </is>
      </c>
      <c r="DW74" s="47" t="inlineStr">
        <is>
          <t>P</t>
        </is>
      </c>
      <c r="DX74" s="47" t="n"/>
      <c r="DY74" s="47" t="n"/>
      <c r="DZ74" s="47" t="inlineStr">
        <is>
          <t>P</t>
        </is>
      </c>
      <c r="EA74" s="47" t="n"/>
      <c r="EB74" s="47" t="n"/>
      <c r="EC74" s="47" t="n"/>
      <c r="ED74" s="47" t="n"/>
      <c r="EE74" s="47" t="n"/>
      <c r="EF74" s="47" t="n"/>
      <c r="EG74" s="47" t="n"/>
      <c r="EH74" s="47" t="inlineStr">
        <is>
          <t>P</t>
        </is>
      </c>
      <c r="EI74" s="47" t="n"/>
      <c r="EJ74" s="47" t="n"/>
      <c r="EK74" s="47" t="inlineStr">
        <is>
          <t>A</t>
        </is>
      </c>
      <c r="EL74" s="47" t="inlineStr">
        <is>
          <t>A</t>
        </is>
      </c>
      <c r="EM74" s="47" t="n"/>
      <c r="EN74" s="47" t="n"/>
      <c r="EO74" s="47" t="inlineStr">
        <is>
          <t>A</t>
        </is>
      </c>
      <c r="EP74" s="47" t="inlineStr">
        <is>
          <t>A</t>
        </is>
      </c>
      <c r="EQ74" s="47" t="n"/>
      <c r="ER74" s="47" t="n"/>
      <c r="ES74" s="47" t="inlineStr">
        <is>
          <t>P</t>
        </is>
      </c>
      <c r="ET74" s="47" t="inlineStr">
        <is>
          <t>P</t>
        </is>
      </c>
      <c r="EU74" s="47" t="n"/>
      <c r="EV74" s="47" t="n"/>
      <c r="EW74" s="47" t="n"/>
      <c r="EX74" s="47" t="n"/>
      <c r="EY74" s="47" t="n"/>
      <c r="EZ74" s="47" t="n"/>
      <c r="FA74" s="47" t="n"/>
      <c r="FB74" s="47" t="inlineStr">
        <is>
          <t>P</t>
        </is>
      </c>
      <c r="FC74" s="47" t="n"/>
      <c r="FD74" s="47" t="n"/>
      <c r="FE74" s="47" t="inlineStr">
        <is>
          <t>P</t>
        </is>
      </c>
      <c r="FF74" s="47" t="inlineStr">
        <is>
          <t>P</t>
        </is>
      </c>
      <c r="FG74" s="47" t="n"/>
      <c r="FH74" s="47" t="n"/>
      <c r="FI74" s="47" t="inlineStr">
        <is>
          <t>P</t>
        </is>
      </c>
      <c r="FJ74" s="47" t="inlineStr">
        <is>
          <t>P</t>
        </is>
      </c>
      <c r="FK74" s="47" t="n"/>
      <c r="FL74" s="47" t="n"/>
      <c r="FM74" s="47" t="n"/>
      <c r="FN74" s="47" t="n"/>
      <c r="FO74" s="47" t="n"/>
      <c r="FP74" s="47" t="n"/>
      <c r="FQ74" s="47" t="n"/>
      <c r="FR74" s="47" t="inlineStr">
        <is>
          <t>P</t>
        </is>
      </c>
      <c r="FS74" s="47" t="n"/>
      <c r="FT74" s="47" t="n"/>
      <c r="FU74" s="47" t="n"/>
      <c r="FV74" s="47" t="n"/>
      <c r="FW74" s="47" t="n"/>
      <c r="FX74" s="47" t="n"/>
      <c r="FY74" s="47" t="inlineStr">
        <is>
          <t>P</t>
        </is>
      </c>
      <c r="FZ74" s="47" t="inlineStr">
        <is>
          <t>P</t>
        </is>
      </c>
      <c r="GA74" s="47" t="n"/>
      <c r="GB74" s="47" t="n"/>
      <c r="GC74" s="47" t="n"/>
      <c r="GD74" s="47" t="inlineStr">
        <is>
          <t>A</t>
        </is>
      </c>
      <c r="GE74" s="47" t="n"/>
      <c r="GF74" s="47" t="n"/>
      <c r="GG74" s="47" t="inlineStr">
        <is>
          <t>P</t>
        </is>
      </c>
      <c r="GH74" s="47" t="n"/>
      <c r="GI74" s="47" t="n"/>
    </row>
    <row r="75" ht="14.25" customHeight="1" s="34">
      <c r="A75" s="46" t="n">
        <v>72</v>
      </c>
      <c r="B75" s="46" t="inlineStr">
        <is>
          <t>325106410072</t>
        </is>
      </c>
      <c r="C75" s="46" t="inlineStr">
        <is>
          <t>ANIRBAN SAHA ARGHO</t>
        </is>
      </c>
      <c r="D75" s="47" t="inlineStr">
        <is>
          <t>P</t>
        </is>
      </c>
      <c r="E75" s="47" t="n"/>
      <c r="F75" s="47" t="n"/>
      <c r="G75" s="47" t="n"/>
      <c r="H75" s="47" t="n"/>
      <c r="I75" s="47" t="inlineStr">
        <is>
          <t>A</t>
        </is>
      </c>
      <c r="J75" s="47" t="n"/>
      <c r="K75" s="47" t="n"/>
      <c r="L75" s="47" t="inlineStr">
        <is>
          <t>P</t>
        </is>
      </c>
      <c r="M75" s="47" t="n"/>
      <c r="N75" s="47" t="n"/>
      <c r="O75" s="47" t="n"/>
      <c r="P75" s="47" t="inlineStr">
        <is>
          <t>P</t>
        </is>
      </c>
      <c r="Q75" s="47" t="inlineStr">
        <is>
          <t>P</t>
        </is>
      </c>
      <c r="R75" s="47" t="n"/>
      <c r="S75" s="47" t="n"/>
      <c r="T75" s="47" t="inlineStr">
        <is>
          <t>P</t>
        </is>
      </c>
      <c r="U75" s="47" t="n"/>
      <c r="V75" s="47" t="n"/>
      <c r="W75" s="47" t="n"/>
      <c r="X75" s="47" t="n"/>
      <c r="Y75" s="47" t="n"/>
      <c r="Z75" s="47" t="n"/>
      <c r="AA75" s="47" t="n"/>
      <c r="AB75" s="47" t="n"/>
      <c r="AC75" s="47" t="inlineStr">
        <is>
          <t>P</t>
        </is>
      </c>
      <c r="AD75" s="47" t="n"/>
      <c r="AE75" s="47" t="n"/>
      <c r="AF75" s="47" t="inlineStr">
        <is>
          <t>P</t>
        </is>
      </c>
      <c r="AG75" s="47" t="n"/>
      <c r="AH75" s="47" t="n"/>
      <c r="AI75" s="47" t="n"/>
      <c r="AJ75" s="47" t="inlineStr">
        <is>
          <t>P</t>
        </is>
      </c>
      <c r="AK75" s="47" t="inlineStr">
        <is>
          <t>P</t>
        </is>
      </c>
      <c r="AL75" s="47" t="n"/>
      <c r="AM75" s="47" t="n"/>
      <c r="AN75" s="47" t="inlineStr">
        <is>
          <t>P</t>
        </is>
      </c>
      <c r="AO75" s="47" t="n"/>
      <c r="AP75" s="47" t="n"/>
      <c r="AQ75" s="47" t="n"/>
      <c r="AR75" s="47" t="inlineStr">
        <is>
          <t>A</t>
        </is>
      </c>
      <c r="AS75" s="47" t="n"/>
      <c r="AT75" s="47" t="n"/>
      <c r="AU75" s="47" t="n"/>
      <c r="AV75" s="47" t="n"/>
      <c r="AW75" s="47" t="inlineStr">
        <is>
          <t>P</t>
        </is>
      </c>
      <c r="AX75" s="47" t="n"/>
      <c r="AY75" s="47" t="n"/>
      <c r="AZ75" s="47" t="inlineStr">
        <is>
          <t>P</t>
        </is>
      </c>
      <c r="BA75" s="47" t="inlineStr">
        <is>
          <t>P</t>
        </is>
      </c>
      <c r="BB75" s="47" t="n"/>
      <c r="BC75" s="47" t="n"/>
      <c r="BD75" s="47" t="inlineStr">
        <is>
          <t>P</t>
        </is>
      </c>
      <c r="BE75" s="47" t="inlineStr">
        <is>
          <t>A</t>
        </is>
      </c>
      <c r="BF75" s="47" t="n"/>
      <c r="BG75" s="47" t="n"/>
      <c r="BH75" s="47" t="inlineStr">
        <is>
          <t>P</t>
        </is>
      </c>
      <c r="BI75" s="47" t="inlineStr">
        <is>
          <t>P</t>
        </is>
      </c>
      <c r="BJ75" s="47" t="n"/>
      <c r="BK75" s="47" t="n"/>
      <c r="BL75" s="47" t="n"/>
      <c r="BM75" s="47" t="n"/>
      <c r="BN75" s="47" t="n"/>
      <c r="BO75" s="47" t="n"/>
      <c r="BP75" s="47" t="n"/>
      <c r="BQ75" s="47" t="inlineStr">
        <is>
          <t>P</t>
        </is>
      </c>
      <c r="BR75" s="47" t="n"/>
      <c r="BS75" s="47" t="n"/>
      <c r="BT75" s="47" t="inlineStr">
        <is>
          <t>P</t>
        </is>
      </c>
      <c r="BU75" s="47" t="inlineStr">
        <is>
          <t>P</t>
        </is>
      </c>
      <c r="BV75" s="47" t="n"/>
      <c r="BW75" s="47" t="n"/>
      <c r="BX75" s="47" t="inlineStr">
        <is>
          <t>P</t>
        </is>
      </c>
      <c r="BY75" s="47" t="inlineStr">
        <is>
          <t>P</t>
        </is>
      </c>
      <c r="BZ75" s="47" t="n"/>
      <c r="CA75" s="47" t="n"/>
      <c r="CB75" s="47" t="inlineStr">
        <is>
          <t>P</t>
        </is>
      </c>
      <c r="CC75" s="47" t="n"/>
      <c r="CD75" s="47" t="n"/>
      <c r="CE75" s="47" t="n"/>
      <c r="CF75" s="47" t="inlineStr">
        <is>
          <t>P</t>
        </is>
      </c>
      <c r="CG75" s="47" t="n"/>
      <c r="CH75" s="47" t="n"/>
      <c r="CI75" s="47" t="n"/>
      <c r="CJ75" s="47" t="n"/>
      <c r="CK75" s="47" t="n"/>
      <c r="CL75" s="47" t="n"/>
      <c r="CM75" s="47" t="n"/>
      <c r="CN75" s="47" t="inlineStr">
        <is>
          <t>P</t>
        </is>
      </c>
      <c r="CO75" s="47" t="n"/>
      <c r="CP75" s="47" t="n"/>
      <c r="CQ75" s="47" t="inlineStr">
        <is>
          <t>P</t>
        </is>
      </c>
      <c r="CR75" s="47" t="inlineStr">
        <is>
          <t>P</t>
        </is>
      </c>
      <c r="CS75" s="47" t="n"/>
      <c r="CT75" s="47" t="n"/>
      <c r="CU75" s="47" t="inlineStr">
        <is>
          <t>P</t>
        </is>
      </c>
      <c r="CV75" s="47" t="inlineStr">
        <is>
          <t>P</t>
        </is>
      </c>
      <c r="CW75" s="47" t="n"/>
      <c r="CX75" s="47" t="n"/>
      <c r="CY75" s="47" t="n"/>
      <c r="CZ75" s="47" t="inlineStr">
        <is>
          <t>A</t>
        </is>
      </c>
      <c r="DA75" s="47" t="n"/>
      <c r="DB75" s="47" t="n"/>
      <c r="DC75" s="47" t="inlineStr">
        <is>
          <t>P</t>
        </is>
      </c>
      <c r="DD75" s="47" t="n"/>
      <c r="DE75" s="47" t="n"/>
      <c r="DF75" s="47" t="n"/>
      <c r="DG75" s="47" t="n"/>
      <c r="DH75" s="47" t="n"/>
      <c r="DI75" s="47" t="n"/>
      <c r="DJ75" s="47" t="n"/>
      <c r="DK75" s="47" t="inlineStr">
        <is>
          <t>P</t>
        </is>
      </c>
      <c r="DL75" s="47" t="n"/>
      <c r="DM75" s="47" t="n"/>
      <c r="DN75" s="47" t="inlineStr">
        <is>
          <t>P</t>
        </is>
      </c>
      <c r="DO75" s="47" t="inlineStr">
        <is>
          <t>A</t>
        </is>
      </c>
      <c r="DP75" s="47" t="n"/>
      <c r="DQ75" s="47" t="n"/>
      <c r="DR75" s="47" t="inlineStr">
        <is>
          <t>P</t>
        </is>
      </c>
      <c r="DS75" s="47" t="inlineStr">
        <is>
          <t>P</t>
        </is>
      </c>
      <c r="DT75" s="47" t="n"/>
      <c r="DU75" s="47" t="n"/>
      <c r="DV75" s="47" t="inlineStr">
        <is>
          <t>P</t>
        </is>
      </c>
      <c r="DW75" s="47" t="inlineStr">
        <is>
          <t>P</t>
        </is>
      </c>
      <c r="DX75" s="47" t="n"/>
      <c r="DY75" s="47" t="n"/>
      <c r="DZ75" s="47" t="inlineStr">
        <is>
          <t>P</t>
        </is>
      </c>
      <c r="EA75" s="47" t="n"/>
      <c r="EB75" s="47" t="n"/>
      <c r="EC75" s="47" t="n"/>
      <c r="ED75" s="47" t="n"/>
      <c r="EE75" s="47" t="n"/>
      <c r="EF75" s="47" t="n"/>
      <c r="EG75" s="47" t="n"/>
      <c r="EH75" s="47" t="inlineStr">
        <is>
          <t>P</t>
        </is>
      </c>
      <c r="EI75" s="47" t="n"/>
      <c r="EJ75" s="47" t="n"/>
      <c r="EK75" s="47" t="inlineStr">
        <is>
          <t>P</t>
        </is>
      </c>
      <c r="EL75" s="47" t="inlineStr">
        <is>
          <t>P</t>
        </is>
      </c>
      <c r="EM75" s="47" t="n"/>
      <c r="EN75" s="47" t="n"/>
      <c r="EO75" s="47" t="inlineStr">
        <is>
          <t>P</t>
        </is>
      </c>
      <c r="EP75" s="47" t="inlineStr">
        <is>
          <t>P</t>
        </is>
      </c>
      <c r="EQ75" s="47" t="n"/>
      <c r="ER75" s="47" t="n"/>
      <c r="ES75" s="47" t="inlineStr">
        <is>
          <t>P</t>
        </is>
      </c>
      <c r="ET75" s="47" t="inlineStr">
        <is>
          <t>P</t>
        </is>
      </c>
      <c r="EU75" s="47" t="n"/>
      <c r="EV75" s="47" t="n"/>
      <c r="EW75" s="47" t="n"/>
      <c r="EX75" s="47" t="n"/>
      <c r="EY75" s="47" t="n"/>
      <c r="EZ75" s="47" t="n"/>
      <c r="FA75" s="47" t="n"/>
      <c r="FB75" s="47" t="inlineStr">
        <is>
          <t>P</t>
        </is>
      </c>
      <c r="FC75" s="47" t="n"/>
      <c r="FD75" s="47" t="n"/>
      <c r="FE75" s="47" t="inlineStr">
        <is>
          <t>P</t>
        </is>
      </c>
      <c r="FF75" s="47" t="inlineStr">
        <is>
          <t>P</t>
        </is>
      </c>
      <c r="FG75" s="47" t="n"/>
      <c r="FH75" s="47" t="n"/>
      <c r="FI75" s="47" t="inlineStr">
        <is>
          <t>P</t>
        </is>
      </c>
      <c r="FJ75" s="47" t="inlineStr">
        <is>
          <t>P</t>
        </is>
      </c>
      <c r="FK75" s="47" t="n"/>
      <c r="FL75" s="47" t="n"/>
      <c r="FM75" s="47" t="n"/>
      <c r="FN75" s="47" t="n"/>
      <c r="FO75" s="47" t="n"/>
      <c r="FP75" s="47" t="n"/>
      <c r="FQ75" s="47" t="n"/>
      <c r="FR75" s="47" t="inlineStr">
        <is>
          <t>P</t>
        </is>
      </c>
      <c r="FS75" s="47" t="n"/>
      <c r="FT75" s="47" t="n"/>
      <c r="FU75" s="47" t="n"/>
      <c r="FV75" s="47" t="n"/>
      <c r="FW75" s="47" t="n"/>
      <c r="FX75" s="47" t="n"/>
      <c r="FY75" s="47" t="inlineStr">
        <is>
          <t>P</t>
        </is>
      </c>
      <c r="FZ75" s="47" t="inlineStr">
        <is>
          <t>P</t>
        </is>
      </c>
      <c r="GA75" s="47" t="n"/>
      <c r="GB75" s="47" t="n"/>
      <c r="GC75" s="47" t="n"/>
      <c r="GD75" s="47" t="inlineStr">
        <is>
          <t>A</t>
        </is>
      </c>
      <c r="GE75" s="47" t="n"/>
      <c r="GF75" s="47" t="n"/>
      <c r="GG75" s="47" t="inlineStr">
        <is>
          <t>P</t>
        </is>
      </c>
      <c r="GH75" s="47" t="n"/>
      <c r="GI75" s="47" t="n"/>
    </row>
    <row r="76" ht="14.25" customHeight="1" s="34">
      <c r="A76" s="46" t="n">
        <v>73</v>
      </c>
      <c r="B76" s="46" t="inlineStr">
        <is>
          <t>325106410073</t>
        </is>
      </c>
      <c r="C76" s="46" t="inlineStr">
        <is>
          <t>SAMUEL ANTWI MALIK</t>
        </is>
      </c>
      <c r="D76" s="47" t="inlineStr">
        <is>
          <t>A</t>
        </is>
      </c>
      <c r="E76" s="47" t="n"/>
      <c r="F76" s="47" t="n"/>
      <c r="G76" s="47" t="n"/>
      <c r="H76" s="47" t="n"/>
      <c r="I76" s="47" t="inlineStr">
        <is>
          <t>A</t>
        </is>
      </c>
      <c r="J76" s="47" t="n"/>
      <c r="K76" s="47" t="n"/>
      <c r="L76" s="47" t="inlineStr">
        <is>
          <t>A</t>
        </is>
      </c>
      <c r="M76" s="47" t="n"/>
      <c r="N76" s="47" t="n"/>
      <c r="O76" s="47" t="n"/>
      <c r="P76" s="47" t="inlineStr">
        <is>
          <t>A</t>
        </is>
      </c>
      <c r="Q76" s="47" t="inlineStr">
        <is>
          <t>A</t>
        </is>
      </c>
      <c r="R76" s="47" t="n"/>
      <c r="S76" s="47" t="n"/>
      <c r="T76" s="47" t="inlineStr">
        <is>
          <t>A</t>
        </is>
      </c>
      <c r="U76" s="47" t="n"/>
      <c r="V76" s="47" t="n"/>
      <c r="W76" s="47" t="n"/>
      <c r="X76" s="47" t="n"/>
      <c r="Y76" s="47" t="n"/>
      <c r="Z76" s="47" t="n"/>
      <c r="AA76" s="47" t="n"/>
      <c r="AB76" s="47" t="n"/>
      <c r="AC76" s="47" t="inlineStr">
        <is>
          <t>P</t>
        </is>
      </c>
      <c r="AD76" s="47" t="n"/>
      <c r="AE76" s="47" t="n"/>
      <c r="AF76" s="47" t="inlineStr">
        <is>
          <t>A</t>
        </is>
      </c>
      <c r="AG76" s="47" t="n"/>
      <c r="AH76" s="47" t="n"/>
      <c r="AI76" s="47" t="n"/>
      <c r="AJ76" s="47" t="inlineStr">
        <is>
          <t>A</t>
        </is>
      </c>
      <c r="AK76" s="47" t="inlineStr">
        <is>
          <t>A</t>
        </is>
      </c>
      <c r="AL76" s="47" t="n"/>
      <c r="AM76" s="47" t="n"/>
      <c r="AN76" s="47" t="inlineStr">
        <is>
          <t>A</t>
        </is>
      </c>
      <c r="AO76" s="47" t="n"/>
      <c r="AP76" s="47" t="n"/>
      <c r="AQ76" s="47" t="n"/>
      <c r="AR76" s="47" t="inlineStr">
        <is>
          <t>P</t>
        </is>
      </c>
      <c r="AS76" s="47" t="n"/>
      <c r="AT76" s="47" t="n"/>
      <c r="AU76" s="47" t="n"/>
      <c r="AV76" s="47" t="n"/>
      <c r="AW76" s="47" t="inlineStr">
        <is>
          <t>P</t>
        </is>
      </c>
      <c r="AX76" s="47" t="n"/>
      <c r="AY76" s="47" t="n"/>
      <c r="AZ76" s="47" t="inlineStr">
        <is>
          <t>A</t>
        </is>
      </c>
      <c r="BA76" s="47" t="inlineStr">
        <is>
          <t>A</t>
        </is>
      </c>
      <c r="BB76" s="47" t="n"/>
      <c r="BC76" s="47" t="n"/>
      <c r="BD76" s="47" t="inlineStr">
        <is>
          <t>P</t>
        </is>
      </c>
      <c r="BE76" s="47" t="inlineStr">
        <is>
          <t>P</t>
        </is>
      </c>
      <c r="BF76" s="47" t="n"/>
      <c r="BG76" s="47" t="n"/>
      <c r="BH76" s="47" t="inlineStr">
        <is>
          <t>P</t>
        </is>
      </c>
      <c r="BI76" s="47" t="inlineStr">
        <is>
          <t>A</t>
        </is>
      </c>
      <c r="BJ76" s="47" t="n"/>
      <c r="BK76" s="47" t="n"/>
      <c r="BL76" s="47" t="n"/>
      <c r="BM76" s="47" t="n"/>
      <c r="BN76" s="47" t="n"/>
      <c r="BO76" s="47" t="n"/>
      <c r="BP76" s="47" t="n"/>
      <c r="BQ76" s="47" t="inlineStr">
        <is>
          <t>P</t>
        </is>
      </c>
      <c r="BR76" s="47" t="n"/>
      <c r="BS76" s="47" t="n"/>
      <c r="BT76" s="47" t="inlineStr">
        <is>
          <t>A</t>
        </is>
      </c>
      <c r="BU76" s="47" t="inlineStr">
        <is>
          <t>A</t>
        </is>
      </c>
      <c r="BV76" s="47" t="n"/>
      <c r="BW76" s="47" t="n"/>
      <c r="BX76" s="47" t="inlineStr">
        <is>
          <t>P</t>
        </is>
      </c>
      <c r="BY76" s="47" t="inlineStr">
        <is>
          <t>P</t>
        </is>
      </c>
      <c r="BZ76" s="47" t="n"/>
      <c r="CA76" s="47" t="n"/>
      <c r="CB76" s="47" t="inlineStr">
        <is>
          <t>P</t>
        </is>
      </c>
      <c r="CC76" s="47" t="n"/>
      <c r="CD76" s="47" t="n"/>
      <c r="CE76" s="47" t="n"/>
      <c r="CF76" s="47" t="inlineStr">
        <is>
          <t>A</t>
        </is>
      </c>
      <c r="CG76" s="47" t="n"/>
      <c r="CH76" s="47" t="n"/>
      <c r="CI76" s="47" t="n"/>
      <c r="CJ76" s="47" t="n"/>
      <c r="CK76" s="47" t="n"/>
      <c r="CL76" s="47" t="n"/>
      <c r="CM76" s="47" t="n"/>
      <c r="CN76" s="47" t="inlineStr">
        <is>
          <t>P</t>
        </is>
      </c>
      <c r="CO76" s="47" t="n"/>
      <c r="CP76" s="47" t="n"/>
      <c r="CQ76" s="47" t="inlineStr">
        <is>
          <t>A</t>
        </is>
      </c>
      <c r="CR76" s="47" t="inlineStr">
        <is>
          <t>P</t>
        </is>
      </c>
      <c r="CS76" s="47" t="n"/>
      <c r="CT76" s="47" t="n"/>
      <c r="CU76" s="47" t="inlineStr">
        <is>
          <t>A</t>
        </is>
      </c>
      <c r="CV76" s="47" t="inlineStr">
        <is>
          <t>A</t>
        </is>
      </c>
      <c r="CW76" s="47" t="n"/>
      <c r="CX76" s="47" t="n"/>
      <c r="CY76" s="47" t="n"/>
      <c r="CZ76" s="47" t="inlineStr">
        <is>
          <t>A</t>
        </is>
      </c>
      <c r="DA76" s="47" t="n"/>
      <c r="DB76" s="47" t="n"/>
      <c r="DC76" s="47" t="inlineStr">
        <is>
          <t>A</t>
        </is>
      </c>
      <c r="DD76" s="47" t="n"/>
      <c r="DE76" s="47" t="n"/>
      <c r="DF76" s="47" t="n"/>
      <c r="DG76" s="47" t="n"/>
      <c r="DH76" s="47" t="n"/>
      <c r="DI76" s="47" t="n"/>
      <c r="DJ76" s="47" t="n"/>
      <c r="DK76" s="47" t="inlineStr">
        <is>
          <t>P</t>
        </is>
      </c>
      <c r="DL76" s="47" t="n"/>
      <c r="DM76" s="47" t="n"/>
      <c r="DN76" s="47" t="inlineStr">
        <is>
          <t>A</t>
        </is>
      </c>
      <c r="DO76" s="47" t="inlineStr">
        <is>
          <t>A</t>
        </is>
      </c>
      <c r="DP76" s="47" t="n"/>
      <c r="DQ76" s="47" t="n"/>
      <c r="DR76" s="47" t="inlineStr">
        <is>
          <t>A</t>
        </is>
      </c>
      <c r="DS76" s="47" t="inlineStr">
        <is>
          <t>A</t>
        </is>
      </c>
      <c r="DT76" s="47" t="n"/>
      <c r="DU76" s="47" t="n"/>
      <c r="DV76" s="47" t="inlineStr">
        <is>
          <t>P</t>
        </is>
      </c>
      <c r="DW76" s="47" t="inlineStr">
        <is>
          <t>P</t>
        </is>
      </c>
      <c r="DX76" s="47" t="n"/>
      <c r="DY76" s="47" t="n"/>
      <c r="DZ76" s="47" t="inlineStr">
        <is>
          <t>P</t>
        </is>
      </c>
      <c r="EA76" s="47" t="n"/>
      <c r="EB76" s="47" t="n"/>
      <c r="EC76" s="47" t="n"/>
      <c r="ED76" s="47" t="n"/>
      <c r="EE76" s="47" t="n"/>
      <c r="EF76" s="47" t="n"/>
      <c r="EG76" s="47" t="n"/>
      <c r="EH76" s="47" t="inlineStr">
        <is>
          <t>P</t>
        </is>
      </c>
      <c r="EI76" s="47" t="n"/>
      <c r="EJ76" s="47" t="n"/>
      <c r="EK76" s="47" t="inlineStr">
        <is>
          <t>P</t>
        </is>
      </c>
      <c r="EL76" s="47" t="inlineStr">
        <is>
          <t>P</t>
        </is>
      </c>
      <c r="EM76" s="47" t="n"/>
      <c r="EN76" s="47" t="n"/>
      <c r="EO76" s="47" t="inlineStr">
        <is>
          <t>P</t>
        </is>
      </c>
      <c r="EP76" s="47" t="inlineStr">
        <is>
          <t>A</t>
        </is>
      </c>
      <c r="EQ76" s="47" t="n"/>
      <c r="ER76" s="47" t="n"/>
      <c r="ES76" s="47" t="inlineStr">
        <is>
          <t>A</t>
        </is>
      </c>
      <c r="ET76" s="47" t="inlineStr">
        <is>
          <t>A</t>
        </is>
      </c>
      <c r="EU76" s="47" t="n"/>
      <c r="EV76" s="47" t="n"/>
      <c r="EW76" s="47" t="n"/>
      <c r="EX76" s="47" t="n"/>
      <c r="EY76" s="47" t="n"/>
      <c r="EZ76" s="47" t="n"/>
      <c r="FA76" s="47" t="n"/>
      <c r="FB76" s="47" t="inlineStr">
        <is>
          <t>P</t>
        </is>
      </c>
      <c r="FC76" s="47" t="n"/>
      <c r="FD76" s="47" t="n"/>
      <c r="FE76" s="47" t="inlineStr">
        <is>
          <t>P</t>
        </is>
      </c>
      <c r="FF76" s="47" t="inlineStr">
        <is>
          <t>P</t>
        </is>
      </c>
      <c r="FG76" s="47" t="n"/>
      <c r="FH76" s="47" t="n"/>
      <c r="FI76" s="47" t="inlineStr">
        <is>
          <t>P</t>
        </is>
      </c>
      <c r="FJ76" s="47" t="inlineStr">
        <is>
          <t>P</t>
        </is>
      </c>
      <c r="FK76" s="47" t="n"/>
      <c r="FL76" s="47" t="n"/>
      <c r="FM76" s="47" t="n"/>
      <c r="FN76" s="47" t="n"/>
      <c r="FO76" s="47" t="n"/>
      <c r="FP76" s="47" t="n"/>
      <c r="FQ76" s="47" t="n"/>
      <c r="FR76" s="47" t="inlineStr">
        <is>
          <t>P</t>
        </is>
      </c>
      <c r="FS76" s="47" t="n"/>
      <c r="FT76" s="47" t="n"/>
      <c r="FU76" s="47" t="n"/>
      <c r="FV76" s="47" t="n"/>
      <c r="FW76" s="47" t="n"/>
      <c r="FX76" s="47" t="n"/>
      <c r="FY76" s="47" t="inlineStr">
        <is>
          <t>A</t>
        </is>
      </c>
      <c r="FZ76" s="47" t="inlineStr">
        <is>
          <t>A</t>
        </is>
      </c>
      <c r="GA76" s="47" t="n"/>
      <c r="GB76" s="47" t="n"/>
      <c r="GC76" s="47" t="n"/>
      <c r="GD76" s="47" t="inlineStr">
        <is>
          <t>A</t>
        </is>
      </c>
      <c r="GE76" s="47" t="n"/>
      <c r="GF76" s="47" t="n"/>
      <c r="GG76" s="47" t="inlineStr">
        <is>
          <t>A</t>
        </is>
      </c>
      <c r="GH76" s="47" t="n"/>
      <c r="GI76" s="47" t="n"/>
    </row>
    <row r="77" ht="14.25" customHeight="1" s="34">
      <c r="A77" s="46" t="n">
        <v>74</v>
      </c>
      <c r="B77" s="46" t="inlineStr">
        <is>
          <t>325106410074</t>
        </is>
      </c>
      <c r="C77" s="46" t="inlineStr">
        <is>
          <t>AOULADI AHAMADA</t>
        </is>
      </c>
      <c r="D77" s="47" t="inlineStr">
        <is>
          <t>A</t>
        </is>
      </c>
      <c r="E77" s="47" t="n"/>
      <c r="F77" s="47" t="n"/>
      <c r="G77" s="47" t="n"/>
      <c r="H77" s="47" t="n"/>
      <c r="I77" s="47" t="inlineStr">
        <is>
          <t>A</t>
        </is>
      </c>
      <c r="J77" s="47" t="n"/>
      <c r="K77" s="47" t="n"/>
      <c r="L77" s="47" t="inlineStr">
        <is>
          <t>A</t>
        </is>
      </c>
      <c r="M77" s="47" t="n"/>
      <c r="N77" s="47" t="n"/>
      <c r="O77" s="47" t="n"/>
      <c r="P77" s="47" t="inlineStr">
        <is>
          <t>A</t>
        </is>
      </c>
      <c r="Q77" s="47" t="inlineStr">
        <is>
          <t>A</t>
        </is>
      </c>
      <c r="R77" s="47" t="n"/>
      <c r="S77" s="47" t="n"/>
      <c r="T77" s="47" t="inlineStr">
        <is>
          <t>A</t>
        </is>
      </c>
      <c r="U77" s="47" t="n"/>
      <c r="V77" s="47" t="n"/>
      <c r="W77" s="47" t="n"/>
      <c r="X77" s="47" t="n"/>
      <c r="Y77" s="47" t="n"/>
      <c r="Z77" s="47" t="n"/>
      <c r="AA77" s="47" t="n"/>
      <c r="AB77" s="47" t="n"/>
      <c r="AC77" s="47" t="inlineStr">
        <is>
          <t>A</t>
        </is>
      </c>
      <c r="AD77" s="47" t="n"/>
      <c r="AE77" s="47" t="n"/>
      <c r="AF77" s="47" t="inlineStr">
        <is>
          <t>P</t>
        </is>
      </c>
      <c r="AG77" s="47" t="n"/>
      <c r="AH77" s="47" t="n"/>
      <c r="AI77" s="47" t="n"/>
      <c r="AJ77" s="47" t="inlineStr">
        <is>
          <t>A</t>
        </is>
      </c>
      <c r="AK77" s="47" t="inlineStr">
        <is>
          <t>A</t>
        </is>
      </c>
      <c r="AL77" s="47" t="n"/>
      <c r="AM77" s="47" t="n"/>
      <c r="AN77" s="47" t="inlineStr">
        <is>
          <t>A</t>
        </is>
      </c>
      <c r="AO77" s="47" t="n"/>
      <c r="AP77" s="47" t="n"/>
      <c r="AQ77" s="47" t="n"/>
      <c r="AR77" s="47" t="inlineStr">
        <is>
          <t>P</t>
        </is>
      </c>
      <c r="AS77" s="47" t="n"/>
      <c r="AT77" s="47" t="n"/>
      <c r="AU77" s="47" t="n"/>
      <c r="AV77" s="47" t="n"/>
      <c r="AW77" s="47" t="inlineStr">
        <is>
          <t>A</t>
        </is>
      </c>
      <c r="AX77" s="47" t="n"/>
      <c r="AY77" s="47" t="n"/>
      <c r="AZ77" s="47" t="inlineStr">
        <is>
          <t>P</t>
        </is>
      </c>
      <c r="BA77" s="47" t="inlineStr">
        <is>
          <t>P</t>
        </is>
      </c>
      <c r="BB77" s="47" t="n"/>
      <c r="BC77" s="47" t="n"/>
      <c r="BD77" s="47" t="inlineStr">
        <is>
          <t>P</t>
        </is>
      </c>
      <c r="BE77" s="47" t="inlineStr">
        <is>
          <t>P</t>
        </is>
      </c>
      <c r="BF77" s="47" t="n"/>
      <c r="BG77" s="47" t="n"/>
      <c r="BH77" s="47" t="inlineStr">
        <is>
          <t>P</t>
        </is>
      </c>
      <c r="BI77" s="47" t="inlineStr">
        <is>
          <t>P</t>
        </is>
      </c>
      <c r="BJ77" s="47" t="n"/>
      <c r="BK77" s="47" t="n"/>
      <c r="BL77" s="47" t="n"/>
      <c r="BM77" s="47" t="n"/>
      <c r="BN77" s="47" t="n"/>
      <c r="BO77" s="47" t="n"/>
      <c r="BP77" s="47" t="n"/>
      <c r="BQ77" s="47" t="inlineStr">
        <is>
          <t>P</t>
        </is>
      </c>
      <c r="BR77" s="47" t="n"/>
      <c r="BS77" s="47" t="n"/>
      <c r="BT77" s="47" t="inlineStr">
        <is>
          <t>A</t>
        </is>
      </c>
      <c r="BU77" s="47" t="inlineStr">
        <is>
          <t>A</t>
        </is>
      </c>
      <c r="BV77" s="47" t="n"/>
      <c r="BW77" s="47" t="n"/>
      <c r="BX77" s="47" t="inlineStr">
        <is>
          <t>P</t>
        </is>
      </c>
      <c r="BY77" s="47" t="inlineStr">
        <is>
          <t>P</t>
        </is>
      </c>
      <c r="BZ77" s="47" t="n"/>
      <c r="CA77" s="47" t="n"/>
      <c r="CB77" s="47" t="inlineStr">
        <is>
          <t>P</t>
        </is>
      </c>
      <c r="CC77" s="47" t="n"/>
      <c r="CD77" s="47" t="n"/>
      <c r="CE77" s="47" t="n"/>
      <c r="CF77" s="47" t="inlineStr">
        <is>
          <t>P</t>
        </is>
      </c>
      <c r="CG77" s="47" t="n"/>
      <c r="CH77" s="47" t="n"/>
      <c r="CI77" s="47" t="n"/>
      <c r="CJ77" s="47" t="n"/>
      <c r="CK77" s="47" t="n"/>
      <c r="CL77" s="47" t="n"/>
      <c r="CM77" s="47" t="n"/>
      <c r="CN77" s="47" t="inlineStr">
        <is>
          <t>P</t>
        </is>
      </c>
      <c r="CO77" s="47" t="n"/>
      <c r="CP77" s="47" t="n"/>
      <c r="CQ77" s="47" t="inlineStr">
        <is>
          <t>P</t>
        </is>
      </c>
      <c r="CR77" s="47" t="inlineStr">
        <is>
          <t>P</t>
        </is>
      </c>
      <c r="CS77" s="47" t="n"/>
      <c r="CT77" s="47" t="n"/>
      <c r="CU77" s="47" t="inlineStr">
        <is>
          <t>A</t>
        </is>
      </c>
      <c r="CV77" s="47" t="inlineStr">
        <is>
          <t>P</t>
        </is>
      </c>
      <c r="CW77" s="47" t="n"/>
      <c r="CX77" s="47" t="n"/>
      <c r="CY77" s="47" t="n"/>
      <c r="CZ77" s="47" t="inlineStr">
        <is>
          <t>P</t>
        </is>
      </c>
      <c r="DA77" s="47" t="n"/>
      <c r="DB77" s="47" t="n"/>
      <c r="DC77" s="47" t="inlineStr">
        <is>
          <t>A</t>
        </is>
      </c>
      <c r="DD77" s="47" t="n"/>
      <c r="DE77" s="47" t="n"/>
      <c r="DF77" s="47" t="n"/>
      <c r="DG77" s="47" t="n"/>
      <c r="DH77" s="47" t="n"/>
      <c r="DI77" s="47" t="n"/>
      <c r="DJ77" s="47" t="n"/>
      <c r="DK77" s="47" t="inlineStr">
        <is>
          <t>P</t>
        </is>
      </c>
      <c r="DL77" s="47" t="n"/>
      <c r="DM77" s="47" t="n"/>
      <c r="DN77" s="47" t="inlineStr">
        <is>
          <t>P</t>
        </is>
      </c>
      <c r="DO77" s="47" t="inlineStr">
        <is>
          <t>P</t>
        </is>
      </c>
      <c r="DP77" s="47" t="n"/>
      <c r="DQ77" s="47" t="n"/>
      <c r="DR77" s="47" t="inlineStr">
        <is>
          <t>P</t>
        </is>
      </c>
      <c r="DS77" s="47" t="inlineStr">
        <is>
          <t>P</t>
        </is>
      </c>
      <c r="DT77" s="47" t="n"/>
      <c r="DU77" s="47" t="n"/>
      <c r="DV77" s="47" t="inlineStr">
        <is>
          <t>P</t>
        </is>
      </c>
      <c r="DW77" s="47" t="inlineStr">
        <is>
          <t>P</t>
        </is>
      </c>
      <c r="DX77" s="47" t="n"/>
      <c r="DY77" s="47" t="n"/>
      <c r="DZ77" s="47" t="inlineStr">
        <is>
          <t>P</t>
        </is>
      </c>
      <c r="EA77" s="47" t="n"/>
      <c r="EB77" s="47" t="n"/>
      <c r="EC77" s="47" t="n"/>
      <c r="ED77" s="47" t="n"/>
      <c r="EE77" s="47" t="n"/>
      <c r="EF77" s="47" t="n"/>
      <c r="EG77" s="47" t="n"/>
      <c r="EH77" s="47" t="inlineStr">
        <is>
          <t>P</t>
        </is>
      </c>
      <c r="EI77" s="47" t="n"/>
      <c r="EJ77" s="47" t="n"/>
      <c r="EK77" s="47" t="inlineStr">
        <is>
          <t>P</t>
        </is>
      </c>
      <c r="EL77" s="47" t="inlineStr">
        <is>
          <t>P</t>
        </is>
      </c>
      <c r="EM77" s="47" t="n"/>
      <c r="EN77" s="47" t="n"/>
      <c r="EO77" s="47" t="inlineStr">
        <is>
          <t>P</t>
        </is>
      </c>
      <c r="EP77" s="47" t="inlineStr">
        <is>
          <t>P</t>
        </is>
      </c>
      <c r="EQ77" s="47" t="n"/>
      <c r="ER77" s="47" t="n"/>
      <c r="ES77" s="47" t="inlineStr">
        <is>
          <t>P</t>
        </is>
      </c>
      <c r="ET77" s="47" t="inlineStr">
        <is>
          <t>P</t>
        </is>
      </c>
      <c r="EU77" s="47" t="n"/>
      <c r="EV77" s="47" t="n"/>
      <c r="EW77" s="47" t="n"/>
      <c r="EX77" s="47" t="n"/>
      <c r="EY77" s="47" t="n"/>
      <c r="EZ77" s="47" t="n"/>
      <c r="FA77" s="47" t="n"/>
      <c r="FB77" s="47" t="inlineStr">
        <is>
          <t>P</t>
        </is>
      </c>
      <c r="FC77" s="47" t="n"/>
      <c r="FD77" s="47" t="n"/>
      <c r="FE77" s="47" t="inlineStr">
        <is>
          <t>P</t>
        </is>
      </c>
      <c r="FF77" s="47" t="inlineStr">
        <is>
          <t>P</t>
        </is>
      </c>
      <c r="FG77" s="47" t="n"/>
      <c r="FH77" s="47" t="n"/>
      <c r="FI77" s="47" t="inlineStr">
        <is>
          <t>P</t>
        </is>
      </c>
      <c r="FJ77" s="47" t="inlineStr">
        <is>
          <t>P</t>
        </is>
      </c>
      <c r="FK77" s="47" t="n"/>
      <c r="FL77" s="47" t="n"/>
      <c r="FM77" s="47" t="n"/>
      <c r="FN77" s="47" t="n"/>
      <c r="FO77" s="47" t="n"/>
      <c r="FP77" s="47" t="n"/>
      <c r="FQ77" s="47" t="n"/>
      <c r="FR77" s="47" t="inlineStr">
        <is>
          <t>P</t>
        </is>
      </c>
      <c r="FS77" s="47" t="n"/>
      <c r="FT77" s="47" t="n"/>
      <c r="FU77" s="47" t="n"/>
      <c r="FV77" s="47" t="n"/>
      <c r="FW77" s="47" t="n"/>
      <c r="FX77" s="47" t="n"/>
      <c r="FY77" s="47" t="inlineStr">
        <is>
          <t>P</t>
        </is>
      </c>
      <c r="FZ77" s="47" t="inlineStr">
        <is>
          <t>P</t>
        </is>
      </c>
      <c r="GA77" s="47" t="n"/>
      <c r="GB77" s="47" t="n"/>
      <c r="GC77" s="47" t="n"/>
      <c r="GD77" s="47" t="inlineStr">
        <is>
          <t>P</t>
        </is>
      </c>
      <c r="GE77" s="47" t="n"/>
      <c r="GF77" s="47" t="n"/>
      <c r="GG77" s="47" t="inlineStr">
        <is>
          <t>A</t>
        </is>
      </c>
      <c r="GH77" s="47" t="n"/>
      <c r="GI77" s="47" t="n"/>
    </row>
    <row r="78" ht="14.25" customHeight="1" s="34">
      <c r="A78" s="46" t="n">
        <v>75</v>
      </c>
      <c r="B78" s="46" t="inlineStr">
        <is>
          <t>325106410075</t>
        </is>
      </c>
      <c r="C78" s="46" t="inlineStr">
        <is>
          <t>ARIYA DEY ARPI</t>
        </is>
      </c>
      <c r="D78" s="47" t="inlineStr">
        <is>
          <t>A</t>
        </is>
      </c>
      <c r="E78" s="47" t="n"/>
      <c r="F78" s="47" t="n"/>
      <c r="G78" s="47" t="n"/>
      <c r="H78" s="47" t="n"/>
      <c r="I78" s="47" t="inlineStr">
        <is>
          <t>A</t>
        </is>
      </c>
      <c r="J78" s="47" t="n"/>
      <c r="K78" s="47" t="n"/>
      <c r="L78" s="47" t="inlineStr">
        <is>
          <t>A</t>
        </is>
      </c>
      <c r="M78" s="47" t="n"/>
      <c r="N78" s="47" t="n"/>
      <c r="O78" s="47" t="n"/>
      <c r="P78" s="47" t="inlineStr">
        <is>
          <t>A</t>
        </is>
      </c>
      <c r="Q78" s="47" t="inlineStr">
        <is>
          <t>A</t>
        </is>
      </c>
      <c r="R78" s="47" t="n"/>
      <c r="S78" s="47" t="n"/>
      <c r="T78" s="47" t="inlineStr">
        <is>
          <t>A</t>
        </is>
      </c>
      <c r="U78" s="47" t="n"/>
      <c r="V78" s="47" t="n"/>
      <c r="W78" s="47" t="n"/>
      <c r="X78" s="47" t="n"/>
      <c r="Y78" s="47" t="n"/>
      <c r="Z78" s="47" t="n"/>
      <c r="AA78" s="47" t="n"/>
      <c r="AB78" s="47" t="n"/>
      <c r="AC78" s="47" t="inlineStr">
        <is>
          <t>P</t>
        </is>
      </c>
      <c r="AD78" s="47" t="n"/>
      <c r="AE78" s="47" t="n"/>
      <c r="AF78" s="47" t="inlineStr">
        <is>
          <t>P</t>
        </is>
      </c>
      <c r="AG78" s="47" t="n"/>
      <c r="AH78" s="47" t="n"/>
      <c r="AI78" s="47" t="n"/>
      <c r="AJ78" s="47" t="inlineStr">
        <is>
          <t>P</t>
        </is>
      </c>
      <c r="AK78" s="47" t="inlineStr">
        <is>
          <t>P</t>
        </is>
      </c>
      <c r="AL78" s="47" t="n"/>
      <c r="AM78" s="47" t="n"/>
      <c r="AN78" s="47" t="inlineStr">
        <is>
          <t>A</t>
        </is>
      </c>
      <c r="AO78" s="47" t="n"/>
      <c r="AP78" s="47" t="n"/>
      <c r="AQ78" s="47" t="n"/>
      <c r="AR78" s="47" t="inlineStr">
        <is>
          <t>P</t>
        </is>
      </c>
      <c r="AS78" s="47" t="n"/>
      <c r="AT78" s="47" t="n"/>
      <c r="AU78" s="47" t="n"/>
      <c r="AV78" s="47" t="n"/>
      <c r="AW78" s="47" t="inlineStr">
        <is>
          <t>P</t>
        </is>
      </c>
      <c r="AX78" s="47" t="n"/>
      <c r="AY78" s="47" t="n"/>
      <c r="AZ78" s="47" t="inlineStr">
        <is>
          <t>A</t>
        </is>
      </c>
      <c r="BA78" s="47" t="inlineStr">
        <is>
          <t>A</t>
        </is>
      </c>
      <c r="BB78" s="47" t="n"/>
      <c r="BC78" s="47" t="n"/>
      <c r="BD78" s="47" t="inlineStr">
        <is>
          <t>P</t>
        </is>
      </c>
      <c r="BE78" s="47" t="inlineStr">
        <is>
          <t>P</t>
        </is>
      </c>
      <c r="BF78" s="47" t="n"/>
      <c r="BG78" s="47" t="n"/>
      <c r="BH78" s="47" t="inlineStr">
        <is>
          <t>P</t>
        </is>
      </c>
      <c r="BI78" s="47" t="inlineStr">
        <is>
          <t>P</t>
        </is>
      </c>
      <c r="BJ78" s="47" t="n"/>
      <c r="BK78" s="47" t="n"/>
      <c r="BL78" s="47" t="n"/>
      <c r="BM78" s="47" t="n"/>
      <c r="BN78" s="47" t="n"/>
      <c r="BO78" s="47" t="n"/>
      <c r="BP78" s="47" t="n"/>
      <c r="BQ78" s="47" t="inlineStr">
        <is>
          <t>P</t>
        </is>
      </c>
      <c r="BR78" s="47" t="n"/>
      <c r="BS78" s="47" t="n"/>
      <c r="BT78" s="47" t="inlineStr">
        <is>
          <t>P</t>
        </is>
      </c>
      <c r="BU78" s="47" t="inlineStr">
        <is>
          <t>P</t>
        </is>
      </c>
      <c r="BV78" s="47" t="n"/>
      <c r="BW78" s="47" t="n"/>
      <c r="BX78" s="47" t="inlineStr">
        <is>
          <t>P</t>
        </is>
      </c>
      <c r="BY78" s="47" t="inlineStr">
        <is>
          <t>A</t>
        </is>
      </c>
      <c r="BZ78" s="47" t="n"/>
      <c r="CA78" s="47" t="n"/>
      <c r="CB78" s="47" t="inlineStr">
        <is>
          <t>P</t>
        </is>
      </c>
      <c r="CC78" s="47" t="n"/>
      <c r="CD78" s="47" t="n"/>
      <c r="CE78" s="47" t="n"/>
      <c r="CF78" s="47" t="inlineStr">
        <is>
          <t>P</t>
        </is>
      </c>
      <c r="CG78" s="47" t="n"/>
      <c r="CH78" s="47" t="n"/>
      <c r="CI78" s="47" t="n"/>
      <c r="CJ78" s="47" t="n"/>
      <c r="CK78" s="47" t="n"/>
      <c r="CL78" s="47" t="n"/>
      <c r="CM78" s="47" t="n"/>
      <c r="CN78" s="47" t="inlineStr">
        <is>
          <t>P</t>
        </is>
      </c>
      <c r="CO78" s="47" t="n"/>
      <c r="CP78" s="47" t="n"/>
      <c r="CQ78" s="47" t="inlineStr">
        <is>
          <t>P</t>
        </is>
      </c>
      <c r="CR78" s="47" t="inlineStr">
        <is>
          <t>P</t>
        </is>
      </c>
      <c r="CS78" s="47" t="n"/>
      <c r="CT78" s="47" t="n"/>
      <c r="CU78" s="47" t="inlineStr">
        <is>
          <t>P</t>
        </is>
      </c>
      <c r="CV78" s="47" t="inlineStr">
        <is>
          <t>P</t>
        </is>
      </c>
      <c r="CW78" s="47" t="n"/>
      <c r="CX78" s="47" t="n"/>
      <c r="CY78" s="47" t="n"/>
      <c r="CZ78" s="47" t="inlineStr">
        <is>
          <t>P</t>
        </is>
      </c>
      <c r="DA78" s="47" t="n"/>
      <c r="DB78" s="47" t="n"/>
      <c r="DC78" s="47" t="inlineStr">
        <is>
          <t>A</t>
        </is>
      </c>
      <c r="DD78" s="47" t="n"/>
      <c r="DE78" s="47" t="n"/>
      <c r="DF78" s="47" t="n"/>
      <c r="DG78" s="47" t="n"/>
      <c r="DH78" s="47" t="n"/>
      <c r="DI78" s="47" t="n"/>
      <c r="DJ78" s="47" t="n"/>
      <c r="DK78" s="47" t="inlineStr">
        <is>
          <t>P</t>
        </is>
      </c>
      <c r="DL78" s="47" t="n"/>
      <c r="DM78" s="47" t="n"/>
      <c r="DN78" s="47" t="inlineStr">
        <is>
          <t>P</t>
        </is>
      </c>
      <c r="DO78" s="47" t="inlineStr">
        <is>
          <t>P</t>
        </is>
      </c>
      <c r="DP78" s="47" t="n"/>
      <c r="DQ78" s="47" t="n"/>
      <c r="DR78" s="47" t="inlineStr">
        <is>
          <t>P</t>
        </is>
      </c>
      <c r="DS78" s="47" t="inlineStr">
        <is>
          <t>P</t>
        </is>
      </c>
      <c r="DT78" s="47" t="n"/>
      <c r="DU78" s="47" t="n"/>
      <c r="DV78" s="47" t="inlineStr">
        <is>
          <t>P</t>
        </is>
      </c>
      <c r="DW78" s="47" t="inlineStr">
        <is>
          <t>P</t>
        </is>
      </c>
      <c r="DX78" s="47" t="n"/>
      <c r="DY78" s="47" t="n"/>
      <c r="DZ78" s="47" t="inlineStr">
        <is>
          <t>P</t>
        </is>
      </c>
      <c r="EA78" s="47" t="n"/>
      <c r="EB78" s="47" t="n"/>
      <c r="EC78" s="47" t="n"/>
      <c r="ED78" s="47" t="n"/>
      <c r="EE78" s="47" t="n"/>
      <c r="EF78" s="47" t="n"/>
      <c r="EG78" s="47" t="n"/>
      <c r="EH78" s="47" t="inlineStr">
        <is>
          <t>P</t>
        </is>
      </c>
      <c r="EI78" s="47" t="n"/>
      <c r="EJ78" s="47" t="n"/>
      <c r="EK78" s="47" t="inlineStr">
        <is>
          <t>P</t>
        </is>
      </c>
      <c r="EL78" s="47" t="inlineStr">
        <is>
          <t>P</t>
        </is>
      </c>
      <c r="EM78" s="47" t="n"/>
      <c r="EN78" s="47" t="n"/>
      <c r="EO78" s="47" t="inlineStr">
        <is>
          <t>P</t>
        </is>
      </c>
      <c r="EP78" s="47" t="inlineStr">
        <is>
          <t>P</t>
        </is>
      </c>
      <c r="EQ78" s="47" t="n"/>
      <c r="ER78" s="47" t="n"/>
      <c r="ES78" s="47" t="inlineStr">
        <is>
          <t>P</t>
        </is>
      </c>
      <c r="ET78" s="47" t="inlineStr">
        <is>
          <t>P</t>
        </is>
      </c>
      <c r="EU78" s="47" t="n"/>
      <c r="EV78" s="47" t="n"/>
      <c r="EW78" s="47" t="n"/>
      <c r="EX78" s="47" t="n"/>
      <c r="EY78" s="47" t="n"/>
      <c r="EZ78" s="47" t="n"/>
      <c r="FA78" s="47" t="n"/>
      <c r="FB78" s="47" t="inlineStr">
        <is>
          <t>P</t>
        </is>
      </c>
      <c r="FC78" s="47" t="n"/>
      <c r="FD78" s="47" t="n"/>
      <c r="FE78" s="47" t="inlineStr">
        <is>
          <t>A</t>
        </is>
      </c>
      <c r="FF78" s="47" t="inlineStr">
        <is>
          <t>A</t>
        </is>
      </c>
      <c r="FG78" s="47" t="n"/>
      <c r="FH78" s="47" t="n"/>
      <c r="FI78" s="47" t="inlineStr">
        <is>
          <t>P</t>
        </is>
      </c>
      <c r="FJ78" s="47" t="inlineStr">
        <is>
          <t>P</t>
        </is>
      </c>
      <c r="FK78" s="47" t="n"/>
      <c r="FL78" s="47" t="n"/>
      <c r="FM78" s="47" t="n"/>
      <c r="FN78" s="47" t="n"/>
      <c r="FO78" s="47" t="n"/>
      <c r="FP78" s="47" t="n"/>
      <c r="FQ78" s="47" t="n"/>
      <c r="FR78" s="47" t="inlineStr">
        <is>
          <t>P</t>
        </is>
      </c>
      <c r="FS78" s="47" t="n"/>
      <c r="FT78" s="47" t="n"/>
      <c r="FU78" s="47" t="n"/>
      <c r="FV78" s="47" t="n"/>
      <c r="FW78" s="47" t="n"/>
      <c r="FX78" s="47" t="n"/>
      <c r="FY78" s="47" t="inlineStr">
        <is>
          <t>P</t>
        </is>
      </c>
      <c r="FZ78" s="47" t="inlineStr">
        <is>
          <t>P</t>
        </is>
      </c>
      <c r="GA78" s="47" t="n"/>
      <c r="GB78" s="47" t="n"/>
      <c r="GC78" s="47" t="n"/>
      <c r="GD78" s="47" t="inlineStr">
        <is>
          <t>A</t>
        </is>
      </c>
      <c r="GE78" s="47" t="n"/>
      <c r="GF78" s="47" t="n"/>
      <c r="GG78" s="47" t="inlineStr">
        <is>
          <t>A</t>
        </is>
      </c>
      <c r="GH78" s="47" t="n"/>
      <c r="GI78" s="47" t="n"/>
    </row>
    <row r="79" ht="14.25" customHeight="1" s="34">
      <c r="A79" s="46" t="n">
        <v>76</v>
      </c>
      <c r="B79" s="46" t="inlineStr">
        <is>
          <t>325106410076</t>
        </is>
      </c>
      <c r="C79" s="46" t="inlineStr">
        <is>
          <t>ASEEL ABDELRHMAN MOHAMEDAHMED MOHAMEDKHAIR</t>
        </is>
      </c>
      <c r="D79" s="47" t="inlineStr">
        <is>
          <t>A</t>
        </is>
      </c>
      <c r="E79" s="47" t="n"/>
      <c r="F79" s="47" t="n"/>
      <c r="G79" s="47" t="n"/>
      <c r="H79" s="47" t="n"/>
      <c r="I79" s="47" t="inlineStr">
        <is>
          <t>A</t>
        </is>
      </c>
      <c r="J79" s="47" t="n"/>
      <c r="K79" s="47" t="n"/>
      <c r="L79" s="47" t="inlineStr">
        <is>
          <t>A</t>
        </is>
      </c>
      <c r="M79" s="47" t="n"/>
      <c r="N79" s="47" t="n"/>
      <c r="O79" s="47" t="n"/>
      <c r="P79" s="47" t="inlineStr">
        <is>
          <t>A</t>
        </is>
      </c>
      <c r="Q79" s="47" t="inlineStr">
        <is>
          <t>A</t>
        </is>
      </c>
      <c r="R79" s="47" t="n"/>
      <c r="S79" s="47" t="n"/>
      <c r="T79" s="47" t="inlineStr">
        <is>
          <t>A</t>
        </is>
      </c>
      <c r="U79" s="47" t="n"/>
      <c r="V79" s="47" t="n"/>
      <c r="W79" s="47" t="n"/>
      <c r="X79" s="47" t="n"/>
      <c r="Y79" s="47" t="n"/>
      <c r="Z79" s="47" t="n"/>
      <c r="AA79" s="47" t="n"/>
      <c r="AB79" s="47" t="n"/>
      <c r="AC79" s="47" t="inlineStr">
        <is>
          <t>A</t>
        </is>
      </c>
      <c r="AD79" s="47" t="n"/>
      <c r="AE79" s="47" t="n"/>
      <c r="AF79" s="47" t="inlineStr">
        <is>
          <t>A</t>
        </is>
      </c>
      <c r="AG79" s="47" t="n"/>
      <c r="AH79" s="47" t="n"/>
      <c r="AI79" s="47" t="n"/>
      <c r="AJ79" s="47" t="inlineStr">
        <is>
          <t>A</t>
        </is>
      </c>
      <c r="AK79" s="47" t="inlineStr">
        <is>
          <t>A</t>
        </is>
      </c>
      <c r="AL79" s="47" t="n"/>
      <c r="AM79" s="47" t="n"/>
      <c r="AN79" s="47" t="inlineStr">
        <is>
          <t>A</t>
        </is>
      </c>
      <c r="AO79" s="47" t="n"/>
      <c r="AP79" s="47" t="n"/>
      <c r="AQ79" s="47" t="n"/>
      <c r="AR79" s="47" t="inlineStr">
        <is>
          <t>A</t>
        </is>
      </c>
      <c r="AS79" s="47" t="n"/>
      <c r="AT79" s="47" t="n"/>
      <c r="AU79" s="47" t="n"/>
      <c r="AV79" s="47" t="n"/>
      <c r="AW79" s="47" t="inlineStr">
        <is>
          <t>A</t>
        </is>
      </c>
      <c r="AX79" s="47" t="n"/>
      <c r="AY79" s="47" t="n"/>
      <c r="AZ79" s="47" t="inlineStr">
        <is>
          <t>A</t>
        </is>
      </c>
      <c r="BA79" s="47" t="inlineStr">
        <is>
          <t>A</t>
        </is>
      </c>
      <c r="BB79" s="47" t="n"/>
      <c r="BC79" s="47" t="n"/>
      <c r="BD79" s="47" t="inlineStr">
        <is>
          <t>A</t>
        </is>
      </c>
      <c r="BE79" s="47" t="inlineStr">
        <is>
          <t>A</t>
        </is>
      </c>
      <c r="BF79" s="47" t="n"/>
      <c r="BG79" s="47" t="n"/>
      <c r="BH79" s="47" t="inlineStr">
        <is>
          <t>P</t>
        </is>
      </c>
      <c r="BI79" s="47" t="inlineStr">
        <is>
          <t>A</t>
        </is>
      </c>
      <c r="BJ79" s="47" t="n"/>
      <c r="BK79" s="47" t="n"/>
      <c r="BL79" s="47" t="n"/>
      <c r="BM79" s="47" t="n"/>
      <c r="BN79" s="47" t="n"/>
      <c r="BO79" s="47" t="n"/>
      <c r="BP79" s="47" t="n"/>
      <c r="BQ79" s="47" t="inlineStr">
        <is>
          <t>A</t>
        </is>
      </c>
      <c r="BR79" s="47" t="n"/>
      <c r="BS79" s="47" t="n"/>
      <c r="BT79" s="47" t="inlineStr">
        <is>
          <t>A</t>
        </is>
      </c>
      <c r="BU79" s="47" t="inlineStr">
        <is>
          <t>A</t>
        </is>
      </c>
      <c r="BV79" s="47" t="n"/>
      <c r="BW79" s="47" t="n"/>
      <c r="BX79" s="47" t="inlineStr">
        <is>
          <t>A</t>
        </is>
      </c>
      <c r="BY79" s="47" t="inlineStr">
        <is>
          <t>A</t>
        </is>
      </c>
      <c r="BZ79" s="47" t="n"/>
      <c r="CA79" s="47" t="n"/>
      <c r="CB79" s="47" t="inlineStr">
        <is>
          <t>P</t>
        </is>
      </c>
      <c r="CC79" s="47" t="n"/>
      <c r="CD79" s="47" t="n"/>
      <c r="CE79" s="47" t="n"/>
      <c r="CF79" s="47" t="inlineStr">
        <is>
          <t>A</t>
        </is>
      </c>
      <c r="CG79" s="47" t="n"/>
      <c r="CH79" s="47" t="n"/>
      <c r="CI79" s="47" t="n"/>
      <c r="CJ79" s="47" t="n"/>
      <c r="CK79" s="47" t="n"/>
      <c r="CL79" s="47" t="n"/>
      <c r="CM79" s="47" t="n"/>
      <c r="CN79" s="47" t="inlineStr">
        <is>
          <t>P</t>
        </is>
      </c>
      <c r="CO79" s="47" t="n"/>
      <c r="CP79" s="47" t="n"/>
      <c r="CQ79" s="47" t="inlineStr">
        <is>
          <t>P</t>
        </is>
      </c>
      <c r="CR79" s="47" t="inlineStr">
        <is>
          <t>P</t>
        </is>
      </c>
      <c r="CS79" s="47" t="n"/>
      <c r="CT79" s="47" t="n"/>
      <c r="CU79" s="47" t="inlineStr">
        <is>
          <t>A</t>
        </is>
      </c>
      <c r="CV79" s="47" t="inlineStr">
        <is>
          <t>P</t>
        </is>
      </c>
      <c r="CW79" s="47" t="n"/>
      <c r="CX79" s="47" t="n"/>
      <c r="CY79" s="47" t="n"/>
      <c r="CZ79" s="47" t="inlineStr">
        <is>
          <t>P</t>
        </is>
      </c>
      <c r="DA79" s="47" t="n"/>
      <c r="DB79" s="47" t="n"/>
      <c r="DC79" s="47" t="inlineStr">
        <is>
          <t>P</t>
        </is>
      </c>
      <c r="DD79" s="47" t="n"/>
      <c r="DE79" s="47" t="n"/>
      <c r="DF79" s="47" t="n"/>
      <c r="DG79" s="47" t="n"/>
      <c r="DH79" s="47" t="n"/>
      <c r="DI79" s="47" t="n"/>
      <c r="DJ79" s="47" t="n"/>
      <c r="DK79" s="47" t="inlineStr">
        <is>
          <t>P</t>
        </is>
      </c>
      <c r="DL79" s="47" t="n"/>
      <c r="DM79" s="47" t="n"/>
      <c r="DN79" s="47" t="inlineStr">
        <is>
          <t>P</t>
        </is>
      </c>
      <c r="DO79" s="47" t="inlineStr">
        <is>
          <t>P</t>
        </is>
      </c>
      <c r="DP79" s="47" t="n"/>
      <c r="DQ79" s="47" t="n"/>
      <c r="DR79" s="47" t="inlineStr">
        <is>
          <t>P</t>
        </is>
      </c>
      <c r="DS79" s="47" t="inlineStr">
        <is>
          <t>P</t>
        </is>
      </c>
      <c r="DT79" s="47" t="n"/>
      <c r="DU79" s="47" t="n"/>
      <c r="DV79" s="47" t="inlineStr">
        <is>
          <t>A</t>
        </is>
      </c>
      <c r="DW79" s="47" t="inlineStr">
        <is>
          <t>A</t>
        </is>
      </c>
      <c r="DX79" s="47" t="n"/>
      <c r="DY79" s="47" t="n"/>
      <c r="DZ79" s="47" t="inlineStr">
        <is>
          <t>P</t>
        </is>
      </c>
      <c r="EA79" s="47" t="n"/>
      <c r="EB79" s="47" t="n"/>
      <c r="EC79" s="47" t="n"/>
      <c r="ED79" s="47" t="n"/>
      <c r="EE79" s="47" t="n"/>
      <c r="EF79" s="47" t="n"/>
      <c r="EG79" s="47" t="n"/>
      <c r="EH79" s="47" t="inlineStr">
        <is>
          <t>P</t>
        </is>
      </c>
      <c r="EI79" s="47" t="n"/>
      <c r="EJ79" s="47" t="n"/>
      <c r="EK79" s="47" t="inlineStr">
        <is>
          <t>P</t>
        </is>
      </c>
      <c r="EL79" s="47" t="inlineStr">
        <is>
          <t>P</t>
        </is>
      </c>
      <c r="EM79" s="47" t="n"/>
      <c r="EN79" s="47" t="n"/>
      <c r="EO79" s="47" t="inlineStr">
        <is>
          <t>A</t>
        </is>
      </c>
      <c r="EP79" s="47" t="inlineStr">
        <is>
          <t>A</t>
        </is>
      </c>
      <c r="EQ79" s="47" t="n"/>
      <c r="ER79" s="47" t="n"/>
      <c r="ES79" s="47" t="inlineStr">
        <is>
          <t>P</t>
        </is>
      </c>
      <c r="ET79" s="47" t="inlineStr">
        <is>
          <t>P</t>
        </is>
      </c>
      <c r="EU79" s="47" t="n"/>
      <c r="EV79" s="47" t="n"/>
      <c r="EW79" s="47" t="n"/>
      <c r="EX79" s="47" t="n"/>
      <c r="EY79" s="47" t="n"/>
      <c r="EZ79" s="47" t="n"/>
      <c r="FA79" s="47" t="n"/>
      <c r="FB79" s="47" t="inlineStr">
        <is>
          <t>P</t>
        </is>
      </c>
      <c r="FC79" s="47" t="n"/>
      <c r="FD79" s="47" t="n"/>
      <c r="FE79" s="47" t="inlineStr">
        <is>
          <t>P</t>
        </is>
      </c>
      <c r="FF79" s="47" t="inlineStr">
        <is>
          <t>P</t>
        </is>
      </c>
      <c r="FG79" s="47" t="n"/>
      <c r="FH79" s="47" t="n"/>
      <c r="FI79" s="47" t="inlineStr">
        <is>
          <t>P</t>
        </is>
      </c>
      <c r="FJ79" s="47" t="inlineStr">
        <is>
          <t>P</t>
        </is>
      </c>
      <c r="FK79" s="47" t="n"/>
      <c r="FL79" s="47" t="n"/>
      <c r="FM79" s="47" t="n"/>
      <c r="FN79" s="47" t="n"/>
      <c r="FO79" s="47" t="n"/>
      <c r="FP79" s="47" t="n"/>
      <c r="FQ79" s="47" t="n"/>
      <c r="FR79" s="47" t="inlineStr">
        <is>
          <t>P</t>
        </is>
      </c>
      <c r="FS79" s="47" t="n"/>
      <c r="FT79" s="47" t="n"/>
      <c r="FU79" s="47" t="n"/>
      <c r="FV79" s="47" t="n"/>
      <c r="FW79" s="47" t="n"/>
      <c r="FX79" s="47" t="n"/>
      <c r="FY79" s="47" t="inlineStr">
        <is>
          <t>P</t>
        </is>
      </c>
      <c r="FZ79" s="47" t="inlineStr">
        <is>
          <t>P</t>
        </is>
      </c>
      <c r="GA79" s="47" t="n"/>
      <c r="GB79" s="47" t="n"/>
      <c r="GC79" s="47" t="n"/>
      <c r="GD79" s="47" t="inlineStr">
        <is>
          <t>A</t>
        </is>
      </c>
      <c r="GE79" s="47" t="n"/>
      <c r="GF79" s="47" t="n"/>
      <c r="GG79" s="47" t="inlineStr">
        <is>
          <t>P</t>
        </is>
      </c>
      <c r="GH79" s="47" t="n"/>
      <c r="GI79" s="47" t="n"/>
    </row>
    <row r="80" ht="14.25" customHeight="1" s="34">
      <c r="A80" s="46" t="n">
        <v>77</v>
      </c>
      <c r="B80" s="46" t="inlineStr">
        <is>
          <t>325106410077</t>
        </is>
      </c>
      <c r="C80" s="46" t="inlineStr">
        <is>
          <t>BASMALA ELWALEED ISMAIL ABDALLA</t>
        </is>
      </c>
      <c r="D80" s="47" t="inlineStr">
        <is>
          <t>A</t>
        </is>
      </c>
      <c r="E80" s="47" t="n"/>
      <c r="F80" s="47" t="n"/>
      <c r="G80" s="47" t="n"/>
      <c r="H80" s="47" t="n"/>
      <c r="I80" s="47" t="inlineStr">
        <is>
          <t>P</t>
        </is>
      </c>
      <c r="J80" s="47" t="n"/>
      <c r="K80" s="47" t="n"/>
      <c r="L80" s="47" t="inlineStr">
        <is>
          <t>P</t>
        </is>
      </c>
      <c r="M80" s="47" t="n"/>
      <c r="N80" s="47" t="n"/>
      <c r="O80" s="47" t="n"/>
      <c r="P80" s="47" t="inlineStr">
        <is>
          <t>P</t>
        </is>
      </c>
      <c r="Q80" s="47" t="inlineStr">
        <is>
          <t>P</t>
        </is>
      </c>
      <c r="R80" s="47" t="n"/>
      <c r="S80" s="47" t="n"/>
      <c r="T80" s="47" t="inlineStr">
        <is>
          <t>A</t>
        </is>
      </c>
      <c r="U80" s="47" t="n"/>
      <c r="V80" s="47" t="n"/>
      <c r="W80" s="47" t="n"/>
      <c r="X80" s="47" t="n"/>
      <c r="Y80" s="47" t="n"/>
      <c r="Z80" s="47" t="n"/>
      <c r="AA80" s="47" t="n"/>
      <c r="AB80" s="47" t="n"/>
      <c r="AC80" s="47" t="inlineStr">
        <is>
          <t>A</t>
        </is>
      </c>
      <c r="AD80" s="47" t="n"/>
      <c r="AE80" s="47" t="n"/>
      <c r="AF80" s="47" t="inlineStr">
        <is>
          <t>A</t>
        </is>
      </c>
      <c r="AG80" s="47" t="n"/>
      <c r="AH80" s="47" t="n"/>
      <c r="AI80" s="47" t="n"/>
      <c r="AJ80" s="47" t="inlineStr">
        <is>
          <t>A</t>
        </is>
      </c>
      <c r="AK80" s="47" t="inlineStr">
        <is>
          <t>A</t>
        </is>
      </c>
      <c r="AL80" s="47" t="n"/>
      <c r="AM80" s="47" t="n"/>
      <c r="AN80" s="47" t="inlineStr">
        <is>
          <t>A</t>
        </is>
      </c>
      <c r="AO80" s="47" t="n"/>
      <c r="AP80" s="47" t="n"/>
      <c r="AQ80" s="47" t="n"/>
      <c r="AR80" s="47" t="inlineStr">
        <is>
          <t>A</t>
        </is>
      </c>
      <c r="AS80" s="47" t="n"/>
      <c r="AT80" s="47" t="n"/>
      <c r="AU80" s="47" t="n"/>
      <c r="AV80" s="47" t="n"/>
      <c r="AW80" s="47" t="inlineStr">
        <is>
          <t>A</t>
        </is>
      </c>
      <c r="AX80" s="47" t="n"/>
      <c r="AY80" s="47" t="n"/>
      <c r="AZ80" s="47" t="inlineStr">
        <is>
          <t>A</t>
        </is>
      </c>
      <c r="BA80" s="47" t="inlineStr">
        <is>
          <t>A</t>
        </is>
      </c>
      <c r="BB80" s="47" t="n"/>
      <c r="BC80" s="47" t="n"/>
      <c r="BD80" s="47" t="inlineStr">
        <is>
          <t>A</t>
        </is>
      </c>
      <c r="BE80" s="47" t="inlineStr">
        <is>
          <t>A</t>
        </is>
      </c>
      <c r="BF80" s="47" t="n"/>
      <c r="BG80" s="47" t="n"/>
      <c r="BH80" s="47" t="inlineStr">
        <is>
          <t>A</t>
        </is>
      </c>
      <c r="BI80" s="47" t="inlineStr">
        <is>
          <t>A</t>
        </is>
      </c>
      <c r="BJ80" s="47" t="n"/>
      <c r="BK80" s="47" t="n"/>
      <c r="BL80" s="47" t="n"/>
      <c r="BM80" s="47" t="n"/>
      <c r="BN80" s="47" t="n"/>
      <c r="BO80" s="47" t="n"/>
      <c r="BP80" s="47" t="n"/>
      <c r="BQ80" s="47" t="inlineStr">
        <is>
          <t>A</t>
        </is>
      </c>
      <c r="BR80" s="47" t="n"/>
      <c r="BS80" s="47" t="n"/>
      <c r="BT80" s="47" t="inlineStr">
        <is>
          <t>A</t>
        </is>
      </c>
      <c r="BU80" s="47" t="inlineStr">
        <is>
          <t>A</t>
        </is>
      </c>
      <c r="BV80" s="47" t="n"/>
      <c r="BW80" s="47" t="n"/>
      <c r="BX80" s="47" t="inlineStr">
        <is>
          <t>A</t>
        </is>
      </c>
      <c r="BY80" s="47" t="inlineStr">
        <is>
          <t>A</t>
        </is>
      </c>
      <c r="BZ80" s="47" t="n"/>
      <c r="CA80" s="47" t="n"/>
      <c r="CB80" s="47" t="inlineStr">
        <is>
          <t>A</t>
        </is>
      </c>
      <c r="CC80" s="47" t="n"/>
      <c r="CD80" s="47" t="n"/>
      <c r="CE80" s="47" t="n"/>
      <c r="CF80" s="47" t="inlineStr">
        <is>
          <t>A</t>
        </is>
      </c>
      <c r="CG80" s="47" t="n"/>
      <c r="CH80" s="47" t="n"/>
      <c r="CI80" s="47" t="n"/>
      <c r="CJ80" s="47" t="n"/>
      <c r="CK80" s="47" t="n"/>
      <c r="CL80" s="47" t="n"/>
      <c r="CM80" s="47" t="n"/>
      <c r="CN80" s="47" t="inlineStr">
        <is>
          <t>P</t>
        </is>
      </c>
      <c r="CO80" s="47" t="n"/>
      <c r="CP80" s="47" t="n"/>
      <c r="CQ80" s="47" t="inlineStr">
        <is>
          <t>P</t>
        </is>
      </c>
      <c r="CR80" s="47" t="inlineStr">
        <is>
          <t>P</t>
        </is>
      </c>
      <c r="CS80" s="47" t="n"/>
      <c r="CT80" s="47" t="n"/>
      <c r="CU80" s="47" t="inlineStr">
        <is>
          <t>P</t>
        </is>
      </c>
      <c r="CV80" s="47" t="inlineStr">
        <is>
          <t>P</t>
        </is>
      </c>
      <c r="CW80" s="47" t="n"/>
      <c r="CX80" s="47" t="n"/>
      <c r="CY80" s="47" t="n"/>
      <c r="CZ80" s="47" t="inlineStr">
        <is>
          <t>P</t>
        </is>
      </c>
      <c r="DA80" s="47" t="n"/>
      <c r="DB80" s="47" t="n"/>
      <c r="DC80" s="47" t="inlineStr">
        <is>
          <t>P</t>
        </is>
      </c>
      <c r="DD80" s="47" t="n"/>
      <c r="DE80" s="47" t="n"/>
      <c r="DF80" s="47" t="n"/>
      <c r="DG80" s="47" t="n"/>
      <c r="DH80" s="47" t="n"/>
      <c r="DI80" s="47" t="n"/>
      <c r="DJ80" s="47" t="n"/>
      <c r="DK80" s="47" t="inlineStr">
        <is>
          <t>P</t>
        </is>
      </c>
      <c r="DL80" s="47" t="n"/>
      <c r="DM80" s="47" t="n"/>
      <c r="DN80" s="47" t="inlineStr">
        <is>
          <t>P</t>
        </is>
      </c>
      <c r="DO80" s="47" t="inlineStr">
        <is>
          <t>P</t>
        </is>
      </c>
      <c r="DP80" s="47" t="n"/>
      <c r="DQ80" s="47" t="n"/>
      <c r="DR80" s="47" t="inlineStr">
        <is>
          <t>P</t>
        </is>
      </c>
      <c r="DS80" s="47" t="inlineStr">
        <is>
          <t>P</t>
        </is>
      </c>
      <c r="DT80" s="47" t="n"/>
      <c r="DU80" s="47" t="n"/>
      <c r="DV80" s="47" t="inlineStr">
        <is>
          <t>P</t>
        </is>
      </c>
      <c r="DW80" s="47" t="inlineStr">
        <is>
          <t>P</t>
        </is>
      </c>
      <c r="DX80" s="47" t="n"/>
      <c r="DY80" s="47" t="n"/>
      <c r="DZ80" s="47" t="inlineStr">
        <is>
          <t>P</t>
        </is>
      </c>
      <c r="EA80" s="47" t="n"/>
      <c r="EB80" s="47" t="n"/>
      <c r="EC80" s="47" t="n"/>
      <c r="ED80" s="47" t="n"/>
      <c r="EE80" s="47" t="n"/>
      <c r="EF80" s="47" t="n"/>
      <c r="EG80" s="47" t="n"/>
      <c r="EH80" s="47" t="inlineStr">
        <is>
          <t>A</t>
        </is>
      </c>
      <c r="EI80" s="47" t="n"/>
      <c r="EJ80" s="47" t="n"/>
      <c r="EK80" s="47" t="inlineStr">
        <is>
          <t>P</t>
        </is>
      </c>
      <c r="EL80" s="47" t="inlineStr">
        <is>
          <t>P</t>
        </is>
      </c>
      <c r="EM80" s="47" t="n"/>
      <c r="EN80" s="47" t="n"/>
      <c r="EO80" s="47" t="inlineStr">
        <is>
          <t>A</t>
        </is>
      </c>
      <c r="EP80" s="47" t="inlineStr">
        <is>
          <t>A</t>
        </is>
      </c>
      <c r="EQ80" s="47" t="n"/>
      <c r="ER80" s="47" t="n"/>
      <c r="ES80" s="47" t="inlineStr">
        <is>
          <t>P</t>
        </is>
      </c>
      <c r="ET80" s="47" t="inlineStr">
        <is>
          <t>P</t>
        </is>
      </c>
      <c r="EU80" s="47" t="n"/>
      <c r="EV80" s="47" t="n"/>
      <c r="EW80" s="47" t="n"/>
      <c r="EX80" s="47" t="n"/>
      <c r="EY80" s="47" t="n"/>
      <c r="EZ80" s="47" t="n"/>
      <c r="FA80" s="47" t="n"/>
      <c r="FB80" s="47" t="inlineStr">
        <is>
          <t>P</t>
        </is>
      </c>
      <c r="FC80" s="47" t="n"/>
      <c r="FD80" s="47" t="n"/>
      <c r="FE80" s="47" t="inlineStr">
        <is>
          <t>P</t>
        </is>
      </c>
      <c r="FF80" s="47" t="inlineStr">
        <is>
          <t>P</t>
        </is>
      </c>
      <c r="FG80" s="47" t="n"/>
      <c r="FH80" s="47" t="n"/>
      <c r="FI80" s="47" t="inlineStr">
        <is>
          <t>P</t>
        </is>
      </c>
      <c r="FJ80" s="47" t="inlineStr">
        <is>
          <t>P</t>
        </is>
      </c>
      <c r="FK80" s="47" t="n"/>
      <c r="FL80" s="47" t="n"/>
      <c r="FM80" s="47" t="n"/>
      <c r="FN80" s="47" t="n"/>
      <c r="FO80" s="47" t="n"/>
      <c r="FP80" s="47" t="n"/>
      <c r="FQ80" s="47" t="n"/>
      <c r="FR80" s="47" t="inlineStr">
        <is>
          <t>P</t>
        </is>
      </c>
      <c r="FS80" s="47" t="n"/>
      <c r="FT80" s="47" t="n"/>
      <c r="FU80" s="47" t="n"/>
      <c r="FV80" s="47" t="n"/>
      <c r="FW80" s="47" t="n"/>
      <c r="FX80" s="47" t="n"/>
      <c r="FY80" s="47" t="inlineStr">
        <is>
          <t>A</t>
        </is>
      </c>
      <c r="FZ80" s="47" t="inlineStr">
        <is>
          <t>P</t>
        </is>
      </c>
      <c r="GA80" s="47" t="n"/>
      <c r="GB80" s="47" t="n"/>
      <c r="GC80" s="47" t="n"/>
      <c r="GD80" s="47" t="inlineStr">
        <is>
          <t>P</t>
        </is>
      </c>
      <c r="GE80" s="47" t="n"/>
      <c r="GF80" s="47" t="n"/>
      <c r="GG80" s="47" t="inlineStr">
        <is>
          <t>P</t>
        </is>
      </c>
      <c r="GH80" s="47" t="n"/>
      <c r="GI80" s="47" t="n"/>
    </row>
    <row r="81" ht="14.25" customHeight="1" s="34">
      <c r="A81" s="46" t="n">
        <v>78</v>
      </c>
      <c r="B81" s="46" t="inlineStr">
        <is>
          <t>325106410078</t>
        </is>
      </c>
      <c r="C81" s="46" t="inlineStr">
        <is>
          <t>BISHARUP CHANDRA BISHWAS</t>
        </is>
      </c>
      <c r="D81" s="47" t="inlineStr">
        <is>
          <t>A</t>
        </is>
      </c>
      <c r="E81" s="47" t="n"/>
      <c r="F81" s="47" t="n"/>
      <c r="G81" s="47" t="n"/>
      <c r="H81" s="47" t="n"/>
      <c r="I81" s="47" t="inlineStr">
        <is>
          <t>A</t>
        </is>
      </c>
      <c r="J81" s="47" t="n"/>
      <c r="K81" s="47" t="n"/>
      <c r="L81" s="47" t="inlineStr">
        <is>
          <t>A</t>
        </is>
      </c>
      <c r="M81" s="47" t="n"/>
      <c r="N81" s="47" t="n"/>
      <c r="O81" s="47" t="n"/>
      <c r="P81" s="47" t="inlineStr">
        <is>
          <t>A</t>
        </is>
      </c>
      <c r="Q81" s="47" t="inlineStr">
        <is>
          <t>A</t>
        </is>
      </c>
      <c r="R81" s="47" t="n"/>
      <c r="S81" s="47" t="n"/>
      <c r="T81" s="47" t="inlineStr">
        <is>
          <t>A</t>
        </is>
      </c>
      <c r="U81" s="47" t="n"/>
      <c r="V81" s="47" t="n"/>
      <c r="W81" s="47" t="n"/>
      <c r="X81" s="47" t="n"/>
      <c r="Y81" s="47" t="n"/>
      <c r="Z81" s="47" t="n"/>
      <c r="AA81" s="47" t="n"/>
      <c r="AB81" s="47" t="n"/>
      <c r="AC81" s="47" t="inlineStr">
        <is>
          <t>A</t>
        </is>
      </c>
      <c r="AD81" s="47" t="n"/>
      <c r="AE81" s="47" t="n"/>
      <c r="AF81" s="47" t="inlineStr">
        <is>
          <t>P</t>
        </is>
      </c>
      <c r="AG81" s="47" t="n"/>
      <c r="AH81" s="47" t="n"/>
      <c r="AI81" s="47" t="n"/>
      <c r="AJ81" s="47" t="inlineStr">
        <is>
          <t>P</t>
        </is>
      </c>
      <c r="AK81" s="47" t="inlineStr">
        <is>
          <t>P</t>
        </is>
      </c>
      <c r="AL81" s="47" t="n"/>
      <c r="AM81" s="47" t="n"/>
      <c r="AN81" s="47" t="inlineStr">
        <is>
          <t>P</t>
        </is>
      </c>
      <c r="AO81" s="47" t="n"/>
      <c r="AP81" s="47" t="n"/>
      <c r="AQ81" s="47" t="n"/>
      <c r="AR81" s="47" t="inlineStr">
        <is>
          <t>A</t>
        </is>
      </c>
      <c r="AS81" s="47" t="n"/>
      <c r="AT81" s="47" t="n"/>
      <c r="AU81" s="47" t="n"/>
      <c r="AV81" s="47" t="n"/>
      <c r="AW81" s="47" t="inlineStr">
        <is>
          <t>P</t>
        </is>
      </c>
      <c r="AX81" s="47" t="n"/>
      <c r="AY81" s="47" t="n"/>
      <c r="AZ81" s="47" t="inlineStr">
        <is>
          <t>P</t>
        </is>
      </c>
      <c r="BA81" s="47" t="inlineStr">
        <is>
          <t>P</t>
        </is>
      </c>
      <c r="BB81" s="47" t="n"/>
      <c r="BC81" s="47" t="n"/>
      <c r="BD81" s="47" t="inlineStr">
        <is>
          <t>P</t>
        </is>
      </c>
      <c r="BE81" s="47" t="inlineStr">
        <is>
          <t>P</t>
        </is>
      </c>
      <c r="BF81" s="47" t="n"/>
      <c r="BG81" s="47" t="n"/>
      <c r="BH81" s="47" t="inlineStr">
        <is>
          <t>P</t>
        </is>
      </c>
      <c r="BI81" s="47" t="inlineStr">
        <is>
          <t>P</t>
        </is>
      </c>
      <c r="BJ81" s="47" t="n"/>
      <c r="BK81" s="47" t="n"/>
      <c r="BL81" s="47" t="n"/>
      <c r="BM81" s="47" t="n"/>
      <c r="BN81" s="47" t="n"/>
      <c r="BO81" s="47" t="n"/>
      <c r="BP81" s="47" t="n"/>
      <c r="BQ81" s="47" t="inlineStr">
        <is>
          <t>P</t>
        </is>
      </c>
      <c r="BR81" s="47" t="n"/>
      <c r="BS81" s="47" t="n"/>
      <c r="BT81" s="47" t="inlineStr">
        <is>
          <t>P</t>
        </is>
      </c>
      <c r="BU81" s="47" t="inlineStr">
        <is>
          <t>P</t>
        </is>
      </c>
      <c r="BV81" s="47" t="n"/>
      <c r="BW81" s="47" t="n"/>
      <c r="BX81" s="47" t="inlineStr">
        <is>
          <t>P</t>
        </is>
      </c>
      <c r="BY81" s="47" t="inlineStr">
        <is>
          <t>P</t>
        </is>
      </c>
      <c r="BZ81" s="47" t="n"/>
      <c r="CA81" s="47" t="n"/>
      <c r="CB81" s="47" t="inlineStr">
        <is>
          <t>A</t>
        </is>
      </c>
      <c r="CC81" s="47" t="n"/>
      <c r="CD81" s="47" t="n"/>
      <c r="CE81" s="47" t="n"/>
      <c r="CF81" s="47" t="inlineStr">
        <is>
          <t>P</t>
        </is>
      </c>
      <c r="CG81" s="47" t="n"/>
      <c r="CH81" s="47" t="n"/>
      <c r="CI81" s="47" t="n"/>
      <c r="CJ81" s="47" t="n"/>
      <c r="CK81" s="47" t="n"/>
      <c r="CL81" s="47" t="n"/>
      <c r="CM81" s="47" t="n"/>
      <c r="CN81" s="47" t="inlineStr">
        <is>
          <t>P</t>
        </is>
      </c>
      <c r="CO81" s="47" t="n"/>
      <c r="CP81" s="47" t="n"/>
      <c r="CQ81" s="47" t="inlineStr">
        <is>
          <t>P</t>
        </is>
      </c>
      <c r="CR81" s="47" t="inlineStr">
        <is>
          <t>P</t>
        </is>
      </c>
      <c r="CS81" s="47" t="n"/>
      <c r="CT81" s="47" t="n"/>
      <c r="CU81" s="47" t="inlineStr">
        <is>
          <t>P</t>
        </is>
      </c>
      <c r="CV81" s="47" t="inlineStr">
        <is>
          <t>P</t>
        </is>
      </c>
      <c r="CW81" s="47" t="n"/>
      <c r="CX81" s="47" t="n"/>
      <c r="CY81" s="47" t="n"/>
      <c r="CZ81" s="47" t="inlineStr">
        <is>
          <t>P</t>
        </is>
      </c>
      <c r="DA81" s="47" t="n"/>
      <c r="DB81" s="47" t="n"/>
      <c r="DC81" s="47" t="inlineStr">
        <is>
          <t>P</t>
        </is>
      </c>
      <c r="DD81" s="47" t="n"/>
      <c r="DE81" s="47" t="n"/>
      <c r="DF81" s="47" t="n"/>
      <c r="DG81" s="47" t="n"/>
      <c r="DH81" s="47" t="n"/>
      <c r="DI81" s="47" t="n"/>
      <c r="DJ81" s="47" t="n"/>
      <c r="DK81" s="47" t="inlineStr">
        <is>
          <t>P</t>
        </is>
      </c>
      <c r="DL81" s="47" t="n"/>
      <c r="DM81" s="47" t="n"/>
      <c r="DN81" s="47" t="inlineStr">
        <is>
          <t>P</t>
        </is>
      </c>
      <c r="DO81" s="47" t="inlineStr">
        <is>
          <t>P</t>
        </is>
      </c>
      <c r="DP81" s="47" t="n"/>
      <c r="DQ81" s="47" t="n"/>
      <c r="DR81" s="47" t="inlineStr">
        <is>
          <t>P</t>
        </is>
      </c>
      <c r="DS81" s="47" t="inlineStr">
        <is>
          <t>P</t>
        </is>
      </c>
      <c r="DT81" s="47" t="n"/>
      <c r="DU81" s="47" t="n"/>
      <c r="DV81" s="47" t="inlineStr">
        <is>
          <t>P</t>
        </is>
      </c>
      <c r="DW81" s="47" t="inlineStr">
        <is>
          <t>P</t>
        </is>
      </c>
      <c r="DX81" s="47" t="n"/>
      <c r="DY81" s="47" t="n"/>
      <c r="DZ81" s="47" t="inlineStr">
        <is>
          <t>P</t>
        </is>
      </c>
      <c r="EA81" s="47" t="n"/>
      <c r="EB81" s="47" t="n"/>
      <c r="EC81" s="47" t="n"/>
      <c r="ED81" s="47" t="n"/>
      <c r="EE81" s="47" t="n"/>
      <c r="EF81" s="47" t="n"/>
      <c r="EG81" s="47" t="n"/>
      <c r="EH81" s="47" t="inlineStr">
        <is>
          <t>P</t>
        </is>
      </c>
      <c r="EI81" s="47" t="n"/>
      <c r="EJ81" s="47" t="n"/>
      <c r="EK81" s="47" t="inlineStr">
        <is>
          <t>P</t>
        </is>
      </c>
      <c r="EL81" s="47" t="inlineStr">
        <is>
          <t>P</t>
        </is>
      </c>
      <c r="EM81" s="47" t="n"/>
      <c r="EN81" s="47" t="n"/>
      <c r="EO81" s="47" t="inlineStr">
        <is>
          <t>P</t>
        </is>
      </c>
      <c r="EP81" s="47" t="inlineStr">
        <is>
          <t>P</t>
        </is>
      </c>
      <c r="EQ81" s="47" t="n"/>
      <c r="ER81" s="47" t="n"/>
      <c r="ES81" s="47" t="inlineStr">
        <is>
          <t>P</t>
        </is>
      </c>
      <c r="ET81" s="47" t="inlineStr">
        <is>
          <t>P</t>
        </is>
      </c>
      <c r="EU81" s="47" t="n"/>
      <c r="EV81" s="47" t="n"/>
      <c r="EW81" s="47" t="n"/>
      <c r="EX81" s="47" t="n"/>
      <c r="EY81" s="47" t="n"/>
      <c r="EZ81" s="47" t="n"/>
      <c r="FA81" s="47" t="n"/>
      <c r="FB81" s="47" t="inlineStr">
        <is>
          <t>P</t>
        </is>
      </c>
      <c r="FC81" s="47" t="n"/>
      <c r="FD81" s="47" t="n"/>
      <c r="FE81" s="47" t="inlineStr">
        <is>
          <t>P</t>
        </is>
      </c>
      <c r="FF81" s="47" t="inlineStr">
        <is>
          <t>P</t>
        </is>
      </c>
      <c r="FG81" s="47" t="n"/>
      <c r="FH81" s="47" t="n"/>
      <c r="FI81" s="47" t="inlineStr">
        <is>
          <t>P</t>
        </is>
      </c>
      <c r="FJ81" s="47" t="inlineStr">
        <is>
          <t>P</t>
        </is>
      </c>
      <c r="FK81" s="47" t="n"/>
      <c r="FL81" s="47" t="n"/>
      <c r="FM81" s="47" t="n"/>
      <c r="FN81" s="47" t="n"/>
      <c r="FO81" s="47" t="n"/>
      <c r="FP81" s="47" t="n"/>
      <c r="FQ81" s="47" t="n"/>
      <c r="FR81" s="47" t="inlineStr">
        <is>
          <t>P</t>
        </is>
      </c>
      <c r="FS81" s="47" t="n"/>
      <c r="FT81" s="47" t="n"/>
      <c r="FU81" s="47" t="n"/>
      <c r="FV81" s="47" t="n"/>
      <c r="FW81" s="47" t="n"/>
      <c r="FX81" s="47" t="n"/>
      <c r="FY81" s="47" t="inlineStr">
        <is>
          <t>P</t>
        </is>
      </c>
      <c r="FZ81" s="47" t="inlineStr">
        <is>
          <t>P</t>
        </is>
      </c>
      <c r="GA81" s="47" t="n"/>
      <c r="GB81" s="47" t="n"/>
      <c r="GC81" s="47" t="n"/>
      <c r="GD81" s="47" t="inlineStr">
        <is>
          <t>A</t>
        </is>
      </c>
      <c r="GE81" s="47" t="n"/>
      <c r="GF81" s="47" t="n"/>
      <c r="GG81" s="47" t="inlineStr">
        <is>
          <t>P</t>
        </is>
      </c>
      <c r="GH81" s="47" t="n"/>
      <c r="GI81" s="47" t="n"/>
    </row>
    <row r="82" ht="14.25" customHeight="1" s="34">
      <c r="A82" s="46" t="n">
        <v>79</v>
      </c>
      <c r="B82" s="46" t="inlineStr">
        <is>
          <t>325106410079</t>
        </is>
      </c>
      <c r="C82" s="46" t="inlineStr">
        <is>
          <t>DADJA ELIE APOLLINAIRE TCHANDAO</t>
        </is>
      </c>
      <c r="D82" s="47" t="inlineStr">
        <is>
          <t>A</t>
        </is>
      </c>
      <c r="E82" s="47" t="n"/>
      <c r="F82" s="47" t="n"/>
      <c r="G82" s="47" t="n"/>
      <c r="H82" s="47" t="n"/>
      <c r="I82" s="47" t="inlineStr">
        <is>
          <t>A</t>
        </is>
      </c>
      <c r="J82" s="47" t="n"/>
      <c r="K82" s="47" t="n"/>
      <c r="L82" s="47" t="inlineStr">
        <is>
          <t>A</t>
        </is>
      </c>
      <c r="M82" s="47" t="n"/>
      <c r="N82" s="47" t="n"/>
      <c r="O82" s="47" t="n"/>
      <c r="P82" s="47" t="inlineStr">
        <is>
          <t>A</t>
        </is>
      </c>
      <c r="Q82" s="47" t="inlineStr">
        <is>
          <t>A</t>
        </is>
      </c>
      <c r="R82" s="47" t="n"/>
      <c r="S82" s="47" t="n"/>
      <c r="T82" s="47" t="inlineStr">
        <is>
          <t>A</t>
        </is>
      </c>
      <c r="U82" s="47" t="n"/>
      <c r="V82" s="47" t="n"/>
      <c r="W82" s="47" t="n"/>
      <c r="X82" s="47" t="n"/>
      <c r="Y82" s="47" t="n"/>
      <c r="Z82" s="47" t="n"/>
      <c r="AA82" s="47" t="n"/>
      <c r="AB82" s="47" t="n"/>
      <c r="AC82" s="47" t="inlineStr">
        <is>
          <t>P</t>
        </is>
      </c>
      <c r="AD82" s="47" t="n"/>
      <c r="AE82" s="47" t="n"/>
      <c r="AF82" s="47" t="inlineStr">
        <is>
          <t>P</t>
        </is>
      </c>
      <c r="AG82" s="47" t="n"/>
      <c r="AH82" s="47" t="n"/>
      <c r="AI82" s="47" t="n"/>
      <c r="AJ82" s="47" t="inlineStr">
        <is>
          <t>P</t>
        </is>
      </c>
      <c r="AK82" s="47" t="inlineStr">
        <is>
          <t>P</t>
        </is>
      </c>
      <c r="AL82" s="47" t="n"/>
      <c r="AM82" s="47" t="n"/>
      <c r="AN82" s="47" t="inlineStr">
        <is>
          <t>P</t>
        </is>
      </c>
      <c r="AO82" s="47" t="n"/>
      <c r="AP82" s="47" t="n"/>
      <c r="AQ82" s="47" t="n"/>
      <c r="AR82" s="47" t="inlineStr">
        <is>
          <t>P</t>
        </is>
      </c>
      <c r="AS82" s="47" t="n"/>
      <c r="AT82" s="47" t="n"/>
      <c r="AU82" s="47" t="n"/>
      <c r="AV82" s="47" t="n"/>
      <c r="AW82" s="47" t="inlineStr">
        <is>
          <t>P</t>
        </is>
      </c>
      <c r="AX82" s="47" t="n"/>
      <c r="AY82" s="47" t="n"/>
      <c r="AZ82" s="47" t="inlineStr">
        <is>
          <t>P</t>
        </is>
      </c>
      <c r="BA82" s="47" t="inlineStr">
        <is>
          <t>P</t>
        </is>
      </c>
      <c r="BB82" s="47" t="n"/>
      <c r="BC82" s="47" t="n"/>
      <c r="BD82" s="47" t="inlineStr">
        <is>
          <t>P</t>
        </is>
      </c>
      <c r="BE82" s="47" t="inlineStr">
        <is>
          <t>P</t>
        </is>
      </c>
      <c r="BF82" s="47" t="n"/>
      <c r="BG82" s="47" t="n"/>
      <c r="BH82" s="47" t="inlineStr">
        <is>
          <t>P</t>
        </is>
      </c>
      <c r="BI82" s="47" t="inlineStr">
        <is>
          <t>P</t>
        </is>
      </c>
      <c r="BJ82" s="47" t="n"/>
      <c r="BK82" s="47" t="n"/>
      <c r="BL82" s="47" t="n"/>
      <c r="BM82" s="47" t="n"/>
      <c r="BN82" s="47" t="n"/>
      <c r="BO82" s="47" t="n"/>
      <c r="BP82" s="47" t="n"/>
      <c r="BQ82" s="47" t="inlineStr">
        <is>
          <t>P</t>
        </is>
      </c>
      <c r="BR82" s="47" t="n"/>
      <c r="BS82" s="47" t="n"/>
      <c r="BT82" s="47" t="inlineStr">
        <is>
          <t>A</t>
        </is>
      </c>
      <c r="BU82" s="47" t="inlineStr">
        <is>
          <t>A</t>
        </is>
      </c>
      <c r="BV82" s="47" t="n"/>
      <c r="BW82" s="47" t="n"/>
      <c r="BX82" s="47" t="inlineStr">
        <is>
          <t>P</t>
        </is>
      </c>
      <c r="BY82" s="47" t="inlineStr">
        <is>
          <t>P</t>
        </is>
      </c>
      <c r="BZ82" s="47" t="n"/>
      <c r="CA82" s="47" t="n"/>
      <c r="CB82" s="47" t="inlineStr">
        <is>
          <t>P</t>
        </is>
      </c>
      <c r="CC82" s="47" t="n"/>
      <c r="CD82" s="47" t="n"/>
      <c r="CE82" s="47" t="n"/>
      <c r="CF82" s="47" t="inlineStr">
        <is>
          <t>P</t>
        </is>
      </c>
      <c r="CG82" s="47" t="n"/>
      <c r="CH82" s="47" t="n"/>
      <c r="CI82" s="47" t="n"/>
      <c r="CJ82" s="47" t="n"/>
      <c r="CK82" s="47" t="n"/>
      <c r="CL82" s="47" t="n"/>
      <c r="CM82" s="47" t="n"/>
      <c r="CN82" s="47" t="inlineStr">
        <is>
          <t>P</t>
        </is>
      </c>
      <c r="CO82" s="47" t="n"/>
      <c r="CP82" s="47" t="n"/>
      <c r="CQ82" s="47" t="inlineStr">
        <is>
          <t>P</t>
        </is>
      </c>
      <c r="CR82" s="47" t="inlineStr">
        <is>
          <t>P</t>
        </is>
      </c>
      <c r="CS82" s="47" t="n"/>
      <c r="CT82" s="47" t="n"/>
      <c r="CU82" s="47" t="inlineStr">
        <is>
          <t>P</t>
        </is>
      </c>
      <c r="CV82" s="47" t="inlineStr">
        <is>
          <t>P</t>
        </is>
      </c>
      <c r="CW82" s="47" t="n"/>
      <c r="CX82" s="47" t="n"/>
      <c r="CY82" s="47" t="n"/>
      <c r="CZ82" s="47" t="inlineStr">
        <is>
          <t>P</t>
        </is>
      </c>
      <c r="DA82" s="47" t="n"/>
      <c r="DB82" s="47" t="n"/>
      <c r="DC82" s="47" t="inlineStr">
        <is>
          <t>P</t>
        </is>
      </c>
      <c r="DD82" s="47" t="n"/>
      <c r="DE82" s="47" t="n"/>
      <c r="DF82" s="47" t="n"/>
      <c r="DG82" s="47" t="n"/>
      <c r="DH82" s="47" t="n"/>
      <c r="DI82" s="47" t="n"/>
      <c r="DJ82" s="47" t="n"/>
      <c r="DK82" s="47" t="inlineStr">
        <is>
          <t>P</t>
        </is>
      </c>
      <c r="DL82" s="47" t="n"/>
      <c r="DM82" s="47" t="n"/>
      <c r="DN82" s="47" t="inlineStr">
        <is>
          <t>P</t>
        </is>
      </c>
      <c r="DO82" s="47" t="inlineStr">
        <is>
          <t>P</t>
        </is>
      </c>
      <c r="DP82" s="47" t="n"/>
      <c r="DQ82" s="47" t="n"/>
      <c r="DR82" s="47" t="inlineStr">
        <is>
          <t>A</t>
        </is>
      </c>
      <c r="DS82" s="47" t="inlineStr">
        <is>
          <t>P</t>
        </is>
      </c>
      <c r="DT82" s="47" t="n"/>
      <c r="DU82" s="47" t="n"/>
      <c r="DV82" s="47" t="inlineStr">
        <is>
          <t>P</t>
        </is>
      </c>
      <c r="DW82" s="47" t="inlineStr">
        <is>
          <t>P</t>
        </is>
      </c>
      <c r="DX82" s="47" t="n"/>
      <c r="DY82" s="47" t="n"/>
      <c r="DZ82" s="47" t="inlineStr">
        <is>
          <t>P</t>
        </is>
      </c>
      <c r="EA82" s="47" t="n"/>
      <c r="EB82" s="47" t="n"/>
      <c r="EC82" s="47" t="n"/>
      <c r="ED82" s="47" t="n"/>
      <c r="EE82" s="47" t="n"/>
      <c r="EF82" s="47" t="n"/>
      <c r="EG82" s="47" t="n"/>
      <c r="EH82" s="47" t="inlineStr">
        <is>
          <t>P</t>
        </is>
      </c>
      <c r="EI82" s="47" t="n"/>
      <c r="EJ82" s="47" t="n"/>
      <c r="EK82" s="47" t="inlineStr">
        <is>
          <t>P</t>
        </is>
      </c>
      <c r="EL82" s="47" t="inlineStr">
        <is>
          <t>P</t>
        </is>
      </c>
      <c r="EM82" s="47" t="n"/>
      <c r="EN82" s="47" t="n"/>
      <c r="EO82" s="47" t="inlineStr">
        <is>
          <t>P</t>
        </is>
      </c>
      <c r="EP82" s="47" t="inlineStr">
        <is>
          <t>P</t>
        </is>
      </c>
      <c r="EQ82" s="47" t="n"/>
      <c r="ER82" s="47" t="n"/>
      <c r="ES82" s="47" t="inlineStr">
        <is>
          <t>P</t>
        </is>
      </c>
      <c r="ET82" s="47" t="inlineStr">
        <is>
          <t>P</t>
        </is>
      </c>
      <c r="EU82" s="47" t="n"/>
      <c r="EV82" s="47" t="n"/>
      <c r="EW82" s="47" t="n"/>
      <c r="EX82" s="47" t="n"/>
      <c r="EY82" s="47" t="n"/>
      <c r="EZ82" s="47" t="n"/>
      <c r="FA82" s="47" t="n"/>
      <c r="FB82" s="47" t="inlineStr">
        <is>
          <t>P</t>
        </is>
      </c>
      <c r="FC82" s="47" t="n"/>
      <c r="FD82" s="47" t="n"/>
      <c r="FE82" s="47" t="inlineStr">
        <is>
          <t>P</t>
        </is>
      </c>
      <c r="FF82" s="47" t="inlineStr">
        <is>
          <t>P</t>
        </is>
      </c>
      <c r="FG82" s="47" t="n"/>
      <c r="FH82" s="47" t="n"/>
      <c r="FI82" s="47" t="inlineStr">
        <is>
          <t>P</t>
        </is>
      </c>
      <c r="FJ82" s="47" t="inlineStr">
        <is>
          <t>P</t>
        </is>
      </c>
      <c r="FK82" s="47" t="n"/>
      <c r="FL82" s="47" t="n"/>
      <c r="FM82" s="47" t="n"/>
      <c r="FN82" s="47" t="n"/>
      <c r="FO82" s="47" t="n"/>
      <c r="FP82" s="47" t="n"/>
      <c r="FQ82" s="47" t="n"/>
      <c r="FR82" s="47" t="inlineStr">
        <is>
          <t>P</t>
        </is>
      </c>
      <c r="FS82" s="47" t="n"/>
      <c r="FT82" s="47" t="n"/>
      <c r="FU82" s="47" t="n"/>
      <c r="FV82" s="47" t="n"/>
      <c r="FW82" s="47" t="n"/>
      <c r="FX82" s="47" t="n"/>
      <c r="FY82" s="47" t="inlineStr">
        <is>
          <t>P</t>
        </is>
      </c>
      <c r="FZ82" s="47" t="inlineStr">
        <is>
          <t>P</t>
        </is>
      </c>
      <c r="GA82" s="47" t="n"/>
      <c r="GB82" s="47" t="n"/>
      <c r="GC82" s="47" t="n"/>
      <c r="GD82" s="47" t="inlineStr">
        <is>
          <t>A</t>
        </is>
      </c>
      <c r="GE82" s="47" t="n"/>
      <c r="GF82" s="47" t="n"/>
      <c r="GG82" s="47" t="inlineStr">
        <is>
          <t>A</t>
        </is>
      </c>
      <c r="GH82" s="47" t="n"/>
      <c r="GI82" s="47" t="n"/>
    </row>
    <row r="83" ht="14.25" customHeight="1" s="34">
      <c r="A83" s="46" t="n">
        <v>80</v>
      </c>
      <c r="B83" s="46" t="inlineStr">
        <is>
          <t>325106410080</t>
        </is>
      </c>
      <c r="C83" s="46" t="inlineStr">
        <is>
          <t>DIBYA JYOTI ROY</t>
        </is>
      </c>
      <c r="D83" s="47" t="inlineStr">
        <is>
          <t>A</t>
        </is>
      </c>
      <c r="E83" s="47" t="n"/>
      <c r="F83" s="47" t="n"/>
      <c r="G83" s="47" t="n"/>
      <c r="H83" s="47" t="n"/>
      <c r="I83" s="47" t="inlineStr">
        <is>
          <t>P</t>
        </is>
      </c>
      <c r="J83" s="47" t="n"/>
      <c r="K83" s="47" t="n"/>
      <c r="L83" s="47" t="inlineStr">
        <is>
          <t>A</t>
        </is>
      </c>
      <c r="M83" s="47" t="n"/>
      <c r="N83" s="47" t="n"/>
      <c r="O83" s="47" t="n"/>
      <c r="P83" s="47" t="inlineStr">
        <is>
          <t>P</t>
        </is>
      </c>
      <c r="Q83" s="47" t="inlineStr">
        <is>
          <t>P</t>
        </is>
      </c>
      <c r="R83" s="47" t="n"/>
      <c r="S83" s="47" t="n"/>
      <c r="T83" s="47" t="inlineStr">
        <is>
          <t>P</t>
        </is>
      </c>
      <c r="U83" s="47" t="n"/>
      <c r="V83" s="47" t="n"/>
      <c r="W83" s="47" t="n"/>
      <c r="X83" s="47" t="n"/>
      <c r="Y83" s="47" t="n"/>
      <c r="Z83" s="47" t="n"/>
      <c r="AA83" s="47" t="n"/>
      <c r="AB83" s="47" t="n"/>
      <c r="AC83" s="47" t="inlineStr">
        <is>
          <t>P</t>
        </is>
      </c>
      <c r="AD83" s="47" t="n"/>
      <c r="AE83" s="47" t="n"/>
      <c r="AF83" s="47" t="inlineStr">
        <is>
          <t>P</t>
        </is>
      </c>
      <c r="AG83" s="47" t="n"/>
      <c r="AH83" s="47" t="n"/>
      <c r="AI83" s="47" t="n"/>
      <c r="AJ83" s="47" t="inlineStr">
        <is>
          <t>P</t>
        </is>
      </c>
      <c r="AK83" s="47" t="inlineStr">
        <is>
          <t>P</t>
        </is>
      </c>
      <c r="AL83" s="47" t="n"/>
      <c r="AM83" s="47" t="n"/>
      <c r="AN83" s="47" t="inlineStr">
        <is>
          <t>P</t>
        </is>
      </c>
      <c r="AO83" s="47" t="n"/>
      <c r="AP83" s="47" t="n"/>
      <c r="AQ83" s="47" t="n"/>
      <c r="AR83" s="47" t="inlineStr">
        <is>
          <t>A</t>
        </is>
      </c>
      <c r="AS83" s="47" t="n"/>
      <c r="AT83" s="47" t="n"/>
      <c r="AU83" s="47" t="n"/>
      <c r="AV83" s="47" t="n"/>
      <c r="AW83" s="47" t="inlineStr">
        <is>
          <t>P</t>
        </is>
      </c>
      <c r="AX83" s="47" t="n"/>
      <c r="AY83" s="47" t="n"/>
      <c r="AZ83" s="47" t="inlineStr">
        <is>
          <t>P</t>
        </is>
      </c>
      <c r="BA83" s="47" t="inlineStr">
        <is>
          <t>P</t>
        </is>
      </c>
      <c r="BB83" s="47" t="n"/>
      <c r="BC83" s="47" t="n"/>
      <c r="BD83" s="47" t="inlineStr">
        <is>
          <t>P</t>
        </is>
      </c>
      <c r="BE83" s="47" t="inlineStr">
        <is>
          <t>P</t>
        </is>
      </c>
      <c r="BF83" s="47" t="n"/>
      <c r="BG83" s="47" t="n"/>
      <c r="BH83" s="47" t="inlineStr">
        <is>
          <t>P</t>
        </is>
      </c>
      <c r="BI83" s="47" t="inlineStr">
        <is>
          <t>A</t>
        </is>
      </c>
      <c r="BJ83" s="47" t="n"/>
      <c r="BK83" s="47" t="n"/>
      <c r="BL83" s="47" t="n"/>
      <c r="BM83" s="47" t="n"/>
      <c r="BN83" s="47" t="n"/>
      <c r="BO83" s="47" t="n"/>
      <c r="BP83" s="47" t="n"/>
      <c r="BQ83" s="47" t="inlineStr">
        <is>
          <t>P</t>
        </is>
      </c>
      <c r="BR83" s="47" t="n"/>
      <c r="BS83" s="47" t="n"/>
      <c r="BT83" s="47" t="inlineStr">
        <is>
          <t>A</t>
        </is>
      </c>
      <c r="BU83" s="47" t="inlineStr">
        <is>
          <t>A</t>
        </is>
      </c>
      <c r="BV83" s="47" t="n"/>
      <c r="BW83" s="47" t="n"/>
      <c r="BX83" s="47" t="inlineStr">
        <is>
          <t>A</t>
        </is>
      </c>
      <c r="BY83" s="47" t="inlineStr">
        <is>
          <t>A</t>
        </is>
      </c>
      <c r="BZ83" s="47" t="n"/>
      <c r="CA83" s="47" t="n"/>
      <c r="CB83" s="47" t="inlineStr">
        <is>
          <t>P</t>
        </is>
      </c>
      <c r="CC83" s="47" t="n"/>
      <c r="CD83" s="47" t="n"/>
      <c r="CE83" s="47" t="n"/>
      <c r="CF83" s="47" t="inlineStr">
        <is>
          <t>P</t>
        </is>
      </c>
      <c r="CG83" s="47" t="n"/>
      <c r="CH83" s="47" t="n"/>
      <c r="CI83" s="47" t="n"/>
      <c r="CJ83" s="47" t="n"/>
      <c r="CK83" s="47" t="n"/>
      <c r="CL83" s="47" t="n"/>
      <c r="CM83" s="47" t="n"/>
      <c r="CN83" s="47" t="inlineStr">
        <is>
          <t>P</t>
        </is>
      </c>
      <c r="CO83" s="47" t="n"/>
      <c r="CP83" s="47" t="n"/>
      <c r="CQ83" s="47" t="inlineStr">
        <is>
          <t>P</t>
        </is>
      </c>
      <c r="CR83" s="47" t="inlineStr">
        <is>
          <t>P</t>
        </is>
      </c>
      <c r="CS83" s="47" t="n"/>
      <c r="CT83" s="47" t="n"/>
      <c r="CU83" s="47" t="inlineStr">
        <is>
          <t>P</t>
        </is>
      </c>
      <c r="CV83" s="47" t="inlineStr">
        <is>
          <t>P</t>
        </is>
      </c>
      <c r="CW83" s="47" t="n"/>
      <c r="CX83" s="47" t="n"/>
      <c r="CY83" s="47" t="n"/>
      <c r="CZ83" s="47" t="inlineStr">
        <is>
          <t>P</t>
        </is>
      </c>
      <c r="DA83" s="47" t="n"/>
      <c r="DB83" s="47" t="n"/>
      <c r="DC83" s="47" t="inlineStr">
        <is>
          <t>P</t>
        </is>
      </c>
      <c r="DD83" s="47" t="n"/>
      <c r="DE83" s="47" t="n"/>
      <c r="DF83" s="47" t="n"/>
      <c r="DG83" s="47" t="n"/>
      <c r="DH83" s="47" t="n"/>
      <c r="DI83" s="47" t="n"/>
      <c r="DJ83" s="47" t="n"/>
      <c r="DK83" s="47" t="inlineStr">
        <is>
          <t>P</t>
        </is>
      </c>
      <c r="DL83" s="47" t="n"/>
      <c r="DM83" s="47" t="n"/>
      <c r="DN83" s="47" t="inlineStr">
        <is>
          <t>P</t>
        </is>
      </c>
      <c r="DO83" s="47" t="inlineStr">
        <is>
          <t>P</t>
        </is>
      </c>
      <c r="DP83" s="47" t="n"/>
      <c r="DQ83" s="47" t="n"/>
      <c r="DR83" s="47" t="inlineStr">
        <is>
          <t>P</t>
        </is>
      </c>
      <c r="DS83" s="47" t="inlineStr">
        <is>
          <t>P</t>
        </is>
      </c>
      <c r="DT83" s="47" t="n"/>
      <c r="DU83" s="47" t="n"/>
      <c r="DV83" s="47" t="inlineStr">
        <is>
          <t>P</t>
        </is>
      </c>
      <c r="DW83" s="47" t="inlineStr">
        <is>
          <t>P</t>
        </is>
      </c>
      <c r="DX83" s="47" t="n"/>
      <c r="DY83" s="47" t="n"/>
      <c r="DZ83" s="47" t="inlineStr">
        <is>
          <t>P</t>
        </is>
      </c>
      <c r="EA83" s="47" t="n"/>
      <c r="EB83" s="47" t="n"/>
      <c r="EC83" s="47" t="n"/>
      <c r="ED83" s="47" t="n"/>
      <c r="EE83" s="47" t="n"/>
      <c r="EF83" s="47" t="n"/>
      <c r="EG83" s="47" t="n"/>
      <c r="EH83" s="47" t="inlineStr">
        <is>
          <t>P</t>
        </is>
      </c>
      <c r="EI83" s="47" t="n"/>
      <c r="EJ83" s="47" t="n"/>
      <c r="EK83" s="47" t="inlineStr">
        <is>
          <t>P</t>
        </is>
      </c>
      <c r="EL83" s="47" t="inlineStr">
        <is>
          <t>A</t>
        </is>
      </c>
      <c r="EM83" s="47" t="n"/>
      <c r="EN83" s="47" t="n"/>
      <c r="EO83" s="47" t="inlineStr">
        <is>
          <t>P</t>
        </is>
      </c>
      <c r="EP83" s="47" t="inlineStr">
        <is>
          <t>P</t>
        </is>
      </c>
      <c r="EQ83" s="47" t="n"/>
      <c r="ER83" s="47" t="n"/>
      <c r="ES83" s="47" t="inlineStr">
        <is>
          <t>P</t>
        </is>
      </c>
      <c r="ET83" s="47" t="inlineStr">
        <is>
          <t>P</t>
        </is>
      </c>
      <c r="EU83" s="47" t="n"/>
      <c r="EV83" s="47" t="n"/>
      <c r="EW83" s="47" t="n"/>
      <c r="EX83" s="47" t="n"/>
      <c r="EY83" s="47" t="n"/>
      <c r="EZ83" s="47" t="n"/>
      <c r="FA83" s="47" t="n"/>
      <c r="FB83" s="47" t="inlineStr">
        <is>
          <t>P</t>
        </is>
      </c>
      <c r="FC83" s="47" t="n"/>
      <c r="FD83" s="47" t="n"/>
      <c r="FE83" s="47" t="inlineStr">
        <is>
          <t>P</t>
        </is>
      </c>
      <c r="FF83" s="47" t="inlineStr">
        <is>
          <t>P</t>
        </is>
      </c>
      <c r="FG83" s="47" t="n"/>
      <c r="FH83" s="47" t="n"/>
      <c r="FI83" s="47" t="inlineStr">
        <is>
          <t>P</t>
        </is>
      </c>
      <c r="FJ83" s="47" t="inlineStr">
        <is>
          <t>P</t>
        </is>
      </c>
      <c r="FK83" s="47" t="n"/>
      <c r="FL83" s="47" t="n"/>
      <c r="FM83" s="47" t="n"/>
      <c r="FN83" s="47" t="n"/>
      <c r="FO83" s="47" t="n"/>
      <c r="FP83" s="47" t="n"/>
      <c r="FQ83" s="47" t="n"/>
      <c r="FR83" s="47" t="inlineStr">
        <is>
          <t>P</t>
        </is>
      </c>
      <c r="FS83" s="47" t="n"/>
      <c r="FT83" s="47" t="n"/>
      <c r="FU83" s="47" t="n"/>
      <c r="FV83" s="47" t="n"/>
      <c r="FW83" s="47" t="n"/>
      <c r="FX83" s="47" t="n"/>
      <c r="FY83" s="47" t="inlineStr">
        <is>
          <t>P</t>
        </is>
      </c>
      <c r="FZ83" s="47" t="inlineStr">
        <is>
          <t>P</t>
        </is>
      </c>
      <c r="GA83" s="47" t="n"/>
      <c r="GB83" s="47" t="n"/>
      <c r="GC83" s="47" t="n"/>
      <c r="GD83" s="47" t="inlineStr">
        <is>
          <t>A</t>
        </is>
      </c>
      <c r="GE83" s="47" t="n"/>
      <c r="GF83" s="47" t="n"/>
      <c r="GG83" s="47" t="inlineStr">
        <is>
          <t>P</t>
        </is>
      </c>
      <c r="GH83" s="47" t="n"/>
      <c r="GI83" s="47" t="n"/>
    </row>
    <row r="84" ht="14.25" customHeight="1" s="34">
      <c r="A84" s="46" t="n">
        <v>81</v>
      </c>
      <c r="B84" s="46" t="inlineStr">
        <is>
          <t>325106410081</t>
        </is>
      </c>
      <c r="C84" s="46" t="inlineStr">
        <is>
          <t>GRACE TRYPHENE DJE</t>
        </is>
      </c>
      <c r="D84" s="47" t="inlineStr">
        <is>
          <t>A</t>
        </is>
      </c>
      <c r="E84" s="47" t="n"/>
      <c r="F84" s="47" t="n"/>
      <c r="G84" s="47" t="n"/>
      <c r="H84" s="47" t="n"/>
      <c r="I84" s="47" t="inlineStr">
        <is>
          <t>A</t>
        </is>
      </c>
      <c r="J84" s="47" t="n"/>
      <c r="K84" s="47" t="n"/>
      <c r="L84" s="47" t="inlineStr">
        <is>
          <t>A</t>
        </is>
      </c>
      <c r="M84" s="47" t="n"/>
      <c r="N84" s="47" t="n"/>
      <c r="O84" s="47" t="n"/>
      <c r="P84" s="47" t="inlineStr">
        <is>
          <t>A</t>
        </is>
      </c>
      <c r="Q84" s="47" t="inlineStr">
        <is>
          <t>A</t>
        </is>
      </c>
      <c r="R84" s="47" t="n"/>
      <c r="S84" s="47" t="n"/>
      <c r="T84" s="47" t="inlineStr">
        <is>
          <t>P</t>
        </is>
      </c>
      <c r="U84" s="47" t="n"/>
      <c r="V84" s="47" t="n"/>
      <c r="W84" s="47" t="n"/>
      <c r="X84" s="47" t="n"/>
      <c r="Y84" s="47" t="n"/>
      <c r="Z84" s="47" t="n"/>
      <c r="AA84" s="47" t="n"/>
      <c r="AB84" s="47" t="n"/>
      <c r="AC84" s="47" t="inlineStr">
        <is>
          <t>A</t>
        </is>
      </c>
      <c r="AD84" s="47" t="n"/>
      <c r="AE84" s="47" t="n"/>
      <c r="AF84" s="47" t="inlineStr">
        <is>
          <t>A</t>
        </is>
      </c>
      <c r="AG84" s="47" t="n"/>
      <c r="AH84" s="47" t="n"/>
      <c r="AI84" s="47" t="n"/>
      <c r="AJ84" s="47" t="inlineStr">
        <is>
          <t>A</t>
        </is>
      </c>
      <c r="AK84" s="47" t="inlineStr">
        <is>
          <t>A</t>
        </is>
      </c>
      <c r="AL84" s="47" t="n"/>
      <c r="AM84" s="47" t="n"/>
      <c r="AN84" s="47" t="inlineStr">
        <is>
          <t>A</t>
        </is>
      </c>
      <c r="AO84" s="47" t="n"/>
      <c r="AP84" s="47" t="n"/>
      <c r="AQ84" s="47" t="n"/>
      <c r="AR84" s="47" t="inlineStr">
        <is>
          <t>A</t>
        </is>
      </c>
      <c r="AS84" s="47" t="n"/>
      <c r="AT84" s="47" t="n"/>
      <c r="AU84" s="47" t="n"/>
      <c r="AV84" s="47" t="n"/>
      <c r="AW84" s="47" t="inlineStr">
        <is>
          <t>A</t>
        </is>
      </c>
      <c r="AX84" s="47" t="n"/>
      <c r="AY84" s="47" t="n"/>
      <c r="AZ84" s="47" t="inlineStr">
        <is>
          <t>P</t>
        </is>
      </c>
      <c r="BA84" s="47" t="inlineStr">
        <is>
          <t>P</t>
        </is>
      </c>
      <c r="BB84" s="47" t="n"/>
      <c r="BC84" s="47" t="n"/>
      <c r="BD84" s="47" t="inlineStr">
        <is>
          <t>P</t>
        </is>
      </c>
      <c r="BE84" s="47" t="inlineStr">
        <is>
          <t>P</t>
        </is>
      </c>
      <c r="BF84" s="47" t="n"/>
      <c r="BG84" s="47" t="n"/>
      <c r="BH84" s="47" t="inlineStr">
        <is>
          <t>P</t>
        </is>
      </c>
      <c r="BI84" s="47" t="inlineStr">
        <is>
          <t>P</t>
        </is>
      </c>
      <c r="BJ84" s="47" t="n"/>
      <c r="BK84" s="47" t="n"/>
      <c r="BL84" s="47" t="n"/>
      <c r="BM84" s="47" t="n"/>
      <c r="BN84" s="47" t="n"/>
      <c r="BO84" s="47" t="n"/>
      <c r="BP84" s="47" t="n"/>
      <c r="BQ84" s="47" t="inlineStr">
        <is>
          <t>P</t>
        </is>
      </c>
      <c r="BR84" s="47" t="n"/>
      <c r="BS84" s="47" t="n"/>
      <c r="BT84" s="47" t="inlineStr">
        <is>
          <t>P</t>
        </is>
      </c>
      <c r="BU84" s="47" t="inlineStr">
        <is>
          <t>P</t>
        </is>
      </c>
      <c r="BV84" s="47" t="n"/>
      <c r="BW84" s="47" t="n"/>
      <c r="BX84" s="47" t="inlineStr">
        <is>
          <t>P</t>
        </is>
      </c>
      <c r="BY84" s="47" t="inlineStr">
        <is>
          <t>P</t>
        </is>
      </c>
      <c r="BZ84" s="47" t="n"/>
      <c r="CA84" s="47" t="n"/>
      <c r="CB84" s="47" t="inlineStr">
        <is>
          <t>P</t>
        </is>
      </c>
      <c r="CC84" s="47" t="n"/>
      <c r="CD84" s="47" t="n"/>
      <c r="CE84" s="47" t="n"/>
      <c r="CF84" s="47" t="inlineStr">
        <is>
          <t>P</t>
        </is>
      </c>
      <c r="CG84" s="47" t="n"/>
      <c r="CH84" s="47" t="n"/>
      <c r="CI84" s="47" t="n"/>
      <c r="CJ84" s="47" t="n"/>
      <c r="CK84" s="47" t="n"/>
      <c r="CL84" s="47" t="n"/>
      <c r="CM84" s="47" t="n"/>
      <c r="CN84" s="47" t="inlineStr">
        <is>
          <t>P</t>
        </is>
      </c>
      <c r="CO84" s="47" t="n"/>
      <c r="CP84" s="47" t="n"/>
      <c r="CQ84" s="47" t="inlineStr">
        <is>
          <t>A</t>
        </is>
      </c>
      <c r="CR84" s="47" t="inlineStr">
        <is>
          <t>A</t>
        </is>
      </c>
      <c r="CS84" s="47" t="n"/>
      <c r="CT84" s="47" t="n"/>
      <c r="CU84" s="47" t="inlineStr">
        <is>
          <t>P</t>
        </is>
      </c>
      <c r="CV84" s="47" t="inlineStr">
        <is>
          <t>P</t>
        </is>
      </c>
      <c r="CW84" s="47" t="n"/>
      <c r="CX84" s="47" t="n"/>
      <c r="CY84" s="47" t="n"/>
      <c r="CZ84" s="47" t="inlineStr">
        <is>
          <t>A</t>
        </is>
      </c>
      <c r="DA84" s="47" t="n"/>
      <c r="DB84" s="47" t="n"/>
      <c r="DC84" s="47" t="inlineStr">
        <is>
          <t>P</t>
        </is>
      </c>
      <c r="DD84" s="47" t="n"/>
      <c r="DE84" s="47" t="n"/>
      <c r="DF84" s="47" t="n"/>
      <c r="DG84" s="47" t="n"/>
      <c r="DH84" s="47" t="n"/>
      <c r="DI84" s="47" t="n"/>
      <c r="DJ84" s="47" t="n"/>
      <c r="DK84" s="47" t="inlineStr">
        <is>
          <t>P</t>
        </is>
      </c>
      <c r="DL84" s="47" t="n"/>
      <c r="DM84" s="47" t="n"/>
      <c r="DN84" s="47" t="inlineStr">
        <is>
          <t>A</t>
        </is>
      </c>
      <c r="DO84" s="47" t="inlineStr">
        <is>
          <t>A</t>
        </is>
      </c>
      <c r="DP84" s="47" t="n"/>
      <c r="DQ84" s="47" t="n"/>
      <c r="DR84" s="47" t="inlineStr">
        <is>
          <t>P</t>
        </is>
      </c>
      <c r="DS84" s="47" t="inlineStr">
        <is>
          <t>P</t>
        </is>
      </c>
      <c r="DT84" s="47" t="n"/>
      <c r="DU84" s="47" t="n"/>
      <c r="DV84" s="47" t="inlineStr">
        <is>
          <t>A</t>
        </is>
      </c>
      <c r="DW84" s="47" t="inlineStr">
        <is>
          <t>A</t>
        </is>
      </c>
      <c r="DX84" s="47" t="n"/>
      <c r="DY84" s="47" t="n"/>
      <c r="DZ84" s="47" t="inlineStr">
        <is>
          <t>P</t>
        </is>
      </c>
      <c r="EA84" s="47" t="n"/>
      <c r="EB84" s="47" t="n"/>
      <c r="EC84" s="47" t="n"/>
      <c r="ED84" s="47" t="n"/>
      <c r="EE84" s="47" t="n"/>
      <c r="EF84" s="47" t="n"/>
      <c r="EG84" s="47" t="n"/>
      <c r="EH84" s="47" t="inlineStr">
        <is>
          <t>P</t>
        </is>
      </c>
      <c r="EI84" s="47" t="n"/>
      <c r="EJ84" s="47" t="n"/>
      <c r="EK84" s="47" t="inlineStr">
        <is>
          <t>P</t>
        </is>
      </c>
      <c r="EL84" s="47" t="inlineStr">
        <is>
          <t>P</t>
        </is>
      </c>
      <c r="EM84" s="47" t="n"/>
      <c r="EN84" s="47" t="n"/>
      <c r="EO84" s="47" t="inlineStr">
        <is>
          <t>A</t>
        </is>
      </c>
      <c r="EP84" s="47" t="inlineStr">
        <is>
          <t>A</t>
        </is>
      </c>
      <c r="EQ84" s="47" t="n"/>
      <c r="ER84" s="47" t="n"/>
      <c r="ES84" s="47" t="inlineStr">
        <is>
          <t>P</t>
        </is>
      </c>
      <c r="ET84" s="47" t="inlineStr">
        <is>
          <t>P</t>
        </is>
      </c>
      <c r="EU84" s="47" t="n"/>
      <c r="EV84" s="47" t="n"/>
      <c r="EW84" s="47" t="n"/>
      <c r="EX84" s="47" t="n"/>
      <c r="EY84" s="47" t="n"/>
      <c r="EZ84" s="47" t="n"/>
      <c r="FA84" s="47" t="n"/>
      <c r="FB84" s="47" t="inlineStr">
        <is>
          <t>A</t>
        </is>
      </c>
      <c r="FC84" s="47" t="n"/>
      <c r="FD84" s="47" t="n"/>
      <c r="FE84" s="47" t="inlineStr">
        <is>
          <t>P</t>
        </is>
      </c>
      <c r="FF84" s="47" t="inlineStr">
        <is>
          <t>P</t>
        </is>
      </c>
      <c r="FG84" s="47" t="n"/>
      <c r="FH84" s="47" t="n"/>
      <c r="FI84" s="47" t="inlineStr">
        <is>
          <t>P</t>
        </is>
      </c>
      <c r="FJ84" s="47" t="inlineStr">
        <is>
          <t>P</t>
        </is>
      </c>
      <c r="FK84" s="47" t="n"/>
      <c r="FL84" s="47" t="n"/>
      <c r="FM84" s="47" t="n"/>
      <c r="FN84" s="47" t="n"/>
      <c r="FO84" s="47" t="n"/>
      <c r="FP84" s="47" t="n"/>
      <c r="FQ84" s="47" t="n"/>
      <c r="FR84" s="47" t="inlineStr">
        <is>
          <t>P</t>
        </is>
      </c>
      <c r="FS84" s="47" t="n"/>
      <c r="FT84" s="47" t="n"/>
      <c r="FU84" s="47" t="n"/>
      <c r="FV84" s="47" t="n"/>
      <c r="FW84" s="47" t="n"/>
      <c r="FX84" s="47" t="n"/>
      <c r="FY84" s="47" t="inlineStr">
        <is>
          <t>P</t>
        </is>
      </c>
      <c r="FZ84" s="47" t="inlineStr">
        <is>
          <t>P</t>
        </is>
      </c>
      <c r="GA84" s="47" t="n"/>
      <c r="GB84" s="47" t="n"/>
      <c r="GC84" s="47" t="n"/>
      <c r="GD84" s="47" t="inlineStr">
        <is>
          <t>A</t>
        </is>
      </c>
      <c r="GE84" s="47" t="n"/>
      <c r="GF84" s="47" t="n"/>
      <c r="GG84" s="47" t="inlineStr">
        <is>
          <t>P</t>
        </is>
      </c>
      <c r="GH84" s="47" t="n"/>
      <c r="GI84" s="47" t="n"/>
    </row>
    <row r="85" ht="14.25" customHeight="1" s="34">
      <c r="A85" s="46" t="n">
        <v>82</v>
      </c>
      <c r="B85" s="46" t="inlineStr">
        <is>
          <t>325106410082</t>
        </is>
      </c>
      <c r="C85" s="46" t="inlineStr">
        <is>
          <t>EBRIMA WARCH</t>
        </is>
      </c>
      <c r="D85" s="47" t="inlineStr">
        <is>
          <t>A</t>
        </is>
      </c>
      <c r="E85" s="47" t="n"/>
      <c r="F85" s="47" t="n"/>
      <c r="G85" s="47" t="n"/>
      <c r="H85" s="47" t="n"/>
      <c r="I85" s="47" t="inlineStr">
        <is>
          <t>A</t>
        </is>
      </c>
      <c r="J85" s="47" t="n"/>
      <c r="K85" s="47" t="n"/>
      <c r="L85" s="47" t="inlineStr">
        <is>
          <t>A</t>
        </is>
      </c>
      <c r="M85" s="47" t="n"/>
      <c r="N85" s="47" t="n"/>
      <c r="O85" s="47" t="n"/>
      <c r="P85" s="47" t="inlineStr">
        <is>
          <t>A</t>
        </is>
      </c>
      <c r="Q85" s="47" t="inlineStr">
        <is>
          <t>A</t>
        </is>
      </c>
      <c r="R85" s="47" t="n"/>
      <c r="S85" s="47" t="n"/>
      <c r="T85" s="47" t="inlineStr">
        <is>
          <t>A</t>
        </is>
      </c>
      <c r="U85" s="47" t="n"/>
      <c r="V85" s="47" t="n"/>
      <c r="W85" s="47" t="n"/>
      <c r="X85" s="47" t="n"/>
      <c r="Y85" s="47" t="n"/>
      <c r="Z85" s="47" t="n"/>
      <c r="AA85" s="47" t="n"/>
      <c r="AB85" s="47" t="n"/>
      <c r="AC85" s="47" t="inlineStr">
        <is>
          <t>P</t>
        </is>
      </c>
      <c r="AD85" s="47" t="n"/>
      <c r="AE85" s="47" t="n"/>
      <c r="AF85" s="47" t="inlineStr">
        <is>
          <t>P</t>
        </is>
      </c>
      <c r="AG85" s="47" t="n"/>
      <c r="AH85" s="47" t="n"/>
      <c r="AI85" s="47" t="n"/>
      <c r="AJ85" s="47" t="inlineStr">
        <is>
          <t>P</t>
        </is>
      </c>
      <c r="AK85" s="47" t="inlineStr">
        <is>
          <t>P</t>
        </is>
      </c>
      <c r="AL85" s="47" t="n"/>
      <c r="AM85" s="47" t="n"/>
      <c r="AN85" s="47" t="inlineStr">
        <is>
          <t>P</t>
        </is>
      </c>
      <c r="AO85" s="47" t="n"/>
      <c r="AP85" s="47" t="n"/>
      <c r="AQ85" s="47" t="n"/>
      <c r="AR85" s="47" t="inlineStr">
        <is>
          <t>P</t>
        </is>
      </c>
      <c r="AS85" s="47" t="n"/>
      <c r="AT85" s="47" t="n"/>
      <c r="AU85" s="47" t="n"/>
      <c r="AV85" s="47" t="n"/>
      <c r="AW85" s="47" t="inlineStr">
        <is>
          <t>P</t>
        </is>
      </c>
      <c r="AX85" s="47" t="n"/>
      <c r="AY85" s="47" t="n"/>
      <c r="AZ85" s="47" t="inlineStr">
        <is>
          <t>P</t>
        </is>
      </c>
      <c r="BA85" s="47" t="inlineStr">
        <is>
          <t>P</t>
        </is>
      </c>
      <c r="BB85" s="47" t="n"/>
      <c r="BC85" s="47" t="n"/>
      <c r="BD85" s="47" t="inlineStr">
        <is>
          <t>P</t>
        </is>
      </c>
      <c r="BE85" s="47" t="inlineStr">
        <is>
          <t>P</t>
        </is>
      </c>
      <c r="BF85" s="47" t="n"/>
      <c r="BG85" s="47" t="n"/>
      <c r="BH85" s="47" t="inlineStr">
        <is>
          <t>P</t>
        </is>
      </c>
      <c r="BI85" s="47" t="inlineStr">
        <is>
          <t>P</t>
        </is>
      </c>
      <c r="BJ85" s="47" t="n"/>
      <c r="BK85" s="47" t="n"/>
      <c r="BL85" s="47" t="n"/>
      <c r="BM85" s="47" t="n"/>
      <c r="BN85" s="47" t="n"/>
      <c r="BO85" s="47" t="n"/>
      <c r="BP85" s="47" t="n"/>
      <c r="BQ85" s="47" t="inlineStr">
        <is>
          <t>P</t>
        </is>
      </c>
      <c r="BR85" s="47" t="n"/>
      <c r="BS85" s="47" t="n"/>
      <c r="BT85" s="47" t="inlineStr">
        <is>
          <t>P</t>
        </is>
      </c>
      <c r="BU85" s="47" t="inlineStr">
        <is>
          <t>P</t>
        </is>
      </c>
      <c r="BV85" s="47" t="n"/>
      <c r="BW85" s="47" t="n"/>
      <c r="BX85" s="47" t="inlineStr">
        <is>
          <t>P</t>
        </is>
      </c>
      <c r="BY85" s="47" t="inlineStr">
        <is>
          <t>P</t>
        </is>
      </c>
      <c r="BZ85" s="47" t="n"/>
      <c r="CA85" s="47" t="n"/>
      <c r="CB85" s="47" t="inlineStr">
        <is>
          <t>P</t>
        </is>
      </c>
      <c r="CC85" s="47" t="n"/>
      <c r="CD85" s="47" t="n"/>
      <c r="CE85" s="47" t="n"/>
      <c r="CF85" s="47" t="inlineStr">
        <is>
          <t>P</t>
        </is>
      </c>
      <c r="CG85" s="47" t="n"/>
      <c r="CH85" s="47" t="n"/>
      <c r="CI85" s="47" t="n"/>
      <c r="CJ85" s="47" t="n"/>
      <c r="CK85" s="47" t="n"/>
      <c r="CL85" s="47" t="n"/>
      <c r="CM85" s="47" t="n"/>
      <c r="CN85" s="47" t="inlineStr">
        <is>
          <t>P</t>
        </is>
      </c>
      <c r="CO85" s="47" t="n"/>
      <c r="CP85" s="47" t="n"/>
      <c r="CQ85" s="47" t="inlineStr">
        <is>
          <t>P</t>
        </is>
      </c>
      <c r="CR85" s="47" t="inlineStr">
        <is>
          <t>P</t>
        </is>
      </c>
      <c r="CS85" s="47" t="n"/>
      <c r="CT85" s="47" t="n"/>
      <c r="CU85" s="47" t="inlineStr">
        <is>
          <t>P</t>
        </is>
      </c>
      <c r="CV85" s="47" t="inlineStr">
        <is>
          <t>P</t>
        </is>
      </c>
      <c r="CW85" s="47" t="n"/>
      <c r="CX85" s="47" t="n"/>
      <c r="CY85" s="47" t="n"/>
      <c r="CZ85" s="47" t="inlineStr">
        <is>
          <t>P</t>
        </is>
      </c>
      <c r="DA85" s="47" t="n"/>
      <c r="DB85" s="47" t="n"/>
      <c r="DC85" s="47" t="inlineStr">
        <is>
          <t>A</t>
        </is>
      </c>
      <c r="DD85" s="47" t="n"/>
      <c r="DE85" s="47" t="n"/>
      <c r="DF85" s="47" t="n"/>
      <c r="DG85" s="47" t="n"/>
      <c r="DH85" s="47" t="n"/>
      <c r="DI85" s="47" t="n"/>
      <c r="DJ85" s="47" t="n"/>
      <c r="DK85" s="47" t="inlineStr">
        <is>
          <t>P</t>
        </is>
      </c>
      <c r="DL85" s="47" t="n"/>
      <c r="DM85" s="47" t="n"/>
      <c r="DN85" s="47" t="inlineStr">
        <is>
          <t>P</t>
        </is>
      </c>
      <c r="DO85" s="47" t="inlineStr">
        <is>
          <t>P</t>
        </is>
      </c>
      <c r="DP85" s="47" t="n"/>
      <c r="DQ85" s="47" t="n"/>
      <c r="DR85" s="47" t="inlineStr">
        <is>
          <t>P</t>
        </is>
      </c>
      <c r="DS85" s="47" t="inlineStr">
        <is>
          <t>P</t>
        </is>
      </c>
      <c r="DT85" s="47" t="n"/>
      <c r="DU85" s="47" t="n"/>
      <c r="DV85" s="47" t="inlineStr">
        <is>
          <t>P</t>
        </is>
      </c>
      <c r="DW85" s="47" t="inlineStr">
        <is>
          <t>P</t>
        </is>
      </c>
      <c r="DX85" s="47" t="n"/>
      <c r="DY85" s="47" t="n"/>
      <c r="DZ85" s="47" t="inlineStr">
        <is>
          <t>A</t>
        </is>
      </c>
      <c r="EA85" s="47" t="n"/>
      <c r="EB85" s="47" t="n"/>
      <c r="EC85" s="47" t="n"/>
      <c r="ED85" s="47" t="n"/>
      <c r="EE85" s="47" t="n"/>
      <c r="EF85" s="47" t="n"/>
      <c r="EG85" s="47" t="n"/>
      <c r="EH85" s="47" t="inlineStr">
        <is>
          <t>P</t>
        </is>
      </c>
      <c r="EI85" s="47" t="n"/>
      <c r="EJ85" s="47" t="n"/>
      <c r="EK85" s="47" t="inlineStr">
        <is>
          <t>P</t>
        </is>
      </c>
      <c r="EL85" s="47" t="inlineStr">
        <is>
          <t>P</t>
        </is>
      </c>
      <c r="EM85" s="47" t="n"/>
      <c r="EN85" s="47" t="n"/>
      <c r="EO85" s="47" t="inlineStr">
        <is>
          <t>P</t>
        </is>
      </c>
      <c r="EP85" s="47" t="inlineStr">
        <is>
          <t>P</t>
        </is>
      </c>
      <c r="EQ85" s="47" t="n"/>
      <c r="ER85" s="47" t="n"/>
      <c r="ES85" s="47" t="inlineStr">
        <is>
          <t>P</t>
        </is>
      </c>
      <c r="ET85" s="47" t="inlineStr">
        <is>
          <t>P</t>
        </is>
      </c>
      <c r="EU85" s="47" t="n"/>
      <c r="EV85" s="47" t="n"/>
      <c r="EW85" s="47" t="n"/>
      <c r="EX85" s="47" t="n"/>
      <c r="EY85" s="47" t="n"/>
      <c r="EZ85" s="47" t="n"/>
      <c r="FA85" s="47" t="n"/>
      <c r="FB85" s="47" t="inlineStr">
        <is>
          <t>P</t>
        </is>
      </c>
      <c r="FC85" s="47" t="n"/>
      <c r="FD85" s="47" t="n"/>
      <c r="FE85" s="47" t="inlineStr">
        <is>
          <t>P</t>
        </is>
      </c>
      <c r="FF85" s="47" t="inlineStr">
        <is>
          <t>P</t>
        </is>
      </c>
      <c r="FG85" s="47" t="n"/>
      <c r="FH85" s="47" t="n"/>
      <c r="FI85" s="47" t="inlineStr">
        <is>
          <t>P</t>
        </is>
      </c>
      <c r="FJ85" s="47" t="inlineStr">
        <is>
          <t>P</t>
        </is>
      </c>
      <c r="FK85" s="47" t="n"/>
      <c r="FL85" s="47" t="n"/>
      <c r="FM85" s="47" t="n"/>
      <c r="FN85" s="47" t="n"/>
      <c r="FO85" s="47" t="n"/>
      <c r="FP85" s="47" t="n"/>
      <c r="FQ85" s="47" t="n"/>
      <c r="FR85" s="47" t="inlineStr">
        <is>
          <t>P</t>
        </is>
      </c>
      <c r="FS85" s="47" t="n"/>
      <c r="FT85" s="47" t="n"/>
      <c r="FU85" s="47" t="n"/>
      <c r="FV85" s="47" t="n"/>
      <c r="FW85" s="47" t="n"/>
      <c r="FX85" s="47" t="n"/>
      <c r="FY85" s="47" t="inlineStr">
        <is>
          <t>P</t>
        </is>
      </c>
      <c r="FZ85" s="47" t="inlineStr">
        <is>
          <t>P</t>
        </is>
      </c>
      <c r="GA85" s="47" t="n"/>
      <c r="GB85" s="47" t="n"/>
      <c r="GC85" s="47" t="n"/>
      <c r="GD85" s="47" t="inlineStr">
        <is>
          <t>A</t>
        </is>
      </c>
      <c r="GE85" s="47" t="n"/>
      <c r="GF85" s="47" t="n"/>
      <c r="GG85" s="47" t="inlineStr">
        <is>
          <t>P</t>
        </is>
      </c>
      <c r="GH85" s="47" t="n"/>
      <c r="GI85" s="47" t="n"/>
    </row>
    <row r="86" ht="14.25" customHeight="1" s="34">
      <c r="A86" s="46" t="n">
        <v>83</v>
      </c>
      <c r="B86" s="46" t="inlineStr">
        <is>
          <t>325106410083</t>
        </is>
      </c>
      <c r="C86" s="46" t="inlineStr">
        <is>
          <t>HAILEYESUS BITEW</t>
        </is>
      </c>
      <c r="D86" s="47" t="inlineStr">
        <is>
          <t>A</t>
        </is>
      </c>
      <c r="E86" s="47" t="n"/>
      <c r="F86" s="47" t="n"/>
      <c r="G86" s="47" t="n"/>
      <c r="H86" s="47" t="n"/>
      <c r="I86" s="47" t="inlineStr">
        <is>
          <t>A</t>
        </is>
      </c>
      <c r="J86" s="47" t="n"/>
      <c r="K86" s="47" t="n"/>
      <c r="L86" s="47" t="inlineStr">
        <is>
          <t>A</t>
        </is>
      </c>
      <c r="M86" s="47" t="n"/>
      <c r="N86" s="47" t="n"/>
      <c r="O86" s="47" t="n"/>
      <c r="P86" s="47" t="inlineStr">
        <is>
          <t>A</t>
        </is>
      </c>
      <c r="Q86" s="47" t="inlineStr">
        <is>
          <t>A</t>
        </is>
      </c>
      <c r="R86" s="47" t="n"/>
      <c r="S86" s="47" t="n"/>
      <c r="T86" s="47" t="inlineStr">
        <is>
          <t>A</t>
        </is>
      </c>
      <c r="U86" s="47" t="n"/>
      <c r="V86" s="47" t="n"/>
      <c r="W86" s="47" t="n"/>
      <c r="X86" s="47" t="n"/>
      <c r="Y86" s="47" t="n"/>
      <c r="Z86" s="47" t="n"/>
      <c r="AA86" s="47" t="n"/>
      <c r="AB86" s="47" t="n"/>
      <c r="AC86" s="47" t="inlineStr">
        <is>
          <t>A</t>
        </is>
      </c>
      <c r="AD86" s="47" t="n"/>
      <c r="AE86" s="47" t="n"/>
      <c r="AF86" s="47" t="inlineStr">
        <is>
          <t>A</t>
        </is>
      </c>
      <c r="AG86" s="47" t="n"/>
      <c r="AH86" s="47" t="n"/>
      <c r="AI86" s="47" t="n"/>
      <c r="AJ86" s="47" t="inlineStr">
        <is>
          <t>P</t>
        </is>
      </c>
      <c r="AK86" s="47" t="inlineStr">
        <is>
          <t>P</t>
        </is>
      </c>
      <c r="AL86" s="47" t="n"/>
      <c r="AM86" s="47" t="n"/>
      <c r="AN86" s="47" t="inlineStr">
        <is>
          <t>P</t>
        </is>
      </c>
      <c r="AO86" s="47" t="n"/>
      <c r="AP86" s="47" t="n"/>
      <c r="AQ86" s="47" t="n"/>
      <c r="AR86" s="47" t="inlineStr">
        <is>
          <t>P</t>
        </is>
      </c>
      <c r="AS86" s="47" t="n"/>
      <c r="AT86" s="47" t="n"/>
      <c r="AU86" s="47" t="n"/>
      <c r="AV86" s="47" t="n"/>
      <c r="AW86" s="47" t="inlineStr">
        <is>
          <t>P</t>
        </is>
      </c>
      <c r="AX86" s="47" t="n"/>
      <c r="AY86" s="47" t="n"/>
      <c r="AZ86" s="47" t="inlineStr">
        <is>
          <t>P</t>
        </is>
      </c>
      <c r="BA86" s="47" t="inlineStr">
        <is>
          <t>P</t>
        </is>
      </c>
      <c r="BB86" s="47" t="n"/>
      <c r="BC86" s="47" t="n"/>
      <c r="BD86" s="47" t="inlineStr">
        <is>
          <t>P</t>
        </is>
      </c>
      <c r="BE86" s="47" t="inlineStr">
        <is>
          <t>P</t>
        </is>
      </c>
      <c r="BF86" s="47" t="n"/>
      <c r="BG86" s="47" t="n"/>
      <c r="BH86" s="47" t="inlineStr">
        <is>
          <t>A</t>
        </is>
      </c>
      <c r="BI86" s="47" t="inlineStr">
        <is>
          <t>A</t>
        </is>
      </c>
      <c r="BJ86" s="47" t="n"/>
      <c r="BK86" s="47" t="n"/>
      <c r="BL86" s="47" t="n"/>
      <c r="BM86" s="47" t="n"/>
      <c r="BN86" s="47" t="n"/>
      <c r="BO86" s="47" t="n"/>
      <c r="BP86" s="47" t="n"/>
      <c r="BQ86" s="47" t="inlineStr">
        <is>
          <t>A</t>
        </is>
      </c>
      <c r="BR86" s="47" t="n"/>
      <c r="BS86" s="47" t="n"/>
      <c r="BT86" s="47" t="inlineStr">
        <is>
          <t>A</t>
        </is>
      </c>
      <c r="BU86" s="47" t="inlineStr">
        <is>
          <t>A</t>
        </is>
      </c>
      <c r="BV86" s="47" t="n"/>
      <c r="BW86" s="47" t="n"/>
      <c r="BX86" s="47" t="inlineStr">
        <is>
          <t>P</t>
        </is>
      </c>
      <c r="BY86" s="47" t="inlineStr">
        <is>
          <t>A</t>
        </is>
      </c>
      <c r="BZ86" s="47" t="n"/>
      <c r="CA86" s="47" t="n"/>
      <c r="CB86" s="47" t="inlineStr">
        <is>
          <t>P</t>
        </is>
      </c>
      <c r="CC86" s="47" t="n"/>
      <c r="CD86" s="47" t="n"/>
      <c r="CE86" s="47" t="n"/>
      <c r="CF86" s="47" t="inlineStr">
        <is>
          <t>P</t>
        </is>
      </c>
      <c r="CG86" s="47" t="n"/>
      <c r="CH86" s="47" t="n"/>
      <c r="CI86" s="47" t="n"/>
      <c r="CJ86" s="47" t="n"/>
      <c r="CK86" s="47" t="n"/>
      <c r="CL86" s="47" t="n"/>
      <c r="CM86" s="47" t="n"/>
      <c r="CN86" s="47" t="inlineStr">
        <is>
          <t>P</t>
        </is>
      </c>
      <c r="CO86" s="47" t="n"/>
      <c r="CP86" s="47" t="n"/>
      <c r="CQ86" s="47" t="inlineStr">
        <is>
          <t>P</t>
        </is>
      </c>
      <c r="CR86" s="47" t="inlineStr">
        <is>
          <t>P</t>
        </is>
      </c>
      <c r="CS86" s="47" t="n"/>
      <c r="CT86" s="47" t="n"/>
      <c r="CU86" s="47" t="inlineStr">
        <is>
          <t>P</t>
        </is>
      </c>
      <c r="CV86" s="47" t="inlineStr">
        <is>
          <t>P</t>
        </is>
      </c>
      <c r="CW86" s="47" t="n"/>
      <c r="CX86" s="47" t="n"/>
      <c r="CY86" s="47" t="n"/>
      <c r="CZ86" s="47" t="inlineStr">
        <is>
          <t>P</t>
        </is>
      </c>
      <c r="DA86" s="47" t="n"/>
      <c r="DB86" s="47" t="n"/>
      <c r="DC86" s="47" t="inlineStr">
        <is>
          <t>A</t>
        </is>
      </c>
      <c r="DD86" s="47" t="n"/>
      <c r="DE86" s="47" t="n"/>
      <c r="DF86" s="47" t="n"/>
      <c r="DG86" s="47" t="n"/>
      <c r="DH86" s="47" t="n"/>
      <c r="DI86" s="47" t="n"/>
      <c r="DJ86" s="47" t="n"/>
      <c r="DK86" s="47" t="inlineStr">
        <is>
          <t>P</t>
        </is>
      </c>
      <c r="DL86" s="47" t="n"/>
      <c r="DM86" s="47" t="n"/>
      <c r="DN86" s="47" t="inlineStr">
        <is>
          <t>P</t>
        </is>
      </c>
      <c r="DO86" s="47" t="inlineStr">
        <is>
          <t>P</t>
        </is>
      </c>
      <c r="DP86" s="47" t="n"/>
      <c r="DQ86" s="47" t="n"/>
      <c r="DR86" s="47" t="inlineStr">
        <is>
          <t>P</t>
        </is>
      </c>
      <c r="DS86" s="47" t="inlineStr">
        <is>
          <t>P</t>
        </is>
      </c>
      <c r="DT86" s="47" t="n"/>
      <c r="DU86" s="47" t="n"/>
      <c r="DV86" s="47" t="inlineStr">
        <is>
          <t>P</t>
        </is>
      </c>
      <c r="DW86" s="47" t="inlineStr">
        <is>
          <t>P</t>
        </is>
      </c>
      <c r="DX86" s="47" t="n"/>
      <c r="DY86" s="47" t="n"/>
      <c r="DZ86" s="47" t="inlineStr">
        <is>
          <t>P</t>
        </is>
      </c>
      <c r="EA86" s="47" t="n"/>
      <c r="EB86" s="47" t="n"/>
      <c r="EC86" s="47" t="n"/>
      <c r="ED86" s="47" t="n"/>
      <c r="EE86" s="47" t="n"/>
      <c r="EF86" s="47" t="n"/>
      <c r="EG86" s="47" t="n"/>
      <c r="EH86" s="47" t="inlineStr">
        <is>
          <t>P</t>
        </is>
      </c>
      <c r="EI86" s="47" t="n"/>
      <c r="EJ86" s="47" t="n"/>
      <c r="EK86" s="47" t="inlineStr">
        <is>
          <t>A</t>
        </is>
      </c>
      <c r="EL86" s="47" t="inlineStr">
        <is>
          <t>A</t>
        </is>
      </c>
      <c r="EM86" s="47" t="n"/>
      <c r="EN86" s="47" t="n"/>
      <c r="EO86" s="47" t="inlineStr">
        <is>
          <t>P</t>
        </is>
      </c>
      <c r="EP86" s="47" t="inlineStr">
        <is>
          <t>P</t>
        </is>
      </c>
      <c r="EQ86" s="47" t="n"/>
      <c r="ER86" s="47" t="n"/>
      <c r="ES86" s="47" t="inlineStr">
        <is>
          <t>P</t>
        </is>
      </c>
      <c r="ET86" s="47" t="inlineStr">
        <is>
          <t>P</t>
        </is>
      </c>
      <c r="EU86" s="47" t="n"/>
      <c r="EV86" s="47" t="n"/>
      <c r="EW86" s="47" t="n"/>
      <c r="EX86" s="47" t="n"/>
      <c r="EY86" s="47" t="n"/>
      <c r="EZ86" s="47" t="n"/>
      <c r="FA86" s="47" t="n"/>
      <c r="FB86" s="47" t="inlineStr">
        <is>
          <t>A</t>
        </is>
      </c>
      <c r="FC86" s="47" t="n"/>
      <c r="FD86" s="47" t="n"/>
      <c r="FE86" s="47" t="inlineStr">
        <is>
          <t>P</t>
        </is>
      </c>
      <c r="FF86" s="47" t="inlineStr">
        <is>
          <t>A</t>
        </is>
      </c>
      <c r="FG86" s="47" t="n"/>
      <c r="FH86" s="47" t="n"/>
      <c r="FI86" s="47" t="inlineStr">
        <is>
          <t>P</t>
        </is>
      </c>
      <c r="FJ86" s="47" t="inlineStr">
        <is>
          <t>P</t>
        </is>
      </c>
      <c r="FK86" s="47" t="n"/>
      <c r="FL86" s="47" t="n"/>
      <c r="FM86" s="47" t="n"/>
      <c r="FN86" s="47" t="n"/>
      <c r="FO86" s="47" t="n"/>
      <c r="FP86" s="47" t="n"/>
      <c r="FQ86" s="47" t="n"/>
      <c r="FR86" s="47" t="inlineStr">
        <is>
          <t>P</t>
        </is>
      </c>
      <c r="FS86" s="47" t="n"/>
      <c r="FT86" s="47" t="n"/>
      <c r="FU86" s="47" t="n"/>
      <c r="FV86" s="47" t="n"/>
      <c r="FW86" s="47" t="n"/>
      <c r="FX86" s="47" t="n"/>
      <c r="FY86" s="47" t="inlineStr">
        <is>
          <t>P</t>
        </is>
      </c>
      <c r="FZ86" s="47" t="inlineStr">
        <is>
          <t>P</t>
        </is>
      </c>
      <c r="GA86" s="47" t="n"/>
      <c r="GB86" s="47" t="n"/>
      <c r="GC86" s="47" t="n"/>
      <c r="GD86" s="47" t="inlineStr">
        <is>
          <t>P</t>
        </is>
      </c>
      <c r="GE86" s="47" t="n"/>
      <c r="GF86" s="47" t="n"/>
      <c r="GG86" s="47" t="inlineStr">
        <is>
          <t>P</t>
        </is>
      </c>
      <c r="GH86" s="47" t="n"/>
      <c r="GI86" s="47" t="n"/>
    </row>
    <row r="87" ht="14.25" customHeight="1" s="34">
      <c r="A87" s="46" t="n">
        <v>84</v>
      </c>
      <c r="B87" s="46" t="inlineStr">
        <is>
          <t>325106410084</t>
        </is>
      </c>
      <c r="C87" s="46" t="inlineStr">
        <is>
          <t>HOR SONCHANDEVIN</t>
        </is>
      </c>
      <c r="D87" s="47" t="inlineStr">
        <is>
          <t>A</t>
        </is>
      </c>
      <c r="E87" s="47" t="n"/>
      <c r="F87" s="47" t="n"/>
      <c r="G87" s="47" t="n"/>
      <c r="H87" s="47" t="n"/>
      <c r="I87" s="47" t="inlineStr">
        <is>
          <t>A</t>
        </is>
      </c>
      <c r="J87" s="47" t="n"/>
      <c r="K87" s="47" t="n"/>
      <c r="L87" s="47" t="inlineStr">
        <is>
          <t>P</t>
        </is>
      </c>
      <c r="M87" s="47" t="n"/>
      <c r="N87" s="47" t="n"/>
      <c r="O87" s="47" t="n"/>
      <c r="P87" s="47" t="inlineStr">
        <is>
          <t>P</t>
        </is>
      </c>
      <c r="Q87" s="47" t="inlineStr">
        <is>
          <t>P</t>
        </is>
      </c>
      <c r="R87" s="47" t="n"/>
      <c r="S87" s="47" t="n"/>
      <c r="T87" s="47" t="inlineStr">
        <is>
          <t>A</t>
        </is>
      </c>
      <c r="U87" s="47" t="n"/>
      <c r="V87" s="47" t="n"/>
      <c r="W87" s="47" t="n"/>
      <c r="X87" s="47" t="n"/>
      <c r="Y87" s="47" t="n"/>
      <c r="Z87" s="47" t="n"/>
      <c r="AA87" s="47" t="n"/>
      <c r="AB87" s="47" t="n"/>
      <c r="AC87" s="47" t="inlineStr">
        <is>
          <t>P</t>
        </is>
      </c>
      <c r="AD87" s="47" t="n"/>
      <c r="AE87" s="47" t="n"/>
      <c r="AF87" s="47" t="inlineStr">
        <is>
          <t>P</t>
        </is>
      </c>
      <c r="AG87" s="47" t="n"/>
      <c r="AH87" s="47" t="n"/>
      <c r="AI87" s="47" t="n"/>
      <c r="AJ87" s="47" t="inlineStr">
        <is>
          <t>P</t>
        </is>
      </c>
      <c r="AK87" s="47" t="inlineStr">
        <is>
          <t>P</t>
        </is>
      </c>
      <c r="AL87" s="47" t="n"/>
      <c r="AM87" s="47" t="n"/>
      <c r="AN87" s="47" t="inlineStr">
        <is>
          <t>P</t>
        </is>
      </c>
      <c r="AO87" s="47" t="n"/>
      <c r="AP87" s="47" t="n"/>
      <c r="AQ87" s="47" t="n"/>
      <c r="AR87" s="47" t="inlineStr">
        <is>
          <t>A</t>
        </is>
      </c>
      <c r="AS87" s="47" t="n"/>
      <c r="AT87" s="47" t="n"/>
      <c r="AU87" s="47" t="n"/>
      <c r="AV87" s="47" t="n"/>
      <c r="AW87" s="47" t="inlineStr">
        <is>
          <t>P</t>
        </is>
      </c>
      <c r="AX87" s="47" t="n"/>
      <c r="AY87" s="47" t="n"/>
      <c r="AZ87" s="47" t="inlineStr">
        <is>
          <t>P</t>
        </is>
      </c>
      <c r="BA87" s="47" t="inlineStr">
        <is>
          <t>P</t>
        </is>
      </c>
      <c r="BB87" s="47" t="n"/>
      <c r="BC87" s="47" t="n"/>
      <c r="BD87" s="47" t="inlineStr">
        <is>
          <t>P</t>
        </is>
      </c>
      <c r="BE87" s="47" t="inlineStr">
        <is>
          <t>P</t>
        </is>
      </c>
      <c r="BF87" s="47" t="n"/>
      <c r="BG87" s="47" t="n"/>
      <c r="BH87" s="47" t="inlineStr">
        <is>
          <t>P</t>
        </is>
      </c>
      <c r="BI87" s="47" t="inlineStr">
        <is>
          <t>P</t>
        </is>
      </c>
      <c r="BJ87" s="47" t="n"/>
      <c r="BK87" s="47" t="n"/>
      <c r="BL87" s="47" t="n"/>
      <c r="BM87" s="47" t="n"/>
      <c r="BN87" s="47" t="n"/>
      <c r="BO87" s="47" t="n"/>
      <c r="BP87" s="47" t="n"/>
      <c r="BQ87" s="47" t="inlineStr">
        <is>
          <t>P</t>
        </is>
      </c>
      <c r="BR87" s="47" t="n"/>
      <c r="BS87" s="47" t="n"/>
      <c r="BT87" s="47" t="inlineStr">
        <is>
          <t>P</t>
        </is>
      </c>
      <c r="BU87" s="47" t="inlineStr">
        <is>
          <t>P</t>
        </is>
      </c>
      <c r="BV87" s="47" t="n"/>
      <c r="BW87" s="47" t="n"/>
      <c r="BX87" s="47" t="inlineStr">
        <is>
          <t>P</t>
        </is>
      </c>
      <c r="BY87" s="47" t="inlineStr">
        <is>
          <t>P</t>
        </is>
      </c>
      <c r="BZ87" s="47" t="n"/>
      <c r="CA87" s="47" t="n"/>
      <c r="CB87" s="47" t="inlineStr">
        <is>
          <t>P</t>
        </is>
      </c>
      <c r="CC87" s="47" t="n"/>
      <c r="CD87" s="47" t="n"/>
      <c r="CE87" s="47" t="n"/>
      <c r="CF87" s="47" t="inlineStr">
        <is>
          <t>P</t>
        </is>
      </c>
      <c r="CG87" s="47" t="n"/>
      <c r="CH87" s="47" t="n"/>
      <c r="CI87" s="47" t="n"/>
      <c r="CJ87" s="47" t="n"/>
      <c r="CK87" s="47" t="n"/>
      <c r="CL87" s="47" t="n"/>
      <c r="CM87" s="47" t="n"/>
      <c r="CN87" s="47" t="inlineStr">
        <is>
          <t>P</t>
        </is>
      </c>
      <c r="CO87" s="47" t="n"/>
      <c r="CP87" s="47" t="n"/>
      <c r="CQ87" s="47" t="inlineStr">
        <is>
          <t>A</t>
        </is>
      </c>
      <c r="CR87" s="47" t="inlineStr">
        <is>
          <t>P</t>
        </is>
      </c>
      <c r="CS87" s="47" t="n"/>
      <c r="CT87" s="47" t="n"/>
      <c r="CU87" s="47" t="inlineStr">
        <is>
          <t>P</t>
        </is>
      </c>
      <c r="CV87" s="47" t="inlineStr">
        <is>
          <t>P</t>
        </is>
      </c>
      <c r="CW87" s="47" t="n"/>
      <c r="CX87" s="47" t="n"/>
      <c r="CY87" s="47" t="n"/>
      <c r="CZ87" s="47" t="inlineStr">
        <is>
          <t>P</t>
        </is>
      </c>
      <c r="DA87" s="47" t="n"/>
      <c r="DB87" s="47" t="n"/>
      <c r="DC87" s="47" t="inlineStr">
        <is>
          <t>P</t>
        </is>
      </c>
      <c r="DD87" s="47" t="n"/>
      <c r="DE87" s="47" t="n"/>
      <c r="DF87" s="47" t="n"/>
      <c r="DG87" s="47" t="n"/>
      <c r="DH87" s="47" t="n"/>
      <c r="DI87" s="47" t="n"/>
      <c r="DJ87" s="47" t="n"/>
      <c r="DK87" s="47" t="inlineStr">
        <is>
          <t>P</t>
        </is>
      </c>
      <c r="DL87" s="47" t="n"/>
      <c r="DM87" s="47" t="n"/>
      <c r="DN87" s="47" t="inlineStr">
        <is>
          <t>P</t>
        </is>
      </c>
      <c r="DO87" s="47" t="inlineStr">
        <is>
          <t>P</t>
        </is>
      </c>
      <c r="DP87" s="47" t="n"/>
      <c r="DQ87" s="47" t="n"/>
      <c r="DR87" s="47" t="inlineStr">
        <is>
          <t>P</t>
        </is>
      </c>
      <c r="DS87" s="47" t="inlineStr">
        <is>
          <t>P</t>
        </is>
      </c>
      <c r="DT87" s="47" t="n"/>
      <c r="DU87" s="47" t="n"/>
      <c r="DV87" s="47" t="inlineStr">
        <is>
          <t>P</t>
        </is>
      </c>
      <c r="DW87" s="47" t="inlineStr">
        <is>
          <t>P</t>
        </is>
      </c>
      <c r="DX87" s="47" t="n"/>
      <c r="DY87" s="47" t="n"/>
      <c r="DZ87" s="47" t="inlineStr">
        <is>
          <t>P</t>
        </is>
      </c>
      <c r="EA87" s="47" t="n"/>
      <c r="EB87" s="47" t="n"/>
      <c r="EC87" s="47" t="n"/>
      <c r="ED87" s="47" t="n"/>
      <c r="EE87" s="47" t="n"/>
      <c r="EF87" s="47" t="n"/>
      <c r="EG87" s="47" t="n"/>
      <c r="EH87" s="47" t="inlineStr">
        <is>
          <t>P</t>
        </is>
      </c>
      <c r="EI87" s="47" t="n"/>
      <c r="EJ87" s="47" t="n"/>
      <c r="EK87" s="47" t="inlineStr">
        <is>
          <t>P</t>
        </is>
      </c>
      <c r="EL87" s="47" t="inlineStr">
        <is>
          <t>A</t>
        </is>
      </c>
      <c r="EM87" s="47" t="n"/>
      <c r="EN87" s="47" t="n"/>
      <c r="EO87" s="47" t="inlineStr">
        <is>
          <t>P</t>
        </is>
      </c>
      <c r="EP87" s="47" t="inlineStr">
        <is>
          <t>P</t>
        </is>
      </c>
      <c r="EQ87" s="47" t="n"/>
      <c r="ER87" s="47" t="n"/>
      <c r="ES87" s="47" t="inlineStr">
        <is>
          <t>P</t>
        </is>
      </c>
      <c r="ET87" s="47" t="inlineStr">
        <is>
          <t>P</t>
        </is>
      </c>
      <c r="EU87" s="47" t="n"/>
      <c r="EV87" s="47" t="n"/>
      <c r="EW87" s="47" t="n"/>
      <c r="EX87" s="47" t="n"/>
      <c r="EY87" s="47" t="n"/>
      <c r="EZ87" s="47" t="n"/>
      <c r="FA87" s="47" t="n"/>
      <c r="FB87" s="47" t="inlineStr">
        <is>
          <t>P</t>
        </is>
      </c>
      <c r="FC87" s="47" t="n"/>
      <c r="FD87" s="47" t="n"/>
      <c r="FE87" s="47" t="inlineStr">
        <is>
          <t>P</t>
        </is>
      </c>
      <c r="FF87" s="47" t="inlineStr">
        <is>
          <t>P</t>
        </is>
      </c>
      <c r="FG87" s="47" t="n"/>
      <c r="FH87" s="47" t="n"/>
      <c r="FI87" s="47" t="inlineStr">
        <is>
          <t>P</t>
        </is>
      </c>
      <c r="FJ87" s="47" t="inlineStr">
        <is>
          <t>P</t>
        </is>
      </c>
      <c r="FK87" s="47" t="n"/>
      <c r="FL87" s="47" t="n"/>
      <c r="FM87" s="47" t="n"/>
      <c r="FN87" s="47" t="n"/>
      <c r="FO87" s="47" t="n"/>
      <c r="FP87" s="47" t="n"/>
      <c r="FQ87" s="47" t="n"/>
      <c r="FR87" s="47" t="inlineStr">
        <is>
          <t>P</t>
        </is>
      </c>
      <c r="FS87" s="47" t="n"/>
      <c r="FT87" s="47" t="n"/>
      <c r="FU87" s="47" t="n"/>
      <c r="FV87" s="47" t="n"/>
      <c r="FW87" s="47" t="n"/>
      <c r="FX87" s="47" t="n"/>
      <c r="FY87" s="47" t="inlineStr">
        <is>
          <t>P</t>
        </is>
      </c>
      <c r="FZ87" s="47" t="inlineStr">
        <is>
          <t>P</t>
        </is>
      </c>
      <c r="GA87" s="47" t="n"/>
      <c r="GB87" s="47" t="n"/>
      <c r="GC87" s="47" t="n"/>
      <c r="GD87" s="47" t="inlineStr">
        <is>
          <t>P</t>
        </is>
      </c>
      <c r="GE87" s="47" t="n"/>
      <c r="GF87" s="47" t="n"/>
      <c r="GG87" s="47" t="inlineStr">
        <is>
          <t>P</t>
        </is>
      </c>
      <c r="GH87" s="47" t="n"/>
      <c r="GI87" s="47" t="n"/>
    </row>
    <row r="88" ht="14.25" customHeight="1" s="34">
      <c r="A88" s="46" t="n">
        <v>85</v>
      </c>
      <c r="B88" s="46" t="inlineStr">
        <is>
          <t>325106410085</t>
        </is>
      </c>
      <c r="C88" s="46" t="inlineStr">
        <is>
          <t>JOVAN PONUEL BISWAS</t>
        </is>
      </c>
      <c r="D88" s="47" t="inlineStr">
        <is>
          <t>A</t>
        </is>
      </c>
      <c r="E88" s="47" t="n"/>
      <c r="F88" s="47" t="n"/>
      <c r="G88" s="47" t="n"/>
      <c r="H88" s="47" t="n"/>
      <c r="I88" s="47" t="inlineStr">
        <is>
          <t>A</t>
        </is>
      </c>
      <c r="J88" s="47" t="n"/>
      <c r="K88" s="47" t="n"/>
      <c r="L88" s="47" t="inlineStr">
        <is>
          <t>A</t>
        </is>
      </c>
      <c r="M88" s="47" t="n"/>
      <c r="N88" s="47" t="n"/>
      <c r="O88" s="47" t="n"/>
      <c r="P88" s="47" t="inlineStr">
        <is>
          <t>A</t>
        </is>
      </c>
      <c r="Q88" s="47" t="inlineStr">
        <is>
          <t>A</t>
        </is>
      </c>
      <c r="R88" s="47" t="n"/>
      <c r="S88" s="47" t="n"/>
      <c r="T88" s="47" t="inlineStr">
        <is>
          <t>A</t>
        </is>
      </c>
      <c r="U88" s="47" t="n"/>
      <c r="V88" s="47" t="n"/>
      <c r="W88" s="47" t="n"/>
      <c r="X88" s="47" t="n"/>
      <c r="Y88" s="47" t="n"/>
      <c r="Z88" s="47" t="n"/>
      <c r="AA88" s="47" t="n"/>
      <c r="AB88" s="47" t="n"/>
      <c r="AC88" s="47" t="inlineStr">
        <is>
          <t>P</t>
        </is>
      </c>
      <c r="AD88" s="47" t="n"/>
      <c r="AE88" s="47" t="n"/>
      <c r="AF88" s="47" t="inlineStr">
        <is>
          <t>A</t>
        </is>
      </c>
      <c r="AG88" s="47" t="n"/>
      <c r="AH88" s="47" t="n"/>
      <c r="AI88" s="47" t="n"/>
      <c r="AJ88" s="47" t="inlineStr">
        <is>
          <t>P</t>
        </is>
      </c>
      <c r="AK88" s="47" t="inlineStr">
        <is>
          <t>P</t>
        </is>
      </c>
      <c r="AL88" s="47" t="n"/>
      <c r="AM88" s="47" t="n"/>
      <c r="AN88" s="47" t="inlineStr">
        <is>
          <t>A</t>
        </is>
      </c>
      <c r="AO88" s="47" t="n"/>
      <c r="AP88" s="47" t="n"/>
      <c r="AQ88" s="47" t="n"/>
      <c r="AR88" s="47" t="inlineStr">
        <is>
          <t>A</t>
        </is>
      </c>
      <c r="AS88" s="47" t="n"/>
      <c r="AT88" s="47" t="n"/>
      <c r="AU88" s="47" t="n"/>
      <c r="AV88" s="47" t="n"/>
      <c r="AW88" s="47" t="inlineStr">
        <is>
          <t>A</t>
        </is>
      </c>
      <c r="AX88" s="47" t="n"/>
      <c r="AY88" s="47" t="n"/>
      <c r="AZ88" s="47" t="inlineStr">
        <is>
          <t>P</t>
        </is>
      </c>
      <c r="BA88" s="47" t="inlineStr">
        <is>
          <t>P</t>
        </is>
      </c>
      <c r="BB88" s="47" t="n"/>
      <c r="BC88" s="47" t="n"/>
      <c r="BD88" s="47" t="inlineStr">
        <is>
          <t>A</t>
        </is>
      </c>
      <c r="BE88" s="47" t="inlineStr">
        <is>
          <t>A</t>
        </is>
      </c>
      <c r="BF88" s="47" t="n"/>
      <c r="BG88" s="47" t="n"/>
      <c r="BH88" s="47" t="inlineStr">
        <is>
          <t>P</t>
        </is>
      </c>
      <c r="BI88" s="47" t="inlineStr">
        <is>
          <t>P</t>
        </is>
      </c>
      <c r="BJ88" s="47" t="n"/>
      <c r="BK88" s="47" t="n"/>
      <c r="BL88" s="47" t="n"/>
      <c r="BM88" s="47" t="n"/>
      <c r="BN88" s="47" t="n"/>
      <c r="BO88" s="47" t="n"/>
      <c r="BP88" s="47" t="n"/>
      <c r="BQ88" s="47" t="inlineStr">
        <is>
          <t>P</t>
        </is>
      </c>
      <c r="BR88" s="47" t="n"/>
      <c r="BS88" s="47" t="n"/>
      <c r="BT88" s="47" t="inlineStr">
        <is>
          <t>A</t>
        </is>
      </c>
      <c r="BU88" s="47" t="inlineStr">
        <is>
          <t>A</t>
        </is>
      </c>
      <c r="BV88" s="47" t="n"/>
      <c r="BW88" s="47" t="n"/>
      <c r="BX88" s="47" t="inlineStr">
        <is>
          <t>P</t>
        </is>
      </c>
      <c r="BY88" s="47" t="inlineStr">
        <is>
          <t>P</t>
        </is>
      </c>
      <c r="BZ88" s="47" t="n"/>
      <c r="CA88" s="47" t="n"/>
      <c r="CB88" s="47" t="inlineStr">
        <is>
          <t>P</t>
        </is>
      </c>
      <c r="CC88" s="47" t="n"/>
      <c r="CD88" s="47" t="n"/>
      <c r="CE88" s="47" t="n"/>
      <c r="CF88" s="47" t="inlineStr">
        <is>
          <t>P</t>
        </is>
      </c>
      <c r="CG88" s="47" t="n"/>
      <c r="CH88" s="47" t="n"/>
      <c r="CI88" s="47" t="n"/>
      <c r="CJ88" s="47" t="n"/>
      <c r="CK88" s="47" t="n"/>
      <c r="CL88" s="47" t="n"/>
      <c r="CM88" s="47" t="n"/>
      <c r="CN88" s="47" t="inlineStr">
        <is>
          <t>P</t>
        </is>
      </c>
      <c r="CO88" s="47" t="n"/>
      <c r="CP88" s="47" t="n"/>
      <c r="CQ88" s="47" t="inlineStr">
        <is>
          <t>A</t>
        </is>
      </c>
      <c r="CR88" s="47" t="inlineStr">
        <is>
          <t>P</t>
        </is>
      </c>
      <c r="CS88" s="47" t="n"/>
      <c r="CT88" s="47" t="n"/>
      <c r="CU88" s="47" t="inlineStr">
        <is>
          <t>P</t>
        </is>
      </c>
      <c r="CV88" s="47" t="inlineStr">
        <is>
          <t>P</t>
        </is>
      </c>
      <c r="CW88" s="47" t="n"/>
      <c r="CX88" s="47" t="n"/>
      <c r="CY88" s="47" t="n"/>
      <c r="CZ88" s="47" t="inlineStr">
        <is>
          <t>P</t>
        </is>
      </c>
      <c r="DA88" s="47" t="n"/>
      <c r="DB88" s="47" t="n"/>
      <c r="DC88" s="47" t="inlineStr">
        <is>
          <t>A</t>
        </is>
      </c>
      <c r="DD88" s="47" t="n"/>
      <c r="DE88" s="47" t="n"/>
      <c r="DF88" s="47" t="n"/>
      <c r="DG88" s="47" t="n"/>
      <c r="DH88" s="47" t="n"/>
      <c r="DI88" s="47" t="n"/>
      <c r="DJ88" s="47" t="n"/>
      <c r="DK88" s="47" t="inlineStr">
        <is>
          <t>P</t>
        </is>
      </c>
      <c r="DL88" s="47" t="n"/>
      <c r="DM88" s="47" t="n"/>
      <c r="DN88" s="47" t="inlineStr">
        <is>
          <t>P</t>
        </is>
      </c>
      <c r="DO88" s="47" t="inlineStr">
        <is>
          <t>A</t>
        </is>
      </c>
      <c r="DP88" s="47" t="n"/>
      <c r="DQ88" s="47" t="n"/>
      <c r="DR88" s="47" t="inlineStr">
        <is>
          <t>P</t>
        </is>
      </c>
      <c r="DS88" s="47" t="inlineStr">
        <is>
          <t>P</t>
        </is>
      </c>
      <c r="DT88" s="47" t="n"/>
      <c r="DU88" s="47" t="n"/>
      <c r="DV88" s="47" t="inlineStr">
        <is>
          <t>P</t>
        </is>
      </c>
      <c r="DW88" s="47" t="inlineStr">
        <is>
          <t>P</t>
        </is>
      </c>
      <c r="DX88" s="47" t="n"/>
      <c r="DY88" s="47" t="n"/>
      <c r="DZ88" s="47" t="inlineStr">
        <is>
          <t>A</t>
        </is>
      </c>
      <c r="EA88" s="47" t="n"/>
      <c r="EB88" s="47" t="n"/>
      <c r="EC88" s="47" t="n"/>
      <c r="ED88" s="47" t="n"/>
      <c r="EE88" s="47" t="n"/>
      <c r="EF88" s="47" t="n"/>
      <c r="EG88" s="47" t="n"/>
      <c r="EH88" s="47" t="inlineStr">
        <is>
          <t>P</t>
        </is>
      </c>
      <c r="EI88" s="47" t="n"/>
      <c r="EJ88" s="47" t="n"/>
      <c r="EK88" s="47" t="inlineStr">
        <is>
          <t>P</t>
        </is>
      </c>
      <c r="EL88" s="47" t="inlineStr">
        <is>
          <t>P</t>
        </is>
      </c>
      <c r="EM88" s="47" t="n"/>
      <c r="EN88" s="47" t="n"/>
      <c r="EO88" s="47" t="inlineStr">
        <is>
          <t>P</t>
        </is>
      </c>
      <c r="EP88" s="47" t="inlineStr">
        <is>
          <t>P</t>
        </is>
      </c>
      <c r="EQ88" s="47" t="n"/>
      <c r="ER88" s="47" t="n"/>
      <c r="ES88" s="47" t="inlineStr">
        <is>
          <t>P</t>
        </is>
      </c>
      <c r="ET88" s="47" t="inlineStr">
        <is>
          <t>P</t>
        </is>
      </c>
      <c r="EU88" s="47" t="n"/>
      <c r="EV88" s="47" t="n"/>
      <c r="EW88" s="47" t="n"/>
      <c r="EX88" s="47" t="n"/>
      <c r="EY88" s="47" t="n"/>
      <c r="EZ88" s="47" t="n"/>
      <c r="FA88" s="47" t="n"/>
      <c r="FB88" s="47" t="inlineStr">
        <is>
          <t>P</t>
        </is>
      </c>
      <c r="FC88" s="47" t="n"/>
      <c r="FD88" s="47" t="n"/>
      <c r="FE88" s="47" t="inlineStr">
        <is>
          <t>A</t>
        </is>
      </c>
      <c r="FF88" s="47" t="inlineStr">
        <is>
          <t>P</t>
        </is>
      </c>
      <c r="FG88" s="47" t="n"/>
      <c r="FH88" s="47" t="n"/>
      <c r="FI88" s="47" t="inlineStr">
        <is>
          <t>P</t>
        </is>
      </c>
      <c r="FJ88" s="47" t="inlineStr">
        <is>
          <t>P</t>
        </is>
      </c>
      <c r="FK88" s="47" t="n"/>
      <c r="FL88" s="47" t="n"/>
      <c r="FM88" s="47" t="n"/>
      <c r="FN88" s="47" t="n"/>
      <c r="FO88" s="47" t="n"/>
      <c r="FP88" s="47" t="n"/>
      <c r="FQ88" s="47" t="n"/>
      <c r="FR88" s="47" t="inlineStr">
        <is>
          <t>P</t>
        </is>
      </c>
      <c r="FS88" s="47" t="n"/>
      <c r="FT88" s="47" t="n"/>
      <c r="FU88" s="47" t="n"/>
      <c r="FV88" s="47" t="n"/>
      <c r="FW88" s="47" t="n"/>
      <c r="FX88" s="47" t="n"/>
      <c r="FY88" s="47" t="inlineStr">
        <is>
          <t>P</t>
        </is>
      </c>
      <c r="FZ88" s="47" t="inlineStr">
        <is>
          <t>P</t>
        </is>
      </c>
      <c r="GA88" s="47" t="n"/>
      <c r="GB88" s="47" t="n"/>
      <c r="GC88" s="47" t="n"/>
      <c r="GD88" s="47" t="inlineStr">
        <is>
          <t>P</t>
        </is>
      </c>
      <c r="GE88" s="47" t="n"/>
      <c r="GF88" s="47" t="n"/>
      <c r="GG88" s="47" t="inlineStr">
        <is>
          <t>A</t>
        </is>
      </c>
      <c r="GH88" s="47" t="n"/>
      <c r="GI88" s="47" t="n"/>
    </row>
    <row r="89" ht="14.25" customHeight="1" s="34">
      <c r="A89" s="46" t="n">
        <v>86</v>
      </c>
      <c r="B89" s="46" t="inlineStr">
        <is>
          <t>325106410086</t>
        </is>
      </c>
      <c r="C89" s="46" t="inlineStr">
        <is>
          <t>KONATE MARIAM DJAMILA</t>
        </is>
      </c>
      <c r="D89" s="47" t="inlineStr">
        <is>
          <t>A</t>
        </is>
      </c>
      <c r="E89" s="47" t="n"/>
      <c r="F89" s="47" t="n"/>
      <c r="G89" s="47" t="n"/>
      <c r="H89" s="47" t="n"/>
      <c r="I89" s="47" t="inlineStr">
        <is>
          <t>A</t>
        </is>
      </c>
      <c r="J89" s="47" t="n"/>
      <c r="K89" s="47" t="n"/>
      <c r="L89" s="47" t="inlineStr">
        <is>
          <t>A</t>
        </is>
      </c>
      <c r="M89" s="47" t="n"/>
      <c r="N89" s="47" t="n"/>
      <c r="O89" s="47" t="n"/>
      <c r="P89" s="47" t="inlineStr">
        <is>
          <t>A</t>
        </is>
      </c>
      <c r="Q89" s="47" t="inlineStr">
        <is>
          <t>A</t>
        </is>
      </c>
      <c r="R89" s="47" t="n"/>
      <c r="S89" s="47" t="n"/>
      <c r="T89" s="47" t="inlineStr">
        <is>
          <t>A</t>
        </is>
      </c>
      <c r="U89" s="47" t="n"/>
      <c r="V89" s="47" t="n"/>
      <c r="W89" s="47" t="n"/>
      <c r="X89" s="47" t="n"/>
      <c r="Y89" s="47" t="n"/>
      <c r="Z89" s="47" t="n"/>
      <c r="AA89" s="47" t="n"/>
      <c r="AB89" s="47" t="n"/>
      <c r="AC89" s="47" t="inlineStr">
        <is>
          <t>A</t>
        </is>
      </c>
      <c r="AD89" s="47" t="n"/>
      <c r="AE89" s="47" t="n"/>
      <c r="AF89" s="47" t="inlineStr">
        <is>
          <t>A</t>
        </is>
      </c>
      <c r="AG89" s="47" t="n"/>
      <c r="AH89" s="47" t="n"/>
      <c r="AI89" s="47" t="n"/>
      <c r="AJ89" s="47" t="inlineStr">
        <is>
          <t>A</t>
        </is>
      </c>
      <c r="AK89" s="47" t="inlineStr">
        <is>
          <t>A</t>
        </is>
      </c>
      <c r="AL89" s="47" t="n"/>
      <c r="AM89" s="47" t="n"/>
      <c r="AN89" s="47" t="inlineStr">
        <is>
          <t>A</t>
        </is>
      </c>
      <c r="AO89" s="47" t="n"/>
      <c r="AP89" s="47" t="n"/>
      <c r="AQ89" s="47" t="n"/>
      <c r="AR89" s="47" t="inlineStr">
        <is>
          <t>A</t>
        </is>
      </c>
      <c r="AS89" s="47" t="n"/>
      <c r="AT89" s="47" t="n"/>
      <c r="AU89" s="47" t="n"/>
      <c r="AV89" s="47" t="n"/>
      <c r="AW89" s="47" t="inlineStr">
        <is>
          <t>A</t>
        </is>
      </c>
      <c r="AX89" s="47" t="n"/>
      <c r="AY89" s="47" t="n"/>
      <c r="AZ89" s="47" t="inlineStr">
        <is>
          <t>A</t>
        </is>
      </c>
      <c r="BA89" s="47" t="inlineStr">
        <is>
          <t>A</t>
        </is>
      </c>
      <c r="BB89" s="47" t="n"/>
      <c r="BC89" s="47" t="n"/>
      <c r="BD89" s="47" t="inlineStr">
        <is>
          <t>P</t>
        </is>
      </c>
      <c r="BE89" s="47" t="inlineStr">
        <is>
          <t>A</t>
        </is>
      </c>
      <c r="BF89" s="47" t="n"/>
      <c r="BG89" s="47" t="n"/>
      <c r="BH89" s="47" t="inlineStr">
        <is>
          <t>P</t>
        </is>
      </c>
      <c r="BI89" s="47" t="inlineStr">
        <is>
          <t>P</t>
        </is>
      </c>
      <c r="BJ89" s="47" t="n"/>
      <c r="BK89" s="47" t="n"/>
      <c r="BL89" s="47" t="n"/>
      <c r="BM89" s="47" t="n"/>
      <c r="BN89" s="47" t="n"/>
      <c r="BO89" s="47" t="n"/>
      <c r="BP89" s="47" t="n"/>
      <c r="BQ89" s="47" t="inlineStr">
        <is>
          <t>P</t>
        </is>
      </c>
      <c r="BR89" s="47" t="n"/>
      <c r="BS89" s="47" t="n"/>
      <c r="BT89" s="47" t="inlineStr">
        <is>
          <t>P</t>
        </is>
      </c>
      <c r="BU89" s="47" t="inlineStr">
        <is>
          <t>P</t>
        </is>
      </c>
      <c r="BV89" s="47" t="n"/>
      <c r="BW89" s="47" t="n"/>
      <c r="BX89" s="47" t="inlineStr">
        <is>
          <t>A</t>
        </is>
      </c>
      <c r="BY89" s="47" t="inlineStr">
        <is>
          <t>A</t>
        </is>
      </c>
      <c r="BZ89" s="47" t="n"/>
      <c r="CA89" s="47" t="n"/>
      <c r="CB89" s="47" t="inlineStr">
        <is>
          <t>P</t>
        </is>
      </c>
      <c r="CC89" s="47" t="n"/>
      <c r="CD89" s="47" t="n"/>
      <c r="CE89" s="47" t="n"/>
      <c r="CF89" s="47" t="inlineStr">
        <is>
          <t>P</t>
        </is>
      </c>
      <c r="CG89" s="47" t="n"/>
      <c r="CH89" s="47" t="n"/>
      <c r="CI89" s="47" t="n"/>
      <c r="CJ89" s="47" t="n"/>
      <c r="CK89" s="47" t="n"/>
      <c r="CL89" s="47" t="n"/>
      <c r="CM89" s="47" t="n"/>
      <c r="CN89" s="47" t="inlineStr">
        <is>
          <t>P</t>
        </is>
      </c>
      <c r="CO89" s="47" t="n"/>
      <c r="CP89" s="47" t="n"/>
      <c r="CQ89" s="47" t="inlineStr">
        <is>
          <t>P</t>
        </is>
      </c>
      <c r="CR89" s="47" t="inlineStr">
        <is>
          <t>P</t>
        </is>
      </c>
      <c r="CS89" s="47" t="n"/>
      <c r="CT89" s="47" t="n"/>
      <c r="CU89" s="47" t="inlineStr">
        <is>
          <t>P</t>
        </is>
      </c>
      <c r="CV89" s="47" t="inlineStr">
        <is>
          <t>P</t>
        </is>
      </c>
      <c r="CW89" s="47" t="n"/>
      <c r="CX89" s="47" t="n"/>
      <c r="CY89" s="47" t="n"/>
      <c r="CZ89" s="47" t="inlineStr">
        <is>
          <t>A</t>
        </is>
      </c>
      <c r="DA89" s="47" t="n"/>
      <c r="DB89" s="47" t="n"/>
      <c r="DC89" s="47" t="inlineStr">
        <is>
          <t>P</t>
        </is>
      </c>
      <c r="DD89" s="47" t="n"/>
      <c r="DE89" s="47" t="n"/>
      <c r="DF89" s="47" t="n"/>
      <c r="DG89" s="47" t="n"/>
      <c r="DH89" s="47" t="n"/>
      <c r="DI89" s="47" t="n"/>
      <c r="DJ89" s="47" t="n"/>
      <c r="DK89" s="47" t="inlineStr">
        <is>
          <t>P</t>
        </is>
      </c>
      <c r="DL89" s="47" t="n"/>
      <c r="DM89" s="47" t="n"/>
      <c r="DN89" s="47" t="inlineStr">
        <is>
          <t>P</t>
        </is>
      </c>
      <c r="DO89" s="47" t="inlineStr">
        <is>
          <t>P</t>
        </is>
      </c>
      <c r="DP89" s="47" t="n"/>
      <c r="DQ89" s="47" t="n"/>
      <c r="DR89" s="47" t="inlineStr">
        <is>
          <t>P</t>
        </is>
      </c>
      <c r="DS89" s="47" t="inlineStr">
        <is>
          <t>P</t>
        </is>
      </c>
      <c r="DT89" s="47" t="n"/>
      <c r="DU89" s="47" t="n"/>
      <c r="DV89" s="47" t="inlineStr">
        <is>
          <t>A</t>
        </is>
      </c>
      <c r="DW89" s="47" t="inlineStr">
        <is>
          <t>A</t>
        </is>
      </c>
      <c r="DX89" s="47" t="n"/>
      <c r="DY89" s="47" t="n"/>
      <c r="DZ89" s="47" t="inlineStr">
        <is>
          <t>P</t>
        </is>
      </c>
      <c r="EA89" s="47" t="n"/>
      <c r="EB89" s="47" t="n"/>
      <c r="EC89" s="47" t="n"/>
      <c r="ED89" s="47" t="n"/>
      <c r="EE89" s="47" t="n"/>
      <c r="EF89" s="47" t="n"/>
      <c r="EG89" s="47" t="n"/>
      <c r="EH89" s="47" t="inlineStr">
        <is>
          <t>A</t>
        </is>
      </c>
      <c r="EI89" s="47" t="n"/>
      <c r="EJ89" s="47" t="n"/>
      <c r="EK89" s="47" t="inlineStr">
        <is>
          <t>P</t>
        </is>
      </c>
      <c r="EL89" s="47" t="inlineStr">
        <is>
          <t>P</t>
        </is>
      </c>
      <c r="EM89" s="47" t="n"/>
      <c r="EN89" s="47" t="n"/>
      <c r="EO89" s="47" t="inlineStr">
        <is>
          <t>P</t>
        </is>
      </c>
      <c r="EP89" s="47" t="inlineStr">
        <is>
          <t>P</t>
        </is>
      </c>
      <c r="EQ89" s="47" t="n"/>
      <c r="ER89" s="47" t="n"/>
      <c r="ES89" s="47" t="inlineStr">
        <is>
          <t>P</t>
        </is>
      </c>
      <c r="ET89" s="47" t="inlineStr">
        <is>
          <t>P</t>
        </is>
      </c>
      <c r="EU89" s="47" t="n"/>
      <c r="EV89" s="47" t="n"/>
      <c r="EW89" s="47" t="n"/>
      <c r="EX89" s="47" t="n"/>
      <c r="EY89" s="47" t="n"/>
      <c r="EZ89" s="47" t="n"/>
      <c r="FA89" s="47" t="n"/>
      <c r="FB89" s="47" t="inlineStr">
        <is>
          <t>P</t>
        </is>
      </c>
      <c r="FC89" s="47" t="n"/>
      <c r="FD89" s="47" t="n"/>
      <c r="FE89" s="47" t="inlineStr">
        <is>
          <t>P</t>
        </is>
      </c>
      <c r="FF89" s="47" t="inlineStr">
        <is>
          <t>P</t>
        </is>
      </c>
      <c r="FG89" s="47" t="n"/>
      <c r="FH89" s="47" t="n"/>
      <c r="FI89" s="47" t="inlineStr">
        <is>
          <t>P</t>
        </is>
      </c>
      <c r="FJ89" s="47" t="inlineStr">
        <is>
          <t>P</t>
        </is>
      </c>
      <c r="FK89" s="47" t="n"/>
      <c r="FL89" s="47" t="n"/>
      <c r="FM89" s="47" t="n"/>
      <c r="FN89" s="47" t="n"/>
      <c r="FO89" s="47" t="n"/>
      <c r="FP89" s="47" t="n"/>
      <c r="FQ89" s="47" t="n"/>
      <c r="FR89" s="47" t="inlineStr">
        <is>
          <t>P</t>
        </is>
      </c>
      <c r="FS89" s="47" t="n"/>
      <c r="FT89" s="47" t="n"/>
      <c r="FU89" s="47" t="n"/>
      <c r="FV89" s="47" t="n"/>
      <c r="FW89" s="47" t="n"/>
      <c r="FX89" s="47" t="n"/>
      <c r="FY89" s="47" t="inlineStr">
        <is>
          <t>A</t>
        </is>
      </c>
      <c r="FZ89" s="47" t="inlineStr">
        <is>
          <t>A</t>
        </is>
      </c>
      <c r="GA89" s="47" t="n"/>
      <c r="GB89" s="47" t="n"/>
      <c r="GC89" s="47" t="n"/>
      <c r="GD89" s="47" t="inlineStr">
        <is>
          <t>P</t>
        </is>
      </c>
      <c r="GE89" s="47" t="n"/>
      <c r="GF89" s="47" t="n"/>
      <c r="GG89" s="47" t="inlineStr">
        <is>
          <t>P</t>
        </is>
      </c>
      <c r="GH89" s="47" t="n"/>
      <c r="GI89" s="47" t="n"/>
    </row>
    <row r="90" ht="14.25" customHeight="1" s="34">
      <c r="A90" s="46" t="n">
        <v>87</v>
      </c>
      <c r="B90" s="46" t="inlineStr">
        <is>
          <t>325106410087</t>
        </is>
      </c>
      <c r="C90" s="46" t="inlineStr">
        <is>
          <t>LINDOKUHLE FRANCE DLAMINI</t>
        </is>
      </c>
      <c r="D90" s="47" t="inlineStr">
        <is>
          <t>A</t>
        </is>
      </c>
      <c r="E90" s="47" t="n"/>
      <c r="F90" s="47" t="n"/>
      <c r="G90" s="47" t="n"/>
      <c r="H90" s="47" t="n"/>
      <c r="I90" s="47" t="inlineStr">
        <is>
          <t>A</t>
        </is>
      </c>
      <c r="J90" s="47" t="n"/>
      <c r="K90" s="47" t="n"/>
      <c r="L90" s="47" t="inlineStr">
        <is>
          <t>A</t>
        </is>
      </c>
      <c r="M90" s="47" t="n"/>
      <c r="N90" s="47" t="n"/>
      <c r="O90" s="47" t="n"/>
      <c r="P90" s="47" t="inlineStr">
        <is>
          <t>A</t>
        </is>
      </c>
      <c r="Q90" s="47" t="inlineStr">
        <is>
          <t>A</t>
        </is>
      </c>
      <c r="R90" s="47" t="n"/>
      <c r="S90" s="47" t="n"/>
      <c r="T90" s="47" t="inlineStr">
        <is>
          <t>A</t>
        </is>
      </c>
      <c r="U90" s="47" t="n"/>
      <c r="V90" s="47" t="n"/>
      <c r="W90" s="47" t="n"/>
      <c r="X90" s="47" t="n"/>
      <c r="Y90" s="47" t="n"/>
      <c r="Z90" s="47" t="n"/>
      <c r="AA90" s="47" t="n"/>
      <c r="AB90" s="47" t="n"/>
      <c r="AC90" s="47" t="inlineStr">
        <is>
          <t>A</t>
        </is>
      </c>
      <c r="AD90" s="47" t="n"/>
      <c r="AE90" s="47" t="n"/>
      <c r="AF90" s="47" t="inlineStr">
        <is>
          <t>A</t>
        </is>
      </c>
      <c r="AG90" s="47" t="n"/>
      <c r="AH90" s="47" t="n"/>
      <c r="AI90" s="47" t="n"/>
      <c r="AJ90" s="47" t="inlineStr">
        <is>
          <t>A</t>
        </is>
      </c>
      <c r="AK90" s="47" t="inlineStr">
        <is>
          <t>A</t>
        </is>
      </c>
      <c r="AL90" s="47" t="n"/>
      <c r="AM90" s="47" t="n"/>
      <c r="AN90" s="47" t="inlineStr">
        <is>
          <t>A</t>
        </is>
      </c>
      <c r="AO90" s="47" t="n"/>
      <c r="AP90" s="47" t="n"/>
      <c r="AQ90" s="47" t="n"/>
      <c r="AR90" s="47" t="inlineStr">
        <is>
          <t>A</t>
        </is>
      </c>
      <c r="AS90" s="47" t="n"/>
      <c r="AT90" s="47" t="n"/>
      <c r="AU90" s="47" t="n"/>
      <c r="AV90" s="47" t="n"/>
      <c r="AW90" s="47" t="inlineStr">
        <is>
          <t>A</t>
        </is>
      </c>
      <c r="AX90" s="47" t="n"/>
      <c r="AY90" s="47" t="n"/>
      <c r="AZ90" s="47" t="inlineStr">
        <is>
          <t>P</t>
        </is>
      </c>
      <c r="BA90" s="47" t="inlineStr">
        <is>
          <t>P</t>
        </is>
      </c>
      <c r="BB90" s="47" t="n"/>
      <c r="BC90" s="47" t="n"/>
      <c r="BD90" s="47" t="inlineStr">
        <is>
          <t>A</t>
        </is>
      </c>
      <c r="BE90" s="47" t="inlineStr">
        <is>
          <t>P</t>
        </is>
      </c>
      <c r="BF90" s="47" t="n"/>
      <c r="BG90" s="47" t="n"/>
      <c r="BH90" s="47" t="inlineStr">
        <is>
          <t>P</t>
        </is>
      </c>
      <c r="BI90" s="47" t="inlineStr">
        <is>
          <t>P</t>
        </is>
      </c>
      <c r="BJ90" s="47" t="n"/>
      <c r="BK90" s="47" t="n"/>
      <c r="BL90" s="47" t="n"/>
      <c r="BM90" s="47" t="n"/>
      <c r="BN90" s="47" t="n"/>
      <c r="BO90" s="47" t="n"/>
      <c r="BP90" s="47" t="n"/>
      <c r="BQ90" s="47" t="inlineStr">
        <is>
          <t>P</t>
        </is>
      </c>
      <c r="BR90" s="47" t="n"/>
      <c r="BS90" s="47" t="n"/>
      <c r="BT90" s="47" t="inlineStr">
        <is>
          <t>P</t>
        </is>
      </c>
      <c r="BU90" s="47" t="inlineStr">
        <is>
          <t>P</t>
        </is>
      </c>
      <c r="BV90" s="47" t="n"/>
      <c r="BW90" s="47" t="n"/>
      <c r="BX90" s="47" t="inlineStr">
        <is>
          <t>P</t>
        </is>
      </c>
      <c r="BY90" s="47" t="inlineStr">
        <is>
          <t>P</t>
        </is>
      </c>
      <c r="BZ90" s="47" t="n"/>
      <c r="CA90" s="47" t="n"/>
      <c r="CB90" s="47" t="inlineStr">
        <is>
          <t>P</t>
        </is>
      </c>
      <c r="CC90" s="47" t="n"/>
      <c r="CD90" s="47" t="n"/>
      <c r="CE90" s="47" t="n"/>
      <c r="CF90" s="47" t="inlineStr">
        <is>
          <t>P</t>
        </is>
      </c>
      <c r="CG90" s="47" t="n"/>
      <c r="CH90" s="47" t="n"/>
      <c r="CI90" s="47" t="n"/>
      <c r="CJ90" s="47" t="n"/>
      <c r="CK90" s="47" t="n"/>
      <c r="CL90" s="47" t="n"/>
      <c r="CM90" s="47" t="n"/>
      <c r="CN90" s="47" t="inlineStr">
        <is>
          <t>P</t>
        </is>
      </c>
      <c r="CO90" s="47" t="n"/>
      <c r="CP90" s="47" t="n"/>
      <c r="CQ90" s="47" t="inlineStr">
        <is>
          <t>P</t>
        </is>
      </c>
      <c r="CR90" s="47" t="inlineStr">
        <is>
          <t>P</t>
        </is>
      </c>
      <c r="CS90" s="47" t="n"/>
      <c r="CT90" s="47" t="n"/>
      <c r="CU90" s="47" t="inlineStr">
        <is>
          <t>P</t>
        </is>
      </c>
      <c r="CV90" s="47" t="inlineStr">
        <is>
          <t>P</t>
        </is>
      </c>
      <c r="CW90" s="47" t="n"/>
      <c r="CX90" s="47" t="n"/>
      <c r="CY90" s="47" t="n"/>
      <c r="CZ90" s="47" t="inlineStr">
        <is>
          <t>A</t>
        </is>
      </c>
      <c r="DA90" s="47" t="n"/>
      <c r="DB90" s="47" t="n"/>
      <c r="DC90" s="47" t="inlineStr">
        <is>
          <t>P</t>
        </is>
      </c>
      <c r="DD90" s="47" t="n"/>
      <c r="DE90" s="47" t="n"/>
      <c r="DF90" s="47" t="n"/>
      <c r="DG90" s="47" t="n"/>
      <c r="DH90" s="47" t="n"/>
      <c r="DI90" s="47" t="n"/>
      <c r="DJ90" s="47" t="n"/>
      <c r="DK90" s="47" t="inlineStr">
        <is>
          <t>P</t>
        </is>
      </c>
      <c r="DL90" s="47" t="n"/>
      <c r="DM90" s="47" t="n"/>
      <c r="DN90" s="47" t="inlineStr">
        <is>
          <t>P</t>
        </is>
      </c>
      <c r="DO90" s="47" t="inlineStr">
        <is>
          <t>P</t>
        </is>
      </c>
      <c r="DP90" s="47" t="n"/>
      <c r="DQ90" s="47" t="n"/>
      <c r="DR90" s="47" t="inlineStr">
        <is>
          <t>P</t>
        </is>
      </c>
      <c r="DS90" s="47" t="inlineStr">
        <is>
          <t>P</t>
        </is>
      </c>
      <c r="DT90" s="47" t="n"/>
      <c r="DU90" s="47" t="n"/>
      <c r="DV90" s="47" t="inlineStr">
        <is>
          <t>A</t>
        </is>
      </c>
      <c r="DW90" s="47" t="inlineStr">
        <is>
          <t>A</t>
        </is>
      </c>
      <c r="DX90" s="47" t="n"/>
      <c r="DY90" s="47" t="n"/>
      <c r="DZ90" s="47" t="inlineStr">
        <is>
          <t>P</t>
        </is>
      </c>
      <c r="EA90" s="47" t="n"/>
      <c r="EB90" s="47" t="n"/>
      <c r="EC90" s="47" t="n"/>
      <c r="ED90" s="47" t="n"/>
      <c r="EE90" s="47" t="n"/>
      <c r="EF90" s="47" t="n"/>
      <c r="EG90" s="47" t="n"/>
      <c r="EH90" s="47" t="inlineStr">
        <is>
          <t>P</t>
        </is>
      </c>
      <c r="EI90" s="47" t="n"/>
      <c r="EJ90" s="47" t="n"/>
      <c r="EK90" s="47" t="inlineStr">
        <is>
          <t>P</t>
        </is>
      </c>
      <c r="EL90" s="47" t="inlineStr">
        <is>
          <t>P</t>
        </is>
      </c>
      <c r="EM90" s="47" t="n"/>
      <c r="EN90" s="47" t="n"/>
      <c r="EO90" s="47" t="inlineStr">
        <is>
          <t>P</t>
        </is>
      </c>
      <c r="EP90" s="47" t="inlineStr">
        <is>
          <t>P</t>
        </is>
      </c>
      <c r="EQ90" s="47" t="n"/>
      <c r="ER90" s="47" t="n"/>
      <c r="ES90" s="47" t="inlineStr">
        <is>
          <t>A</t>
        </is>
      </c>
      <c r="ET90" s="47" t="inlineStr">
        <is>
          <t>A</t>
        </is>
      </c>
      <c r="EU90" s="47" t="n"/>
      <c r="EV90" s="47" t="n"/>
      <c r="EW90" s="47" t="n"/>
      <c r="EX90" s="47" t="n"/>
      <c r="EY90" s="47" t="n"/>
      <c r="EZ90" s="47" t="n"/>
      <c r="FA90" s="47" t="n"/>
      <c r="FB90" s="47" t="inlineStr">
        <is>
          <t>P</t>
        </is>
      </c>
      <c r="FC90" s="47" t="n"/>
      <c r="FD90" s="47" t="n"/>
      <c r="FE90" s="47" t="inlineStr">
        <is>
          <t>A</t>
        </is>
      </c>
      <c r="FF90" s="47" t="inlineStr">
        <is>
          <t>A</t>
        </is>
      </c>
      <c r="FG90" s="47" t="n"/>
      <c r="FH90" s="47" t="n"/>
      <c r="FI90" s="47" t="inlineStr">
        <is>
          <t>P</t>
        </is>
      </c>
      <c r="FJ90" s="47" t="inlineStr">
        <is>
          <t>P</t>
        </is>
      </c>
      <c r="FK90" s="47" t="n"/>
      <c r="FL90" s="47" t="n"/>
      <c r="FM90" s="47" t="n"/>
      <c r="FN90" s="47" t="n"/>
      <c r="FO90" s="47" t="n"/>
      <c r="FP90" s="47" t="n"/>
      <c r="FQ90" s="47" t="n"/>
      <c r="FR90" s="47" t="inlineStr">
        <is>
          <t>P</t>
        </is>
      </c>
      <c r="FS90" s="47" t="n"/>
      <c r="FT90" s="47" t="n"/>
      <c r="FU90" s="47" t="n"/>
      <c r="FV90" s="47" t="n"/>
      <c r="FW90" s="47" t="n"/>
      <c r="FX90" s="47" t="n"/>
      <c r="FY90" s="47" t="inlineStr">
        <is>
          <t>A</t>
        </is>
      </c>
      <c r="FZ90" s="47" t="inlineStr">
        <is>
          <t>P</t>
        </is>
      </c>
      <c r="GA90" s="47" t="n"/>
      <c r="GB90" s="47" t="n"/>
      <c r="GC90" s="47" t="n"/>
      <c r="GD90" s="47" t="inlineStr">
        <is>
          <t>A</t>
        </is>
      </c>
      <c r="GE90" s="47" t="n"/>
      <c r="GF90" s="47" t="n"/>
      <c r="GG90" s="47" t="inlineStr">
        <is>
          <t>P</t>
        </is>
      </c>
      <c r="GH90" s="47" t="n"/>
      <c r="GI90" s="47" t="n"/>
    </row>
    <row r="91" ht="14.25" customHeight="1" s="34">
      <c r="A91" s="46" t="n">
        <v>88</v>
      </c>
      <c r="B91" s="46" t="inlineStr">
        <is>
          <t>325106410088</t>
        </is>
      </c>
      <c r="C91" s="46" t="inlineStr">
        <is>
          <t>------</t>
        </is>
      </c>
      <c r="D91" s="47" t="inlineStr">
        <is>
          <t>A</t>
        </is>
      </c>
      <c r="E91" s="47" t="n"/>
      <c r="F91" s="47" t="n"/>
      <c r="G91" s="47" t="n"/>
      <c r="H91" s="47" t="n"/>
      <c r="I91" s="47" t="inlineStr">
        <is>
          <t>A</t>
        </is>
      </c>
      <c r="J91" s="47" t="n"/>
      <c r="K91" s="47" t="n"/>
      <c r="L91" s="47" t="inlineStr">
        <is>
          <t>A</t>
        </is>
      </c>
      <c r="M91" s="47" t="n"/>
      <c r="N91" s="47" t="n"/>
      <c r="O91" s="47" t="n"/>
      <c r="P91" s="47" t="inlineStr">
        <is>
          <t>A</t>
        </is>
      </c>
      <c r="Q91" s="47" t="inlineStr">
        <is>
          <t>A</t>
        </is>
      </c>
      <c r="R91" s="47" t="n"/>
      <c r="S91" s="47" t="n"/>
      <c r="T91" s="47" t="inlineStr">
        <is>
          <t>A</t>
        </is>
      </c>
      <c r="U91" s="47" t="n"/>
      <c r="V91" s="47" t="n"/>
      <c r="W91" s="47" t="n"/>
      <c r="X91" s="47" t="n"/>
      <c r="Y91" s="47" t="n"/>
      <c r="Z91" s="47" t="n"/>
      <c r="AA91" s="47" t="n"/>
      <c r="AB91" s="47" t="n"/>
      <c r="AC91" s="47" t="inlineStr">
        <is>
          <t>A</t>
        </is>
      </c>
      <c r="AD91" s="47" t="n"/>
      <c r="AE91" s="47" t="n"/>
      <c r="AF91" s="47" t="inlineStr">
        <is>
          <t>A</t>
        </is>
      </c>
      <c r="AG91" s="47" t="n"/>
      <c r="AH91" s="47" t="n"/>
      <c r="AI91" s="47" t="n"/>
      <c r="AJ91" s="47" t="inlineStr">
        <is>
          <t>A</t>
        </is>
      </c>
      <c r="AK91" s="47" t="inlineStr">
        <is>
          <t>A</t>
        </is>
      </c>
      <c r="AL91" s="47" t="n"/>
      <c r="AM91" s="47" t="n"/>
      <c r="AN91" s="47" t="inlineStr">
        <is>
          <t>A</t>
        </is>
      </c>
      <c r="AO91" s="47" t="n"/>
      <c r="AP91" s="47" t="n"/>
      <c r="AQ91" s="47" t="n"/>
      <c r="AR91" s="47" t="inlineStr">
        <is>
          <t>A</t>
        </is>
      </c>
      <c r="AS91" s="47" t="n"/>
      <c r="AT91" s="47" t="n"/>
      <c r="AU91" s="47" t="n"/>
      <c r="AV91" s="47" t="n"/>
      <c r="AW91" s="47" t="inlineStr">
        <is>
          <t>A</t>
        </is>
      </c>
      <c r="AX91" s="47" t="n"/>
      <c r="AY91" s="47" t="n"/>
      <c r="AZ91" s="47" t="inlineStr">
        <is>
          <t>A</t>
        </is>
      </c>
      <c r="BA91" s="47" t="inlineStr">
        <is>
          <t>A</t>
        </is>
      </c>
      <c r="BB91" s="47" t="n"/>
      <c r="BC91" s="47" t="n"/>
      <c r="BD91" s="47" t="inlineStr">
        <is>
          <t>A</t>
        </is>
      </c>
      <c r="BE91" s="47" t="inlineStr">
        <is>
          <t>A</t>
        </is>
      </c>
      <c r="BF91" s="47" t="n"/>
      <c r="BG91" s="47" t="n"/>
      <c r="BH91" s="47" t="inlineStr">
        <is>
          <t>A</t>
        </is>
      </c>
      <c r="BI91" s="47" t="inlineStr">
        <is>
          <t>A</t>
        </is>
      </c>
      <c r="BJ91" s="47" t="n"/>
      <c r="BK91" s="47" t="n"/>
      <c r="BL91" s="47" t="n"/>
      <c r="BM91" s="47" t="n"/>
      <c r="BN91" s="47" t="n"/>
      <c r="BO91" s="47" t="n"/>
      <c r="BP91" s="47" t="n"/>
      <c r="BQ91" s="47" t="inlineStr">
        <is>
          <t>A</t>
        </is>
      </c>
      <c r="BR91" s="47" t="n"/>
      <c r="BS91" s="47" t="n"/>
      <c r="BT91" s="47" t="inlineStr">
        <is>
          <t>A</t>
        </is>
      </c>
      <c r="BU91" s="47" t="inlineStr">
        <is>
          <t>A</t>
        </is>
      </c>
      <c r="BV91" s="47" t="n"/>
      <c r="BW91" s="47" t="n"/>
      <c r="BX91" s="47" t="inlineStr">
        <is>
          <t>A</t>
        </is>
      </c>
      <c r="BY91" s="47" t="inlineStr">
        <is>
          <t>A</t>
        </is>
      </c>
      <c r="BZ91" s="47" t="n"/>
      <c r="CA91" s="47" t="n"/>
      <c r="CB91" s="47" t="inlineStr">
        <is>
          <t>A</t>
        </is>
      </c>
      <c r="CC91" s="47" t="n"/>
      <c r="CD91" s="47" t="n"/>
      <c r="CE91" s="47" t="n"/>
      <c r="CF91" s="47" t="inlineStr">
        <is>
          <t>A</t>
        </is>
      </c>
      <c r="CG91" s="47" t="n"/>
      <c r="CH91" s="47" t="n"/>
      <c r="CI91" s="47" t="n"/>
      <c r="CJ91" s="47" t="n"/>
      <c r="CK91" s="47" t="n"/>
      <c r="CL91" s="47" t="n"/>
      <c r="CM91" s="47" t="n"/>
      <c r="CN91" s="47" t="inlineStr">
        <is>
          <t>A</t>
        </is>
      </c>
      <c r="CO91" s="47" t="n"/>
      <c r="CP91" s="47" t="n"/>
      <c r="CQ91" s="47" t="inlineStr">
        <is>
          <t>A</t>
        </is>
      </c>
      <c r="CR91" s="47" t="inlineStr">
        <is>
          <t>A</t>
        </is>
      </c>
      <c r="CS91" s="47" t="n"/>
      <c r="CT91" s="47" t="n"/>
      <c r="CU91" s="47" t="inlineStr">
        <is>
          <t>A</t>
        </is>
      </c>
      <c r="CV91" s="47" t="inlineStr">
        <is>
          <t>A</t>
        </is>
      </c>
      <c r="CW91" s="47" t="n"/>
      <c r="CX91" s="47" t="n"/>
      <c r="CY91" s="47" t="n"/>
      <c r="CZ91" s="47" t="inlineStr">
        <is>
          <t>A</t>
        </is>
      </c>
      <c r="DA91" s="47" t="n"/>
      <c r="DB91" s="47" t="n"/>
      <c r="DC91" s="47" t="inlineStr">
        <is>
          <t>A</t>
        </is>
      </c>
      <c r="DD91" s="47" t="n"/>
      <c r="DE91" s="47" t="n"/>
      <c r="DF91" s="47" t="n"/>
      <c r="DG91" s="47" t="n"/>
      <c r="DH91" s="47" t="n"/>
      <c r="DI91" s="47" t="n"/>
      <c r="DJ91" s="47" t="n"/>
      <c r="DK91" s="47" t="inlineStr">
        <is>
          <t>A</t>
        </is>
      </c>
      <c r="DL91" s="47" t="n"/>
      <c r="DM91" s="47" t="n"/>
      <c r="DN91" s="47" t="inlineStr">
        <is>
          <t>A</t>
        </is>
      </c>
      <c r="DO91" s="47" t="inlineStr">
        <is>
          <t>A</t>
        </is>
      </c>
      <c r="DP91" s="47" t="n"/>
      <c r="DQ91" s="47" t="n"/>
      <c r="DR91" s="47" t="inlineStr">
        <is>
          <t>A</t>
        </is>
      </c>
      <c r="DS91" s="47" t="inlineStr">
        <is>
          <t>A</t>
        </is>
      </c>
      <c r="DT91" s="47" t="n"/>
      <c r="DU91" s="47" t="n"/>
      <c r="DV91" s="47" t="inlineStr">
        <is>
          <t>A</t>
        </is>
      </c>
      <c r="DW91" s="47" t="inlineStr">
        <is>
          <t>A</t>
        </is>
      </c>
      <c r="DX91" s="47" t="n"/>
      <c r="DY91" s="47" t="n"/>
      <c r="DZ91" s="47" t="inlineStr">
        <is>
          <t>P</t>
        </is>
      </c>
      <c r="EA91" s="47" t="n"/>
      <c r="EB91" s="47" t="n"/>
      <c r="EC91" s="47" t="n"/>
      <c r="ED91" s="47" t="n"/>
      <c r="EE91" s="47" t="n"/>
      <c r="EF91" s="47" t="n"/>
      <c r="EG91" s="47" t="n"/>
      <c r="EH91" s="47" t="inlineStr">
        <is>
          <t>A</t>
        </is>
      </c>
      <c r="EI91" s="47" t="n"/>
      <c r="EJ91" s="47" t="n"/>
      <c r="EK91" s="47" t="inlineStr">
        <is>
          <t>A</t>
        </is>
      </c>
      <c r="EL91" s="47" t="inlineStr">
        <is>
          <t>A</t>
        </is>
      </c>
      <c r="EM91" s="47" t="n"/>
      <c r="EN91" s="47" t="n"/>
      <c r="EO91" s="47" t="inlineStr">
        <is>
          <t>P</t>
        </is>
      </c>
      <c r="EP91" s="47" t="inlineStr">
        <is>
          <t>P</t>
        </is>
      </c>
      <c r="EQ91" s="47" t="n"/>
      <c r="ER91" s="47" t="n"/>
      <c r="ES91" s="47" t="inlineStr">
        <is>
          <t>A</t>
        </is>
      </c>
      <c r="ET91" s="47" t="inlineStr">
        <is>
          <t>A</t>
        </is>
      </c>
      <c r="EU91" s="47" t="n"/>
      <c r="EV91" s="47" t="n"/>
      <c r="EW91" s="47" t="n"/>
      <c r="EX91" s="47" t="n"/>
      <c r="EY91" s="47" t="n"/>
      <c r="EZ91" s="47" t="n"/>
      <c r="FA91" s="47" t="n"/>
      <c r="FB91" s="47" t="inlineStr">
        <is>
          <t>A</t>
        </is>
      </c>
      <c r="FC91" s="47" t="n"/>
      <c r="FD91" s="47" t="n"/>
      <c r="FE91" s="47" t="inlineStr">
        <is>
          <t>A</t>
        </is>
      </c>
      <c r="FF91" s="47" t="inlineStr">
        <is>
          <t>A</t>
        </is>
      </c>
      <c r="FG91" s="47" t="n"/>
      <c r="FH91" s="47" t="n"/>
      <c r="FI91" s="47" t="inlineStr">
        <is>
          <t>A</t>
        </is>
      </c>
      <c r="FJ91" s="47" t="inlineStr">
        <is>
          <t>A</t>
        </is>
      </c>
      <c r="FK91" s="47" t="n"/>
      <c r="FL91" s="47" t="n"/>
      <c r="FM91" s="47" t="n"/>
      <c r="FN91" s="47" t="n"/>
      <c r="FO91" s="47" t="n"/>
      <c r="FP91" s="47" t="n"/>
      <c r="FQ91" s="47" t="n"/>
      <c r="FR91" s="47" t="inlineStr">
        <is>
          <t>A</t>
        </is>
      </c>
      <c r="FS91" s="47" t="n"/>
      <c r="FT91" s="47" t="n"/>
      <c r="FU91" s="47" t="n"/>
      <c r="FV91" s="47" t="n"/>
      <c r="FW91" s="47" t="n"/>
      <c r="FX91" s="47" t="n"/>
      <c r="FY91" s="47" t="inlineStr">
        <is>
          <t>A</t>
        </is>
      </c>
      <c r="FZ91" s="47" t="inlineStr">
        <is>
          <t>A</t>
        </is>
      </c>
      <c r="GA91" s="47" t="n"/>
      <c r="GB91" s="47" t="n"/>
      <c r="GC91" s="47" t="n"/>
      <c r="GD91" s="47" t="inlineStr">
        <is>
          <t>A</t>
        </is>
      </c>
      <c r="GE91" s="47" t="n"/>
      <c r="GF91" s="47" t="n"/>
      <c r="GG91" s="47" t="inlineStr">
        <is>
          <t>A</t>
        </is>
      </c>
      <c r="GH91" s="47" t="n"/>
      <c r="GI91" s="47" t="n"/>
    </row>
    <row r="92" ht="14.25" customHeight="1" s="34">
      <c r="A92" s="46" t="n">
        <v>89</v>
      </c>
      <c r="B92" s="46" t="inlineStr">
        <is>
          <t>325106410089</t>
        </is>
      </c>
      <c r="C92" s="46" t="inlineStr">
        <is>
          <t>MARSON DOS SANTOS</t>
        </is>
      </c>
      <c r="D92" s="47" t="inlineStr">
        <is>
          <t>A</t>
        </is>
      </c>
      <c r="E92" s="47" t="n"/>
      <c r="F92" s="47" t="n"/>
      <c r="G92" s="47" t="n"/>
      <c r="H92" s="47" t="n"/>
      <c r="I92" s="47" t="inlineStr">
        <is>
          <t>A</t>
        </is>
      </c>
      <c r="J92" s="47" t="n"/>
      <c r="K92" s="47" t="n"/>
      <c r="L92" s="47" t="inlineStr">
        <is>
          <t>P</t>
        </is>
      </c>
      <c r="M92" s="47" t="n"/>
      <c r="N92" s="47" t="n"/>
      <c r="O92" s="47" t="n"/>
      <c r="P92" s="47" t="inlineStr">
        <is>
          <t>A</t>
        </is>
      </c>
      <c r="Q92" s="47" t="inlineStr">
        <is>
          <t>A</t>
        </is>
      </c>
      <c r="R92" s="47" t="n"/>
      <c r="S92" s="47" t="n"/>
      <c r="T92" s="47" t="inlineStr">
        <is>
          <t>A</t>
        </is>
      </c>
      <c r="U92" s="47" t="n"/>
      <c r="V92" s="47" t="n"/>
      <c r="W92" s="47" t="n"/>
      <c r="X92" s="47" t="n"/>
      <c r="Y92" s="47" t="n"/>
      <c r="Z92" s="47" t="n"/>
      <c r="AA92" s="47" t="n"/>
      <c r="AB92" s="47" t="n"/>
      <c r="AC92" s="47" t="inlineStr">
        <is>
          <t>P</t>
        </is>
      </c>
      <c r="AD92" s="47" t="n"/>
      <c r="AE92" s="47" t="n"/>
      <c r="AF92" s="47" t="inlineStr">
        <is>
          <t>P</t>
        </is>
      </c>
      <c r="AG92" s="47" t="n"/>
      <c r="AH92" s="47" t="n"/>
      <c r="AI92" s="47" t="n"/>
      <c r="AJ92" s="47" t="inlineStr">
        <is>
          <t>P</t>
        </is>
      </c>
      <c r="AK92" s="47" t="inlineStr">
        <is>
          <t>P</t>
        </is>
      </c>
      <c r="AL92" s="47" t="n"/>
      <c r="AM92" s="47" t="n"/>
      <c r="AN92" s="47" t="inlineStr">
        <is>
          <t>P</t>
        </is>
      </c>
      <c r="AO92" s="47" t="n"/>
      <c r="AP92" s="47" t="n"/>
      <c r="AQ92" s="47" t="n"/>
      <c r="AR92" s="47" t="inlineStr">
        <is>
          <t>P</t>
        </is>
      </c>
      <c r="AS92" s="47" t="n"/>
      <c r="AT92" s="47" t="n"/>
      <c r="AU92" s="47" t="n"/>
      <c r="AV92" s="47" t="n"/>
      <c r="AW92" s="47" t="inlineStr">
        <is>
          <t>P</t>
        </is>
      </c>
      <c r="AX92" s="47" t="n"/>
      <c r="AY92" s="47" t="n"/>
      <c r="AZ92" s="47" t="inlineStr">
        <is>
          <t>P</t>
        </is>
      </c>
      <c r="BA92" s="47" t="inlineStr">
        <is>
          <t>P</t>
        </is>
      </c>
      <c r="BB92" s="47" t="n"/>
      <c r="BC92" s="47" t="n"/>
      <c r="BD92" s="47" t="inlineStr">
        <is>
          <t>P</t>
        </is>
      </c>
      <c r="BE92" s="47" t="inlineStr">
        <is>
          <t>P</t>
        </is>
      </c>
      <c r="BF92" s="47" t="n"/>
      <c r="BG92" s="47" t="n"/>
      <c r="BH92" s="47" t="inlineStr">
        <is>
          <t>A</t>
        </is>
      </c>
      <c r="BI92" s="47" t="inlineStr">
        <is>
          <t>P</t>
        </is>
      </c>
      <c r="BJ92" s="47" t="n"/>
      <c r="BK92" s="47" t="n"/>
      <c r="BL92" s="47" t="n"/>
      <c r="BM92" s="47" t="n"/>
      <c r="BN92" s="47" t="n"/>
      <c r="BO92" s="47" t="n"/>
      <c r="BP92" s="47" t="n"/>
      <c r="BQ92" s="47" t="inlineStr">
        <is>
          <t>P</t>
        </is>
      </c>
      <c r="BR92" s="47" t="n"/>
      <c r="BS92" s="47" t="n"/>
      <c r="BT92" s="47" t="inlineStr">
        <is>
          <t>P</t>
        </is>
      </c>
      <c r="BU92" s="47" t="inlineStr">
        <is>
          <t>P</t>
        </is>
      </c>
      <c r="BV92" s="47" t="n"/>
      <c r="BW92" s="47" t="n"/>
      <c r="BX92" s="47" t="inlineStr">
        <is>
          <t>P</t>
        </is>
      </c>
      <c r="BY92" s="47" t="inlineStr">
        <is>
          <t>P</t>
        </is>
      </c>
      <c r="BZ92" s="47" t="n"/>
      <c r="CA92" s="47" t="n"/>
      <c r="CB92" s="47" t="inlineStr">
        <is>
          <t>A</t>
        </is>
      </c>
      <c r="CC92" s="47" t="n"/>
      <c r="CD92" s="47" t="n"/>
      <c r="CE92" s="47" t="n"/>
      <c r="CF92" s="47" t="inlineStr">
        <is>
          <t>A</t>
        </is>
      </c>
      <c r="CG92" s="47" t="n"/>
      <c r="CH92" s="47" t="n"/>
      <c r="CI92" s="47" t="n"/>
      <c r="CJ92" s="47" t="n"/>
      <c r="CK92" s="47" t="n"/>
      <c r="CL92" s="47" t="n"/>
      <c r="CM92" s="47" t="n"/>
      <c r="CN92" s="47" t="inlineStr">
        <is>
          <t>P</t>
        </is>
      </c>
      <c r="CO92" s="47" t="n"/>
      <c r="CP92" s="47" t="n"/>
      <c r="CQ92" s="47" t="inlineStr">
        <is>
          <t>A</t>
        </is>
      </c>
      <c r="CR92" s="47" t="inlineStr">
        <is>
          <t>P</t>
        </is>
      </c>
      <c r="CS92" s="47" t="n"/>
      <c r="CT92" s="47" t="n"/>
      <c r="CU92" s="47" t="inlineStr">
        <is>
          <t>P</t>
        </is>
      </c>
      <c r="CV92" s="47" t="inlineStr">
        <is>
          <t>P</t>
        </is>
      </c>
      <c r="CW92" s="47" t="n"/>
      <c r="CX92" s="47" t="n"/>
      <c r="CY92" s="47" t="n"/>
      <c r="CZ92" s="47" t="inlineStr">
        <is>
          <t>A</t>
        </is>
      </c>
      <c r="DA92" s="47" t="n"/>
      <c r="DB92" s="47" t="n"/>
      <c r="DC92" s="47" t="inlineStr">
        <is>
          <t>A</t>
        </is>
      </c>
      <c r="DD92" s="47" t="n"/>
      <c r="DE92" s="47" t="n"/>
      <c r="DF92" s="47" t="n"/>
      <c r="DG92" s="47" t="n"/>
      <c r="DH92" s="47" t="n"/>
      <c r="DI92" s="47" t="n"/>
      <c r="DJ92" s="47" t="n"/>
      <c r="DK92" s="47" t="inlineStr">
        <is>
          <t>P</t>
        </is>
      </c>
      <c r="DL92" s="47" t="n"/>
      <c r="DM92" s="47" t="n"/>
      <c r="DN92" s="47" t="inlineStr">
        <is>
          <t>P</t>
        </is>
      </c>
      <c r="DO92" s="47" t="inlineStr">
        <is>
          <t>P</t>
        </is>
      </c>
      <c r="DP92" s="47" t="n"/>
      <c r="DQ92" s="47" t="n"/>
      <c r="DR92" s="47" t="inlineStr">
        <is>
          <t>P</t>
        </is>
      </c>
      <c r="DS92" s="47" t="inlineStr">
        <is>
          <t>P</t>
        </is>
      </c>
      <c r="DT92" s="47" t="n"/>
      <c r="DU92" s="47" t="n"/>
      <c r="DV92" s="47" t="inlineStr">
        <is>
          <t>A</t>
        </is>
      </c>
      <c r="DW92" s="47" t="inlineStr">
        <is>
          <t>A</t>
        </is>
      </c>
      <c r="DX92" s="47" t="n"/>
      <c r="DY92" s="47" t="n"/>
      <c r="DZ92" s="47" t="inlineStr">
        <is>
          <t>A</t>
        </is>
      </c>
      <c r="EA92" s="47" t="n"/>
      <c r="EB92" s="47" t="n"/>
      <c r="EC92" s="47" t="n"/>
      <c r="ED92" s="47" t="n"/>
      <c r="EE92" s="47" t="n"/>
      <c r="EF92" s="47" t="n"/>
      <c r="EG92" s="47" t="n"/>
      <c r="EH92" s="47" t="inlineStr">
        <is>
          <t>P</t>
        </is>
      </c>
      <c r="EI92" s="47" t="n"/>
      <c r="EJ92" s="47" t="n"/>
      <c r="EK92" s="47" t="inlineStr">
        <is>
          <t>P</t>
        </is>
      </c>
      <c r="EL92" s="47" t="inlineStr">
        <is>
          <t>P</t>
        </is>
      </c>
      <c r="EM92" s="47" t="n"/>
      <c r="EN92" s="47" t="n"/>
      <c r="EO92" s="47" t="inlineStr">
        <is>
          <t>P</t>
        </is>
      </c>
      <c r="EP92" s="47" t="inlineStr">
        <is>
          <t>P</t>
        </is>
      </c>
      <c r="EQ92" s="47" t="n"/>
      <c r="ER92" s="47" t="n"/>
      <c r="ES92" s="47" t="inlineStr">
        <is>
          <t>P</t>
        </is>
      </c>
      <c r="ET92" s="47" t="inlineStr">
        <is>
          <t>P</t>
        </is>
      </c>
      <c r="EU92" s="47" t="n"/>
      <c r="EV92" s="47" t="n"/>
      <c r="EW92" s="47" t="n"/>
      <c r="EX92" s="47" t="n"/>
      <c r="EY92" s="47" t="n"/>
      <c r="EZ92" s="47" t="n"/>
      <c r="FA92" s="47" t="n"/>
      <c r="FB92" s="47" t="inlineStr">
        <is>
          <t>P</t>
        </is>
      </c>
      <c r="FC92" s="47" t="n"/>
      <c r="FD92" s="47" t="n"/>
      <c r="FE92" s="47" t="inlineStr">
        <is>
          <t>P</t>
        </is>
      </c>
      <c r="FF92" s="47" t="inlineStr">
        <is>
          <t>P</t>
        </is>
      </c>
      <c r="FG92" s="47" t="n"/>
      <c r="FH92" s="47" t="n"/>
      <c r="FI92" s="47" t="inlineStr">
        <is>
          <t>P</t>
        </is>
      </c>
      <c r="FJ92" s="47" t="inlineStr">
        <is>
          <t>P</t>
        </is>
      </c>
      <c r="FK92" s="47" t="n"/>
      <c r="FL92" s="47" t="n"/>
      <c r="FM92" s="47" t="n"/>
      <c r="FN92" s="47" t="n"/>
      <c r="FO92" s="47" t="n"/>
      <c r="FP92" s="47" t="n"/>
      <c r="FQ92" s="47" t="n"/>
      <c r="FR92" s="47" t="inlineStr">
        <is>
          <t>P</t>
        </is>
      </c>
      <c r="FS92" s="47" t="n"/>
      <c r="FT92" s="47" t="n"/>
      <c r="FU92" s="47" t="n"/>
      <c r="FV92" s="47" t="n"/>
      <c r="FW92" s="47" t="n"/>
      <c r="FX92" s="47" t="n"/>
      <c r="FY92" s="47" t="inlineStr">
        <is>
          <t>P</t>
        </is>
      </c>
      <c r="FZ92" s="47" t="inlineStr">
        <is>
          <t>P</t>
        </is>
      </c>
      <c r="GA92" s="47" t="n"/>
      <c r="GB92" s="47" t="n"/>
      <c r="GC92" s="47" t="n"/>
      <c r="GD92" s="47" t="inlineStr">
        <is>
          <t>A</t>
        </is>
      </c>
      <c r="GE92" s="47" t="n"/>
      <c r="GF92" s="47" t="n"/>
      <c r="GG92" s="47" t="inlineStr">
        <is>
          <t>A</t>
        </is>
      </c>
      <c r="GH92" s="47" t="n"/>
      <c r="GI92" s="47" t="n"/>
    </row>
    <row r="93" ht="14.25" customHeight="1" s="34">
      <c r="A93" s="46" t="n">
        <v>90</v>
      </c>
      <c r="B93" s="46" t="inlineStr">
        <is>
          <t>325106410090</t>
        </is>
      </c>
      <c r="C93" s="46" t="inlineStr">
        <is>
          <t>MIKIAS GURMESA</t>
        </is>
      </c>
      <c r="D93" s="47" t="inlineStr">
        <is>
          <t>A</t>
        </is>
      </c>
      <c r="E93" s="47" t="n"/>
      <c r="F93" s="47" t="n"/>
      <c r="G93" s="47" t="n"/>
      <c r="H93" s="47" t="n"/>
      <c r="I93" s="47" t="inlineStr">
        <is>
          <t>A</t>
        </is>
      </c>
      <c r="J93" s="47" t="n"/>
      <c r="K93" s="47" t="n"/>
      <c r="L93" s="47" t="inlineStr">
        <is>
          <t>A</t>
        </is>
      </c>
      <c r="M93" s="47" t="n"/>
      <c r="N93" s="47" t="n"/>
      <c r="O93" s="47" t="n"/>
      <c r="P93" s="47" t="inlineStr">
        <is>
          <t>A</t>
        </is>
      </c>
      <c r="Q93" s="47" t="inlineStr">
        <is>
          <t>A</t>
        </is>
      </c>
      <c r="R93" s="47" t="n"/>
      <c r="S93" s="47" t="n"/>
      <c r="T93" s="47" t="inlineStr">
        <is>
          <t>A</t>
        </is>
      </c>
      <c r="U93" s="47" t="n"/>
      <c r="V93" s="47" t="n"/>
      <c r="W93" s="47" t="n"/>
      <c r="X93" s="47" t="n"/>
      <c r="Y93" s="47" t="n"/>
      <c r="Z93" s="47" t="n"/>
      <c r="AA93" s="47" t="n"/>
      <c r="AB93" s="47" t="n"/>
      <c r="AC93" s="47" t="inlineStr">
        <is>
          <t>A</t>
        </is>
      </c>
      <c r="AD93" s="47" t="n"/>
      <c r="AE93" s="47" t="n"/>
      <c r="AF93" s="47" t="inlineStr">
        <is>
          <t>A</t>
        </is>
      </c>
      <c r="AG93" s="47" t="n"/>
      <c r="AH93" s="47" t="n"/>
      <c r="AI93" s="47" t="n"/>
      <c r="AJ93" s="47" t="inlineStr">
        <is>
          <t>A</t>
        </is>
      </c>
      <c r="AK93" s="47" t="inlineStr">
        <is>
          <t>A</t>
        </is>
      </c>
      <c r="AL93" s="47" t="n"/>
      <c r="AM93" s="47" t="n"/>
      <c r="AN93" s="47" t="inlineStr">
        <is>
          <t>A</t>
        </is>
      </c>
      <c r="AO93" s="47" t="n"/>
      <c r="AP93" s="47" t="n"/>
      <c r="AQ93" s="47" t="n"/>
      <c r="AR93" s="47" t="inlineStr">
        <is>
          <t>P</t>
        </is>
      </c>
      <c r="AS93" s="47" t="n"/>
      <c r="AT93" s="47" t="n"/>
      <c r="AU93" s="47" t="n"/>
      <c r="AV93" s="47" t="n"/>
      <c r="AW93" s="47" t="inlineStr">
        <is>
          <t>P</t>
        </is>
      </c>
      <c r="AX93" s="47" t="n"/>
      <c r="AY93" s="47" t="n"/>
      <c r="AZ93" s="47" t="inlineStr">
        <is>
          <t>P</t>
        </is>
      </c>
      <c r="BA93" s="47" t="inlineStr">
        <is>
          <t>P</t>
        </is>
      </c>
      <c r="BB93" s="47" t="n"/>
      <c r="BC93" s="47" t="n"/>
      <c r="BD93" s="47" t="inlineStr">
        <is>
          <t>A</t>
        </is>
      </c>
      <c r="BE93" s="47" t="inlineStr">
        <is>
          <t>P</t>
        </is>
      </c>
      <c r="BF93" s="47" t="n"/>
      <c r="BG93" s="47" t="n"/>
      <c r="BH93" s="47" t="inlineStr">
        <is>
          <t>P</t>
        </is>
      </c>
      <c r="BI93" s="47" t="inlineStr">
        <is>
          <t>P</t>
        </is>
      </c>
      <c r="BJ93" s="47" t="n"/>
      <c r="BK93" s="47" t="n"/>
      <c r="BL93" s="47" t="n"/>
      <c r="BM93" s="47" t="n"/>
      <c r="BN93" s="47" t="n"/>
      <c r="BO93" s="47" t="n"/>
      <c r="BP93" s="47" t="n"/>
      <c r="BQ93" s="47" t="inlineStr">
        <is>
          <t>A</t>
        </is>
      </c>
      <c r="BR93" s="47" t="n"/>
      <c r="BS93" s="47" t="n"/>
      <c r="BT93" s="47" t="inlineStr">
        <is>
          <t>P</t>
        </is>
      </c>
      <c r="BU93" s="47" t="inlineStr">
        <is>
          <t>P</t>
        </is>
      </c>
      <c r="BV93" s="47" t="n"/>
      <c r="BW93" s="47" t="n"/>
      <c r="BX93" s="47" t="inlineStr">
        <is>
          <t>P</t>
        </is>
      </c>
      <c r="BY93" s="47" t="inlineStr">
        <is>
          <t>P</t>
        </is>
      </c>
      <c r="BZ93" s="47" t="n"/>
      <c r="CA93" s="47" t="n"/>
      <c r="CB93" s="47" t="inlineStr">
        <is>
          <t>P</t>
        </is>
      </c>
      <c r="CC93" s="47" t="n"/>
      <c r="CD93" s="47" t="n"/>
      <c r="CE93" s="47" t="n"/>
      <c r="CF93" s="47" t="inlineStr">
        <is>
          <t>A</t>
        </is>
      </c>
      <c r="CG93" s="47" t="n"/>
      <c r="CH93" s="47" t="n"/>
      <c r="CI93" s="47" t="n"/>
      <c r="CJ93" s="47" t="n"/>
      <c r="CK93" s="47" t="n"/>
      <c r="CL93" s="47" t="n"/>
      <c r="CM93" s="47" t="n"/>
      <c r="CN93" s="47" t="inlineStr">
        <is>
          <t>A</t>
        </is>
      </c>
      <c r="CO93" s="47" t="n"/>
      <c r="CP93" s="47" t="n"/>
      <c r="CQ93" s="47" t="inlineStr">
        <is>
          <t>P</t>
        </is>
      </c>
      <c r="CR93" s="47" t="inlineStr">
        <is>
          <t>P</t>
        </is>
      </c>
      <c r="CS93" s="47" t="n"/>
      <c r="CT93" s="47" t="n"/>
      <c r="CU93" s="47" t="inlineStr">
        <is>
          <t>P</t>
        </is>
      </c>
      <c r="CV93" s="47" t="inlineStr">
        <is>
          <t>P</t>
        </is>
      </c>
      <c r="CW93" s="47" t="n"/>
      <c r="CX93" s="47" t="n"/>
      <c r="CY93" s="47" t="n"/>
      <c r="CZ93" s="47" t="inlineStr">
        <is>
          <t>P</t>
        </is>
      </c>
      <c r="DA93" s="47" t="n"/>
      <c r="DB93" s="47" t="n"/>
      <c r="DC93" s="47" t="inlineStr">
        <is>
          <t>P</t>
        </is>
      </c>
      <c r="DD93" s="47" t="n"/>
      <c r="DE93" s="47" t="n"/>
      <c r="DF93" s="47" t="n"/>
      <c r="DG93" s="47" t="n"/>
      <c r="DH93" s="47" t="n"/>
      <c r="DI93" s="47" t="n"/>
      <c r="DJ93" s="47" t="n"/>
      <c r="DK93" s="47" t="inlineStr">
        <is>
          <t>P</t>
        </is>
      </c>
      <c r="DL93" s="47" t="n"/>
      <c r="DM93" s="47" t="n"/>
      <c r="DN93" s="47" t="inlineStr">
        <is>
          <t>P</t>
        </is>
      </c>
      <c r="DO93" s="47" t="inlineStr">
        <is>
          <t>P</t>
        </is>
      </c>
      <c r="DP93" s="47" t="n"/>
      <c r="DQ93" s="47" t="n"/>
      <c r="DR93" s="47" t="inlineStr">
        <is>
          <t>P</t>
        </is>
      </c>
      <c r="DS93" s="47" t="inlineStr">
        <is>
          <t>P</t>
        </is>
      </c>
      <c r="DT93" s="47" t="n"/>
      <c r="DU93" s="47" t="n"/>
      <c r="DV93" s="47" t="inlineStr">
        <is>
          <t>P</t>
        </is>
      </c>
      <c r="DW93" s="47" t="inlineStr">
        <is>
          <t>A</t>
        </is>
      </c>
      <c r="DX93" s="47" t="n"/>
      <c r="DY93" s="47" t="n"/>
      <c r="DZ93" s="47" t="inlineStr">
        <is>
          <t>A</t>
        </is>
      </c>
      <c r="EA93" s="47" t="n"/>
      <c r="EB93" s="47" t="n"/>
      <c r="EC93" s="47" t="n"/>
      <c r="ED93" s="47" t="n"/>
      <c r="EE93" s="47" t="n"/>
      <c r="EF93" s="47" t="n"/>
      <c r="EG93" s="47" t="n"/>
      <c r="EH93" s="47" t="inlineStr">
        <is>
          <t>A</t>
        </is>
      </c>
      <c r="EI93" s="47" t="n"/>
      <c r="EJ93" s="47" t="n"/>
      <c r="EK93" s="47" t="inlineStr">
        <is>
          <t>A</t>
        </is>
      </c>
      <c r="EL93" s="47" t="inlineStr">
        <is>
          <t>A</t>
        </is>
      </c>
      <c r="EM93" s="47" t="n"/>
      <c r="EN93" s="47" t="n"/>
      <c r="EO93" s="47" t="inlineStr">
        <is>
          <t>P</t>
        </is>
      </c>
      <c r="EP93" s="47" t="inlineStr">
        <is>
          <t>A</t>
        </is>
      </c>
      <c r="EQ93" s="47" t="n"/>
      <c r="ER93" s="47" t="n"/>
      <c r="ES93" s="47" t="inlineStr">
        <is>
          <t>A</t>
        </is>
      </c>
      <c r="ET93" s="47" t="inlineStr">
        <is>
          <t>A</t>
        </is>
      </c>
      <c r="EU93" s="47" t="n"/>
      <c r="EV93" s="47" t="n"/>
      <c r="EW93" s="47" t="n"/>
      <c r="EX93" s="47" t="n"/>
      <c r="EY93" s="47" t="n"/>
      <c r="EZ93" s="47" t="n"/>
      <c r="FA93" s="47" t="n"/>
      <c r="FB93" s="47" t="inlineStr">
        <is>
          <t>A</t>
        </is>
      </c>
      <c r="FC93" s="47" t="n"/>
      <c r="FD93" s="47" t="n"/>
      <c r="FE93" s="47" t="inlineStr">
        <is>
          <t>P</t>
        </is>
      </c>
      <c r="FF93" s="47" t="inlineStr">
        <is>
          <t>P</t>
        </is>
      </c>
      <c r="FG93" s="47" t="n"/>
      <c r="FH93" s="47" t="n"/>
      <c r="FI93" s="47" t="inlineStr">
        <is>
          <t>P</t>
        </is>
      </c>
      <c r="FJ93" s="47" t="inlineStr">
        <is>
          <t>P</t>
        </is>
      </c>
      <c r="FK93" s="47" t="n"/>
      <c r="FL93" s="47" t="n"/>
      <c r="FM93" s="47" t="n"/>
      <c r="FN93" s="47" t="n"/>
      <c r="FO93" s="47" t="n"/>
      <c r="FP93" s="47" t="n"/>
      <c r="FQ93" s="47" t="n"/>
      <c r="FR93" s="47" t="inlineStr">
        <is>
          <t>P</t>
        </is>
      </c>
      <c r="FS93" s="47" t="n"/>
      <c r="FT93" s="47" t="n"/>
      <c r="FU93" s="47" t="n"/>
      <c r="FV93" s="47" t="n"/>
      <c r="FW93" s="47" t="n"/>
      <c r="FX93" s="47" t="n"/>
      <c r="FY93" s="47" t="inlineStr">
        <is>
          <t>A</t>
        </is>
      </c>
      <c r="FZ93" s="47" t="inlineStr">
        <is>
          <t>A</t>
        </is>
      </c>
      <c r="GA93" s="47" t="n"/>
      <c r="GB93" s="47" t="n"/>
      <c r="GC93" s="47" t="n"/>
      <c r="GD93" s="47" t="inlineStr">
        <is>
          <t>A</t>
        </is>
      </c>
      <c r="GE93" s="47" t="n"/>
      <c r="GF93" s="47" t="n"/>
      <c r="GG93" s="47" t="inlineStr">
        <is>
          <t>A</t>
        </is>
      </c>
      <c r="GH93" s="47" t="n"/>
      <c r="GI93" s="47" t="n"/>
    </row>
    <row r="94" ht="14.25" customHeight="1" s="34">
      <c r="A94" s="46" t="n">
        <v>91</v>
      </c>
      <c r="B94" s="46" t="inlineStr">
        <is>
          <t>325106410091</t>
        </is>
      </c>
      <c r="C94" s="46" t="inlineStr">
        <is>
          <t>MOHAMMAD MUGAHED AHMED ABDO AL-MAHDALI</t>
        </is>
      </c>
      <c r="D94" s="47" t="inlineStr">
        <is>
          <t>P</t>
        </is>
      </c>
      <c r="E94" s="47" t="n"/>
      <c r="F94" s="47" t="n"/>
      <c r="G94" s="47" t="n"/>
      <c r="H94" s="47" t="n"/>
      <c r="I94" s="47" t="inlineStr">
        <is>
          <t>A</t>
        </is>
      </c>
      <c r="J94" s="47" t="n"/>
      <c r="K94" s="47" t="n"/>
      <c r="L94" s="47" t="inlineStr">
        <is>
          <t>P</t>
        </is>
      </c>
      <c r="M94" s="47" t="n"/>
      <c r="N94" s="47" t="n"/>
      <c r="O94" s="47" t="n"/>
      <c r="P94" s="47" t="inlineStr">
        <is>
          <t>P</t>
        </is>
      </c>
      <c r="Q94" s="47" t="inlineStr">
        <is>
          <t>P</t>
        </is>
      </c>
      <c r="R94" s="47" t="n"/>
      <c r="S94" s="47" t="n"/>
      <c r="T94" s="47" t="inlineStr">
        <is>
          <t>P</t>
        </is>
      </c>
      <c r="U94" s="47" t="n"/>
      <c r="V94" s="47" t="n"/>
      <c r="W94" s="47" t="n"/>
      <c r="X94" s="47" t="n"/>
      <c r="Y94" s="47" t="n"/>
      <c r="Z94" s="47" t="n"/>
      <c r="AA94" s="47" t="n"/>
      <c r="AB94" s="47" t="n"/>
      <c r="AC94" s="47" t="inlineStr">
        <is>
          <t>P</t>
        </is>
      </c>
      <c r="AD94" s="47" t="n"/>
      <c r="AE94" s="47" t="n"/>
      <c r="AF94" s="47" t="inlineStr">
        <is>
          <t>P</t>
        </is>
      </c>
      <c r="AG94" s="47" t="n"/>
      <c r="AH94" s="47" t="n"/>
      <c r="AI94" s="47" t="n"/>
      <c r="AJ94" s="47" t="inlineStr">
        <is>
          <t>P</t>
        </is>
      </c>
      <c r="AK94" s="47" t="inlineStr">
        <is>
          <t>P</t>
        </is>
      </c>
      <c r="AL94" s="47" t="n"/>
      <c r="AM94" s="47" t="n"/>
      <c r="AN94" s="47" t="inlineStr">
        <is>
          <t>A</t>
        </is>
      </c>
      <c r="AO94" s="47" t="n"/>
      <c r="AP94" s="47" t="n"/>
      <c r="AQ94" s="47" t="n"/>
      <c r="AR94" s="47" t="inlineStr">
        <is>
          <t>A</t>
        </is>
      </c>
      <c r="AS94" s="47" t="n"/>
      <c r="AT94" s="47" t="n"/>
      <c r="AU94" s="47" t="n"/>
      <c r="AV94" s="47" t="n"/>
      <c r="AW94" s="47" t="inlineStr">
        <is>
          <t>P</t>
        </is>
      </c>
      <c r="AX94" s="47" t="n"/>
      <c r="AY94" s="47" t="n"/>
      <c r="AZ94" s="47" t="inlineStr">
        <is>
          <t>P</t>
        </is>
      </c>
      <c r="BA94" s="47" t="inlineStr">
        <is>
          <t>P</t>
        </is>
      </c>
      <c r="BB94" s="47" t="n"/>
      <c r="BC94" s="47" t="n"/>
      <c r="BD94" s="47" t="inlineStr">
        <is>
          <t>P</t>
        </is>
      </c>
      <c r="BE94" s="47" t="inlineStr">
        <is>
          <t>P</t>
        </is>
      </c>
      <c r="BF94" s="47" t="n"/>
      <c r="BG94" s="47" t="n"/>
      <c r="BH94" s="47" t="inlineStr">
        <is>
          <t>P</t>
        </is>
      </c>
      <c r="BI94" s="47" t="inlineStr">
        <is>
          <t>P</t>
        </is>
      </c>
      <c r="BJ94" s="47" t="n"/>
      <c r="BK94" s="47" t="n"/>
      <c r="BL94" s="47" t="n"/>
      <c r="BM94" s="47" t="n"/>
      <c r="BN94" s="47" t="n"/>
      <c r="BO94" s="47" t="n"/>
      <c r="BP94" s="47" t="n"/>
      <c r="BQ94" s="47" t="inlineStr">
        <is>
          <t>P</t>
        </is>
      </c>
      <c r="BR94" s="47" t="n"/>
      <c r="BS94" s="47" t="n"/>
      <c r="BT94" s="47" t="inlineStr">
        <is>
          <t>P</t>
        </is>
      </c>
      <c r="BU94" s="47" t="inlineStr">
        <is>
          <t>P</t>
        </is>
      </c>
      <c r="BV94" s="47" t="n"/>
      <c r="BW94" s="47" t="n"/>
      <c r="BX94" s="47" t="inlineStr">
        <is>
          <t>P</t>
        </is>
      </c>
      <c r="BY94" s="47" t="inlineStr">
        <is>
          <t>P</t>
        </is>
      </c>
      <c r="BZ94" s="47" t="n"/>
      <c r="CA94" s="47" t="n"/>
      <c r="CB94" s="47" t="inlineStr">
        <is>
          <t>P</t>
        </is>
      </c>
      <c r="CC94" s="47" t="n"/>
      <c r="CD94" s="47" t="n"/>
      <c r="CE94" s="47" t="n"/>
      <c r="CF94" s="47" t="inlineStr">
        <is>
          <t>A</t>
        </is>
      </c>
      <c r="CG94" s="47" t="n"/>
      <c r="CH94" s="47" t="n"/>
      <c r="CI94" s="47" t="n"/>
      <c r="CJ94" s="47" t="n"/>
      <c r="CK94" s="47" t="n"/>
      <c r="CL94" s="47" t="n"/>
      <c r="CM94" s="47" t="n"/>
      <c r="CN94" s="47" t="inlineStr">
        <is>
          <t>P</t>
        </is>
      </c>
      <c r="CO94" s="47" t="n"/>
      <c r="CP94" s="47" t="n"/>
      <c r="CQ94" s="47" t="inlineStr">
        <is>
          <t>P</t>
        </is>
      </c>
      <c r="CR94" s="47" t="inlineStr">
        <is>
          <t>P</t>
        </is>
      </c>
      <c r="CS94" s="47" t="n"/>
      <c r="CT94" s="47" t="n"/>
      <c r="CU94" s="47" t="inlineStr">
        <is>
          <t>P</t>
        </is>
      </c>
      <c r="CV94" s="47" t="inlineStr">
        <is>
          <t>P</t>
        </is>
      </c>
      <c r="CW94" s="47" t="n"/>
      <c r="CX94" s="47" t="n"/>
      <c r="CY94" s="47" t="n"/>
      <c r="CZ94" s="47" t="inlineStr">
        <is>
          <t>P</t>
        </is>
      </c>
      <c r="DA94" s="47" t="n"/>
      <c r="DB94" s="47" t="n"/>
      <c r="DC94" s="47" t="inlineStr">
        <is>
          <t>P</t>
        </is>
      </c>
      <c r="DD94" s="47" t="n"/>
      <c r="DE94" s="47" t="n"/>
      <c r="DF94" s="47" t="n"/>
      <c r="DG94" s="47" t="n"/>
      <c r="DH94" s="47" t="n"/>
      <c r="DI94" s="47" t="n"/>
      <c r="DJ94" s="47" t="n"/>
      <c r="DK94" s="47" t="inlineStr">
        <is>
          <t>P</t>
        </is>
      </c>
      <c r="DL94" s="47" t="n"/>
      <c r="DM94" s="47" t="n"/>
      <c r="DN94" s="47" t="inlineStr">
        <is>
          <t>P</t>
        </is>
      </c>
      <c r="DO94" s="47" t="inlineStr">
        <is>
          <t>P</t>
        </is>
      </c>
      <c r="DP94" s="47" t="n"/>
      <c r="DQ94" s="47" t="n"/>
      <c r="DR94" s="47" t="inlineStr">
        <is>
          <t>P</t>
        </is>
      </c>
      <c r="DS94" s="47" t="inlineStr">
        <is>
          <t>P</t>
        </is>
      </c>
      <c r="DT94" s="47" t="n"/>
      <c r="DU94" s="47" t="n"/>
      <c r="DV94" s="47" t="inlineStr">
        <is>
          <t>P</t>
        </is>
      </c>
      <c r="DW94" s="47" t="inlineStr">
        <is>
          <t>P</t>
        </is>
      </c>
      <c r="DX94" s="47" t="n"/>
      <c r="DY94" s="47" t="n"/>
      <c r="DZ94" s="47" t="inlineStr">
        <is>
          <t>P</t>
        </is>
      </c>
      <c r="EA94" s="47" t="n"/>
      <c r="EB94" s="47" t="n"/>
      <c r="EC94" s="47" t="n"/>
      <c r="ED94" s="47" t="n"/>
      <c r="EE94" s="47" t="n"/>
      <c r="EF94" s="47" t="n"/>
      <c r="EG94" s="47" t="n"/>
      <c r="EH94" s="47" t="inlineStr">
        <is>
          <t>P</t>
        </is>
      </c>
      <c r="EI94" s="47" t="n"/>
      <c r="EJ94" s="47" t="n"/>
      <c r="EK94" s="47" t="inlineStr">
        <is>
          <t>P</t>
        </is>
      </c>
      <c r="EL94" s="47" t="inlineStr">
        <is>
          <t>P</t>
        </is>
      </c>
      <c r="EM94" s="47" t="n"/>
      <c r="EN94" s="47" t="n"/>
      <c r="EO94" s="47" t="inlineStr">
        <is>
          <t>P</t>
        </is>
      </c>
      <c r="EP94" s="47" t="inlineStr">
        <is>
          <t>P</t>
        </is>
      </c>
      <c r="EQ94" s="47" t="n"/>
      <c r="ER94" s="47" t="n"/>
      <c r="ES94" s="47" t="inlineStr">
        <is>
          <t>A</t>
        </is>
      </c>
      <c r="ET94" s="47" t="inlineStr">
        <is>
          <t>A</t>
        </is>
      </c>
      <c r="EU94" s="47" t="n"/>
      <c r="EV94" s="47" t="n"/>
      <c r="EW94" s="47" t="n"/>
      <c r="EX94" s="47" t="n"/>
      <c r="EY94" s="47" t="n"/>
      <c r="EZ94" s="47" t="n"/>
      <c r="FA94" s="47" t="n"/>
      <c r="FB94" s="47" t="inlineStr">
        <is>
          <t>A</t>
        </is>
      </c>
      <c r="FC94" s="47" t="n"/>
      <c r="FD94" s="47" t="n"/>
      <c r="FE94" s="47" t="inlineStr">
        <is>
          <t>P</t>
        </is>
      </c>
      <c r="FF94" s="47" t="inlineStr">
        <is>
          <t>P</t>
        </is>
      </c>
      <c r="FG94" s="47" t="n"/>
      <c r="FH94" s="47" t="n"/>
      <c r="FI94" s="47" t="inlineStr">
        <is>
          <t>A</t>
        </is>
      </c>
      <c r="FJ94" s="47" t="inlineStr">
        <is>
          <t>A</t>
        </is>
      </c>
      <c r="FK94" s="47" t="n"/>
      <c r="FL94" s="47" t="n"/>
      <c r="FM94" s="47" t="n"/>
      <c r="FN94" s="47" t="n"/>
      <c r="FO94" s="47" t="n"/>
      <c r="FP94" s="47" t="n"/>
      <c r="FQ94" s="47" t="n"/>
      <c r="FR94" s="47" t="inlineStr">
        <is>
          <t>P</t>
        </is>
      </c>
      <c r="FS94" s="47" t="n"/>
      <c r="FT94" s="47" t="n"/>
      <c r="FU94" s="47" t="n"/>
      <c r="FV94" s="47" t="n"/>
      <c r="FW94" s="47" t="n"/>
      <c r="FX94" s="47" t="n"/>
      <c r="FY94" s="47" t="inlineStr">
        <is>
          <t>A</t>
        </is>
      </c>
      <c r="FZ94" s="47" t="inlineStr">
        <is>
          <t>P</t>
        </is>
      </c>
      <c r="GA94" s="47" t="n"/>
      <c r="GB94" s="47" t="n"/>
      <c r="GC94" s="47" t="n"/>
      <c r="GD94" s="47" t="inlineStr">
        <is>
          <t>A</t>
        </is>
      </c>
      <c r="GE94" s="47" t="n"/>
      <c r="GF94" s="47" t="n"/>
      <c r="GG94" s="47" t="inlineStr">
        <is>
          <t>A</t>
        </is>
      </c>
      <c r="GH94" s="47" t="n"/>
      <c r="GI94" s="47" t="n"/>
    </row>
    <row r="95" ht="14.25" customHeight="1" s="34">
      <c r="A95" s="46" t="n">
        <v>92</v>
      </c>
      <c r="B95" s="46" t="inlineStr">
        <is>
          <t>325106410092</t>
        </is>
      </c>
      <c r="C95" s="46" t="inlineStr">
        <is>
          <t>MUGDHO CHOWDHURY</t>
        </is>
      </c>
      <c r="D95" s="47" t="inlineStr">
        <is>
          <t>A</t>
        </is>
      </c>
      <c r="E95" s="47" t="n"/>
      <c r="F95" s="47" t="n"/>
      <c r="G95" s="47" t="n"/>
      <c r="H95" s="47" t="n"/>
      <c r="I95" s="47" t="inlineStr">
        <is>
          <t>A</t>
        </is>
      </c>
      <c r="J95" s="47" t="n"/>
      <c r="K95" s="47" t="n"/>
      <c r="L95" s="47" t="inlineStr">
        <is>
          <t>A</t>
        </is>
      </c>
      <c r="M95" s="47" t="n"/>
      <c r="N95" s="47" t="n"/>
      <c r="O95" s="47" t="n"/>
      <c r="P95" s="47" t="inlineStr">
        <is>
          <t>A</t>
        </is>
      </c>
      <c r="Q95" s="47" t="inlineStr">
        <is>
          <t>A</t>
        </is>
      </c>
      <c r="R95" s="47" t="n"/>
      <c r="S95" s="47" t="n"/>
      <c r="T95" s="47" t="inlineStr">
        <is>
          <t>A</t>
        </is>
      </c>
      <c r="U95" s="47" t="n"/>
      <c r="V95" s="47" t="n"/>
      <c r="W95" s="47" t="n"/>
      <c r="X95" s="47" t="n"/>
      <c r="Y95" s="47" t="n"/>
      <c r="Z95" s="47" t="n"/>
      <c r="AA95" s="47" t="n"/>
      <c r="AB95" s="47" t="n"/>
      <c r="AC95" s="47" t="inlineStr">
        <is>
          <t>A</t>
        </is>
      </c>
      <c r="AD95" s="47" t="n"/>
      <c r="AE95" s="47" t="n"/>
      <c r="AF95" s="47" t="inlineStr">
        <is>
          <t>A</t>
        </is>
      </c>
      <c r="AG95" s="47" t="n"/>
      <c r="AH95" s="47" t="n"/>
      <c r="AI95" s="47" t="n"/>
      <c r="AJ95" s="47" t="inlineStr">
        <is>
          <t>A</t>
        </is>
      </c>
      <c r="AK95" s="47" t="inlineStr">
        <is>
          <t>A</t>
        </is>
      </c>
      <c r="AL95" s="47" t="n"/>
      <c r="AM95" s="47" t="n"/>
      <c r="AN95" s="47" t="inlineStr">
        <is>
          <t>A</t>
        </is>
      </c>
      <c r="AO95" s="47" t="n"/>
      <c r="AP95" s="47" t="n"/>
      <c r="AQ95" s="47" t="n"/>
      <c r="AR95" s="47" t="inlineStr">
        <is>
          <t>A</t>
        </is>
      </c>
      <c r="AS95" s="47" t="n"/>
      <c r="AT95" s="47" t="n"/>
      <c r="AU95" s="47" t="n"/>
      <c r="AV95" s="47" t="n"/>
      <c r="AW95" s="47" t="inlineStr">
        <is>
          <t>A</t>
        </is>
      </c>
      <c r="AX95" s="47" t="n"/>
      <c r="AY95" s="47" t="n"/>
      <c r="AZ95" s="47" t="inlineStr">
        <is>
          <t>A</t>
        </is>
      </c>
      <c r="BA95" s="47" t="inlineStr">
        <is>
          <t>A</t>
        </is>
      </c>
      <c r="BB95" s="47" t="n"/>
      <c r="BC95" s="47" t="n"/>
      <c r="BD95" s="47" t="inlineStr">
        <is>
          <t>P</t>
        </is>
      </c>
      <c r="BE95" s="47" t="inlineStr">
        <is>
          <t>P</t>
        </is>
      </c>
      <c r="BF95" s="47" t="n"/>
      <c r="BG95" s="47" t="n"/>
      <c r="BH95" s="47" t="inlineStr">
        <is>
          <t>P</t>
        </is>
      </c>
      <c r="BI95" s="47" t="inlineStr">
        <is>
          <t>P</t>
        </is>
      </c>
      <c r="BJ95" s="47" t="n"/>
      <c r="BK95" s="47" t="n"/>
      <c r="BL95" s="47" t="n"/>
      <c r="BM95" s="47" t="n"/>
      <c r="BN95" s="47" t="n"/>
      <c r="BO95" s="47" t="n"/>
      <c r="BP95" s="47" t="n"/>
      <c r="BQ95" s="47" t="inlineStr">
        <is>
          <t>P</t>
        </is>
      </c>
      <c r="BR95" s="47" t="n"/>
      <c r="BS95" s="47" t="n"/>
      <c r="BT95" s="47" t="inlineStr">
        <is>
          <t>P</t>
        </is>
      </c>
      <c r="BU95" s="47" t="inlineStr">
        <is>
          <t>P</t>
        </is>
      </c>
      <c r="BV95" s="47" t="n"/>
      <c r="BW95" s="47" t="n"/>
      <c r="BX95" s="47" t="inlineStr">
        <is>
          <t>P</t>
        </is>
      </c>
      <c r="BY95" s="47" t="inlineStr">
        <is>
          <t>P</t>
        </is>
      </c>
      <c r="BZ95" s="47" t="n"/>
      <c r="CA95" s="47" t="n"/>
      <c r="CB95" s="47" t="inlineStr">
        <is>
          <t>P</t>
        </is>
      </c>
      <c r="CC95" s="47" t="n"/>
      <c r="CD95" s="47" t="n"/>
      <c r="CE95" s="47" t="n"/>
      <c r="CF95" s="47" t="inlineStr">
        <is>
          <t>P</t>
        </is>
      </c>
      <c r="CG95" s="47" t="n"/>
      <c r="CH95" s="47" t="n"/>
      <c r="CI95" s="47" t="n"/>
      <c r="CJ95" s="47" t="n"/>
      <c r="CK95" s="47" t="n"/>
      <c r="CL95" s="47" t="n"/>
      <c r="CM95" s="47" t="n"/>
      <c r="CN95" s="47" t="inlineStr">
        <is>
          <t>P</t>
        </is>
      </c>
      <c r="CO95" s="47" t="n"/>
      <c r="CP95" s="47" t="n"/>
      <c r="CQ95" s="47" t="inlineStr">
        <is>
          <t>P</t>
        </is>
      </c>
      <c r="CR95" s="47" t="inlineStr">
        <is>
          <t>P</t>
        </is>
      </c>
      <c r="CS95" s="47" t="n"/>
      <c r="CT95" s="47" t="n"/>
      <c r="CU95" s="47" t="inlineStr">
        <is>
          <t>P</t>
        </is>
      </c>
      <c r="CV95" s="47" t="inlineStr">
        <is>
          <t>P</t>
        </is>
      </c>
      <c r="CW95" s="47" t="n"/>
      <c r="CX95" s="47" t="n"/>
      <c r="CY95" s="47" t="n"/>
      <c r="CZ95" s="47" t="inlineStr">
        <is>
          <t>P</t>
        </is>
      </c>
      <c r="DA95" s="47" t="n"/>
      <c r="DB95" s="47" t="n"/>
      <c r="DC95" s="47" t="inlineStr">
        <is>
          <t>P</t>
        </is>
      </c>
      <c r="DD95" s="47" t="n"/>
      <c r="DE95" s="47" t="n"/>
      <c r="DF95" s="47" t="n"/>
      <c r="DG95" s="47" t="n"/>
      <c r="DH95" s="47" t="n"/>
      <c r="DI95" s="47" t="n"/>
      <c r="DJ95" s="47" t="n"/>
      <c r="DK95" s="47" t="inlineStr">
        <is>
          <t>P</t>
        </is>
      </c>
      <c r="DL95" s="47" t="n"/>
      <c r="DM95" s="47" t="n"/>
      <c r="DN95" s="47" t="inlineStr">
        <is>
          <t>P</t>
        </is>
      </c>
      <c r="DO95" s="47" t="inlineStr">
        <is>
          <t>P</t>
        </is>
      </c>
      <c r="DP95" s="47" t="n"/>
      <c r="DQ95" s="47" t="n"/>
      <c r="DR95" s="47" t="inlineStr">
        <is>
          <t>P</t>
        </is>
      </c>
      <c r="DS95" s="47" t="inlineStr">
        <is>
          <t>P</t>
        </is>
      </c>
      <c r="DT95" s="47" t="n"/>
      <c r="DU95" s="47" t="n"/>
      <c r="DV95" s="47" t="inlineStr">
        <is>
          <t>P</t>
        </is>
      </c>
      <c r="DW95" s="47" t="inlineStr">
        <is>
          <t>P</t>
        </is>
      </c>
      <c r="DX95" s="47" t="n"/>
      <c r="DY95" s="47" t="n"/>
      <c r="DZ95" s="47" t="inlineStr">
        <is>
          <t>P</t>
        </is>
      </c>
      <c r="EA95" s="47" t="n"/>
      <c r="EB95" s="47" t="n"/>
      <c r="EC95" s="47" t="n"/>
      <c r="ED95" s="47" t="n"/>
      <c r="EE95" s="47" t="n"/>
      <c r="EF95" s="47" t="n"/>
      <c r="EG95" s="47" t="n"/>
      <c r="EH95" s="47" t="inlineStr">
        <is>
          <t>P</t>
        </is>
      </c>
      <c r="EI95" s="47" t="n"/>
      <c r="EJ95" s="47" t="n"/>
      <c r="EK95" s="47" t="inlineStr">
        <is>
          <t>P</t>
        </is>
      </c>
      <c r="EL95" s="47" t="inlineStr">
        <is>
          <t>P</t>
        </is>
      </c>
      <c r="EM95" s="47" t="n"/>
      <c r="EN95" s="47" t="n"/>
      <c r="EO95" s="47" t="inlineStr">
        <is>
          <t>P</t>
        </is>
      </c>
      <c r="EP95" s="47" t="inlineStr">
        <is>
          <t>P</t>
        </is>
      </c>
      <c r="EQ95" s="47" t="n"/>
      <c r="ER95" s="47" t="n"/>
      <c r="ES95" s="47" t="inlineStr">
        <is>
          <t>P</t>
        </is>
      </c>
      <c r="ET95" s="47" t="inlineStr">
        <is>
          <t>P</t>
        </is>
      </c>
      <c r="EU95" s="47" t="n"/>
      <c r="EV95" s="47" t="n"/>
      <c r="EW95" s="47" t="n"/>
      <c r="EX95" s="47" t="n"/>
      <c r="EY95" s="47" t="n"/>
      <c r="EZ95" s="47" t="n"/>
      <c r="FA95" s="47" t="n"/>
      <c r="FB95" s="47" t="inlineStr">
        <is>
          <t>P</t>
        </is>
      </c>
      <c r="FC95" s="47" t="n"/>
      <c r="FD95" s="47" t="n"/>
      <c r="FE95" s="47" t="inlineStr">
        <is>
          <t>P</t>
        </is>
      </c>
      <c r="FF95" s="47" t="inlineStr">
        <is>
          <t>P</t>
        </is>
      </c>
      <c r="FG95" s="47" t="n"/>
      <c r="FH95" s="47" t="n"/>
      <c r="FI95" s="47" t="inlineStr">
        <is>
          <t>P</t>
        </is>
      </c>
      <c r="FJ95" s="47" t="inlineStr">
        <is>
          <t>P</t>
        </is>
      </c>
      <c r="FK95" s="47" t="n"/>
      <c r="FL95" s="47" t="n"/>
      <c r="FM95" s="47" t="n"/>
      <c r="FN95" s="47" t="n"/>
      <c r="FO95" s="47" t="n"/>
      <c r="FP95" s="47" t="n"/>
      <c r="FQ95" s="47" t="n"/>
      <c r="FR95" s="47" t="inlineStr">
        <is>
          <t>P</t>
        </is>
      </c>
      <c r="FS95" s="47" t="n"/>
      <c r="FT95" s="47" t="n"/>
      <c r="FU95" s="47" t="n"/>
      <c r="FV95" s="47" t="n"/>
      <c r="FW95" s="47" t="n"/>
      <c r="FX95" s="47" t="n"/>
      <c r="FY95" s="47" t="inlineStr">
        <is>
          <t>P</t>
        </is>
      </c>
      <c r="FZ95" s="47" t="inlineStr">
        <is>
          <t>P</t>
        </is>
      </c>
      <c r="GA95" s="47" t="n"/>
      <c r="GB95" s="47" t="n"/>
      <c r="GC95" s="47" t="n"/>
      <c r="GD95" s="47" t="inlineStr">
        <is>
          <t>P</t>
        </is>
      </c>
      <c r="GE95" s="47" t="n"/>
      <c r="GF95" s="47" t="n"/>
      <c r="GG95" s="47" t="inlineStr">
        <is>
          <t>P</t>
        </is>
      </c>
      <c r="GH95" s="47" t="n"/>
      <c r="GI95" s="47" t="n"/>
    </row>
    <row r="96" ht="14.25" customHeight="1" s="34">
      <c r="A96" s="46" t="n">
        <v>93</v>
      </c>
      <c r="B96" s="46" t="inlineStr">
        <is>
          <t>325106410093</t>
        </is>
      </c>
      <c r="C96" s="46" t="inlineStr">
        <is>
          <t>-------</t>
        </is>
      </c>
      <c r="D96" s="47" t="inlineStr">
        <is>
          <t>A</t>
        </is>
      </c>
      <c r="E96" s="47" t="n"/>
      <c r="F96" s="47" t="n"/>
      <c r="G96" s="47" t="n"/>
      <c r="H96" s="47" t="n"/>
      <c r="I96" s="47" t="inlineStr">
        <is>
          <t>A</t>
        </is>
      </c>
      <c r="J96" s="47" t="n"/>
      <c r="K96" s="47" t="n"/>
      <c r="L96" s="47" t="inlineStr">
        <is>
          <t>A</t>
        </is>
      </c>
      <c r="M96" s="47" t="n"/>
      <c r="N96" s="47" t="n"/>
      <c r="O96" s="47" t="n"/>
      <c r="P96" s="47" t="inlineStr">
        <is>
          <t>A</t>
        </is>
      </c>
      <c r="Q96" s="47" t="inlineStr">
        <is>
          <t>A</t>
        </is>
      </c>
      <c r="R96" s="47" t="n"/>
      <c r="S96" s="47" t="n"/>
      <c r="T96" s="47" t="inlineStr">
        <is>
          <t>A</t>
        </is>
      </c>
      <c r="U96" s="47" t="n"/>
      <c r="V96" s="47" t="n"/>
      <c r="W96" s="47" t="n"/>
      <c r="X96" s="47" t="n"/>
      <c r="Y96" s="47" t="n"/>
      <c r="Z96" s="47" t="n"/>
      <c r="AA96" s="47" t="n"/>
      <c r="AB96" s="47" t="n"/>
      <c r="AC96" s="47" t="inlineStr">
        <is>
          <t>A</t>
        </is>
      </c>
      <c r="AD96" s="47" t="n"/>
      <c r="AE96" s="47" t="n"/>
      <c r="AF96" s="47" t="inlineStr">
        <is>
          <t>A</t>
        </is>
      </c>
      <c r="AG96" s="47" t="n"/>
      <c r="AH96" s="47" t="n"/>
      <c r="AI96" s="47" t="n"/>
      <c r="AJ96" s="47" t="inlineStr">
        <is>
          <t>A</t>
        </is>
      </c>
      <c r="AK96" s="47" t="inlineStr">
        <is>
          <t>A</t>
        </is>
      </c>
      <c r="AL96" s="47" t="n"/>
      <c r="AM96" s="47" t="n"/>
      <c r="AN96" s="47" t="inlineStr">
        <is>
          <t>A</t>
        </is>
      </c>
      <c r="AO96" s="47" t="n"/>
      <c r="AP96" s="47" t="n"/>
      <c r="AQ96" s="47" t="n"/>
      <c r="AR96" s="47" t="inlineStr">
        <is>
          <t>A</t>
        </is>
      </c>
      <c r="AS96" s="47" t="n"/>
      <c r="AT96" s="47" t="n"/>
      <c r="AU96" s="47" t="n"/>
      <c r="AV96" s="47" t="n"/>
      <c r="AW96" s="47" t="inlineStr">
        <is>
          <t>A</t>
        </is>
      </c>
      <c r="AX96" s="47" t="n"/>
      <c r="AY96" s="47" t="n"/>
      <c r="AZ96" s="47" t="inlineStr">
        <is>
          <t>A</t>
        </is>
      </c>
      <c r="BA96" s="47" t="inlineStr">
        <is>
          <t>A</t>
        </is>
      </c>
      <c r="BB96" s="47" t="n"/>
      <c r="BC96" s="47" t="n"/>
      <c r="BD96" s="47" t="inlineStr">
        <is>
          <t>A</t>
        </is>
      </c>
      <c r="BE96" s="47" t="inlineStr">
        <is>
          <t>A</t>
        </is>
      </c>
      <c r="BF96" s="47" t="n"/>
      <c r="BG96" s="47" t="n"/>
      <c r="BH96" s="47" t="inlineStr">
        <is>
          <t>A</t>
        </is>
      </c>
      <c r="BI96" s="47" t="inlineStr">
        <is>
          <t>A</t>
        </is>
      </c>
      <c r="BJ96" s="47" t="n"/>
      <c r="BK96" s="47" t="n"/>
      <c r="BL96" s="47" t="n"/>
      <c r="BM96" s="47" t="n"/>
      <c r="BN96" s="47" t="n"/>
      <c r="BO96" s="47" t="n"/>
      <c r="BP96" s="47" t="n"/>
      <c r="BQ96" s="47" t="inlineStr">
        <is>
          <t>A</t>
        </is>
      </c>
      <c r="BR96" s="47" t="n"/>
      <c r="BS96" s="47" t="n"/>
      <c r="BT96" s="47" t="inlineStr">
        <is>
          <t>A</t>
        </is>
      </c>
      <c r="BU96" s="47" t="inlineStr">
        <is>
          <t>A</t>
        </is>
      </c>
      <c r="BV96" s="47" t="n"/>
      <c r="BW96" s="47" t="n"/>
      <c r="BX96" s="47" t="inlineStr">
        <is>
          <t>A</t>
        </is>
      </c>
      <c r="BY96" s="47" t="inlineStr">
        <is>
          <t>A</t>
        </is>
      </c>
      <c r="BZ96" s="47" t="n"/>
      <c r="CA96" s="47" t="n"/>
      <c r="CB96" s="47" t="inlineStr">
        <is>
          <t>A</t>
        </is>
      </c>
      <c r="CC96" s="47" t="n"/>
      <c r="CD96" s="47" t="n"/>
      <c r="CE96" s="47" t="n"/>
      <c r="CF96" s="47" t="inlineStr">
        <is>
          <t>A</t>
        </is>
      </c>
      <c r="CG96" s="47" t="n"/>
      <c r="CH96" s="47" t="n"/>
      <c r="CI96" s="47" t="n"/>
      <c r="CJ96" s="47" t="n"/>
      <c r="CK96" s="47" t="n"/>
      <c r="CL96" s="47" t="n"/>
      <c r="CM96" s="47" t="n"/>
      <c r="CN96" s="47" t="inlineStr">
        <is>
          <t>A</t>
        </is>
      </c>
      <c r="CO96" s="47" t="n"/>
      <c r="CP96" s="47" t="n"/>
      <c r="CQ96" s="47" t="inlineStr">
        <is>
          <t>A</t>
        </is>
      </c>
      <c r="CR96" s="47" t="inlineStr">
        <is>
          <t>A</t>
        </is>
      </c>
      <c r="CS96" s="47" t="n"/>
      <c r="CT96" s="47" t="n"/>
      <c r="CU96" s="47" t="inlineStr">
        <is>
          <t>A</t>
        </is>
      </c>
      <c r="CV96" s="47" t="inlineStr">
        <is>
          <t>A</t>
        </is>
      </c>
      <c r="CW96" s="47" t="n"/>
      <c r="CX96" s="47" t="n"/>
      <c r="CY96" s="47" t="n"/>
      <c r="CZ96" s="47" t="inlineStr">
        <is>
          <t>A</t>
        </is>
      </c>
      <c r="DA96" s="47" t="n"/>
      <c r="DB96" s="47" t="n"/>
      <c r="DC96" s="47" t="inlineStr">
        <is>
          <t>A</t>
        </is>
      </c>
      <c r="DD96" s="47" t="n"/>
      <c r="DE96" s="47" t="n"/>
      <c r="DF96" s="47" t="n"/>
      <c r="DG96" s="47" t="n"/>
      <c r="DH96" s="47" t="n"/>
      <c r="DI96" s="47" t="n"/>
      <c r="DJ96" s="47" t="n"/>
      <c r="DK96" s="47" t="inlineStr">
        <is>
          <t>A</t>
        </is>
      </c>
      <c r="DL96" s="47" t="n"/>
      <c r="DM96" s="47" t="n"/>
      <c r="DN96" s="47" t="inlineStr">
        <is>
          <t>A</t>
        </is>
      </c>
      <c r="DO96" s="47" t="inlineStr">
        <is>
          <t>A</t>
        </is>
      </c>
      <c r="DP96" s="47" t="n"/>
      <c r="DQ96" s="47" t="n"/>
      <c r="DR96" s="47" t="inlineStr">
        <is>
          <t>A</t>
        </is>
      </c>
      <c r="DS96" s="47" t="inlineStr">
        <is>
          <t>A</t>
        </is>
      </c>
      <c r="DT96" s="47" t="n"/>
      <c r="DU96" s="47" t="n"/>
      <c r="DV96" s="47" t="inlineStr">
        <is>
          <t>A</t>
        </is>
      </c>
      <c r="DW96" s="47" t="inlineStr">
        <is>
          <t>A</t>
        </is>
      </c>
      <c r="DX96" s="47" t="n"/>
      <c r="DY96" s="47" t="n"/>
      <c r="DZ96" s="47" t="inlineStr">
        <is>
          <t>P</t>
        </is>
      </c>
      <c r="EA96" s="47" t="n"/>
      <c r="EB96" s="47" t="n"/>
      <c r="EC96" s="47" t="n"/>
      <c r="ED96" s="47" t="n"/>
      <c r="EE96" s="47" t="n"/>
      <c r="EF96" s="47" t="n"/>
      <c r="EG96" s="47" t="n"/>
      <c r="EH96" s="47" t="inlineStr">
        <is>
          <t>A</t>
        </is>
      </c>
      <c r="EI96" s="47" t="n"/>
      <c r="EJ96" s="47" t="n"/>
      <c r="EK96" s="47" t="inlineStr">
        <is>
          <t>A</t>
        </is>
      </c>
      <c r="EL96" s="47" t="inlineStr">
        <is>
          <t>A</t>
        </is>
      </c>
      <c r="EM96" s="47" t="n"/>
      <c r="EN96" s="47" t="n"/>
      <c r="EO96" s="47" t="inlineStr">
        <is>
          <t>P</t>
        </is>
      </c>
      <c r="EP96" s="47" t="inlineStr">
        <is>
          <t>P</t>
        </is>
      </c>
      <c r="EQ96" s="47" t="n"/>
      <c r="ER96" s="47" t="n"/>
      <c r="ES96" s="47" t="inlineStr">
        <is>
          <t>A</t>
        </is>
      </c>
      <c r="ET96" s="47" t="inlineStr">
        <is>
          <t>A</t>
        </is>
      </c>
      <c r="EU96" s="47" t="n"/>
      <c r="EV96" s="47" t="n"/>
      <c r="EW96" s="47" t="n"/>
      <c r="EX96" s="47" t="n"/>
      <c r="EY96" s="47" t="n"/>
      <c r="EZ96" s="47" t="n"/>
      <c r="FA96" s="47" t="n"/>
      <c r="FB96" s="47" t="inlineStr">
        <is>
          <t>A</t>
        </is>
      </c>
      <c r="FC96" s="47" t="n"/>
      <c r="FD96" s="47" t="n"/>
      <c r="FE96" s="47" t="inlineStr">
        <is>
          <t>A</t>
        </is>
      </c>
      <c r="FF96" s="47" t="inlineStr">
        <is>
          <t>A</t>
        </is>
      </c>
      <c r="FG96" s="47" t="n"/>
      <c r="FH96" s="47" t="n"/>
      <c r="FI96" s="47" t="inlineStr">
        <is>
          <t>A</t>
        </is>
      </c>
      <c r="FJ96" s="47" t="inlineStr">
        <is>
          <t>A</t>
        </is>
      </c>
      <c r="FK96" s="47" t="n"/>
      <c r="FL96" s="47" t="n"/>
      <c r="FM96" s="47" t="n"/>
      <c r="FN96" s="47" t="n"/>
      <c r="FO96" s="47" t="n"/>
      <c r="FP96" s="47" t="n"/>
      <c r="FQ96" s="47" t="n"/>
      <c r="FR96" s="47" t="inlineStr">
        <is>
          <t>A</t>
        </is>
      </c>
      <c r="FS96" s="47" t="n"/>
      <c r="FT96" s="47" t="n"/>
      <c r="FU96" s="47" t="n"/>
      <c r="FV96" s="47" t="n"/>
      <c r="FW96" s="47" t="n"/>
      <c r="FX96" s="47" t="n"/>
      <c r="FY96" s="47" t="inlineStr">
        <is>
          <t>A</t>
        </is>
      </c>
      <c r="FZ96" s="47" t="inlineStr">
        <is>
          <t>A</t>
        </is>
      </c>
      <c r="GA96" s="47" t="n"/>
      <c r="GB96" s="47" t="n"/>
      <c r="GC96" s="47" t="n"/>
      <c r="GD96" s="47" t="inlineStr">
        <is>
          <t>A</t>
        </is>
      </c>
      <c r="GE96" s="47" t="n"/>
      <c r="GF96" s="47" t="n"/>
      <c r="GG96" s="47" t="inlineStr">
        <is>
          <t>A</t>
        </is>
      </c>
      <c r="GH96" s="47" t="n"/>
      <c r="GI96" s="47" t="n"/>
    </row>
    <row r="97" ht="14.25" customHeight="1" s="34">
      <c r="A97" s="46" t="n">
        <v>94</v>
      </c>
      <c r="B97" s="46" t="inlineStr">
        <is>
          <t>325106410094</t>
        </is>
      </c>
      <c r="C97" s="46" t="inlineStr">
        <is>
          <t>NAHOM SEMAW</t>
        </is>
      </c>
      <c r="D97" s="47" t="inlineStr">
        <is>
          <t>A</t>
        </is>
      </c>
      <c r="E97" s="47" t="n"/>
      <c r="F97" s="47" t="n"/>
      <c r="G97" s="47" t="n"/>
      <c r="H97" s="47" t="n"/>
      <c r="I97" s="47" t="inlineStr">
        <is>
          <t>A</t>
        </is>
      </c>
      <c r="J97" s="47" t="n"/>
      <c r="K97" s="47" t="n"/>
      <c r="L97" s="47" t="inlineStr">
        <is>
          <t>A</t>
        </is>
      </c>
      <c r="M97" s="47" t="n"/>
      <c r="N97" s="47" t="n"/>
      <c r="O97" s="47" t="n"/>
      <c r="P97" s="47" t="inlineStr">
        <is>
          <t>A</t>
        </is>
      </c>
      <c r="Q97" s="47" t="inlineStr">
        <is>
          <t>A</t>
        </is>
      </c>
      <c r="R97" s="47" t="n"/>
      <c r="S97" s="47" t="n"/>
      <c r="T97" s="47" t="inlineStr">
        <is>
          <t>A</t>
        </is>
      </c>
      <c r="U97" s="47" t="n"/>
      <c r="V97" s="47" t="n"/>
      <c r="W97" s="47" t="n"/>
      <c r="X97" s="47" t="n"/>
      <c r="Y97" s="47" t="n"/>
      <c r="Z97" s="47" t="n"/>
      <c r="AA97" s="47" t="n"/>
      <c r="AB97" s="47" t="n"/>
      <c r="AC97" s="47" t="inlineStr">
        <is>
          <t>A</t>
        </is>
      </c>
      <c r="AD97" s="47" t="n"/>
      <c r="AE97" s="47" t="n"/>
      <c r="AF97" s="47" t="inlineStr">
        <is>
          <t>A</t>
        </is>
      </c>
      <c r="AG97" s="47" t="n"/>
      <c r="AH97" s="47" t="n"/>
      <c r="AI97" s="47" t="n"/>
      <c r="AJ97" s="47" t="inlineStr">
        <is>
          <t>A</t>
        </is>
      </c>
      <c r="AK97" s="47" t="inlineStr">
        <is>
          <t>A</t>
        </is>
      </c>
      <c r="AL97" s="47" t="n"/>
      <c r="AM97" s="47" t="n"/>
      <c r="AN97" s="47" t="inlineStr">
        <is>
          <t>A</t>
        </is>
      </c>
      <c r="AO97" s="47" t="n"/>
      <c r="AP97" s="47" t="n"/>
      <c r="AQ97" s="47" t="n"/>
      <c r="AR97" s="47" t="inlineStr">
        <is>
          <t>A</t>
        </is>
      </c>
      <c r="AS97" s="47" t="n"/>
      <c r="AT97" s="47" t="n"/>
      <c r="AU97" s="47" t="n"/>
      <c r="AV97" s="47" t="n"/>
      <c r="AW97" s="47" t="inlineStr">
        <is>
          <t>A</t>
        </is>
      </c>
      <c r="AX97" s="47" t="n"/>
      <c r="AY97" s="47" t="n"/>
      <c r="AZ97" s="47" t="inlineStr">
        <is>
          <t>A</t>
        </is>
      </c>
      <c r="BA97" s="47" t="inlineStr">
        <is>
          <t>A</t>
        </is>
      </c>
      <c r="BB97" s="47" t="n"/>
      <c r="BC97" s="47" t="n"/>
      <c r="BD97" s="47" t="inlineStr">
        <is>
          <t>A</t>
        </is>
      </c>
      <c r="BE97" s="47" t="inlineStr">
        <is>
          <t>A</t>
        </is>
      </c>
      <c r="BF97" s="47" t="n"/>
      <c r="BG97" s="47" t="n"/>
      <c r="BH97" s="47" t="inlineStr">
        <is>
          <t>A</t>
        </is>
      </c>
      <c r="BI97" s="47" t="inlineStr">
        <is>
          <t>A</t>
        </is>
      </c>
      <c r="BJ97" s="47" t="n"/>
      <c r="BK97" s="47" t="n"/>
      <c r="BL97" s="47" t="n"/>
      <c r="BM97" s="47" t="n"/>
      <c r="BN97" s="47" t="n"/>
      <c r="BO97" s="47" t="n"/>
      <c r="BP97" s="47" t="n"/>
      <c r="BQ97" s="47" t="inlineStr">
        <is>
          <t>P</t>
        </is>
      </c>
      <c r="BR97" s="47" t="n"/>
      <c r="BS97" s="47" t="n"/>
      <c r="BT97" s="47" t="inlineStr">
        <is>
          <t>A</t>
        </is>
      </c>
      <c r="BU97" s="47" t="inlineStr">
        <is>
          <t>A</t>
        </is>
      </c>
      <c r="BV97" s="47" t="n"/>
      <c r="BW97" s="47" t="n"/>
      <c r="BX97" s="47" t="inlineStr">
        <is>
          <t>A</t>
        </is>
      </c>
      <c r="BY97" s="47" t="inlineStr">
        <is>
          <t>P</t>
        </is>
      </c>
      <c r="BZ97" s="47" t="n"/>
      <c r="CA97" s="47" t="n"/>
      <c r="CB97" s="47" t="inlineStr">
        <is>
          <t>A</t>
        </is>
      </c>
      <c r="CC97" s="47" t="n"/>
      <c r="CD97" s="47" t="n"/>
      <c r="CE97" s="47" t="n"/>
      <c r="CF97" s="47" t="inlineStr">
        <is>
          <t>A</t>
        </is>
      </c>
      <c r="CG97" s="47" t="n"/>
      <c r="CH97" s="47" t="n"/>
      <c r="CI97" s="47" t="n"/>
      <c r="CJ97" s="47" t="n"/>
      <c r="CK97" s="47" t="n"/>
      <c r="CL97" s="47" t="n"/>
      <c r="CM97" s="47" t="n"/>
      <c r="CN97" s="47" t="inlineStr">
        <is>
          <t>P</t>
        </is>
      </c>
      <c r="CO97" s="47" t="n"/>
      <c r="CP97" s="47" t="n"/>
      <c r="CQ97" s="47" t="inlineStr">
        <is>
          <t>A</t>
        </is>
      </c>
      <c r="CR97" s="47" t="inlineStr">
        <is>
          <t>P</t>
        </is>
      </c>
      <c r="CS97" s="47" t="n"/>
      <c r="CT97" s="47" t="n"/>
      <c r="CU97" s="47" t="inlineStr">
        <is>
          <t>A</t>
        </is>
      </c>
      <c r="CV97" s="47" t="inlineStr">
        <is>
          <t>A</t>
        </is>
      </c>
      <c r="CW97" s="47" t="n"/>
      <c r="CX97" s="47" t="n"/>
      <c r="CY97" s="47" t="n"/>
      <c r="CZ97" s="47" t="inlineStr">
        <is>
          <t>P</t>
        </is>
      </c>
      <c r="DA97" s="47" t="n"/>
      <c r="DB97" s="47" t="n"/>
      <c r="DC97" s="47" t="inlineStr">
        <is>
          <t>A</t>
        </is>
      </c>
      <c r="DD97" s="47" t="n"/>
      <c r="DE97" s="47" t="n"/>
      <c r="DF97" s="47" t="n"/>
      <c r="DG97" s="47" t="n"/>
      <c r="DH97" s="47" t="n"/>
      <c r="DI97" s="47" t="n"/>
      <c r="DJ97" s="47" t="n"/>
      <c r="DK97" s="47" t="inlineStr">
        <is>
          <t>A</t>
        </is>
      </c>
      <c r="DL97" s="47" t="n"/>
      <c r="DM97" s="47" t="n"/>
      <c r="DN97" s="47" t="inlineStr">
        <is>
          <t>P</t>
        </is>
      </c>
      <c r="DO97" s="47" t="inlineStr">
        <is>
          <t>P</t>
        </is>
      </c>
      <c r="DP97" s="47" t="n"/>
      <c r="DQ97" s="47" t="n"/>
      <c r="DR97" s="47" t="inlineStr">
        <is>
          <t>P</t>
        </is>
      </c>
      <c r="DS97" s="47" t="inlineStr">
        <is>
          <t>P</t>
        </is>
      </c>
      <c r="DT97" s="47" t="n"/>
      <c r="DU97" s="47" t="n"/>
      <c r="DV97" s="47" t="inlineStr">
        <is>
          <t>A</t>
        </is>
      </c>
      <c r="DW97" s="47" t="inlineStr">
        <is>
          <t>P</t>
        </is>
      </c>
      <c r="DX97" s="47" t="n"/>
      <c r="DY97" s="47" t="n"/>
      <c r="DZ97" s="47" t="inlineStr">
        <is>
          <t>A</t>
        </is>
      </c>
      <c r="EA97" s="47" t="n"/>
      <c r="EB97" s="47" t="n"/>
      <c r="EC97" s="47" t="n"/>
      <c r="ED97" s="47" t="n"/>
      <c r="EE97" s="47" t="n"/>
      <c r="EF97" s="47" t="n"/>
      <c r="EG97" s="47" t="n"/>
      <c r="EH97" s="47" t="inlineStr">
        <is>
          <t>A</t>
        </is>
      </c>
      <c r="EI97" s="47" t="n"/>
      <c r="EJ97" s="47" t="n"/>
      <c r="EK97" s="47" t="inlineStr">
        <is>
          <t>P</t>
        </is>
      </c>
      <c r="EL97" s="47" t="inlineStr">
        <is>
          <t>P</t>
        </is>
      </c>
      <c r="EM97" s="47" t="n"/>
      <c r="EN97" s="47" t="n"/>
      <c r="EO97" s="47" t="inlineStr">
        <is>
          <t>P</t>
        </is>
      </c>
      <c r="EP97" s="47" t="inlineStr">
        <is>
          <t>P</t>
        </is>
      </c>
      <c r="EQ97" s="47" t="n"/>
      <c r="ER97" s="47" t="n"/>
      <c r="ES97" s="47" t="inlineStr">
        <is>
          <t>A</t>
        </is>
      </c>
      <c r="ET97" s="47" t="inlineStr">
        <is>
          <t>A</t>
        </is>
      </c>
      <c r="EU97" s="47" t="n"/>
      <c r="EV97" s="47" t="n"/>
      <c r="EW97" s="47" t="n"/>
      <c r="EX97" s="47" t="n"/>
      <c r="EY97" s="47" t="n"/>
      <c r="EZ97" s="47" t="n"/>
      <c r="FA97" s="47" t="n"/>
      <c r="FB97" s="47" t="inlineStr">
        <is>
          <t>A</t>
        </is>
      </c>
      <c r="FC97" s="47" t="n"/>
      <c r="FD97" s="47" t="n"/>
      <c r="FE97" s="47" t="inlineStr">
        <is>
          <t>A</t>
        </is>
      </c>
      <c r="FF97" s="47" t="inlineStr">
        <is>
          <t>A</t>
        </is>
      </c>
      <c r="FG97" s="47" t="n"/>
      <c r="FH97" s="47" t="n"/>
      <c r="FI97" s="47" t="inlineStr">
        <is>
          <t>P</t>
        </is>
      </c>
      <c r="FJ97" s="47" t="inlineStr">
        <is>
          <t>P</t>
        </is>
      </c>
      <c r="FK97" s="47" t="n"/>
      <c r="FL97" s="47" t="n"/>
      <c r="FM97" s="47" t="n"/>
      <c r="FN97" s="47" t="n"/>
      <c r="FO97" s="47" t="n"/>
      <c r="FP97" s="47" t="n"/>
      <c r="FQ97" s="47" t="n"/>
      <c r="FR97" s="47" t="inlineStr">
        <is>
          <t>P</t>
        </is>
      </c>
      <c r="FS97" s="47" t="n"/>
      <c r="FT97" s="47" t="n"/>
      <c r="FU97" s="47" t="n"/>
      <c r="FV97" s="47" t="n"/>
      <c r="FW97" s="47" t="n"/>
      <c r="FX97" s="47" t="n"/>
      <c r="FY97" s="47" t="inlineStr">
        <is>
          <t>A</t>
        </is>
      </c>
      <c r="FZ97" s="47" t="inlineStr">
        <is>
          <t>A</t>
        </is>
      </c>
      <c r="GA97" s="47" t="n"/>
      <c r="GB97" s="47" t="n"/>
      <c r="GC97" s="47" t="n"/>
      <c r="GD97" s="47" t="inlineStr">
        <is>
          <t>A</t>
        </is>
      </c>
      <c r="GE97" s="47" t="n"/>
      <c r="GF97" s="47" t="n"/>
      <c r="GG97" s="47" t="inlineStr">
        <is>
          <t>A</t>
        </is>
      </c>
      <c r="GH97" s="47" t="n"/>
      <c r="GI97" s="47" t="n"/>
    </row>
    <row r="98" ht="14.25" customHeight="1" s="34">
      <c r="A98" s="46" t="n">
        <v>95</v>
      </c>
      <c r="B98" s="46" t="inlineStr">
        <is>
          <t>325106410095</t>
        </is>
      </c>
      <c r="C98" s="46" t="inlineStr">
        <is>
          <t>NGELEPETE NGELEPETE</t>
        </is>
      </c>
      <c r="D98" s="47" t="inlineStr">
        <is>
          <t>P</t>
        </is>
      </c>
      <c r="E98" s="47" t="n"/>
      <c r="F98" s="47" t="n"/>
      <c r="G98" s="47" t="n"/>
      <c r="H98" s="47" t="n"/>
      <c r="I98" s="47" t="inlineStr">
        <is>
          <t>P</t>
        </is>
      </c>
      <c r="J98" s="47" t="n"/>
      <c r="K98" s="47" t="n"/>
      <c r="L98" s="47" t="inlineStr">
        <is>
          <t>P</t>
        </is>
      </c>
      <c r="M98" s="47" t="n"/>
      <c r="N98" s="47" t="n"/>
      <c r="O98" s="47" t="n"/>
      <c r="P98" s="47" t="inlineStr">
        <is>
          <t>P</t>
        </is>
      </c>
      <c r="Q98" s="47" t="inlineStr">
        <is>
          <t>P</t>
        </is>
      </c>
      <c r="R98" s="47" t="n"/>
      <c r="S98" s="47" t="n"/>
      <c r="T98" s="47" t="inlineStr">
        <is>
          <t>P</t>
        </is>
      </c>
      <c r="U98" s="47" t="n"/>
      <c r="V98" s="47" t="n"/>
      <c r="W98" s="47" t="n"/>
      <c r="X98" s="47" t="n"/>
      <c r="Y98" s="47" t="n"/>
      <c r="Z98" s="47" t="n"/>
      <c r="AA98" s="47" t="n"/>
      <c r="AB98" s="47" t="n"/>
      <c r="AC98" s="47" t="inlineStr">
        <is>
          <t>A</t>
        </is>
      </c>
      <c r="AD98" s="47" t="n"/>
      <c r="AE98" s="47" t="n"/>
      <c r="AF98" s="47" t="inlineStr">
        <is>
          <t>P</t>
        </is>
      </c>
      <c r="AG98" s="47" t="n"/>
      <c r="AH98" s="47" t="n"/>
      <c r="AI98" s="47" t="n"/>
      <c r="AJ98" s="47" t="inlineStr">
        <is>
          <t>P</t>
        </is>
      </c>
      <c r="AK98" s="47" t="inlineStr">
        <is>
          <t>P</t>
        </is>
      </c>
      <c r="AL98" s="47" t="n"/>
      <c r="AM98" s="47" t="n"/>
      <c r="AN98" s="47" t="inlineStr">
        <is>
          <t>P</t>
        </is>
      </c>
      <c r="AO98" s="47" t="n"/>
      <c r="AP98" s="47" t="n"/>
      <c r="AQ98" s="47" t="n"/>
      <c r="AR98" s="47" t="inlineStr">
        <is>
          <t>P</t>
        </is>
      </c>
      <c r="AS98" s="47" t="n"/>
      <c r="AT98" s="47" t="n"/>
      <c r="AU98" s="47" t="n"/>
      <c r="AV98" s="47" t="n"/>
      <c r="AW98" s="47" t="inlineStr">
        <is>
          <t>P</t>
        </is>
      </c>
      <c r="AX98" s="47" t="n"/>
      <c r="AY98" s="47" t="n"/>
      <c r="AZ98" s="47" t="inlineStr">
        <is>
          <t>P</t>
        </is>
      </c>
      <c r="BA98" s="47" t="inlineStr">
        <is>
          <t>P</t>
        </is>
      </c>
      <c r="BB98" s="47" t="n"/>
      <c r="BC98" s="47" t="n"/>
      <c r="BD98" s="47" t="inlineStr">
        <is>
          <t>P</t>
        </is>
      </c>
      <c r="BE98" s="47" t="inlineStr">
        <is>
          <t>P</t>
        </is>
      </c>
      <c r="BF98" s="47" t="n"/>
      <c r="BG98" s="47" t="n"/>
      <c r="BH98" s="47" t="inlineStr">
        <is>
          <t>P</t>
        </is>
      </c>
      <c r="BI98" s="47" t="inlineStr">
        <is>
          <t>P</t>
        </is>
      </c>
      <c r="BJ98" s="47" t="n"/>
      <c r="BK98" s="47" t="n"/>
      <c r="BL98" s="47" t="n"/>
      <c r="BM98" s="47" t="n"/>
      <c r="BN98" s="47" t="n"/>
      <c r="BO98" s="47" t="n"/>
      <c r="BP98" s="47" t="n"/>
      <c r="BQ98" s="47" t="inlineStr">
        <is>
          <t>P</t>
        </is>
      </c>
      <c r="BR98" s="47" t="n"/>
      <c r="BS98" s="47" t="n"/>
      <c r="BT98" s="47" t="inlineStr">
        <is>
          <t>P</t>
        </is>
      </c>
      <c r="BU98" s="47" t="inlineStr">
        <is>
          <t>P</t>
        </is>
      </c>
      <c r="BV98" s="47" t="n"/>
      <c r="BW98" s="47" t="n"/>
      <c r="BX98" s="47" t="inlineStr">
        <is>
          <t>P</t>
        </is>
      </c>
      <c r="BY98" s="47" t="inlineStr">
        <is>
          <t>P</t>
        </is>
      </c>
      <c r="BZ98" s="47" t="n"/>
      <c r="CA98" s="47" t="n"/>
      <c r="CB98" s="47" t="inlineStr">
        <is>
          <t>A</t>
        </is>
      </c>
      <c r="CC98" s="47" t="n"/>
      <c r="CD98" s="47" t="n"/>
      <c r="CE98" s="47" t="n"/>
      <c r="CF98" s="47" t="inlineStr">
        <is>
          <t>A</t>
        </is>
      </c>
      <c r="CG98" s="47" t="n"/>
      <c r="CH98" s="47" t="n"/>
      <c r="CI98" s="47" t="n"/>
      <c r="CJ98" s="47" t="n"/>
      <c r="CK98" s="47" t="n"/>
      <c r="CL98" s="47" t="n"/>
      <c r="CM98" s="47" t="n"/>
      <c r="CN98" s="47" t="inlineStr">
        <is>
          <t>P</t>
        </is>
      </c>
      <c r="CO98" s="47" t="n"/>
      <c r="CP98" s="47" t="n"/>
      <c r="CQ98" s="47" t="inlineStr">
        <is>
          <t>P</t>
        </is>
      </c>
      <c r="CR98" s="47" t="inlineStr">
        <is>
          <t>P</t>
        </is>
      </c>
      <c r="CS98" s="47" t="n"/>
      <c r="CT98" s="47" t="n"/>
      <c r="CU98" s="47" t="inlineStr">
        <is>
          <t>P</t>
        </is>
      </c>
      <c r="CV98" s="47" t="inlineStr">
        <is>
          <t>P</t>
        </is>
      </c>
      <c r="CW98" s="47" t="n"/>
      <c r="CX98" s="47" t="n"/>
      <c r="CY98" s="47" t="n"/>
      <c r="CZ98" s="47" t="inlineStr">
        <is>
          <t>P</t>
        </is>
      </c>
      <c r="DA98" s="47" t="n"/>
      <c r="DB98" s="47" t="n"/>
      <c r="DC98" s="47" t="inlineStr">
        <is>
          <t>P</t>
        </is>
      </c>
      <c r="DD98" s="47" t="n"/>
      <c r="DE98" s="47" t="n"/>
      <c r="DF98" s="47" t="n"/>
      <c r="DG98" s="47" t="n"/>
      <c r="DH98" s="47" t="n"/>
      <c r="DI98" s="47" t="n"/>
      <c r="DJ98" s="47" t="n"/>
      <c r="DK98" s="47" t="inlineStr">
        <is>
          <t>P</t>
        </is>
      </c>
      <c r="DL98" s="47" t="n"/>
      <c r="DM98" s="47" t="n"/>
      <c r="DN98" s="47" t="inlineStr">
        <is>
          <t>P</t>
        </is>
      </c>
      <c r="DO98" s="47" t="inlineStr">
        <is>
          <t>P</t>
        </is>
      </c>
      <c r="DP98" s="47" t="n"/>
      <c r="DQ98" s="47" t="n"/>
      <c r="DR98" s="47" t="inlineStr">
        <is>
          <t>P</t>
        </is>
      </c>
      <c r="DS98" s="47" t="inlineStr">
        <is>
          <t>A</t>
        </is>
      </c>
      <c r="DT98" s="47" t="n"/>
      <c r="DU98" s="47" t="n"/>
      <c r="DV98" s="47" t="inlineStr">
        <is>
          <t>A</t>
        </is>
      </c>
      <c r="DW98" s="47" t="inlineStr">
        <is>
          <t>P</t>
        </is>
      </c>
      <c r="DX98" s="47" t="n"/>
      <c r="DY98" s="47" t="n"/>
      <c r="DZ98" s="47" t="inlineStr">
        <is>
          <t>A</t>
        </is>
      </c>
      <c r="EA98" s="47" t="n"/>
      <c r="EB98" s="47" t="n"/>
      <c r="EC98" s="47" t="n"/>
      <c r="ED98" s="47" t="n"/>
      <c r="EE98" s="47" t="n"/>
      <c r="EF98" s="47" t="n"/>
      <c r="EG98" s="47" t="n"/>
      <c r="EH98" s="47" t="inlineStr">
        <is>
          <t>P</t>
        </is>
      </c>
      <c r="EI98" s="47" t="n"/>
      <c r="EJ98" s="47" t="n"/>
      <c r="EK98" s="47" t="inlineStr">
        <is>
          <t>P</t>
        </is>
      </c>
      <c r="EL98" s="47" t="inlineStr">
        <is>
          <t>P</t>
        </is>
      </c>
      <c r="EM98" s="47" t="n"/>
      <c r="EN98" s="47" t="n"/>
      <c r="EO98" s="47" t="inlineStr">
        <is>
          <t>P</t>
        </is>
      </c>
      <c r="EP98" s="47" t="inlineStr">
        <is>
          <t>P</t>
        </is>
      </c>
      <c r="EQ98" s="47" t="n"/>
      <c r="ER98" s="47" t="n"/>
      <c r="ES98" s="47" t="inlineStr">
        <is>
          <t>P</t>
        </is>
      </c>
      <c r="ET98" s="47" t="inlineStr">
        <is>
          <t>P</t>
        </is>
      </c>
      <c r="EU98" s="47" t="n"/>
      <c r="EV98" s="47" t="n"/>
      <c r="EW98" s="47" t="n"/>
      <c r="EX98" s="47" t="n"/>
      <c r="EY98" s="47" t="n"/>
      <c r="EZ98" s="47" t="n"/>
      <c r="FA98" s="47" t="n"/>
      <c r="FB98" s="47" t="inlineStr">
        <is>
          <t>P</t>
        </is>
      </c>
      <c r="FC98" s="47" t="n"/>
      <c r="FD98" s="47" t="n"/>
      <c r="FE98" s="47" t="inlineStr">
        <is>
          <t>P</t>
        </is>
      </c>
      <c r="FF98" s="47" t="inlineStr">
        <is>
          <t>P</t>
        </is>
      </c>
      <c r="FG98" s="47" t="n"/>
      <c r="FH98" s="47" t="n"/>
      <c r="FI98" s="47" t="inlineStr">
        <is>
          <t>P</t>
        </is>
      </c>
      <c r="FJ98" s="47" t="inlineStr">
        <is>
          <t>P</t>
        </is>
      </c>
      <c r="FK98" s="47" t="n"/>
      <c r="FL98" s="47" t="n"/>
      <c r="FM98" s="47" t="n"/>
      <c r="FN98" s="47" t="n"/>
      <c r="FO98" s="47" t="n"/>
      <c r="FP98" s="47" t="n"/>
      <c r="FQ98" s="47" t="n"/>
      <c r="FR98" s="47" t="inlineStr">
        <is>
          <t>P</t>
        </is>
      </c>
      <c r="FS98" s="47" t="n"/>
      <c r="FT98" s="47" t="n"/>
      <c r="FU98" s="47" t="n"/>
      <c r="FV98" s="47" t="n"/>
      <c r="FW98" s="47" t="n"/>
      <c r="FX98" s="47" t="n"/>
      <c r="FY98" s="47" t="inlineStr">
        <is>
          <t>P</t>
        </is>
      </c>
      <c r="FZ98" s="47" t="inlineStr">
        <is>
          <t>P</t>
        </is>
      </c>
      <c r="GA98" s="47" t="n"/>
      <c r="GB98" s="47" t="n"/>
      <c r="GC98" s="47" t="n"/>
      <c r="GD98" s="47" t="inlineStr">
        <is>
          <t>P</t>
        </is>
      </c>
      <c r="GE98" s="47" t="n"/>
      <c r="GF98" s="47" t="n"/>
      <c r="GG98" s="47" t="inlineStr">
        <is>
          <t>A</t>
        </is>
      </c>
      <c r="GH98" s="47" t="n"/>
      <c r="GI98" s="47" t="n"/>
    </row>
    <row r="99" ht="14.25" customHeight="1" s="34">
      <c r="A99" s="46" t="n">
        <v>96</v>
      </c>
      <c r="B99" s="46" t="inlineStr">
        <is>
          <t>325106410096</t>
        </is>
      </c>
      <c r="C99" s="46" t="inlineStr">
        <is>
          <t>NILMONI CHOWDHURY</t>
        </is>
      </c>
      <c r="D99" s="47" t="inlineStr">
        <is>
          <t>A</t>
        </is>
      </c>
      <c r="E99" s="47" t="n"/>
      <c r="F99" s="47" t="n"/>
      <c r="G99" s="47" t="n"/>
      <c r="H99" s="47" t="n"/>
      <c r="I99" s="47" t="inlineStr">
        <is>
          <t>A</t>
        </is>
      </c>
      <c r="J99" s="47" t="n"/>
      <c r="K99" s="47" t="n"/>
      <c r="L99" s="47" t="inlineStr">
        <is>
          <t>A</t>
        </is>
      </c>
      <c r="M99" s="47" t="n"/>
      <c r="N99" s="47" t="n"/>
      <c r="O99" s="47" t="n"/>
      <c r="P99" s="47" t="inlineStr">
        <is>
          <t>A</t>
        </is>
      </c>
      <c r="Q99" s="47" t="inlineStr">
        <is>
          <t>A</t>
        </is>
      </c>
      <c r="R99" s="47" t="n"/>
      <c r="S99" s="47" t="n"/>
      <c r="T99" s="47" t="inlineStr">
        <is>
          <t>A</t>
        </is>
      </c>
      <c r="U99" s="47" t="n"/>
      <c r="V99" s="47" t="n"/>
      <c r="W99" s="47" t="n"/>
      <c r="X99" s="47" t="n"/>
      <c r="Y99" s="47" t="n"/>
      <c r="Z99" s="47" t="n"/>
      <c r="AA99" s="47" t="n"/>
      <c r="AB99" s="47" t="n"/>
      <c r="AC99" s="47" t="inlineStr">
        <is>
          <t>P</t>
        </is>
      </c>
      <c r="AD99" s="47" t="n"/>
      <c r="AE99" s="47" t="n"/>
      <c r="AF99" s="47" t="inlineStr">
        <is>
          <t>A</t>
        </is>
      </c>
      <c r="AG99" s="47" t="n"/>
      <c r="AH99" s="47" t="n"/>
      <c r="AI99" s="47" t="n"/>
      <c r="AJ99" s="47" t="inlineStr">
        <is>
          <t>P</t>
        </is>
      </c>
      <c r="AK99" s="47" t="inlineStr">
        <is>
          <t>P</t>
        </is>
      </c>
      <c r="AL99" s="47" t="n"/>
      <c r="AM99" s="47" t="n"/>
      <c r="AN99" s="47" t="inlineStr">
        <is>
          <t>A</t>
        </is>
      </c>
      <c r="AO99" s="47" t="n"/>
      <c r="AP99" s="47" t="n"/>
      <c r="AQ99" s="47" t="n"/>
      <c r="AR99" s="47" t="inlineStr">
        <is>
          <t>A</t>
        </is>
      </c>
      <c r="AS99" s="47" t="n"/>
      <c r="AT99" s="47" t="n"/>
      <c r="AU99" s="47" t="n"/>
      <c r="AV99" s="47" t="n"/>
      <c r="AW99" s="47" t="inlineStr">
        <is>
          <t>A</t>
        </is>
      </c>
      <c r="AX99" s="47" t="n"/>
      <c r="AY99" s="47" t="n"/>
      <c r="AZ99" s="47" t="inlineStr">
        <is>
          <t>P</t>
        </is>
      </c>
      <c r="BA99" s="47" t="inlineStr">
        <is>
          <t>P</t>
        </is>
      </c>
      <c r="BB99" s="47" t="n"/>
      <c r="BC99" s="47" t="n"/>
      <c r="BD99" s="47" t="inlineStr">
        <is>
          <t>A</t>
        </is>
      </c>
      <c r="BE99" s="47" t="inlineStr">
        <is>
          <t>A</t>
        </is>
      </c>
      <c r="BF99" s="47" t="n"/>
      <c r="BG99" s="47" t="n"/>
      <c r="BH99" s="47" t="inlineStr">
        <is>
          <t>P</t>
        </is>
      </c>
      <c r="BI99" s="47" t="inlineStr">
        <is>
          <t>P</t>
        </is>
      </c>
      <c r="BJ99" s="47" t="n"/>
      <c r="BK99" s="47" t="n"/>
      <c r="BL99" s="47" t="n"/>
      <c r="BM99" s="47" t="n"/>
      <c r="BN99" s="47" t="n"/>
      <c r="BO99" s="47" t="n"/>
      <c r="BP99" s="47" t="n"/>
      <c r="BQ99" s="47" t="inlineStr">
        <is>
          <t>P</t>
        </is>
      </c>
      <c r="BR99" s="47" t="n"/>
      <c r="BS99" s="47" t="n"/>
      <c r="BT99" s="47" t="inlineStr">
        <is>
          <t>P</t>
        </is>
      </c>
      <c r="BU99" s="47" t="inlineStr">
        <is>
          <t>P</t>
        </is>
      </c>
      <c r="BV99" s="47" t="n"/>
      <c r="BW99" s="47" t="n"/>
      <c r="BX99" s="47" t="inlineStr">
        <is>
          <t>P</t>
        </is>
      </c>
      <c r="BY99" s="47" t="inlineStr">
        <is>
          <t>P</t>
        </is>
      </c>
      <c r="BZ99" s="47" t="n"/>
      <c r="CA99" s="47" t="n"/>
      <c r="CB99" s="47" t="inlineStr">
        <is>
          <t>P</t>
        </is>
      </c>
      <c r="CC99" s="47" t="n"/>
      <c r="CD99" s="47" t="n"/>
      <c r="CE99" s="47" t="n"/>
      <c r="CF99" s="47" t="inlineStr">
        <is>
          <t>A</t>
        </is>
      </c>
      <c r="CG99" s="47" t="n"/>
      <c r="CH99" s="47" t="n"/>
      <c r="CI99" s="47" t="n"/>
      <c r="CJ99" s="47" t="n"/>
      <c r="CK99" s="47" t="n"/>
      <c r="CL99" s="47" t="n"/>
      <c r="CM99" s="47" t="n"/>
      <c r="CN99" s="47" t="inlineStr">
        <is>
          <t>P</t>
        </is>
      </c>
      <c r="CO99" s="47" t="n"/>
      <c r="CP99" s="47" t="n"/>
      <c r="CQ99" s="47" t="inlineStr">
        <is>
          <t>A</t>
        </is>
      </c>
      <c r="CR99" s="47" t="inlineStr">
        <is>
          <t>P</t>
        </is>
      </c>
      <c r="CS99" s="47" t="n"/>
      <c r="CT99" s="47" t="n"/>
      <c r="CU99" s="47" t="inlineStr">
        <is>
          <t>P</t>
        </is>
      </c>
      <c r="CV99" s="47" t="inlineStr">
        <is>
          <t>P</t>
        </is>
      </c>
      <c r="CW99" s="47" t="n"/>
      <c r="CX99" s="47" t="n"/>
      <c r="CY99" s="47" t="n"/>
      <c r="CZ99" s="47" t="inlineStr">
        <is>
          <t>A</t>
        </is>
      </c>
      <c r="DA99" s="47" t="n"/>
      <c r="DB99" s="47" t="n"/>
      <c r="DC99" s="47" t="inlineStr">
        <is>
          <t>A</t>
        </is>
      </c>
      <c r="DD99" s="47" t="n"/>
      <c r="DE99" s="47" t="n"/>
      <c r="DF99" s="47" t="n"/>
      <c r="DG99" s="47" t="n"/>
      <c r="DH99" s="47" t="n"/>
      <c r="DI99" s="47" t="n"/>
      <c r="DJ99" s="47" t="n"/>
      <c r="DK99" s="47" t="inlineStr">
        <is>
          <t>P</t>
        </is>
      </c>
      <c r="DL99" s="47" t="n"/>
      <c r="DM99" s="47" t="n"/>
      <c r="DN99" s="47" t="inlineStr">
        <is>
          <t>P</t>
        </is>
      </c>
      <c r="DO99" s="47" t="inlineStr">
        <is>
          <t>A</t>
        </is>
      </c>
      <c r="DP99" s="47" t="n"/>
      <c r="DQ99" s="47" t="n"/>
      <c r="DR99" s="47" t="inlineStr">
        <is>
          <t>P</t>
        </is>
      </c>
      <c r="DS99" s="47" t="inlineStr">
        <is>
          <t>P</t>
        </is>
      </c>
      <c r="DT99" s="47" t="n"/>
      <c r="DU99" s="47" t="n"/>
      <c r="DV99" s="47" t="inlineStr">
        <is>
          <t>P</t>
        </is>
      </c>
      <c r="DW99" s="47" t="inlineStr">
        <is>
          <t>P</t>
        </is>
      </c>
      <c r="DX99" s="47" t="n"/>
      <c r="DY99" s="47" t="n"/>
      <c r="DZ99" s="47" t="inlineStr">
        <is>
          <t>P</t>
        </is>
      </c>
      <c r="EA99" s="47" t="n"/>
      <c r="EB99" s="47" t="n"/>
      <c r="EC99" s="47" t="n"/>
      <c r="ED99" s="47" t="n"/>
      <c r="EE99" s="47" t="n"/>
      <c r="EF99" s="47" t="n"/>
      <c r="EG99" s="47" t="n"/>
      <c r="EH99" s="47" t="inlineStr">
        <is>
          <t>A</t>
        </is>
      </c>
      <c r="EI99" s="47" t="n"/>
      <c r="EJ99" s="47" t="n"/>
      <c r="EK99" s="47" t="inlineStr">
        <is>
          <t>P</t>
        </is>
      </c>
      <c r="EL99" s="47" t="inlineStr">
        <is>
          <t>P</t>
        </is>
      </c>
      <c r="EM99" s="47" t="n"/>
      <c r="EN99" s="47" t="n"/>
      <c r="EO99" s="47" t="inlineStr">
        <is>
          <t>A</t>
        </is>
      </c>
      <c r="EP99" s="47" t="inlineStr">
        <is>
          <t>P</t>
        </is>
      </c>
      <c r="EQ99" s="47" t="n"/>
      <c r="ER99" s="47" t="n"/>
      <c r="ES99" s="47" t="inlineStr">
        <is>
          <t>P</t>
        </is>
      </c>
      <c r="ET99" s="47" t="inlineStr">
        <is>
          <t>P</t>
        </is>
      </c>
      <c r="EU99" s="47" t="n"/>
      <c r="EV99" s="47" t="n"/>
      <c r="EW99" s="47" t="n"/>
      <c r="EX99" s="47" t="n"/>
      <c r="EY99" s="47" t="n"/>
      <c r="EZ99" s="47" t="n"/>
      <c r="FA99" s="47" t="n"/>
      <c r="FB99" s="47" t="inlineStr">
        <is>
          <t>A</t>
        </is>
      </c>
      <c r="FC99" s="47" t="n"/>
      <c r="FD99" s="47" t="n"/>
      <c r="FE99" s="47" t="inlineStr">
        <is>
          <t>P</t>
        </is>
      </c>
      <c r="FF99" s="47" t="inlineStr">
        <is>
          <t>P</t>
        </is>
      </c>
      <c r="FG99" s="47" t="n"/>
      <c r="FH99" s="47" t="n"/>
      <c r="FI99" s="47" t="inlineStr">
        <is>
          <t>P</t>
        </is>
      </c>
      <c r="FJ99" s="47" t="inlineStr">
        <is>
          <t>P</t>
        </is>
      </c>
      <c r="FK99" s="47" t="n"/>
      <c r="FL99" s="47" t="n"/>
      <c r="FM99" s="47" t="n"/>
      <c r="FN99" s="47" t="n"/>
      <c r="FO99" s="47" t="n"/>
      <c r="FP99" s="47" t="n"/>
      <c r="FQ99" s="47" t="n"/>
      <c r="FR99" s="47" t="inlineStr">
        <is>
          <t>P</t>
        </is>
      </c>
      <c r="FS99" s="47" t="n"/>
      <c r="FT99" s="47" t="n"/>
      <c r="FU99" s="47" t="n"/>
      <c r="FV99" s="47" t="n"/>
      <c r="FW99" s="47" t="n"/>
      <c r="FX99" s="47" t="n"/>
      <c r="FY99" s="47" t="inlineStr">
        <is>
          <t>A</t>
        </is>
      </c>
      <c r="FZ99" s="47" t="inlineStr">
        <is>
          <t>P</t>
        </is>
      </c>
      <c r="GA99" s="47" t="n"/>
      <c r="GB99" s="47" t="n"/>
      <c r="GC99" s="47" t="n"/>
      <c r="GD99" s="47" t="inlineStr">
        <is>
          <t>P</t>
        </is>
      </c>
      <c r="GE99" s="47" t="n"/>
      <c r="GF99" s="47" t="n"/>
      <c r="GG99" s="47" t="inlineStr">
        <is>
          <t>A</t>
        </is>
      </c>
      <c r="GH99" s="47" t="n"/>
      <c r="GI99" s="47" t="n"/>
    </row>
    <row r="100" ht="14.25" customHeight="1" s="34">
      <c r="A100" s="46" t="n">
        <v>97</v>
      </c>
      <c r="B100" s="46" t="inlineStr">
        <is>
          <t>325106410097</t>
        </is>
      </c>
      <c r="C100" s="46" t="inlineStr">
        <is>
          <t>NOB PANHATHIROT</t>
        </is>
      </c>
      <c r="D100" s="47" t="inlineStr">
        <is>
          <t>A</t>
        </is>
      </c>
      <c r="E100" s="47" t="n"/>
      <c r="F100" s="47" t="n"/>
      <c r="G100" s="47" t="n"/>
      <c r="H100" s="47" t="n"/>
      <c r="I100" s="47" t="inlineStr">
        <is>
          <t>A</t>
        </is>
      </c>
      <c r="J100" s="47" t="n"/>
      <c r="K100" s="47" t="n"/>
      <c r="L100" s="47" t="inlineStr">
        <is>
          <t>P</t>
        </is>
      </c>
      <c r="M100" s="47" t="n"/>
      <c r="N100" s="47" t="n"/>
      <c r="O100" s="47" t="n"/>
      <c r="P100" s="47" t="inlineStr">
        <is>
          <t>A</t>
        </is>
      </c>
      <c r="Q100" s="47" t="inlineStr">
        <is>
          <t>A</t>
        </is>
      </c>
      <c r="R100" s="47" t="n"/>
      <c r="S100" s="47" t="n"/>
      <c r="T100" s="47" t="inlineStr">
        <is>
          <t>A</t>
        </is>
      </c>
      <c r="U100" s="47" t="n"/>
      <c r="V100" s="47" t="n"/>
      <c r="W100" s="47" t="n"/>
      <c r="X100" s="47" t="n"/>
      <c r="Y100" s="47" t="n"/>
      <c r="Z100" s="47" t="n"/>
      <c r="AA100" s="47" t="n"/>
      <c r="AB100" s="47" t="n"/>
      <c r="AC100" s="47" t="inlineStr">
        <is>
          <t>A</t>
        </is>
      </c>
      <c r="AD100" s="47" t="n"/>
      <c r="AE100" s="47" t="n"/>
      <c r="AF100" s="47" t="inlineStr">
        <is>
          <t>A</t>
        </is>
      </c>
      <c r="AG100" s="47" t="n"/>
      <c r="AH100" s="47" t="n"/>
      <c r="AI100" s="47" t="n"/>
      <c r="AJ100" s="47" t="inlineStr">
        <is>
          <t>A</t>
        </is>
      </c>
      <c r="AK100" s="47" t="inlineStr">
        <is>
          <t>A</t>
        </is>
      </c>
      <c r="AL100" s="47" t="n"/>
      <c r="AM100" s="47" t="n"/>
      <c r="AN100" s="47" t="inlineStr">
        <is>
          <t>A</t>
        </is>
      </c>
      <c r="AO100" s="47" t="n"/>
      <c r="AP100" s="47" t="n"/>
      <c r="AQ100" s="47" t="n"/>
      <c r="AR100" s="47" t="inlineStr">
        <is>
          <t>A</t>
        </is>
      </c>
      <c r="AS100" s="47" t="n"/>
      <c r="AT100" s="47" t="n"/>
      <c r="AU100" s="47" t="n"/>
      <c r="AV100" s="47" t="n"/>
      <c r="AW100" s="47" t="inlineStr">
        <is>
          <t>A</t>
        </is>
      </c>
      <c r="AX100" s="47" t="n"/>
      <c r="AY100" s="47" t="n"/>
      <c r="AZ100" s="47" t="inlineStr">
        <is>
          <t>A</t>
        </is>
      </c>
      <c r="BA100" s="47" t="inlineStr">
        <is>
          <t>A</t>
        </is>
      </c>
      <c r="BB100" s="47" t="n"/>
      <c r="BC100" s="47" t="n"/>
      <c r="BD100" s="47" t="inlineStr">
        <is>
          <t>P</t>
        </is>
      </c>
      <c r="BE100" s="47" t="inlineStr">
        <is>
          <t>P</t>
        </is>
      </c>
      <c r="BF100" s="47" t="n"/>
      <c r="BG100" s="47" t="n"/>
      <c r="BH100" s="47" t="inlineStr">
        <is>
          <t>A</t>
        </is>
      </c>
      <c r="BI100" s="47" t="inlineStr">
        <is>
          <t>A</t>
        </is>
      </c>
      <c r="BJ100" s="47" t="n"/>
      <c r="BK100" s="47" t="n"/>
      <c r="BL100" s="47" t="n"/>
      <c r="BM100" s="47" t="n"/>
      <c r="BN100" s="47" t="n"/>
      <c r="BO100" s="47" t="n"/>
      <c r="BP100" s="47" t="n"/>
      <c r="BQ100" s="47" t="inlineStr">
        <is>
          <t>A</t>
        </is>
      </c>
      <c r="BR100" s="47" t="n"/>
      <c r="BS100" s="47" t="n"/>
      <c r="BT100" s="47" t="inlineStr">
        <is>
          <t>A</t>
        </is>
      </c>
      <c r="BU100" s="47" t="inlineStr">
        <is>
          <t>A</t>
        </is>
      </c>
      <c r="BV100" s="47" t="n"/>
      <c r="BW100" s="47" t="n"/>
      <c r="BX100" s="47" t="inlineStr">
        <is>
          <t>A</t>
        </is>
      </c>
      <c r="BY100" s="47" t="inlineStr">
        <is>
          <t>A</t>
        </is>
      </c>
      <c r="BZ100" s="47" t="n"/>
      <c r="CA100" s="47" t="n"/>
      <c r="CB100" s="47" t="inlineStr">
        <is>
          <t>A</t>
        </is>
      </c>
      <c r="CC100" s="47" t="n"/>
      <c r="CD100" s="47" t="n"/>
      <c r="CE100" s="47" t="n"/>
      <c r="CF100" s="47" t="inlineStr">
        <is>
          <t>A</t>
        </is>
      </c>
      <c r="CG100" s="47" t="n"/>
      <c r="CH100" s="47" t="n"/>
      <c r="CI100" s="47" t="n"/>
      <c r="CJ100" s="47" t="n"/>
      <c r="CK100" s="47" t="n"/>
      <c r="CL100" s="47" t="n"/>
      <c r="CM100" s="47" t="n"/>
      <c r="CN100" s="47" t="inlineStr">
        <is>
          <t>A</t>
        </is>
      </c>
      <c r="CO100" s="47" t="n"/>
      <c r="CP100" s="47" t="n"/>
      <c r="CQ100" s="47" t="inlineStr">
        <is>
          <t>P</t>
        </is>
      </c>
      <c r="CR100" s="47" t="inlineStr">
        <is>
          <t>P</t>
        </is>
      </c>
      <c r="CS100" s="47" t="n"/>
      <c r="CT100" s="47" t="n"/>
      <c r="CU100" s="47" t="inlineStr">
        <is>
          <t>A</t>
        </is>
      </c>
      <c r="CV100" s="47" t="inlineStr">
        <is>
          <t>A</t>
        </is>
      </c>
      <c r="CW100" s="47" t="n"/>
      <c r="CX100" s="47" t="n"/>
      <c r="CY100" s="47" t="n"/>
      <c r="CZ100" s="47" t="inlineStr">
        <is>
          <t>P</t>
        </is>
      </c>
      <c r="DA100" s="47" t="n"/>
      <c r="DB100" s="47" t="n"/>
      <c r="DC100" s="47" t="inlineStr">
        <is>
          <t>A</t>
        </is>
      </c>
      <c r="DD100" s="47" t="n"/>
      <c r="DE100" s="47" t="n"/>
      <c r="DF100" s="47" t="n"/>
      <c r="DG100" s="47" t="n"/>
      <c r="DH100" s="47" t="n"/>
      <c r="DI100" s="47" t="n"/>
      <c r="DJ100" s="47" t="n"/>
      <c r="DK100" s="47" t="inlineStr">
        <is>
          <t>P</t>
        </is>
      </c>
      <c r="DL100" s="47" t="n"/>
      <c r="DM100" s="47" t="n"/>
      <c r="DN100" s="47" t="inlineStr">
        <is>
          <t>A</t>
        </is>
      </c>
      <c r="DO100" s="47" t="inlineStr">
        <is>
          <t>A</t>
        </is>
      </c>
      <c r="DP100" s="47" t="n"/>
      <c r="DQ100" s="47" t="n"/>
      <c r="DR100" s="47" t="inlineStr">
        <is>
          <t>P</t>
        </is>
      </c>
      <c r="DS100" s="47" t="inlineStr">
        <is>
          <t>P</t>
        </is>
      </c>
      <c r="DT100" s="47" t="n"/>
      <c r="DU100" s="47" t="n"/>
      <c r="DV100" s="47" t="inlineStr">
        <is>
          <t>A</t>
        </is>
      </c>
      <c r="DW100" s="47" t="inlineStr">
        <is>
          <t>P</t>
        </is>
      </c>
      <c r="DX100" s="47" t="n"/>
      <c r="DY100" s="47" t="n"/>
      <c r="DZ100" s="47" t="inlineStr">
        <is>
          <t>P</t>
        </is>
      </c>
      <c r="EA100" s="47" t="n"/>
      <c r="EB100" s="47" t="n"/>
      <c r="EC100" s="47" t="n"/>
      <c r="ED100" s="47" t="n"/>
      <c r="EE100" s="47" t="n"/>
      <c r="EF100" s="47" t="n"/>
      <c r="EG100" s="47" t="n"/>
      <c r="EH100" s="47" t="inlineStr">
        <is>
          <t>A</t>
        </is>
      </c>
      <c r="EI100" s="47" t="n"/>
      <c r="EJ100" s="47" t="n"/>
      <c r="EK100" s="47" t="inlineStr">
        <is>
          <t>A</t>
        </is>
      </c>
      <c r="EL100" s="47" t="inlineStr">
        <is>
          <t>A</t>
        </is>
      </c>
      <c r="EM100" s="47" t="n"/>
      <c r="EN100" s="47" t="n"/>
      <c r="EO100" s="47" t="inlineStr">
        <is>
          <t>P</t>
        </is>
      </c>
      <c r="EP100" s="47" t="inlineStr">
        <is>
          <t>P</t>
        </is>
      </c>
      <c r="EQ100" s="47" t="n"/>
      <c r="ER100" s="47" t="n"/>
      <c r="ES100" s="47" t="inlineStr">
        <is>
          <t>A</t>
        </is>
      </c>
      <c r="ET100" s="47" t="inlineStr">
        <is>
          <t>A</t>
        </is>
      </c>
      <c r="EU100" s="47" t="n"/>
      <c r="EV100" s="47" t="n"/>
      <c r="EW100" s="47" t="n"/>
      <c r="EX100" s="47" t="n"/>
      <c r="EY100" s="47" t="n"/>
      <c r="EZ100" s="47" t="n"/>
      <c r="FA100" s="47" t="n"/>
      <c r="FB100" s="47" t="inlineStr">
        <is>
          <t>A</t>
        </is>
      </c>
      <c r="FC100" s="47" t="n"/>
      <c r="FD100" s="47" t="n"/>
      <c r="FE100" s="47" t="inlineStr">
        <is>
          <t>A</t>
        </is>
      </c>
      <c r="FF100" s="47" t="inlineStr">
        <is>
          <t>A</t>
        </is>
      </c>
      <c r="FG100" s="47" t="n"/>
      <c r="FH100" s="47" t="n"/>
      <c r="FI100" s="47" t="inlineStr">
        <is>
          <t>A</t>
        </is>
      </c>
      <c r="FJ100" s="47" t="inlineStr">
        <is>
          <t>A</t>
        </is>
      </c>
      <c r="FK100" s="47" t="n"/>
      <c r="FL100" s="47" t="n"/>
      <c r="FM100" s="47" t="n"/>
      <c r="FN100" s="47" t="n"/>
      <c r="FO100" s="47" t="n"/>
      <c r="FP100" s="47" t="n"/>
      <c r="FQ100" s="47" t="n"/>
      <c r="FR100" s="47" t="inlineStr">
        <is>
          <t>P</t>
        </is>
      </c>
      <c r="FS100" s="47" t="n"/>
      <c r="FT100" s="47" t="n"/>
      <c r="FU100" s="47" t="n"/>
      <c r="FV100" s="47" t="n"/>
      <c r="FW100" s="47" t="n"/>
      <c r="FX100" s="47" t="n"/>
      <c r="FY100" s="47" t="inlineStr">
        <is>
          <t>A</t>
        </is>
      </c>
      <c r="FZ100" s="47" t="inlineStr">
        <is>
          <t>A</t>
        </is>
      </c>
      <c r="GA100" s="47" t="n"/>
      <c r="GB100" s="47" t="n"/>
      <c r="GC100" s="47" t="n"/>
      <c r="GD100" s="47" t="inlineStr">
        <is>
          <t>A</t>
        </is>
      </c>
      <c r="GE100" s="47" t="n"/>
      <c r="GF100" s="47" t="n"/>
      <c r="GG100" s="47" t="inlineStr">
        <is>
          <t>A</t>
        </is>
      </c>
      <c r="GH100" s="47" t="n"/>
      <c r="GI100" s="47" t="n"/>
    </row>
    <row r="101" ht="14.25" customHeight="1" s="34">
      <c r="A101" s="46" t="n">
        <v>98</v>
      </c>
      <c r="B101" s="46" t="inlineStr">
        <is>
          <t>325106410098</t>
        </is>
      </c>
      <c r="C101" s="46" t="inlineStr">
        <is>
          <t>OMAR TAMOU EL HABIB ANFANE</t>
        </is>
      </c>
      <c r="D101" s="47" t="inlineStr">
        <is>
          <t>A</t>
        </is>
      </c>
      <c r="E101" s="47" t="n"/>
      <c r="F101" s="47" t="n"/>
      <c r="G101" s="47" t="n"/>
      <c r="H101" s="47" t="n"/>
      <c r="I101" s="47" t="inlineStr">
        <is>
          <t>A</t>
        </is>
      </c>
      <c r="J101" s="47" t="n"/>
      <c r="K101" s="47" t="n"/>
      <c r="L101" s="47" t="inlineStr">
        <is>
          <t>A</t>
        </is>
      </c>
      <c r="M101" s="47" t="n"/>
      <c r="N101" s="47" t="n"/>
      <c r="O101" s="47" t="n"/>
      <c r="P101" s="47" t="inlineStr">
        <is>
          <t>A</t>
        </is>
      </c>
      <c r="Q101" s="47" t="inlineStr">
        <is>
          <t>A</t>
        </is>
      </c>
      <c r="R101" s="47" t="n"/>
      <c r="S101" s="47" t="n"/>
      <c r="T101" s="47" t="inlineStr">
        <is>
          <t>A</t>
        </is>
      </c>
      <c r="U101" s="47" t="n"/>
      <c r="V101" s="47" t="n"/>
      <c r="W101" s="47" t="n"/>
      <c r="X101" s="47" t="n"/>
      <c r="Y101" s="47" t="n"/>
      <c r="Z101" s="47" t="n"/>
      <c r="AA101" s="47" t="n"/>
      <c r="AB101" s="47" t="n"/>
      <c r="AC101" s="47" t="inlineStr">
        <is>
          <t>A</t>
        </is>
      </c>
      <c r="AD101" s="47" t="n"/>
      <c r="AE101" s="47" t="n"/>
      <c r="AF101" s="47" t="inlineStr">
        <is>
          <t>P</t>
        </is>
      </c>
      <c r="AG101" s="47" t="n"/>
      <c r="AH101" s="47" t="n"/>
      <c r="AI101" s="47" t="n"/>
      <c r="AJ101" s="47" t="inlineStr">
        <is>
          <t>P</t>
        </is>
      </c>
      <c r="AK101" s="47" t="inlineStr">
        <is>
          <t>P</t>
        </is>
      </c>
      <c r="AL101" s="47" t="n"/>
      <c r="AM101" s="47" t="n"/>
      <c r="AN101" s="47" t="inlineStr">
        <is>
          <t>A</t>
        </is>
      </c>
      <c r="AO101" s="47" t="n"/>
      <c r="AP101" s="47" t="n"/>
      <c r="AQ101" s="47" t="n"/>
      <c r="AR101" s="47" t="inlineStr">
        <is>
          <t>P</t>
        </is>
      </c>
      <c r="AS101" s="47" t="n"/>
      <c r="AT101" s="47" t="n"/>
      <c r="AU101" s="47" t="n"/>
      <c r="AV101" s="47" t="n"/>
      <c r="AW101" s="47" t="inlineStr">
        <is>
          <t>P</t>
        </is>
      </c>
      <c r="AX101" s="47" t="n"/>
      <c r="AY101" s="47" t="n"/>
      <c r="AZ101" s="47" t="inlineStr">
        <is>
          <t>P</t>
        </is>
      </c>
      <c r="BA101" s="47" t="inlineStr">
        <is>
          <t>P</t>
        </is>
      </c>
      <c r="BB101" s="47" t="n"/>
      <c r="BC101" s="47" t="n"/>
      <c r="BD101" s="47" t="inlineStr">
        <is>
          <t>P</t>
        </is>
      </c>
      <c r="BE101" s="47" t="inlineStr">
        <is>
          <t>P</t>
        </is>
      </c>
      <c r="BF101" s="47" t="n"/>
      <c r="BG101" s="47" t="n"/>
      <c r="BH101" s="47" t="inlineStr">
        <is>
          <t>A</t>
        </is>
      </c>
      <c r="BI101" s="47" t="inlineStr">
        <is>
          <t>A</t>
        </is>
      </c>
      <c r="BJ101" s="47" t="n"/>
      <c r="BK101" s="47" t="n"/>
      <c r="BL101" s="47" t="n"/>
      <c r="BM101" s="47" t="n"/>
      <c r="BN101" s="47" t="n"/>
      <c r="BO101" s="47" t="n"/>
      <c r="BP101" s="47" t="n"/>
      <c r="BQ101" s="47" t="inlineStr">
        <is>
          <t>P</t>
        </is>
      </c>
      <c r="BR101" s="47" t="n"/>
      <c r="BS101" s="47" t="n"/>
      <c r="BT101" s="47" t="inlineStr">
        <is>
          <t>P</t>
        </is>
      </c>
      <c r="BU101" s="47" t="inlineStr">
        <is>
          <t>P</t>
        </is>
      </c>
      <c r="BV101" s="47" t="n"/>
      <c r="BW101" s="47" t="n"/>
      <c r="BX101" s="47" t="inlineStr">
        <is>
          <t>P</t>
        </is>
      </c>
      <c r="BY101" s="47" t="inlineStr">
        <is>
          <t>P</t>
        </is>
      </c>
      <c r="BZ101" s="47" t="n"/>
      <c r="CA101" s="47" t="n"/>
      <c r="CB101" s="47" t="inlineStr">
        <is>
          <t>P</t>
        </is>
      </c>
      <c r="CC101" s="47" t="n"/>
      <c r="CD101" s="47" t="n"/>
      <c r="CE101" s="47" t="n"/>
      <c r="CF101" s="47" t="inlineStr">
        <is>
          <t>P</t>
        </is>
      </c>
      <c r="CG101" s="47" t="n"/>
      <c r="CH101" s="47" t="n"/>
      <c r="CI101" s="47" t="n"/>
      <c r="CJ101" s="47" t="n"/>
      <c r="CK101" s="47" t="n"/>
      <c r="CL101" s="47" t="n"/>
      <c r="CM101" s="47" t="n"/>
      <c r="CN101" s="47" t="inlineStr">
        <is>
          <t>P</t>
        </is>
      </c>
      <c r="CO101" s="47" t="n"/>
      <c r="CP101" s="47" t="n"/>
      <c r="CQ101" s="47" t="inlineStr">
        <is>
          <t>A</t>
        </is>
      </c>
      <c r="CR101" s="47" t="inlineStr">
        <is>
          <t>P</t>
        </is>
      </c>
      <c r="CS101" s="47" t="n"/>
      <c r="CT101" s="47" t="n"/>
      <c r="CU101" s="47" t="inlineStr">
        <is>
          <t>A</t>
        </is>
      </c>
      <c r="CV101" s="47" t="inlineStr">
        <is>
          <t>A</t>
        </is>
      </c>
      <c r="CW101" s="47" t="n"/>
      <c r="CX101" s="47" t="n"/>
      <c r="CY101" s="47" t="n"/>
      <c r="CZ101" s="47" t="inlineStr">
        <is>
          <t>P</t>
        </is>
      </c>
      <c r="DA101" s="47" t="n"/>
      <c r="DB101" s="47" t="n"/>
      <c r="DC101" s="47" t="inlineStr">
        <is>
          <t>P</t>
        </is>
      </c>
      <c r="DD101" s="47" t="n"/>
      <c r="DE101" s="47" t="n"/>
      <c r="DF101" s="47" t="n"/>
      <c r="DG101" s="47" t="n"/>
      <c r="DH101" s="47" t="n"/>
      <c r="DI101" s="47" t="n"/>
      <c r="DJ101" s="47" t="n"/>
      <c r="DK101" s="47" t="inlineStr">
        <is>
          <t>P</t>
        </is>
      </c>
      <c r="DL101" s="47" t="n"/>
      <c r="DM101" s="47" t="n"/>
      <c r="DN101" s="47" t="inlineStr">
        <is>
          <t>P</t>
        </is>
      </c>
      <c r="DO101" s="47" t="inlineStr">
        <is>
          <t>P</t>
        </is>
      </c>
      <c r="DP101" s="47" t="n"/>
      <c r="DQ101" s="47" t="n"/>
      <c r="DR101" s="47" t="inlineStr">
        <is>
          <t>P</t>
        </is>
      </c>
      <c r="DS101" s="47" t="inlineStr">
        <is>
          <t>P</t>
        </is>
      </c>
      <c r="DT101" s="47" t="n"/>
      <c r="DU101" s="47" t="n"/>
      <c r="DV101" s="47" t="inlineStr">
        <is>
          <t>P</t>
        </is>
      </c>
      <c r="DW101" s="47" t="inlineStr">
        <is>
          <t>P</t>
        </is>
      </c>
      <c r="DX101" s="47" t="n"/>
      <c r="DY101" s="47" t="n"/>
      <c r="DZ101" s="47" t="inlineStr">
        <is>
          <t>P</t>
        </is>
      </c>
      <c r="EA101" s="47" t="n"/>
      <c r="EB101" s="47" t="n"/>
      <c r="EC101" s="47" t="n"/>
      <c r="ED101" s="47" t="n"/>
      <c r="EE101" s="47" t="n"/>
      <c r="EF101" s="47" t="n"/>
      <c r="EG101" s="47" t="n"/>
      <c r="EH101" s="47" t="inlineStr">
        <is>
          <t>A</t>
        </is>
      </c>
      <c r="EI101" s="47" t="n"/>
      <c r="EJ101" s="47" t="n"/>
      <c r="EK101" s="47" t="inlineStr">
        <is>
          <t>P</t>
        </is>
      </c>
      <c r="EL101" s="47" t="inlineStr">
        <is>
          <t>P</t>
        </is>
      </c>
      <c r="EM101" s="47" t="n"/>
      <c r="EN101" s="47" t="n"/>
      <c r="EO101" s="47" t="inlineStr">
        <is>
          <t>P</t>
        </is>
      </c>
      <c r="EP101" s="47" t="inlineStr">
        <is>
          <t>A</t>
        </is>
      </c>
      <c r="EQ101" s="47" t="n"/>
      <c r="ER101" s="47" t="n"/>
      <c r="ES101" s="47" t="inlineStr">
        <is>
          <t>P</t>
        </is>
      </c>
      <c r="ET101" s="47" t="inlineStr">
        <is>
          <t>P</t>
        </is>
      </c>
      <c r="EU101" s="47" t="n"/>
      <c r="EV101" s="47" t="n"/>
      <c r="EW101" s="47" t="n"/>
      <c r="EX101" s="47" t="n"/>
      <c r="EY101" s="47" t="n"/>
      <c r="EZ101" s="47" t="n"/>
      <c r="FA101" s="47" t="n"/>
      <c r="FB101" s="47" t="inlineStr">
        <is>
          <t>P</t>
        </is>
      </c>
      <c r="FC101" s="47" t="n"/>
      <c r="FD101" s="47" t="n"/>
      <c r="FE101" s="47" t="inlineStr">
        <is>
          <t>P</t>
        </is>
      </c>
      <c r="FF101" s="47" t="inlineStr">
        <is>
          <t>P</t>
        </is>
      </c>
      <c r="FG101" s="47" t="n"/>
      <c r="FH101" s="47" t="n"/>
      <c r="FI101" s="47" t="inlineStr">
        <is>
          <t>P</t>
        </is>
      </c>
      <c r="FJ101" s="47" t="inlineStr">
        <is>
          <t>P</t>
        </is>
      </c>
      <c r="FK101" s="47" t="n"/>
      <c r="FL101" s="47" t="n"/>
      <c r="FM101" s="47" t="n"/>
      <c r="FN101" s="47" t="n"/>
      <c r="FO101" s="47" t="n"/>
      <c r="FP101" s="47" t="n"/>
      <c r="FQ101" s="47" t="n"/>
      <c r="FR101" s="47" t="inlineStr">
        <is>
          <t>P</t>
        </is>
      </c>
      <c r="FS101" s="47" t="n"/>
      <c r="FT101" s="47" t="n"/>
      <c r="FU101" s="47" t="n"/>
      <c r="FV101" s="47" t="n"/>
      <c r="FW101" s="47" t="n"/>
      <c r="FX101" s="47" t="n"/>
      <c r="FY101" s="47" t="inlineStr">
        <is>
          <t>P</t>
        </is>
      </c>
      <c r="FZ101" s="47" t="inlineStr">
        <is>
          <t>P</t>
        </is>
      </c>
      <c r="GA101" s="47" t="n"/>
      <c r="GB101" s="47" t="n"/>
      <c r="GC101" s="47" t="n"/>
      <c r="GD101" s="47" t="inlineStr">
        <is>
          <t>P</t>
        </is>
      </c>
      <c r="GE101" s="47" t="n"/>
      <c r="GF101" s="47" t="n"/>
      <c r="GG101" s="47" t="inlineStr">
        <is>
          <t>A</t>
        </is>
      </c>
      <c r="GH101" s="47" t="n"/>
      <c r="GI101" s="47" t="n"/>
    </row>
    <row r="102" ht="14.25" customHeight="1" s="34">
      <c r="A102" s="46" t="n">
        <v>99</v>
      </c>
      <c r="B102" s="46" t="inlineStr">
        <is>
          <t>325106410099</t>
        </is>
      </c>
      <c r="C102" s="46" t="inlineStr">
        <is>
          <t>OSCAR MANSIAMINA JUNIOR</t>
        </is>
      </c>
      <c r="D102" s="47" t="inlineStr">
        <is>
          <t>A</t>
        </is>
      </c>
      <c r="E102" s="47" t="n"/>
      <c r="F102" s="47" t="n"/>
      <c r="G102" s="47" t="n"/>
      <c r="H102" s="47" t="n"/>
      <c r="I102" s="47" t="inlineStr">
        <is>
          <t>A</t>
        </is>
      </c>
      <c r="J102" s="47" t="n"/>
      <c r="K102" s="47" t="n"/>
      <c r="L102" s="47" t="inlineStr">
        <is>
          <t>A</t>
        </is>
      </c>
      <c r="M102" s="47" t="n"/>
      <c r="N102" s="47" t="n"/>
      <c r="O102" s="47" t="n"/>
      <c r="P102" s="47" t="inlineStr">
        <is>
          <t>A</t>
        </is>
      </c>
      <c r="Q102" s="47" t="inlineStr">
        <is>
          <t>A</t>
        </is>
      </c>
      <c r="R102" s="47" t="n"/>
      <c r="S102" s="47" t="n"/>
      <c r="T102" s="47" t="inlineStr">
        <is>
          <t>A</t>
        </is>
      </c>
      <c r="U102" s="47" t="n"/>
      <c r="V102" s="47" t="n"/>
      <c r="W102" s="47" t="n"/>
      <c r="X102" s="47" t="n"/>
      <c r="Y102" s="47" t="n"/>
      <c r="Z102" s="47" t="n"/>
      <c r="AA102" s="47" t="n"/>
      <c r="AB102" s="47" t="n"/>
      <c r="AC102" s="47" t="inlineStr">
        <is>
          <t>P</t>
        </is>
      </c>
      <c r="AD102" s="47" t="n"/>
      <c r="AE102" s="47" t="n"/>
      <c r="AF102" s="47" t="inlineStr">
        <is>
          <t>P</t>
        </is>
      </c>
      <c r="AG102" s="47" t="n"/>
      <c r="AH102" s="47" t="n"/>
      <c r="AI102" s="47" t="n"/>
      <c r="AJ102" s="47" t="inlineStr">
        <is>
          <t>P</t>
        </is>
      </c>
      <c r="AK102" s="47" t="inlineStr">
        <is>
          <t>P</t>
        </is>
      </c>
      <c r="AL102" s="47" t="n"/>
      <c r="AM102" s="47" t="n"/>
      <c r="AN102" s="47" t="inlineStr">
        <is>
          <t>P</t>
        </is>
      </c>
      <c r="AO102" s="47" t="n"/>
      <c r="AP102" s="47" t="n"/>
      <c r="AQ102" s="47" t="n"/>
      <c r="AR102" s="47" t="inlineStr">
        <is>
          <t>A</t>
        </is>
      </c>
      <c r="AS102" s="47" t="n"/>
      <c r="AT102" s="47" t="n"/>
      <c r="AU102" s="47" t="n"/>
      <c r="AV102" s="47" t="n"/>
      <c r="AW102" s="47" t="inlineStr">
        <is>
          <t>P</t>
        </is>
      </c>
      <c r="AX102" s="47" t="n"/>
      <c r="AY102" s="47" t="n"/>
      <c r="AZ102" s="47" t="inlineStr">
        <is>
          <t>P</t>
        </is>
      </c>
      <c r="BA102" s="47" t="inlineStr">
        <is>
          <t>P</t>
        </is>
      </c>
      <c r="BB102" s="47" t="n"/>
      <c r="BC102" s="47" t="n"/>
      <c r="BD102" s="47" t="inlineStr">
        <is>
          <t>P</t>
        </is>
      </c>
      <c r="BE102" s="47" t="inlineStr">
        <is>
          <t>P</t>
        </is>
      </c>
      <c r="BF102" s="47" t="n"/>
      <c r="BG102" s="47" t="n"/>
      <c r="BH102" s="47" t="inlineStr">
        <is>
          <t>P</t>
        </is>
      </c>
      <c r="BI102" s="47" t="inlineStr">
        <is>
          <t>P</t>
        </is>
      </c>
      <c r="BJ102" s="47" t="n"/>
      <c r="BK102" s="47" t="n"/>
      <c r="BL102" s="47" t="n"/>
      <c r="BM102" s="47" t="n"/>
      <c r="BN102" s="47" t="n"/>
      <c r="BO102" s="47" t="n"/>
      <c r="BP102" s="47" t="n"/>
      <c r="BQ102" s="47" t="inlineStr">
        <is>
          <t>P</t>
        </is>
      </c>
      <c r="BR102" s="47" t="n"/>
      <c r="BS102" s="47" t="n"/>
      <c r="BT102" s="47" t="inlineStr">
        <is>
          <t>P</t>
        </is>
      </c>
      <c r="BU102" s="47" t="inlineStr">
        <is>
          <t>P</t>
        </is>
      </c>
      <c r="BV102" s="47" t="n"/>
      <c r="BW102" s="47" t="n"/>
      <c r="BX102" s="47" t="inlineStr">
        <is>
          <t>P</t>
        </is>
      </c>
      <c r="BY102" s="47" t="inlineStr">
        <is>
          <t>P</t>
        </is>
      </c>
      <c r="BZ102" s="47" t="n"/>
      <c r="CA102" s="47" t="n"/>
      <c r="CB102" s="47" t="inlineStr">
        <is>
          <t>P</t>
        </is>
      </c>
      <c r="CC102" s="47" t="n"/>
      <c r="CD102" s="47" t="n"/>
      <c r="CE102" s="47" t="n"/>
      <c r="CF102" s="47" t="inlineStr">
        <is>
          <t>P</t>
        </is>
      </c>
      <c r="CG102" s="47" t="n"/>
      <c r="CH102" s="47" t="n"/>
      <c r="CI102" s="47" t="n"/>
      <c r="CJ102" s="47" t="n"/>
      <c r="CK102" s="47" t="n"/>
      <c r="CL102" s="47" t="n"/>
      <c r="CM102" s="47" t="n"/>
      <c r="CN102" s="47" t="inlineStr">
        <is>
          <t>P</t>
        </is>
      </c>
      <c r="CO102" s="47" t="n"/>
      <c r="CP102" s="47" t="n"/>
      <c r="CQ102" s="47" t="inlineStr">
        <is>
          <t>P</t>
        </is>
      </c>
      <c r="CR102" s="47" t="inlineStr">
        <is>
          <t>P</t>
        </is>
      </c>
      <c r="CS102" s="47" t="n"/>
      <c r="CT102" s="47" t="n"/>
      <c r="CU102" s="47" t="inlineStr">
        <is>
          <t>P</t>
        </is>
      </c>
      <c r="CV102" s="47" t="inlineStr">
        <is>
          <t>P</t>
        </is>
      </c>
      <c r="CW102" s="47" t="n"/>
      <c r="CX102" s="47" t="n"/>
      <c r="CY102" s="47" t="n"/>
      <c r="CZ102" s="47" t="inlineStr">
        <is>
          <t>P</t>
        </is>
      </c>
      <c r="DA102" s="47" t="n"/>
      <c r="DB102" s="47" t="n"/>
      <c r="DC102" s="47" t="inlineStr">
        <is>
          <t>P</t>
        </is>
      </c>
      <c r="DD102" s="47" t="n"/>
      <c r="DE102" s="47" t="n"/>
      <c r="DF102" s="47" t="n"/>
      <c r="DG102" s="47" t="n"/>
      <c r="DH102" s="47" t="n"/>
      <c r="DI102" s="47" t="n"/>
      <c r="DJ102" s="47" t="n"/>
      <c r="DK102" s="47" t="inlineStr">
        <is>
          <t>P</t>
        </is>
      </c>
      <c r="DL102" s="47" t="n"/>
      <c r="DM102" s="47" t="n"/>
      <c r="DN102" s="47" t="inlineStr">
        <is>
          <t>P</t>
        </is>
      </c>
      <c r="DO102" s="47" t="inlineStr">
        <is>
          <t>P</t>
        </is>
      </c>
      <c r="DP102" s="47" t="n"/>
      <c r="DQ102" s="47" t="n"/>
      <c r="DR102" s="47" t="inlineStr">
        <is>
          <t>A</t>
        </is>
      </c>
      <c r="DS102" s="47" t="inlineStr">
        <is>
          <t>A</t>
        </is>
      </c>
      <c r="DT102" s="47" t="n"/>
      <c r="DU102" s="47" t="n"/>
      <c r="DV102" s="47" t="inlineStr">
        <is>
          <t>P</t>
        </is>
      </c>
      <c r="DW102" s="47" t="inlineStr">
        <is>
          <t>P</t>
        </is>
      </c>
      <c r="DX102" s="47" t="n"/>
      <c r="DY102" s="47" t="n"/>
      <c r="DZ102" s="47" t="inlineStr">
        <is>
          <t>P</t>
        </is>
      </c>
      <c r="EA102" s="47" t="n"/>
      <c r="EB102" s="47" t="n"/>
      <c r="EC102" s="47" t="n"/>
      <c r="ED102" s="47" t="n"/>
      <c r="EE102" s="47" t="n"/>
      <c r="EF102" s="47" t="n"/>
      <c r="EG102" s="47" t="n"/>
      <c r="EH102" s="47" t="inlineStr">
        <is>
          <t>P</t>
        </is>
      </c>
      <c r="EI102" s="47" t="n"/>
      <c r="EJ102" s="47" t="n"/>
      <c r="EK102" s="47" t="inlineStr">
        <is>
          <t>P</t>
        </is>
      </c>
      <c r="EL102" s="47" t="inlineStr">
        <is>
          <t>P</t>
        </is>
      </c>
      <c r="EM102" s="47" t="n"/>
      <c r="EN102" s="47" t="n"/>
      <c r="EO102" s="47" t="inlineStr">
        <is>
          <t>P</t>
        </is>
      </c>
      <c r="EP102" s="47" t="inlineStr">
        <is>
          <t>P</t>
        </is>
      </c>
      <c r="EQ102" s="47" t="n"/>
      <c r="ER102" s="47" t="n"/>
      <c r="ES102" s="47" t="inlineStr">
        <is>
          <t>P</t>
        </is>
      </c>
      <c r="ET102" s="47" t="inlineStr">
        <is>
          <t>P</t>
        </is>
      </c>
      <c r="EU102" s="47" t="n"/>
      <c r="EV102" s="47" t="n"/>
      <c r="EW102" s="47" t="n"/>
      <c r="EX102" s="47" t="n"/>
      <c r="EY102" s="47" t="n"/>
      <c r="EZ102" s="47" t="n"/>
      <c r="FA102" s="47" t="n"/>
      <c r="FB102" s="47" t="inlineStr">
        <is>
          <t>P</t>
        </is>
      </c>
      <c r="FC102" s="47" t="n"/>
      <c r="FD102" s="47" t="n"/>
      <c r="FE102" s="47" t="inlineStr">
        <is>
          <t>P</t>
        </is>
      </c>
      <c r="FF102" s="47" t="inlineStr">
        <is>
          <t>A</t>
        </is>
      </c>
      <c r="FG102" s="47" t="n"/>
      <c r="FH102" s="47" t="n"/>
      <c r="FI102" s="47" t="inlineStr">
        <is>
          <t>P</t>
        </is>
      </c>
      <c r="FJ102" s="47" t="inlineStr">
        <is>
          <t>P</t>
        </is>
      </c>
      <c r="FK102" s="47" t="n"/>
      <c r="FL102" s="47" t="n"/>
      <c r="FM102" s="47" t="n"/>
      <c r="FN102" s="47" t="n"/>
      <c r="FO102" s="47" t="n"/>
      <c r="FP102" s="47" t="n"/>
      <c r="FQ102" s="47" t="n"/>
      <c r="FR102" s="47" t="inlineStr">
        <is>
          <t>P</t>
        </is>
      </c>
      <c r="FS102" s="47" t="n"/>
      <c r="FT102" s="47" t="n"/>
      <c r="FU102" s="47" t="n"/>
      <c r="FV102" s="47" t="n"/>
      <c r="FW102" s="47" t="n"/>
      <c r="FX102" s="47" t="n"/>
      <c r="FY102" s="47" t="inlineStr">
        <is>
          <t>P</t>
        </is>
      </c>
      <c r="FZ102" s="47" t="inlineStr">
        <is>
          <t>P</t>
        </is>
      </c>
      <c r="GA102" s="47" t="n"/>
      <c r="GB102" s="47" t="n"/>
      <c r="GC102" s="47" t="n"/>
      <c r="GD102" s="47" t="inlineStr">
        <is>
          <t>A</t>
        </is>
      </c>
      <c r="GE102" s="47" t="n"/>
      <c r="GF102" s="47" t="n"/>
      <c r="GG102" s="47" t="inlineStr">
        <is>
          <t>A</t>
        </is>
      </c>
      <c r="GH102" s="47" t="n"/>
      <c r="GI102" s="47" t="n"/>
    </row>
    <row r="103" ht="14.25" customHeight="1" s="34">
      <c r="A103" s="46" t="n">
        <v>100</v>
      </c>
      <c r="B103" s="46" t="inlineStr">
        <is>
          <t>325106410100</t>
        </is>
      </c>
      <c r="C103" s="46" t="inlineStr">
        <is>
          <t>BERNARD OWUSU OKYERE</t>
        </is>
      </c>
      <c r="D103" s="47" t="inlineStr">
        <is>
          <t>A</t>
        </is>
      </c>
      <c r="E103" s="47" t="n"/>
      <c r="F103" s="47" t="n"/>
      <c r="G103" s="47" t="n"/>
      <c r="H103" s="47" t="n"/>
      <c r="I103" s="47" t="inlineStr">
        <is>
          <t>A</t>
        </is>
      </c>
      <c r="J103" s="47" t="n"/>
      <c r="K103" s="47" t="n"/>
      <c r="L103" s="47" t="inlineStr">
        <is>
          <t>A</t>
        </is>
      </c>
      <c r="M103" s="47" t="n"/>
      <c r="N103" s="47" t="n"/>
      <c r="O103" s="47" t="n"/>
      <c r="P103" s="47" t="inlineStr">
        <is>
          <t>A</t>
        </is>
      </c>
      <c r="Q103" s="47" t="inlineStr">
        <is>
          <t>A</t>
        </is>
      </c>
      <c r="R103" s="47" t="n"/>
      <c r="S103" s="47" t="n"/>
      <c r="T103" s="47" t="inlineStr">
        <is>
          <t>A</t>
        </is>
      </c>
      <c r="U103" s="47" t="n"/>
      <c r="V103" s="47" t="n"/>
      <c r="W103" s="47" t="n"/>
      <c r="X103" s="47" t="n"/>
      <c r="Y103" s="47" t="n"/>
      <c r="Z103" s="47" t="n"/>
      <c r="AA103" s="47" t="n"/>
      <c r="AB103" s="47" t="n"/>
      <c r="AC103" s="47" t="inlineStr">
        <is>
          <t>P</t>
        </is>
      </c>
      <c r="AD103" s="47" t="n"/>
      <c r="AE103" s="47" t="n"/>
      <c r="AF103" s="47" t="inlineStr">
        <is>
          <t>P</t>
        </is>
      </c>
      <c r="AG103" s="47" t="n"/>
      <c r="AH103" s="47" t="n"/>
      <c r="AI103" s="47" t="n"/>
      <c r="AJ103" s="47" t="inlineStr">
        <is>
          <t>P</t>
        </is>
      </c>
      <c r="AK103" s="47" t="inlineStr">
        <is>
          <t>P</t>
        </is>
      </c>
      <c r="AL103" s="47" t="n"/>
      <c r="AM103" s="47" t="n"/>
      <c r="AN103" s="47" t="inlineStr">
        <is>
          <t>P</t>
        </is>
      </c>
      <c r="AO103" s="47" t="n"/>
      <c r="AP103" s="47" t="n"/>
      <c r="AQ103" s="47" t="n"/>
      <c r="AR103" s="47" t="inlineStr">
        <is>
          <t>P</t>
        </is>
      </c>
      <c r="AS103" s="47" t="n"/>
      <c r="AT103" s="47" t="n"/>
      <c r="AU103" s="47" t="n"/>
      <c r="AV103" s="47" t="n"/>
      <c r="AW103" s="47" t="inlineStr">
        <is>
          <t>P</t>
        </is>
      </c>
      <c r="AX103" s="47" t="n"/>
      <c r="AY103" s="47" t="n"/>
      <c r="AZ103" s="47" t="inlineStr">
        <is>
          <t>P</t>
        </is>
      </c>
      <c r="BA103" s="47" t="inlineStr">
        <is>
          <t>P</t>
        </is>
      </c>
      <c r="BB103" s="47" t="n"/>
      <c r="BC103" s="47" t="n"/>
      <c r="BD103" s="47" t="inlineStr">
        <is>
          <t>P</t>
        </is>
      </c>
      <c r="BE103" s="47" t="inlineStr">
        <is>
          <t>P</t>
        </is>
      </c>
      <c r="BF103" s="47" t="n"/>
      <c r="BG103" s="47" t="n"/>
      <c r="BH103" s="47" t="inlineStr">
        <is>
          <t>P</t>
        </is>
      </c>
      <c r="BI103" s="47" t="inlineStr">
        <is>
          <t>P</t>
        </is>
      </c>
      <c r="BJ103" s="47" t="n"/>
      <c r="BK103" s="47" t="n"/>
      <c r="BL103" s="47" t="n"/>
      <c r="BM103" s="47" t="n"/>
      <c r="BN103" s="47" t="n"/>
      <c r="BO103" s="47" t="n"/>
      <c r="BP103" s="47" t="n"/>
      <c r="BQ103" s="47" t="inlineStr">
        <is>
          <t>P</t>
        </is>
      </c>
      <c r="BR103" s="47" t="n"/>
      <c r="BS103" s="47" t="n"/>
      <c r="BT103" s="47" t="inlineStr">
        <is>
          <t>P</t>
        </is>
      </c>
      <c r="BU103" s="47" t="inlineStr">
        <is>
          <t>P</t>
        </is>
      </c>
      <c r="BV103" s="47" t="n"/>
      <c r="BW103" s="47" t="n"/>
      <c r="BX103" s="47" t="inlineStr">
        <is>
          <t>P</t>
        </is>
      </c>
      <c r="BY103" s="47" t="inlineStr">
        <is>
          <t>P</t>
        </is>
      </c>
      <c r="BZ103" s="47" t="n"/>
      <c r="CA103" s="47" t="n"/>
      <c r="CB103" s="47" t="inlineStr">
        <is>
          <t>P</t>
        </is>
      </c>
      <c r="CC103" s="47" t="n"/>
      <c r="CD103" s="47" t="n"/>
      <c r="CE103" s="47" t="n"/>
      <c r="CF103" s="47" t="inlineStr">
        <is>
          <t>P</t>
        </is>
      </c>
      <c r="CG103" s="47" t="n"/>
      <c r="CH103" s="47" t="n"/>
      <c r="CI103" s="47" t="n"/>
      <c r="CJ103" s="47" t="n"/>
      <c r="CK103" s="47" t="n"/>
      <c r="CL103" s="47" t="n"/>
      <c r="CM103" s="47" t="n"/>
      <c r="CN103" s="47" t="inlineStr">
        <is>
          <t>P</t>
        </is>
      </c>
      <c r="CO103" s="47" t="n"/>
      <c r="CP103" s="47" t="n"/>
      <c r="CQ103" s="47" t="inlineStr">
        <is>
          <t>P</t>
        </is>
      </c>
      <c r="CR103" s="47" t="inlineStr">
        <is>
          <t>P</t>
        </is>
      </c>
      <c r="CS103" s="47" t="n"/>
      <c r="CT103" s="47" t="n"/>
      <c r="CU103" s="47" t="inlineStr">
        <is>
          <t>P</t>
        </is>
      </c>
      <c r="CV103" s="47" t="inlineStr">
        <is>
          <t>P</t>
        </is>
      </c>
      <c r="CW103" s="47" t="n"/>
      <c r="CX103" s="47" t="n"/>
      <c r="CY103" s="47" t="n"/>
      <c r="CZ103" s="47" t="inlineStr">
        <is>
          <t>P</t>
        </is>
      </c>
      <c r="DA103" s="47" t="n"/>
      <c r="DB103" s="47" t="n"/>
      <c r="DC103" s="47" t="inlineStr">
        <is>
          <t>P</t>
        </is>
      </c>
      <c r="DD103" s="47" t="n"/>
      <c r="DE103" s="47" t="n"/>
      <c r="DF103" s="47" t="n"/>
      <c r="DG103" s="47" t="n"/>
      <c r="DH103" s="47" t="n"/>
      <c r="DI103" s="47" t="n"/>
      <c r="DJ103" s="47" t="n"/>
      <c r="DK103" s="47" t="inlineStr">
        <is>
          <t>P</t>
        </is>
      </c>
      <c r="DL103" s="47" t="n"/>
      <c r="DM103" s="47" t="n"/>
      <c r="DN103" s="47" t="inlineStr">
        <is>
          <t>P</t>
        </is>
      </c>
      <c r="DO103" s="47" t="inlineStr">
        <is>
          <t>P</t>
        </is>
      </c>
      <c r="DP103" s="47" t="n"/>
      <c r="DQ103" s="47" t="n"/>
      <c r="DR103" s="47" t="inlineStr">
        <is>
          <t>P</t>
        </is>
      </c>
      <c r="DS103" s="47" t="inlineStr">
        <is>
          <t>P</t>
        </is>
      </c>
      <c r="DT103" s="47" t="n"/>
      <c r="DU103" s="47" t="n"/>
      <c r="DV103" s="47" t="inlineStr">
        <is>
          <t>P</t>
        </is>
      </c>
      <c r="DW103" s="47" t="inlineStr">
        <is>
          <t>P</t>
        </is>
      </c>
      <c r="DX103" s="47" t="n"/>
      <c r="DY103" s="47" t="n"/>
      <c r="DZ103" s="47" t="inlineStr">
        <is>
          <t>P</t>
        </is>
      </c>
      <c r="EA103" s="47" t="n"/>
      <c r="EB103" s="47" t="n"/>
      <c r="EC103" s="47" t="n"/>
      <c r="ED103" s="47" t="n"/>
      <c r="EE103" s="47" t="n"/>
      <c r="EF103" s="47" t="n"/>
      <c r="EG103" s="47" t="n"/>
      <c r="EH103" s="47" t="inlineStr">
        <is>
          <t>P</t>
        </is>
      </c>
      <c r="EI103" s="47" t="n"/>
      <c r="EJ103" s="47" t="n"/>
      <c r="EK103" s="47" t="inlineStr">
        <is>
          <t>P</t>
        </is>
      </c>
      <c r="EL103" s="47" t="inlineStr">
        <is>
          <t>P</t>
        </is>
      </c>
      <c r="EM103" s="47" t="n"/>
      <c r="EN103" s="47" t="n"/>
      <c r="EO103" s="47" t="inlineStr">
        <is>
          <t>P</t>
        </is>
      </c>
      <c r="EP103" s="47" t="inlineStr">
        <is>
          <t>P</t>
        </is>
      </c>
      <c r="EQ103" s="47" t="n"/>
      <c r="ER103" s="47" t="n"/>
      <c r="ES103" s="47" t="inlineStr">
        <is>
          <t>P</t>
        </is>
      </c>
      <c r="ET103" s="47" t="inlineStr">
        <is>
          <t>P</t>
        </is>
      </c>
      <c r="EU103" s="47" t="n"/>
      <c r="EV103" s="47" t="n"/>
      <c r="EW103" s="47" t="n"/>
      <c r="EX103" s="47" t="n"/>
      <c r="EY103" s="47" t="n"/>
      <c r="EZ103" s="47" t="n"/>
      <c r="FA103" s="47" t="n"/>
      <c r="FB103" s="47" t="inlineStr">
        <is>
          <t>P</t>
        </is>
      </c>
      <c r="FC103" s="47" t="n"/>
      <c r="FD103" s="47" t="n"/>
      <c r="FE103" s="47" t="inlineStr">
        <is>
          <t>P</t>
        </is>
      </c>
      <c r="FF103" s="47" t="inlineStr">
        <is>
          <t>P</t>
        </is>
      </c>
      <c r="FG103" s="47" t="n"/>
      <c r="FH103" s="47" t="n"/>
      <c r="FI103" s="47" t="inlineStr">
        <is>
          <t>P</t>
        </is>
      </c>
      <c r="FJ103" s="47" t="inlineStr">
        <is>
          <t>P</t>
        </is>
      </c>
      <c r="FK103" s="47" t="n"/>
      <c r="FL103" s="47" t="n"/>
      <c r="FM103" s="47" t="n"/>
      <c r="FN103" s="47" t="n"/>
      <c r="FO103" s="47" t="n"/>
      <c r="FP103" s="47" t="n"/>
      <c r="FQ103" s="47" t="n"/>
      <c r="FR103" s="47" t="inlineStr">
        <is>
          <t>P</t>
        </is>
      </c>
      <c r="FS103" s="47" t="n"/>
      <c r="FT103" s="47" t="n"/>
      <c r="FU103" s="47" t="n"/>
      <c r="FV103" s="47" t="n"/>
      <c r="FW103" s="47" t="n"/>
      <c r="FX103" s="47" t="n"/>
      <c r="FY103" s="47" t="inlineStr">
        <is>
          <t>P</t>
        </is>
      </c>
      <c r="FZ103" s="47" t="inlineStr">
        <is>
          <t>P</t>
        </is>
      </c>
      <c r="GA103" s="47" t="n"/>
      <c r="GB103" s="47" t="n"/>
      <c r="GC103" s="47" t="n"/>
      <c r="GD103" s="47" t="inlineStr">
        <is>
          <t>A</t>
        </is>
      </c>
      <c r="GE103" s="47" t="n"/>
      <c r="GF103" s="47" t="n"/>
      <c r="GG103" s="47" t="inlineStr">
        <is>
          <t>P</t>
        </is>
      </c>
      <c r="GH103" s="47" t="n"/>
      <c r="GI103" s="47" t="n"/>
    </row>
    <row r="104" ht="14.25" customHeight="1" s="34">
      <c r="A104" s="46" t="n">
        <v>101</v>
      </c>
      <c r="B104" s="46" t="inlineStr">
        <is>
          <t>325106410101</t>
        </is>
      </c>
      <c r="C104" s="46" t="inlineStr">
        <is>
          <t>PROHOR PAL</t>
        </is>
      </c>
      <c r="D104" s="47" t="inlineStr">
        <is>
          <t>P</t>
        </is>
      </c>
      <c r="E104" s="47" t="n"/>
      <c r="F104" s="47" t="n"/>
      <c r="G104" s="47" t="n"/>
      <c r="H104" s="47" t="n"/>
      <c r="I104" s="47" t="inlineStr">
        <is>
          <t>A</t>
        </is>
      </c>
      <c r="J104" s="47" t="n"/>
      <c r="K104" s="47" t="n"/>
      <c r="L104" s="47" t="inlineStr">
        <is>
          <t>P</t>
        </is>
      </c>
      <c r="M104" s="47" t="n"/>
      <c r="N104" s="47" t="n"/>
      <c r="O104" s="47" t="n"/>
      <c r="P104" s="47" t="inlineStr">
        <is>
          <t>P</t>
        </is>
      </c>
      <c r="Q104" s="47" t="inlineStr">
        <is>
          <t>P</t>
        </is>
      </c>
      <c r="R104" s="47" t="n"/>
      <c r="S104" s="47" t="n"/>
      <c r="T104" s="47" t="inlineStr">
        <is>
          <t>A</t>
        </is>
      </c>
      <c r="U104" s="47" t="n"/>
      <c r="V104" s="47" t="n"/>
      <c r="W104" s="47" t="n"/>
      <c r="X104" s="47" t="n"/>
      <c r="Y104" s="47" t="n"/>
      <c r="Z104" s="47" t="n"/>
      <c r="AA104" s="47" t="n"/>
      <c r="AB104" s="47" t="n"/>
      <c r="AC104" s="47" t="inlineStr">
        <is>
          <t>P</t>
        </is>
      </c>
      <c r="AD104" s="47" t="n"/>
      <c r="AE104" s="47" t="n"/>
      <c r="AF104" s="47" t="inlineStr">
        <is>
          <t>A</t>
        </is>
      </c>
      <c r="AG104" s="47" t="n"/>
      <c r="AH104" s="47" t="n"/>
      <c r="AI104" s="47" t="n"/>
      <c r="AJ104" s="47" t="inlineStr">
        <is>
          <t>P</t>
        </is>
      </c>
      <c r="AK104" s="47" t="inlineStr">
        <is>
          <t>P</t>
        </is>
      </c>
      <c r="AL104" s="47" t="n"/>
      <c r="AM104" s="47" t="n"/>
      <c r="AN104" s="47" t="inlineStr">
        <is>
          <t>A</t>
        </is>
      </c>
      <c r="AO104" s="47" t="n"/>
      <c r="AP104" s="47" t="n"/>
      <c r="AQ104" s="47" t="n"/>
      <c r="AR104" s="47" t="inlineStr">
        <is>
          <t>A</t>
        </is>
      </c>
      <c r="AS104" s="47" t="n"/>
      <c r="AT104" s="47" t="n"/>
      <c r="AU104" s="47" t="n"/>
      <c r="AV104" s="47" t="n"/>
      <c r="AW104" s="47" t="inlineStr">
        <is>
          <t>A</t>
        </is>
      </c>
      <c r="AX104" s="47" t="n"/>
      <c r="AY104" s="47" t="n"/>
      <c r="AZ104" s="47" t="inlineStr">
        <is>
          <t>A</t>
        </is>
      </c>
      <c r="BA104" s="47" t="inlineStr">
        <is>
          <t>A</t>
        </is>
      </c>
      <c r="BB104" s="47" t="n"/>
      <c r="BC104" s="47" t="n"/>
      <c r="BD104" s="47" t="inlineStr">
        <is>
          <t>A</t>
        </is>
      </c>
      <c r="BE104" s="47" t="inlineStr">
        <is>
          <t>A</t>
        </is>
      </c>
      <c r="BF104" s="47" t="n"/>
      <c r="BG104" s="47" t="n"/>
      <c r="BH104" s="47" t="inlineStr">
        <is>
          <t>P</t>
        </is>
      </c>
      <c r="BI104" s="47" t="inlineStr">
        <is>
          <t>P</t>
        </is>
      </c>
      <c r="BJ104" s="47" t="n"/>
      <c r="BK104" s="47" t="n"/>
      <c r="BL104" s="47" t="n"/>
      <c r="BM104" s="47" t="n"/>
      <c r="BN104" s="47" t="n"/>
      <c r="BO104" s="47" t="n"/>
      <c r="BP104" s="47" t="n"/>
      <c r="BQ104" s="47" t="inlineStr">
        <is>
          <t>P</t>
        </is>
      </c>
      <c r="BR104" s="47" t="n"/>
      <c r="BS104" s="47" t="n"/>
      <c r="BT104" s="47" t="inlineStr">
        <is>
          <t>P</t>
        </is>
      </c>
      <c r="BU104" s="47" t="inlineStr">
        <is>
          <t>P</t>
        </is>
      </c>
      <c r="BV104" s="47" t="n"/>
      <c r="BW104" s="47" t="n"/>
      <c r="BX104" s="47" t="inlineStr">
        <is>
          <t>P</t>
        </is>
      </c>
      <c r="BY104" s="47" t="inlineStr">
        <is>
          <t>P</t>
        </is>
      </c>
      <c r="BZ104" s="47" t="n"/>
      <c r="CA104" s="47" t="n"/>
      <c r="CB104" s="47" t="inlineStr">
        <is>
          <t>P</t>
        </is>
      </c>
      <c r="CC104" s="47" t="n"/>
      <c r="CD104" s="47" t="n"/>
      <c r="CE104" s="47" t="n"/>
      <c r="CF104" s="47" t="inlineStr">
        <is>
          <t>A</t>
        </is>
      </c>
      <c r="CG104" s="47" t="n"/>
      <c r="CH104" s="47" t="n"/>
      <c r="CI104" s="47" t="n"/>
      <c r="CJ104" s="47" t="n"/>
      <c r="CK104" s="47" t="n"/>
      <c r="CL104" s="47" t="n"/>
      <c r="CM104" s="47" t="n"/>
      <c r="CN104" s="47" t="inlineStr">
        <is>
          <t>P</t>
        </is>
      </c>
      <c r="CO104" s="47" t="n"/>
      <c r="CP104" s="47" t="n"/>
      <c r="CQ104" s="47" t="inlineStr">
        <is>
          <t>P</t>
        </is>
      </c>
      <c r="CR104" s="47" t="inlineStr">
        <is>
          <t>P</t>
        </is>
      </c>
      <c r="CS104" s="47" t="n"/>
      <c r="CT104" s="47" t="n"/>
      <c r="CU104" s="47" t="inlineStr">
        <is>
          <t>P</t>
        </is>
      </c>
      <c r="CV104" s="47" t="inlineStr">
        <is>
          <t>P</t>
        </is>
      </c>
      <c r="CW104" s="47" t="n"/>
      <c r="CX104" s="47" t="n"/>
      <c r="CY104" s="47" t="n"/>
      <c r="CZ104" s="47" t="inlineStr">
        <is>
          <t>P</t>
        </is>
      </c>
      <c r="DA104" s="47" t="n"/>
      <c r="DB104" s="47" t="n"/>
      <c r="DC104" s="47" t="inlineStr">
        <is>
          <t>P</t>
        </is>
      </c>
      <c r="DD104" s="47" t="n"/>
      <c r="DE104" s="47" t="n"/>
      <c r="DF104" s="47" t="n"/>
      <c r="DG104" s="47" t="n"/>
      <c r="DH104" s="47" t="n"/>
      <c r="DI104" s="47" t="n"/>
      <c r="DJ104" s="47" t="n"/>
      <c r="DK104" s="47" t="inlineStr">
        <is>
          <t>P</t>
        </is>
      </c>
      <c r="DL104" s="47" t="n"/>
      <c r="DM104" s="47" t="n"/>
      <c r="DN104" s="47" t="inlineStr">
        <is>
          <t>P</t>
        </is>
      </c>
      <c r="DO104" s="47" t="inlineStr">
        <is>
          <t>P</t>
        </is>
      </c>
      <c r="DP104" s="47" t="n"/>
      <c r="DQ104" s="47" t="n"/>
      <c r="DR104" s="47" t="inlineStr">
        <is>
          <t>P</t>
        </is>
      </c>
      <c r="DS104" s="47" t="inlineStr">
        <is>
          <t>P</t>
        </is>
      </c>
      <c r="DT104" s="47" t="n"/>
      <c r="DU104" s="47" t="n"/>
      <c r="DV104" s="47" t="inlineStr">
        <is>
          <t>P</t>
        </is>
      </c>
      <c r="DW104" s="47" t="inlineStr">
        <is>
          <t>A</t>
        </is>
      </c>
      <c r="DX104" s="47" t="n"/>
      <c r="DY104" s="47" t="n"/>
      <c r="DZ104" s="47" t="inlineStr">
        <is>
          <t>P</t>
        </is>
      </c>
      <c r="EA104" s="47" t="n"/>
      <c r="EB104" s="47" t="n"/>
      <c r="EC104" s="47" t="n"/>
      <c r="ED104" s="47" t="n"/>
      <c r="EE104" s="47" t="n"/>
      <c r="EF104" s="47" t="n"/>
      <c r="EG104" s="47" t="n"/>
      <c r="EH104" s="47" t="inlineStr">
        <is>
          <t>P</t>
        </is>
      </c>
      <c r="EI104" s="47" t="n"/>
      <c r="EJ104" s="47" t="n"/>
      <c r="EK104" s="47" t="inlineStr">
        <is>
          <t>A</t>
        </is>
      </c>
      <c r="EL104" s="47" t="inlineStr">
        <is>
          <t>A</t>
        </is>
      </c>
      <c r="EM104" s="47" t="n"/>
      <c r="EN104" s="47" t="n"/>
      <c r="EO104" s="47" t="inlineStr">
        <is>
          <t>P</t>
        </is>
      </c>
      <c r="EP104" s="47" t="inlineStr">
        <is>
          <t>A</t>
        </is>
      </c>
      <c r="EQ104" s="47" t="n"/>
      <c r="ER104" s="47" t="n"/>
      <c r="ES104" s="47" t="inlineStr">
        <is>
          <t>P</t>
        </is>
      </c>
      <c r="ET104" s="47" t="inlineStr">
        <is>
          <t>P</t>
        </is>
      </c>
      <c r="EU104" s="47" t="n"/>
      <c r="EV104" s="47" t="n"/>
      <c r="EW104" s="47" t="n"/>
      <c r="EX104" s="47" t="n"/>
      <c r="EY104" s="47" t="n"/>
      <c r="EZ104" s="47" t="n"/>
      <c r="FA104" s="47" t="n"/>
      <c r="FB104" s="47" t="inlineStr">
        <is>
          <t>A</t>
        </is>
      </c>
      <c r="FC104" s="47" t="n"/>
      <c r="FD104" s="47" t="n"/>
      <c r="FE104" s="47" t="inlineStr">
        <is>
          <t>A</t>
        </is>
      </c>
      <c r="FF104" s="47" t="inlineStr">
        <is>
          <t>A</t>
        </is>
      </c>
      <c r="FG104" s="47" t="n"/>
      <c r="FH104" s="47" t="n"/>
      <c r="FI104" s="47" t="inlineStr">
        <is>
          <t>P</t>
        </is>
      </c>
      <c r="FJ104" s="47" t="inlineStr">
        <is>
          <t>P</t>
        </is>
      </c>
      <c r="FK104" s="47" t="n"/>
      <c r="FL104" s="47" t="n"/>
      <c r="FM104" s="47" t="n"/>
      <c r="FN104" s="47" t="n"/>
      <c r="FO104" s="47" t="n"/>
      <c r="FP104" s="47" t="n"/>
      <c r="FQ104" s="47" t="n"/>
      <c r="FR104" s="47" t="inlineStr">
        <is>
          <t>P</t>
        </is>
      </c>
      <c r="FS104" s="47" t="n"/>
      <c r="FT104" s="47" t="n"/>
      <c r="FU104" s="47" t="n"/>
      <c r="FV104" s="47" t="n"/>
      <c r="FW104" s="47" t="n"/>
      <c r="FX104" s="47" t="n"/>
      <c r="FY104" s="47" t="inlineStr">
        <is>
          <t>P</t>
        </is>
      </c>
      <c r="FZ104" s="47" t="inlineStr">
        <is>
          <t>P</t>
        </is>
      </c>
      <c r="GA104" s="47" t="n"/>
      <c r="GB104" s="47" t="n"/>
      <c r="GC104" s="47" t="n"/>
      <c r="GD104" s="47" t="inlineStr">
        <is>
          <t>A</t>
        </is>
      </c>
      <c r="GE104" s="47" t="n"/>
      <c r="GF104" s="47" t="n"/>
      <c r="GG104" s="47" t="inlineStr">
        <is>
          <t>A</t>
        </is>
      </c>
      <c r="GH104" s="47" t="n"/>
      <c r="GI104" s="47" t="n"/>
    </row>
    <row r="105" ht="14.25" customHeight="1" s="34">
      <c r="A105" s="46" t="n">
        <v>102</v>
      </c>
      <c r="B105" s="46" t="inlineStr">
        <is>
          <t>325106410102</t>
        </is>
      </c>
      <c r="C105" s="46" t="inlineStr">
        <is>
          <t>PROTTOY KUMAR PRAMANIK</t>
        </is>
      </c>
      <c r="D105" s="47" t="inlineStr">
        <is>
          <t>A</t>
        </is>
      </c>
      <c r="E105" s="47" t="n"/>
      <c r="F105" s="47" t="n"/>
      <c r="G105" s="47" t="n"/>
      <c r="H105" s="47" t="n"/>
      <c r="I105" s="47" t="inlineStr">
        <is>
          <t>A</t>
        </is>
      </c>
      <c r="J105" s="47" t="n"/>
      <c r="K105" s="47" t="n"/>
      <c r="L105" s="47" t="inlineStr">
        <is>
          <t>A</t>
        </is>
      </c>
      <c r="M105" s="47" t="n"/>
      <c r="N105" s="47" t="n"/>
      <c r="O105" s="47" t="n"/>
      <c r="P105" s="47" t="inlineStr">
        <is>
          <t>A</t>
        </is>
      </c>
      <c r="Q105" s="47" t="inlineStr">
        <is>
          <t>A</t>
        </is>
      </c>
      <c r="R105" s="47" t="n"/>
      <c r="S105" s="47" t="n"/>
      <c r="T105" s="47" t="inlineStr">
        <is>
          <t>A</t>
        </is>
      </c>
      <c r="U105" s="47" t="n"/>
      <c r="V105" s="47" t="n"/>
      <c r="W105" s="47" t="n"/>
      <c r="X105" s="47" t="n"/>
      <c r="Y105" s="47" t="n"/>
      <c r="Z105" s="47" t="n"/>
      <c r="AA105" s="47" t="n"/>
      <c r="AB105" s="47" t="n"/>
      <c r="AC105" s="47" t="inlineStr">
        <is>
          <t>A</t>
        </is>
      </c>
      <c r="AD105" s="47" t="n"/>
      <c r="AE105" s="47" t="n"/>
      <c r="AF105" s="47" t="inlineStr">
        <is>
          <t>A</t>
        </is>
      </c>
      <c r="AG105" s="47" t="n"/>
      <c r="AH105" s="47" t="n"/>
      <c r="AI105" s="47" t="n"/>
      <c r="AJ105" s="47" t="inlineStr">
        <is>
          <t>A</t>
        </is>
      </c>
      <c r="AK105" s="47" t="inlineStr">
        <is>
          <t>A</t>
        </is>
      </c>
      <c r="AL105" s="47" t="n"/>
      <c r="AM105" s="47" t="n"/>
      <c r="AN105" s="47" t="inlineStr">
        <is>
          <t>A</t>
        </is>
      </c>
      <c r="AO105" s="47" t="n"/>
      <c r="AP105" s="47" t="n"/>
      <c r="AQ105" s="47" t="n"/>
      <c r="AR105" s="47" t="inlineStr">
        <is>
          <t>A</t>
        </is>
      </c>
      <c r="AS105" s="47" t="n"/>
      <c r="AT105" s="47" t="n"/>
      <c r="AU105" s="47" t="n"/>
      <c r="AV105" s="47" t="n"/>
      <c r="AW105" s="47" t="inlineStr">
        <is>
          <t>A</t>
        </is>
      </c>
      <c r="AX105" s="47" t="n"/>
      <c r="AY105" s="47" t="n"/>
      <c r="AZ105" s="47" t="inlineStr">
        <is>
          <t>A</t>
        </is>
      </c>
      <c r="BA105" s="47" t="inlineStr">
        <is>
          <t>A</t>
        </is>
      </c>
      <c r="BB105" s="47" t="n"/>
      <c r="BC105" s="47" t="n"/>
      <c r="BD105" s="47" t="inlineStr">
        <is>
          <t>A</t>
        </is>
      </c>
      <c r="BE105" s="47" t="inlineStr">
        <is>
          <t>A</t>
        </is>
      </c>
      <c r="BF105" s="47" t="n"/>
      <c r="BG105" s="47" t="n"/>
      <c r="BH105" s="47" t="inlineStr">
        <is>
          <t>A</t>
        </is>
      </c>
      <c r="BI105" s="47" t="inlineStr">
        <is>
          <t>P</t>
        </is>
      </c>
      <c r="BJ105" s="47" t="n"/>
      <c r="BK105" s="47" t="n"/>
      <c r="BL105" s="47" t="n"/>
      <c r="BM105" s="47" t="n"/>
      <c r="BN105" s="47" t="n"/>
      <c r="BO105" s="47" t="n"/>
      <c r="BP105" s="47" t="n"/>
      <c r="BQ105" s="47" t="inlineStr">
        <is>
          <t>A</t>
        </is>
      </c>
      <c r="BR105" s="47" t="n"/>
      <c r="BS105" s="47" t="n"/>
      <c r="BT105" s="47" t="inlineStr">
        <is>
          <t>A</t>
        </is>
      </c>
      <c r="BU105" s="47" t="inlineStr">
        <is>
          <t>A</t>
        </is>
      </c>
      <c r="BV105" s="47" t="n"/>
      <c r="BW105" s="47" t="n"/>
      <c r="BX105" s="47" t="inlineStr">
        <is>
          <t>A</t>
        </is>
      </c>
      <c r="BY105" s="47" t="inlineStr">
        <is>
          <t>A</t>
        </is>
      </c>
      <c r="BZ105" s="47" t="n"/>
      <c r="CA105" s="47" t="n"/>
      <c r="CB105" s="47" t="inlineStr">
        <is>
          <t>A</t>
        </is>
      </c>
      <c r="CC105" s="47" t="n"/>
      <c r="CD105" s="47" t="n"/>
      <c r="CE105" s="47" t="n"/>
      <c r="CF105" s="47" t="inlineStr">
        <is>
          <t>A</t>
        </is>
      </c>
      <c r="CG105" s="47" t="n"/>
      <c r="CH105" s="47" t="n"/>
      <c r="CI105" s="47" t="n"/>
      <c r="CJ105" s="47" t="n"/>
      <c r="CK105" s="47" t="n"/>
      <c r="CL105" s="47" t="n"/>
      <c r="CM105" s="47" t="n"/>
      <c r="CN105" s="47" t="inlineStr">
        <is>
          <t>P</t>
        </is>
      </c>
      <c r="CO105" s="47" t="n"/>
      <c r="CP105" s="47" t="n"/>
      <c r="CQ105" s="47" t="inlineStr">
        <is>
          <t>A</t>
        </is>
      </c>
      <c r="CR105" s="47" t="inlineStr">
        <is>
          <t>P</t>
        </is>
      </c>
      <c r="CS105" s="47" t="n"/>
      <c r="CT105" s="47" t="n"/>
      <c r="CU105" s="47" t="inlineStr">
        <is>
          <t>P</t>
        </is>
      </c>
      <c r="CV105" s="47" t="inlineStr">
        <is>
          <t>P</t>
        </is>
      </c>
      <c r="CW105" s="47" t="n"/>
      <c r="CX105" s="47" t="n"/>
      <c r="CY105" s="47" t="n"/>
      <c r="CZ105" s="47" t="inlineStr">
        <is>
          <t>P</t>
        </is>
      </c>
      <c r="DA105" s="47" t="n"/>
      <c r="DB105" s="47" t="n"/>
      <c r="DC105" s="47" t="inlineStr">
        <is>
          <t>A</t>
        </is>
      </c>
      <c r="DD105" s="47" t="n"/>
      <c r="DE105" s="47" t="n"/>
      <c r="DF105" s="47" t="n"/>
      <c r="DG105" s="47" t="n"/>
      <c r="DH105" s="47" t="n"/>
      <c r="DI105" s="47" t="n"/>
      <c r="DJ105" s="47" t="n"/>
      <c r="DK105" s="47" t="inlineStr">
        <is>
          <t>A</t>
        </is>
      </c>
      <c r="DL105" s="47" t="n"/>
      <c r="DM105" s="47" t="n"/>
      <c r="DN105" s="47" t="inlineStr">
        <is>
          <t>A</t>
        </is>
      </c>
      <c r="DO105" s="47" t="inlineStr">
        <is>
          <t>P</t>
        </is>
      </c>
      <c r="DP105" s="47" t="n"/>
      <c r="DQ105" s="47" t="n"/>
      <c r="DR105" s="47" t="inlineStr">
        <is>
          <t>A</t>
        </is>
      </c>
      <c r="DS105" s="47" t="inlineStr">
        <is>
          <t>P</t>
        </is>
      </c>
      <c r="DT105" s="47" t="n"/>
      <c r="DU105" s="47" t="n"/>
      <c r="DV105" s="47" t="inlineStr">
        <is>
          <t>P</t>
        </is>
      </c>
      <c r="DW105" s="47" t="inlineStr">
        <is>
          <t>P</t>
        </is>
      </c>
      <c r="DX105" s="47" t="n"/>
      <c r="DY105" s="47" t="n"/>
      <c r="DZ105" s="47" t="inlineStr">
        <is>
          <t>P</t>
        </is>
      </c>
      <c r="EA105" s="47" t="n"/>
      <c r="EB105" s="47" t="n"/>
      <c r="EC105" s="47" t="n"/>
      <c r="ED105" s="47" t="n"/>
      <c r="EE105" s="47" t="n"/>
      <c r="EF105" s="47" t="n"/>
      <c r="EG105" s="47" t="n"/>
      <c r="EH105" s="47" t="inlineStr">
        <is>
          <t>A</t>
        </is>
      </c>
      <c r="EI105" s="47" t="n"/>
      <c r="EJ105" s="47" t="n"/>
      <c r="EK105" s="47" t="inlineStr">
        <is>
          <t>P</t>
        </is>
      </c>
      <c r="EL105" s="47" t="inlineStr">
        <is>
          <t>P</t>
        </is>
      </c>
      <c r="EM105" s="47" t="n"/>
      <c r="EN105" s="47" t="n"/>
      <c r="EO105" s="47" t="inlineStr">
        <is>
          <t>A</t>
        </is>
      </c>
      <c r="EP105" s="47" t="inlineStr">
        <is>
          <t>P</t>
        </is>
      </c>
      <c r="EQ105" s="47" t="n"/>
      <c r="ER105" s="47" t="n"/>
      <c r="ES105" s="47" t="inlineStr">
        <is>
          <t>P</t>
        </is>
      </c>
      <c r="ET105" s="47" t="inlineStr">
        <is>
          <t>P</t>
        </is>
      </c>
      <c r="EU105" s="47" t="n"/>
      <c r="EV105" s="47" t="n"/>
      <c r="EW105" s="47" t="n"/>
      <c r="EX105" s="47" t="n"/>
      <c r="EY105" s="47" t="n"/>
      <c r="EZ105" s="47" t="n"/>
      <c r="FA105" s="47" t="n"/>
      <c r="FB105" s="47" t="inlineStr">
        <is>
          <t>A</t>
        </is>
      </c>
      <c r="FC105" s="47" t="n"/>
      <c r="FD105" s="47" t="n"/>
      <c r="FE105" s="47" t="inlineStr">
        <is>
          <t>A</t>
        </is>
      </c>
      <c r="FF105" s="47" t="inlineStr">
        <is>
          <t>A</t>
        </is>
      </c>
      <c r="FG105" s="47" t="n"/>
      <c r="FH105" s="47" t="n"/>
      <c r="FI105" s="47" t="inlineStr">
        <is>
          <t>A</t>
        </is>
      </c>
      <c r="FJ105" s="47" t="inlineStr">
        <is>
          <t>A</t>
        </is>
      </c>
      <c r="FK105" s="47" t="n"/>
      <c r="FL105" s="47" t="n"/>
      <c r="FM105" s="47" t="n"/>
      <c r="FN105" s="47" t="n"/>
      <c r="FO105" s="47" t="n"/>
      <c r="FP105" s="47" t="n"/>
      <c r="FQ105" s="47" t="n"/>
      <c r="FR105" s="47" t="inlineStr">
        <is>
          <t>P</t>
        </is>
      </c>
      <c r="FS105" s="47" t="n"/>
      <c r="FT105" s="47" t="n"/>
      <c r="FU105" s="47" t="n"/>
      <c r="FV105" s="47" t="n"/>
      <c r="FW105" s="47" t="n"/>
      <c r="FX105" s="47" t="n"/>
      <c r="FY105" s="47" t="inlineStr">
        <is>
          <t>P</t>
        </is>
      </c>
      <c r="FZ105" s="47" t="inlineStr">
        <is>
          <t>P</t>
        </is>
      </c>
      <c r="GA105" s="47" t="n"/>
      <c r="GB105" s="47" t="n"/>
      <c r="GC105" s="47" t="n"/>
      <c r="GD105" s="47" t="inlineStr">
        <is>
          <t>A</t>
        </is>
      </c>
      <c r="GE105" s="47" t="n"/>
      <c r="GF105" s="47" t="n"/>
      <c r="GG105" s="47" t="inlineStr">
        <is>
          <t>A</t>
        </is>
      </c>
      <c r="GH105" s="47" t="n"/>
      <c r="GI105" s="47" t="n"/>
    </row>
    <row r="106" ht="14.25" customHeight="1" s="34">
      <c r="A106" s="46" t="n">
        <v>103</v>
      </c>
      <c r="B106" s="46" t="inlineStr">
        <is>
          <t>325106410103</t>
        </is>
      </c>
      <c r="C106" s="46" t="inlineStr">
        <is>
          <t>RACHIDA SAID MZE</t>
        </is>
      </c>
      <c r="D106" s="47" t="inlineStr">
        <is>
          <t>A</t>
        </is>
      </c>
      <c r="E106" s="47" t="n"/>
      <c r="F106" s="47" t="n"/>
      <c r="G106" s="47" t="n"/>
      <c r="H106" s="47" t="n"/>
      <c r="I106" s="47" t="inlineStr">
        <is>
          <t>A</t>
        </is>
      </c>
      <c r="J106" s="47" t="n"/>
      <c r="K106" s="47" t="n"/>
      <c r="L106" s="47" t="inlineStr">
        <is>
          <t>A</t>
        </is>
      </c>
      <c r="M106" s="47" t="n"/>
      <c r="N106" s="47" t="n"/>
      <c r="O106" s="47" t="n"/>
      <c r="P106" s="47" t="inlineStr">
        <is>
          <t>A</t>
        </is>
      </c>
      <c r="Q106" s="47" t="inlineStr">
        <is>
          <t>A</t>
        </is>
      </c>
      <c r="R106" s="47" t="n"/>
      <c r="S106" s="47" t="n"/>
      <c r="T106" s="47" t="inlineStr">
        <is>
          <t>A</t>
        </is>
      </c>
      <c r="U106" s="47" t="n"/>
      <c r="V106" s="47" t="n"/>
      <c r="W106" s="47" t="n"/>
      <c r="X106" s="47" t="n"/>
      <c r="Y106" s="47" t="n"/>
      <c r="Z106" s="47" t="n"/>
      <c r="AA106" s="47" t="n"/>
      <c r="AB106" s="47" t="n"/>
      <c r="AC106" s="47" t="inlineStr">
        <is>
          <t>P</t>
        </is>
      </c>
      <c r="AD106" s="47" t="n"/>
      <c r="AE106" s="47" t="n"/>
      <c r="AF106" s="47" t="inlineStr">
        <is>
          <t>P</t>
        </is>
      </c>
      <c r="AG106" s="47" t="n"/>
      <c r="AH106" s="47" t="n"/>
      <c r="AI106" s="47" t="n"/>
      <c r="AJ106" s="47" t="inlineStr">
        <is>
          <t>A</t>
        </is>
      </c>
      <c r="AK106" s="47" t="inlineStr">
        <is>
          <t>A</t>
        </is>
      </c>
      <c r="AL106" s="47" t="n"/>
      <c r="AM106" s="47" t="n"/>
      <c r="AN106" s="47" t="inlineStr">
        <is>
          <t>A</t>
        </is>
      </c>
      <c r="AO106" s="47" t="n"/>
      <c r="AP106" s="47" t="n"/>
      <c r="AQ106" s="47" t="n"/>
      <c r="AR106" s="47" t="inlineStr">
        <is>
          <t>P</t>
        </is>
      </c>
      <c r="AS106" s="47" t="n"/>
      <c r="AT106" s="47" t="n"/>
      <c r="AU106" s="47" t="n"/>
      <c r="AV106" s="47" t="n"/>
      <c r="AW106" s="47" t="inlineStr">
        <is>
          <t>P</t>
        </is>
      </c>
      <c r="AX106" s="47" t="n"/>
      <c r="AY106" s="47" t="n"/>
      <c r="AZ106" s="47" t="inlineStr">
        <is>
          <t>P</t>
        </is>
      </c>
      <c r="BA106" s="47" t="inlineStr">
        <is>
          <t>P</t>
        </is>
      </c>
      <c r="BB106" s="47" t="n"/>
      <c r="BC106" s="47" t="n"/>
      <c r="BD106" s="47" t="inlineStr">
        <is>
          <t>P</t>
        </is>
      </c>
      <c r="BE106" s="47" t="inlineStr">
        <is>
          <t>P</t>
        </is>
      </c>
      <c r="BF106" s="47" t="n"/>
      <c r="BG106" s="47" t="n"/>
      <c r="BH106" s="47" t="inlineStr">
        <is>
          <t>P</t>
        </is>
      </c>
      <c r="BI106" s="47" t="inlineStr">
        <is>
          <t>P</t>
        </is>
      </c>
      <c r="BJ106" s="47" t="n"/>
      <c r="BK106" s="47" t="n"/>
      <c r="BL106" s="47" t="n"/>
      <c r="BM106" s="47" t="n"/>
      <c r="BN106" s="47" t="n"/>
      <c r="BO106" s="47" t="n"/>
      <c r="BP106" s="47" t="n"/>
      <c r="BQ106" s="47" t="inlineStr">
        <is>
          <t>P</t>
        </is>
      </c>
      <c r="BR106" s="47" t="n"/>
      <c r="BS106" s="47" t="n"/>
      <c r="BT106" s="47" t="inlineStr">
        <is>
          <t>P</t>
        </is>
      </c>
      <c r="BU106" s="47" t="inlineStr">
        <is>
          <t>P</t>
        </is>
      </c>
      <c r="BV106" s="47" t="n"/>
      <c r="BW106" s="47" t="n"/>
      <c r="BX106" s="47" t="inlineStr">
        <is>
          <t>A</t>
        </is>
      </c>
      <c r="BY106" s="47" t="inlineStr">
        <is>
          <t>A</t>
        </is>
      </c>
      <c r="BZ106" s="47" t="n"/>
      <c r="CA106" s="47" t="n"/>
      <c r="CB106" s="47" t="inlineStr">
        <is>
          <t>P</t>
        </is>
      </c>
      <c r="CC106" s="47" t="n"/>
      <c r="CD106" s="47" t="n"/>
      <c r="CE106" s="47" t="n"/>
      <c r="CF106" s="47" t="inlineStr">
        <is>
          <t>P</t>
        </is>
      </c>
      <c r="CG106" s="47" t="n"/>
      <c r="CH106" s="47" t="n"/>
      <c r="CI106" s="47" t="n"/>
      <c r="CJ106" s="47" t="n"/>
      <c r="CK106" s="47" t="n"/>
      <c r="CL106" s="47" t="n"/>
      <c r="CM106" s="47" t="n"/>
      <c r="CN106" s="47" t="inlineStr">
        <is>
          <t>P</t>
        </is>
      </c>
      <c r="CO106" s="47" t="n"/>
      <c r="CP106" s="47" t="n"/>
      <c r="CQ106" s="47" t="inlineStr">
        <is>
          <t>P</t>
        </is>
      </c>
      <c r="CR106" s="47" t="inlineStr">
        <is>
          <t>P</t>
        </is>
      </c>
      <c r="CS106" s="47" t="n"/>
      <c r="CT106" s="47" t="n"/>
      <c r="CU106" s="47" t="inlineStr">
        <is>
          <t>A</t>
        </is>
      </c>
      <c r="CV106" s="47" t="inlineStr">
        <is>
          <t>P</t>
        </is>
      </c>
      <c r="CW106" s="47" t="n"/>
      <c r="CX106" s="47" t="n"/>
      <c r="CY106" s="47" t="n"/>
      <c r="CZ106" s="47" t="inlineStr">
        <is>
          <t>P</t>
        </is>
      </c>
      <c r="DA106" s="47" t="n"/>
      <c r="DB106" s="47" t="n"/>
      <c r="DC106" s="47" t="inlineStr">
        <is>
          <t>P</t>
        </is>
      </c>
      <c r="DD106" s="47" t="n"/>
      <c r="DE106" s="47" t="n"/>
      <c r="DF106" s="47" t="n"/>
      <c r="DG106" s="47" t="n"/>
      <c r="DH106" s="47" t="n"/>
      <c r="DI106" s="47" t="n"/>
      <c r="DJ106" s="47" t="n"/>
      <c r="DK106" s="47" t="inlineStr">
        <is>
          <t>P</t>
        </is>
      </c>
      <c r="DL106" s="47" t="n"/>
      <c r="DM106" s="47" t="n"/>
      <c r="DN106" s="47" t="inlineStr">
        <is>
          <t>A</t>
        </is>
      </c>
      <c r="DO106" s="47" t="inlineStr">
        <is>
          <t>A</t>
        </is>
      </c>
      <c r="DP106" s="47" t="n"/>
      <c r="DQ106" s="47" t="n"/>
      <c r="DR106" s="47" t="inlineStr">
        <is>
          <t>A</t>
        </is>
      </c>
      <c r="DS106" s="47" t="inlineStr">
        <is>
          <t>A</t>
        </is>
      </c>
      <c r="DT106" s="47" t="n"/>
      <c r="DU106" s="47" t="n"/>
      <c r="DV106" s="47" t="inlineStr">
        <is>
          <t>A</t>
        </is>
      </c>
      <c r="DW106" s="47" t="inlineStr">
        <is>
          <t>P</t>
        </is>
      </c>
      <c r="DX106" s="47" t="n"/>
      <c r="DY106" s="47" t="n"/>
      <c r="DZ106" s="47" t="inlineStr">
        <is>
          <t>P</t>
        </is>
      </c>
      <c r="EA106" s="47" t="n"/>
      <c r="EB106" s="47" t="n"/>
      <c r="EC106" s="47" t="n"/>
      <c r="ED106" s="47" t="n"/>
      <c r="EE106" s="47" t="n"/>
      <c r="EF106" s="47" t="n"/>
      <c r="EG106" s="47" t="n"/>
      <c r="EH106" s="47" t="inlineStr">
        <is>
          <t>A</t>
        </is>
      </c>
      <c r="EI106" s="47" t="n"/>
      <c r="EJ106" s="47" t="n"/>
      <c r="EK106" s="47" t="inlineStr">
        <is>
          <t>P</t>
        </is>
      </c>
      <c r="EL106" s="47" t="inlineStr">
        <is>
          <t>P</t>
        </is>
      </c>
      <c r="EM106" s="47" t="n"/>
      <c r="EN106" s="47" t="n"/>
      <c r="EO106" s="47" t="inlineStr">
        <is>
          <t>A</t>
        </is>
      </c>
      <c r="EP106" s="47" t="inlineStr">
        <is>
          <t>P</t>
        </is>
      </c>
      <c r="EQ106" s="47" t="n"/>
      <c r="ER106" s="47" t="n"/>
      <c r="ES106" s="47" t="inlineStr">
        <is>
          <t>P</t>
        </is>
      </c>
      <c r="ET106" s="47" t="inlineStr">
        <is>
          <t>P</t>
        </is>
      </c>
      <c r="EU106" s="47" t="n"/>
      <c r="EV106" s="47" t="n"/>
      <c r="EW106" s="47" t="n"/>
      <c r="EX106" s="47" t="n"/>
      <c r="EY106" s="47" t="n"/>
      <c r="EZ106" s="47" t="n"/>
      <c r="FA106" s="47" t="n"/>
      <c r="FB106" s="47" t="inlineStr">
        <is>
          <t>P</t>
        </is>
      </c>
      <c r="FC106" s="47" t="n"/>
      <c r="FD106" s="47" t="n"/>
      <c r="FE106" s="47" t="inlineStr">
        <is>
          <t>P</t>
        </is>
      </c>
      <c r="FF106" s="47" t="inlineStr">
        <is>
          <t>P</t>
        </is>
      </c>
      <c r="FG106" s="47" t="n"/>
      <c r="FH106" s="47" t="n"/>
      <c r="FI106" s="47" t="inlineStr">
        <is>
          <t>P</t>
        </is>
      </c>
      <c r="FJ106" s="47" t="inlineStr">
        <is>
          <t>P</t>
        </is>
      </c>
      <c r="FK106" s="47" t="n"/>
      <c r="FL106" s="47" t="n"/>
      <c r="FM106" s="47" t="n"/>
      <c r="FN106" s="47" t="n"/>
      <c r="FO106" s="47" t="n"/>
      <c r="FP106" s="47" t="n"/>
      <c r="FQ106" s="47" t="n"/>
      <c r="FR106" s="47" t="inlineStr">
        <is>
          <t>P</t>
        </is>
      </c>
      <c r="FS106" s="47" t="n"/>
      <c r="FT106" s="47" t="n"/>
      <c r="FU106" s="47" t="n"/>
      <c r="FV106" s="47" t="n"/>
      <c r="FW106" s="47" t="n"/>
      <c r="FX106" s="47" t="n"/>
      <c r="FY106" s="47" t="inlineStr">
        <is>
          <t>A</t>
        </is>
      </c>
      <c r="FZ106" s="47" t="inlineStr">
        <is>
          <t>A</t>
        </is>
      </c>
      <c r="GA106" s="47" t="n"/>
      <c r="GB106" s="47" t="n"/>
      <c r="GC106" s="47" t="n"/>
      <c r="GD106" s="47" t="inlineStr">
        <is>
          <t>P</t>
        </is>
      </c>
      <c r="GE106" s="47" t="n"/>
      <c r="GF106" s="47" t="n"/>
      <c r="GG106" s="47" t="inlineStr">
        <is>
          <t>A</t>
        </is>
      </c>
      <c r="GH106" s="47" t="n"/>
      <c r="GI106" s="47" t="n"/>
    </row>
    <row r="107" ht="14.25" customHeight="1" s="34">
      <c r="A107" s="46" t="n">
        <v>104</v>
      </c>
      <c r="B107" s="46" t="inlineStr">
        <is>
          <t>325106410104</t>
        </is>
      </c>
      <c r="C107" s="46" t="inlineStr">
        <is>
          <t>RAHUL GHOSH</t>
        </is>
      </c>
      <c r="D107" s="47" t="inlineStr">
        <is>
          <t>A</t>
        </is>
      </c>
      <c r="E107" s="47" t="n"/>
      <c r="F107" s="47" t="n"/>
      <c r="G107" s="47" t="n"/>
      <c r="H107" s="47" t="n"/>
      <c r="I107" s="47" t="inlineStr">
        <is>
          <t>A</t>
        </is>
      </c>
      <c r="J107" s="47" t="n"/>
      <c r="K107" s="47" t="n"/>
      <c r="L107" s="47" t="inlineStr">
        <is>
          <t>A</t>
        </is>
      </c>
      <c r="M107" s="47" t="n"/>
      <c r="N107" s="47" t="n"/>
      <c r="O107" s="47" t="n"/>
      <c r="P107" s="47" t="inlineStr">
        <is>
          <t>A</t>
        </is>
      </c>
      <c r="Q107" s="47" t="inlineStr">
        <is>
          <t>A</t>
        </is>
      </c>
      <c r="R107" s="47" t="n"/>
      <c r="S107" s="47" t="n"/>
      <c r="T107" s="47" t="inlineStr">
        <is>
          <t>A</t>
        </is>
      </c>
      <c r="U107" s="47" t="n"/>
      <c r="V107" s="47" t="n"/>
      <c r="W107" s="47" t="n"/>
      <c r="X107" s="47" t="n"/>
      <c r="Y107" s="47" t="n"/>
      <c r="Z107" s="47" t="n"/>
      <c r="AA107" s="47" t="n"/>
      <c r="AB107" s="47" t="n"/>
      <c r="AC107" s="47" t="inlineStr">
        <is>
          <t>A</t>
        </is>
      </c>
      <c r="AD107" s="47" t="n"/>
      <c r="AE107" s="47" t="n"/>
      <c r="AF107" s="47" t="inlineStr">
        <is>
          <t>A</t>
        </is>
      </c>
      <c r="AG107" s="47" t="n"/>
      <c r="AH107" s="47" t="n"/>
      <c r="AI107" s="47" t="n"/>
      <c r="AJ107" s="47" t="inlineStr">
        <is>
          <t>A</t>
        </is>
      </c>
      <c r="AK107" s="47" t="inlineStr">
        <is>
          <t>A</t>
        </is>
      </c>
      <c r="AL107" s="47" t="n"/>
      <c r="AM107" s="47" t="n"/>
      <c r="AN107" s="47" t="inlineStr">
        <is>
          <t>A</t>
        </is>
      </c>
      <c r="AO107" s="47" t="n"/>
      <c r="AP107" s="47" t="n"/>
      <c r="AQ107" s="47" t="n"/>
      <c r="AR107" s="47" t="inlineStr">
        <is>
          <t>A</t>
        </is>
      </c>
      <c r="AS107" s="47" t="n"/>
      <c r="AT107" s="47" t="n"/>
      <c r="AU107" s="47" t="n"/>
      <c r="AV107" s="47" t="n"/>
      <c r="AW107" s="47" t="inlineStr">
        <is>
          <t>A</t>
        </is>
      </c>
      <c r="AX107" s="47" t="n"/>
      <c r="AY107" s="47" t="n"/>
      <c r="AZ107" s="47" t="inlineStr">
        <is>
          <t>A</t>
        </is>
      </c>
      <c r="BA107" s="47" t="inlineStr">
        <is>
          <t>A</t>
        </is>
      </c>
      <c r="BB107" s="47" t="n"/>
      <c r="BC107" s="47" t="n"/>
      <c r="BD107" s="47" t="inlineStr">
        <is>
          <t>P</t>
        </is>
      </c>
      <c r="BE107" s="47" t="inlineStr">
        <is>
          <t>A</t>
        </is>
      </c>
      <c r="BF107" s="47" t="n"/>
      <c r="BG107" s="47" t="n"/>
      <c r="BH107" s="47" t="inlineStr">
        <is>
          <t>P</t>
        </is>
      </c>
      <c r="BI107" s="47" t="inlineStr">
        <is>
          <t>P</t>
        </is>
      </c>
      <c r="BJ107" s="47" t="n"/>
      <c r="BK107" s="47" t="n"/>
      <c r="BL107" s="47" t="n"/>
      <c r="BM107" s="47" t="n"/>
      <c r="BN107" s="47" t="n"/>
      <c r="BO107" s="47" t="n"/>
      <c r="BP107" s="47" t="n"/>
      <c r="BQ107" s="47" t="inlineStr">
        <is>
          <t>P</t>
        </is>
      </c>
      <c r="BR107" s="47" t="n"/>
      <c r="BS107" s="47" t="n"/>
      <c r="BT107" s="47" t="inlineStr">
        <is>
          <t>A</t>
        </is>
      </c>
      <c r="BU107" s="47" t="inlineStr">
        <is>
          <t>P</t>
        </is>
      </c>
      <c r="BV107" s="47" t="n"/>
      <c r="BW107" s="47" t="n"/>
      <c r="BX107" s="47" t="inlineStr">
        <is>
          <t>A</t>
        </is>
      </c>
      <c r="BY107" s="47" t="inlineStr">
        <is>
          <t>A</t>
        </is>
      </c>
      <c r="BZ107" s="47" t="n"/>
      <c r="CA107" s="47" t="n"/>
      <c r="CB107" s="47" t="inlineStr">
        <is>
          <t>P</t>
        </is>
      </c>
      <c r="CC107" s="47" t="n"/>
      <c r="CD107" s="47" t="n"/>
      <c r="CE107" s="47" t="n"/>
      <c r="CF107" s="47" t="inlineStr">
        <is>
          <t>A</t>
        </is>
      </c>
      <c r="CG107" s="47" t="n"/>
      <c r="CH107" s="47" t="n"/>
      <c r="CI107" s="47" t="n"/>
      <c r="CJ107" s="47" t="n"/>
      <c r="CK107" s="47" t="n"/>
      <c r="CL107" s="47" t="n"/>
      <c r="CM107" s="47" t="n"/>
      <c r="CN107" s="47" t="inlineStr">
        <is>
          <t>P</t>
        </is>
      </c>
      <c r="CO107" s="47" t="n"/>
      <c r="CP107" s="47" t="n"/>
      <c r="CQ107" s="47" t="inlineStr">
        <is>
          <t>A</t>
        </is>
      </c>
      <c r="CR107" s="47" t="inlineStr">
        <is>
          <t>A</t>
        </is>
      </c>
      <c r="CS107" s="47" t="n"/>
      <c r="CT107" s="47" t="n"/>
      <c r="CU107" s="47" t="inlineStr">
        <is>
          <t>P</t>
        </is>
      </c>
      <c r="CV107" s="47" t="inlineStr">
        <is>
          <t>P</t>
        </is>
      </c>
      <c r="CW107" s="47" t="n"/>
      <c r="CX107" s="47" t="n"/>
      <c r="CY107" s="47" t="n"/>
      <c r="CZ107" s="47" t="inlineStr">
        <is>
          <t>P</t>
        </is>
      </c>
      <c r="DA107" s="47" t="n"/>
      <c r="DB107" s="47" t="n"/>
      <c r="DC107" s="47" t="inlineStr">
        <is>
          <t>P</t>
        </is>
      </c>
      <c r="DD107" s="47" t="n"/>
      <c r="DE107" s="47" t="n"/>
      <c r="DF107" s="47" t="n"/>
      <c r="DG107" s="47" t="n"/>
      <c r="DH107" s="47" t="n"/>
      <c r="DI107" s="47" t="n"/>
      <c r="DJ107" s="47" t="n"/>
      <c r="DK107" s="47" t="inlineStr">
        <is>
          <t>P</t>
        </is>
      </c>
      <c r="DL107" s="47" t="n"/>
      <c r="DM107" s="47" t="n"/>
      <c r="DN107" s="47" t="inlineStr">
        <is>
          <t>P</t>
        </is>
      </c>
      <c r="DO107" s="47" t="inlineStr">
        <is>
          <t>P</t>
        </is>
      </c>
      <c r="DP107" s="47" t="n"/>
      <c r="DQ107" s="47" t="n"/>
      <c r="DR107" s="47" t="inlineStr">
        <is>
          <t>P</t>
        </is>
      </c>
      <c r="DS107" s="47" t="inlineStr">
        <is>
          <t>P</t>
        </is>
      </c>
      <c r="DT107" s="47" t="n"/>
      <c r="DU107" s="47" t="n"/>
      <c r="DV107" s="47" t="inlineStr">
        <is>
          <t>P</t>
        </is>
      </c>
      <c r="DW107" s="47" t="inlineStr">
        <is>
          <t>P</t>
        </is>
      </c>
      <c r="DX107" s="47" t="n"/>
      <c r="DY107" s="47" t="n"/>
      <c r="DZ107" s="47" t="inlineStr">
        <is>
          <t>A</t>
        </is>
      </c>
      <c r="EA107" s="47" t="n"/>
      <c r="EB107" s="47" t="n"/>
      <c r="EC107" s="47" t="n"/>
      <c r="ED107" s="47" t="n"/>
      <c r="EE107" s="47" t="n"/>
      <c r="EF107" s="47" t="n"/>
      <c r="EG107" s="47" t="n"/>
      <c r="EH107" s="47" t="inlineStr">
        <is>
          <t>A</t>
        </is>
      </c>
      <c r="EI107" s="47" t="n"/>
      <c r="EJ107" s="47" t="n"/>
      <c r="EK107" s="47" t="inlineStr">
        <is>
          <t>A</t>
        </is>
      </c>
      <c r="EL107" s="47" t="inlineStr">
        <is>
          <t>P</t>
        </is>
      </c>
      <c r="EM107" s="47" t="n"/>
      <c r="EN107" s="47" t="n"/>
      <c r="EO107" s="47" t="inlineStr">
        <is>
          <t>P</t>
        </is>
      </c>
      <c r="EP107" s="47" t="inlineStr">
        <is>
          <t>P</t>
        </is>
      </c>
      <c r="EQ107" s="47" t="n"/>
      <c r="ER107" s="47" t="n"/>
      <c r="ES107" s="47" t="inlineStr">
        <is>
          <t>P</t>
        </is>
      </c>
      <c r="ET107" s="47" t="inlineStr">
        <is>
          <t>P</t>
        </is>
      </c>
      <c r="EU107" s="47" t="n"/>
      <c r="EV107" s="47" t="n"/>
      <c r="EW107" s="47" t="n"/>
      <c r="EX107" s="47" t="n"/>
      <c r="EY107" s="47" t="n"/>
      <c r="EZ107" s="47" t="n"/>
      <c r="FA107" s="47" t="n"/>
      <c r="FB107" s="47" t="inlineStr">
        <is>
          <t>A</t>
        </is>
      </c>
      <c r="FC107" s="47" t="n"/>
      <c r="FD107" s="47" t="n"/>
      <c r="FE107" s="47" t="inlineStr">
        <is>
          <t>A</t>
        </is>
      </c>
      <c r="FF107" s="47" t="inlineStr">
        <is>
          <t>P</t>
        </is>
      </c>
      <c r="FG107" s="47" t="n"/>
      <c r="FH107" s="47" t="n"/>
      <c r="FI107" s="47" t="inlineStr">
        <is>
          <t>P</t>
        </is>
      </c>
      <c r="FJ107" s="47" t="inlineStr">
        <is>
          <t>P</t>
        </is>
      </c>
      <c r="FK107" s="47" t="n"/>
      <c r="FL107" s="47" t="n"/>
      <c r="FM107" s="47" t="n"/>
      <c r="FN107" s="47" t="n"/>
      <c r="FO107" s="47" t="n"/>
      <c r="FP107" s="47" t="n"/>
      <c r="FQ107" s="47" t="n"/>
      <c r="FR107" s="47" t="inlineStr">
        <is>
          <t>P</t>
        </is>
      </c>
      <c r="FS107" s="47" t="n"/>
      <c r="FT107" s="47" t="n"/>
      <c r="FU107" s="47" t="n"/>
      <c r="FV107" s="47" t="n"/>
      <c r="FW107" s="47" t="n"/>
      <c r="FX107" s="47" t="n"/>
      <c r="FY107" s="47" t="inlineStr">
        <is>
          <t>P</t>
        </is>
      </c>
      <c r="FZ107" s="47" t="inlineStr">
        <is>
          <t>P</t>
        </is>
      </c>
      <c r="GA107" s="47" t="n"/>
      <c r="GB107" s="47" t="n"/>
      <c r="GC107" s="47" t="n"/>
      <c r="GD107" s="47" t="inlineStr">
        <is>
          <t>A</t>
        </is>
      </c>
      <c r="GE107" s="47" t="n"/>
      <c r="GF107" s="47" t="n"/>
      <c r="GG107" s="47" t="inlineStr">
        <is>
          <t>P</t>
        </is>
      </c>
      <c r="GH107" s="47" t="n"/>
      <c r="GI107" s="47" t="n"/>
    </row>
    <row r="108" ht="14.25" customHeight="1" s="34">
      <c r="A108" s="46" t="n">
        <v>105</v>
      </c>
      <c r="B108" s="46" t="inlineStr">
        <is>
          <t>325106410105</t>
        </is>
      </c>
      <c r="C108" s="46" t="inlineStr">
        <is>
          <t>SECKOU BOUBACAR KASSE</t>
        </is>
      </c>
      <c r="D108" s="47" t="inlineStr">
        <is>
          <t>A</t>
        </is>
      </c>
      <c r="E108" s="47" t="n"/>
      <c r="F108" s="47" t="n"/>
      <c r="G108" s="47" t="n"/>
      <c r="H108" s="47" t="n"/>
      <c r="I108" s="47" t="inlineStr">
        <is>
          <t>A</t>
        </is>
      </c>
      <c r="J108" s="47" t="n"/>
      <c r="K108" s="47" t="n"/>
      <c r="L108" s="47" t="inlineStr">
        <is>
          <t>A</t>
        </is>
      </c>
      <c r="M108" s="47" t="n"/>
      <c r="N108" s="47" t="n"/>
      <c r="O108" s="47" t="n"/>
      <c r="P108" s="47" t="inlineStr">
        <is>
          <t>A</t>
        </is>
      </c>
      <c r="Q108" s="47" t="inlineStr">
        <is>
          <t>A</t>
        </is>
      </c>
      <c r="R108" s="47" t="n"/>
      <c r="S108" s="47" t="n"/>
      <c r="T108" s="47" t="inlineStr">
        <is>
          <t>A</t>
        </is>
      </c>
      <c r="U108" s="47" t="n"/>
      <c r="V108" s="47" t="n"/>
      <c r="W108" s="47" t="n"/>
      <c r="X108" s="47" t="n"/>
      <c r="Y108" s="47" t="n"/>
      <c r="Z108" s="47" t="n"/>
      <c r="AA108" s="47" t="n"/>
      <c r="AB108" s="47" t="n"/>
      <c r="AC108" s="47" t="inlineStr">
        <is>
          <t>P</t>
        </is>
      </c>
      <c r="AD108" s="47" t="n"/>
      <c r="AE108" s="47" t="n"/>
      <c r="AF108" s="47" t="inlineStr">
        <is>
          <t>P</t>
        </is>
      </c>
      <c r="AG108" s="47" t="n"/>
      <c r="AH108" s="47" t="n"/>
      <c r="AI108" s="47" t="n"/>
      <c r="AJ108" s="47" t="inlineStr">
        <is>
          <t>P</t>
        </is>
      </c>
      <c r="AK108" s="47" t="inlineStr">
        <is>
          <t>P</t>
        </is>
      </c>
      <c r="AL108" s="47" t="n"/>
      <c r="AM108" s="47" t="n"/>
      <c r="AN108" s="47" t="inlineStr">
        <is>
          <t>A</t>
        </is>
      </c>
      <c r="AO108" s="47" t="n"/>
      <c r="AP108" s="47" t="n"/>
      <c r="AQ108" s="47" t="n"/>
      <c r="AR108" s="47" t="inlineStr">
        <is>
          <t>P</t>
        </is>
      </c>
      <c r="AS108" s="47" t="n"/>
      <c r="AT108" s="47" t="n"/>
      <c r="AU108" s="47" t="n"/>
      <c r="AV108" s="47" t="n"/>
      <c r="AW108" s="47" t="inlineStr">
        <is>
          <t>P</t>
        </is>
      </c>
      <c r="AX108" s="47" t="n"/>
      <c r="AY108" s="47" t="n"/>
      <c r="AZ108" s="47" t="inlineStr">
        <is>
          <t>A</t>
        </is>
      </c>
      <c r="BA108" s="47" t="inlineStr">
        <is>
          <t>A</t>
        </is>
      </c>
      <c r="BB108" s="47" t="n"/>
      <c r="BC108" s="47" t="n"/>
      <c r="BD108" s="47" t="inlineStr">
        <is>
          <t>P</t>
        </is>
      </c>
      <c r="BE108" s="47" t="inlineStr">
        <is>
          <t>P</t>
        </is>
      </c>
      <c r="BF108" s="47" t="n"/>
      <c r="BG108" s="47" t="n"/>
      <c r="BH108" s="47" t="inlineStr">
        <is>
          <t>P</t>
        </is>
      </c>
      <c r="BI108" s="47" t="inlineStr">
        <is>
          <t>P</t>
        </is>
      </c>
      <c r="BJ108" s="47" t="n"/>
      <c r="BK108" s="47" t="n"/>
      <c r="BL108" s="47" t="n"/>
      <c r="BM108" s="47" t="n"/>
      <c r="BN108" s="47" t="n"/>
      <c r="BO108" s="47" t="n"/>
      <c r="BP108" s="47" t="n"/>
      <c r="BQ108" s="47" t="inlineStr">
        <is>
          <t>P</t>
        </is>
      </c>
      <c r="BR108" s="47" t="n"/>
      <c r="BS108" s="47" t="n"/>
      <c r="BT108" s="47" t="inlineStr">
        <is>
          <t>P</t>
        </is>
      </c>
      <c r="BU108" s="47" t="inlineStr">
        <is>
          <t>P</t>
        </is>
      </c>
      <c r="BV108" s="47" t="n"/>
      <c r="BW108" s="47" t="n"/>
      <c r="BX108" s="47" t="inlineStr">
        <is>
          <t>P</t>
        </is>
      </c>
      <c r="BY108" s="47" t="inlineStr">
        <is>
          <t>P</t>
        </is>
      </c>
      <c r="BZ108" s="47" t="n"/>
      <c r="CA108" s="47" t="n"/>
      <c r="CB108" s="47" t="inlineStr">
        <is>
          <t>P</t>
        </is>
      </c>
      <c r="CC108" s="47" t="n"/>
      <c r="CD108" s="47" t="n"/>
      <c r="CE108" s="47" t="n"/>
      <c r="CF108" s="47" t="inlineStr">
        <is>
          <t>A</t>
        </is>
      </c>
      <c r="CG108" s="47" t="n"/>
      <c r="CH108" s="47" t="n"/>
      <c r="CI108" s="47" t="n"/>
      <c r="CJ108" s="47" t="n"/>
      <c r="CK108" s="47" t="n"/>
      <c r="CL108" s="47" t="n"/>
      <c r="CM108" s="47" t="n"/>
      <c r="CN108" s="47" t="inlineStr">
        <is>
          <t>P</t>
        </is>
      </c>
      <c r="CO108" s="47" t="n"/>
      <c r="CP108" s="47" t="n"/>
      <c r="CQ108" s="47" t="inlineStr">
        <is>
          <t>P</t>
        </is>
      </c>
      <c r="CR108" s="47" t="inlineStr">
        <is>
          <t>P</t>
        </is>
      </c>
      <c r="CS108" s="47" t="n"/>
      <c r="CT108" s="47" t="n"/>
      <c r="CU108" s="47" t="inlineStr">
        <is>
          <t>P</t>
        </is>
      </c>
      <c r="CV108" s="47" t="inlineStr">
        <is>
          <t>P</t>
        </is>
      </c>
      <c r="CW108" s="47" t="n"/>
      <c r="CX108" s="47" t="n"/>
      <c r="CY108" s="47" t="n"/>
      <c r="CZ108" s="47" t="inlineStr">
        <is>
          <t>P</t>
        </is>
      </c>
      <c r="DA108" s="47" t="n"/>
      <c r="DB108" s="47" t="n"/>
      <c r="DC108" s="47" t="inlineStr">
        <is>
          <t>P</t>
        </is>
      </c>
      <c r="DD108" s="47" t="n"/>
      <c r="DE108" s="47" t="n"/>
      <c r="DF108" s="47" t="n"/>
      <c r="DG108" s="47" t="n"/>
      <c r="DH108" s="47" t="n"/>
      <c r="DI108" s="47" t="n"/>
      <c r="DJ108" s="47" t="n"/>
      <c r="DK108" s="47" t="inlineStr">
        <is>
          <t>P</t>
        </is>
      </c>
      <c r="DL108" s="47" t="n"/>
      <c r="DM108" s="47" t="n"/>
      <c r="DN108" s="47" t="inlineStr">
        <is>
          <t>P</t>
        </is>
      </c>
      <c r="DO108" s="47" t="inlineStr">
        <is>
          <t>P</t>
        </is>
      </c>
      <c r="DP108" s="47" t="n"/>
      <c r="DQ108" s="47" t="n"/>
      <c r="DR108" s="47" t="inlineStr">
        <is>
          <t>P</t>
        </is>
      </c>
      <c r="DS108" s="47" t="inlineStr">
        <is>
          <t>P</t>
        </is>
      </c>
      <c r="DT108" s="47" t="n"/>
      <c r="DU108" s="47" t="n"/>
      <c r="DV108" s="47" t="inlineStr">
        <is>
          <t>P</t>
        </is>
      </c>
      <c r="DW108" s="47" t="inlineStr">
        <is>
          <t>P</t>
        </is>
      </c>
      <c r="DX108" s="47" t="n"/>
      <c r="DY108" s="47" t="n"/>
      <c r="DZ108" s="47" t="inlineStr">
        <is>
          <t>P</t>
        </is>
      </c>
      <c r="EA108" s="47" t="n"/>
      <c r="EB108" s="47" t="n"/>
      <c r="EC108" s="47" t="n"/>
      <c r="ED108" s="47" t="n"/>
      <c r="EE108" s="47" t="n"/>
      <c r="EF108" s="47" t="n"/>
      <c r="EG108" s="47" t="n"/>
      <c r="EH108" s="47" t="inlineStr">
        <is>
          <t>P</t>
        </is>
      </c>
      <c r="EI108" s="47" t="n"/>
      <c r="EJ108" s="47" t="n"/>
      <c r="EK108" s="47" t="inlineStr">
        <is>
          <t>P</t>
        </is>
      </c>
      <c r="EL108" s="47" t="inlineStr">
        <is>
          <t>P</t>
        </is>
      </c>
      <c r="EM108" s="47" t="n"/>
      <c r="EN108" s="47" t="n"/>
      <c r="EO108" s="47" t="inlineStr">
        <is>
          <t>P</t>
        </is>
      </c>
      <c r="EP108" s="47" t="inlineStr">
        <is>
          <t>P</t>
        </is>
      </c>
      <c r="EQ108" s="47" t="n"/>
      <c r="ER108" s="47" t="n"/>
      <c r="ES108" s="47" t="inlineStr">
        <is>
          <t>P</t>
        </is>
      </c>
      <c r="ET108" s="47" t="inlineStr">
        <is>
          <t>P</t>
        </is>
      </c>
      <c r="EU108" s="47" t="n"/>
      <c r="EV108" s="47" t="n"/>
      <c r="EW108" s="47" t="n"/>
      <c r="EX108" s="47" t="n"/>
      <c r="EY108" s="47" t="n"/>
      <c r="EZ108" s="47" t="n"/>
      <c r="FA108" s="47" t="n"/>
      <c r="FB108" s="47" t="inlineStr">
        <is>
          <t>P</t>
        </is>
      </c>
      <c r="FC108" s="47" t="n"/>
      <c r="FD108" s="47" t="n"/>
      <c r="FE108" s="47" t="inlineStr">
        <is>
          <t>P</t>
        </is>
      </c>
      <c r="FF108" s="47" t="inlineStr">
        <is>
          <t>P</t>
        </is>
      </c>
      <c r="FG108" s="47" t="n"/>
      <c r="FH108" s="47" t="n"/>
      <c r="FI108" s="47" t="inlineStr">
        <is>
          <t>P</t>
        </is>
      </c>
      <c r="FJ108" s="47" t="inlineStr">
        <is>
          <t>P</t>
        </is>
      </c>
      <c r="FK108" s="47" t="n"/>
      <c r="FL108" s="47" t="n"/>
      <c r="FM108" s="47" t="n"/>
      <c r="FN108" s="47" t="n"/>
      <c r="FO108" s="47" t="n"/>
      <c r="FP108" s="47" t="n"/>
      <c r="FQ108" s="47" t="n"/>
      <c r="FR108" s="47" t="inlineStr">
        <is>
          <t>P</t>
        </is>
      </c>
      <c r="FS108" s="47" t="n"/>
      <c r="FT108" s="47" t="n"/>
      <c r="FU108" s="47" t="n"/>
      <c r="FV108" s="47" t="n"/>
      <c r="FW108" s="47" t="n"/>
      <c r="FX108" s="47" t="n"/>
      <c r="FY108" s="47" t="inlineStr">
        <is>
          <t>P</t>
        </is>
      </c>
      <c r="FZ108" s="47" t="inlineStr">
        <is>
          <t>P</t>
        </is>
      </c>
      <c r="GA108" s="47" t="n"/>
      <c r="GB108" s="47" t="n"/>
      <c r="GC108" s="47" t="n"/>
      <c r="GD108" s="47" t="inlineStr">
        <is>
          <t>P</t>
        </is>
      </c>
      <c r="GE108" s="47" t="n"/>
      <c r="GF108" s="47" t="n"/>
      <c r="GG108" s="47" t="inlineStr">
        <is>
          <t>A</t>
        </is>
      </c>
      <c r="GH108" s="47" t="n"/>
      <c r="GI108" s="47" t="n"/>
    </row>
    <row r="109" ht="14.25" customHeight="1" s="34">
      <c r="A109" s="46" t="n">
        <v>106</v>
      </c>
      <c r="B109" s="46" t="inlineStr">
        <is>
          <t>325106410106</t>
        </is>
      </c>
      <c r="C109" s="46" t="inlineStr">
        <is>
          <t>SELUSIWE NOMVULA MPOFU</t>
        </is>
      </c>
      <c r="D109" s="47" t="inlineStr">
        <is>
          <t>A</t>
        </is>
      </c>
      <c r="E109" s="47" t="n"/>
      <c r="F109" s="47" t="n"/>
      <c r="G109" s="47" t="n"/>
      <c r="H109" s="47" t="n"/>
      <c r="I109" s="47" t="inlineStr">
        <is>
          <t>A</t>
        </is>
      </c>
      <c r="J109" s="47" t="n"/>
      <c r="K109" s="47" t="n"/>
      <c r="L109" s="47" t="inlineStr">
        <is>
          <t>P</t>
        </is>
      </c>
      <c r="M109" s="47" t="n"/>
      <c r="N109" s="47" t="n"/>
      <c r="O109" s="47" t="n"/>
      <c r="P109" s="47" t="inlineStr">
        <is>
          <t>A</t>
        </is>
      </c>
      <c r="Q109" s="47" t="inlineStr">
        <is>
          <t>A</t>
        </is>
      </c>
      <c r="R109" s="47" t="n"/>
      <c r="S109" s="47" t="n"/>
      <c r="T109" s="47" t="inlineStr">
        <is>
          <t>P</t>
        </is>
      </c>
      <c r="U109" s="47" t="n"/>
      <c r="V109" s="47" t="n"/>
      <c r="W109" s="47" t="n"/>
      <c r="X109" s="47" t="n"/>
      <c r="Y109" s="47" t="n"/>
      <c r="Z109" s="47" t="n"/>
      <c r="AA109" s="47" t="n"/>
      <c r="AB109" s="47" t="n"/>
      <c r="AC109" s="47" t="inlineStr">
        <is>
          <t>P</t>
        </is>
      </c>
      <c r="AD109" s="47" t="n"/>
      <c r="AE109" s="47" t="n"/>
      <c r="AF109" s="47" t="inlineStr">
        <is>
          <t>P</t>
        </is>
      </c>
      <c r="AG109" s="47" t="n"/>
      <c r="AH109" s="47" t="n"/>
      <c r="AI109" s="47" t="n"/>
      <c r="AJ109" s="47" t="inlineStr">
        <is>
          <t>P</t>
        </is>
      </c>
      <c r="AK109" s="47" t="inlineStr">
        <is>
          <t>P</t>
        </is>
      </c>
      <c r="AL109" s="47" t="n"/>
      <c r="AM109" s="47" t="n"/>
      <c r="AN109" s="47" t="inlineStr">
        <is>
          <t>P</t>
        </is>
      </c>
      <c r="AO109" s="47" t="n"/>
      <c r="AP109" s="47" t="n"/>
      <c r="AQ109" s="47" t="n"/>
      <c r="AR109" s="47" t="inlineStr">
        <is>
          <t>P</t>
        </is>
      </c>
      <c r="AS109" s="47" t="n"/>
      <c r="AT109" s="47" t="n"/>
      <c r="AU109" s="47" t="n"/>
      <c r="AV109" s="47" t="n"/>
      <c r="AW109" s="47" t="inlineStr">
        <is>
          <t>P</t>
        </is>
      </c>
      <c r="AX109" s="47" t="n"/>
      <c r="AY109" s="47" t="n"/>
      <c r="AZ109" s="47" t="inlineStr">
        <is>
          <t>P</t>
        </is>
      </c>
      <c r="BA109" s="47" t="inlineStr">
        <is>
          <t>P</t>
        </is>
      </c>
      <c r="BB109" s="47" t="n"/>
      <c r="BC109" s="47" t="n"/>
      <c r="BD109" s="47" t="inlineStr">
        <is>
          <t>P</t>
        </is>
      </c>
      <c r="BE109" s="47" t="inlineStr">
        <is>
          <t>P</t>
        </is>
      </c>
      <c r="BF109" s="47" t="n"/>
      <c r="BG109" s="47" t="n"/>
      <c r="BH109" s="47" t="inlineStr">
        <is>
          <t>P</t>
        </is>
      </c>
      <c r="BI109" s="47" t="inlineStr">
        <is>
          <t>P</t>
        </is>
      </c>
      <c r="BJ109" s="47" t="n"/>
      <c r="BK109" s="47" t="n"/>
      <c r="BL109" s="47" t="n"/>
      <c r="BM109" s="47" t="n"/>
      <c r="BN109" s="47" t="n"/>
      <c r="BO109" s="47" t="n"/>
      <c r="BP109" s="47" t="n"/>
      <c r="BQ109" s="47" t="inlineStr">
        <is>
          <t>P</t>
        </is>
      </c>
      <c r="BR109" s="47" t="n"/>
      <c r="BS109" s="47" t="n"/>
      <c r="BT109" s="47" t="inlineStr">
        <is>
          <t>P</t>
        </is>
      </c>
      <c r="BU109" s="47" t="inlineStr">
        <is>
          <t>P</t>
        </is>
      </c>
      <c r="BV109" s="47" t="n"/>
      <c r="BW109" s="47" t="n"/>
      <c r="BX109" s="47" t="inlineStr">
        <is>
          <t>P</t>
        </is>
      </c>
      <c r="BY109" s="47" t="inlineStr">
        <is>
          <t>P</t>
        </is>
      </c>
      <c r="BZ109" s="47" t="n"/>
      <c r="CA109" s="47" t="n"/>
      <c r="CB109" s="47" t="inlineStr">
        <is>
          <t>P</t>
        </is>
      </c>
      <c r="CC109" s="47" t="n"/>
      <c r="CD109" s="47" t="n"/>
      <c r="CE109" s="47" t="n"/>
      <c r="CF109" s="47" t="inlineStr">
        <is>
          <t>A</t>
        </is>
      </c>
      <c r="CG109" s="47" t="n"/>
      <c r="CH109" s="47" t="n"/>
      <c r="CI109" s="47" t="n"/>
      <c r="CJ109" s="47" t="n"/>
      <c r="CK109" s="47" t="n"/>
      <c r="CL109" s="47" t="n"/>
      <c r="CM109" s="47" t="n"/>
      <c r="CN109" s="47" t="inlineStr">
        <is>
          <t>P</t>
        </is>
      </c>
      <c r="CO109" s="47" t="n"/>
      <c r="CP109" s="47" t="n"/>
      <c r="CQ109" s="47" t="inlineStr">
        <is>
          <t>P</t>
        </is>
      </c>
      <c r="CR109" s="47" t="inlineStr">
        <is>
          <t>P</t>
        </is>
      </c>
      <c r="CS109" s="47" t="n"/>
      <c r="CT109" s="47" t="n"/>
      <c r="CU109" s="47" t="inlineStr">
        <is>
          <t>P</t>
        </is>
      </c>
      <c r="CV109" s="47" t="inlineStr">
        <is>
          <t>P</t>
        </is>
      </c>
      <c r="CW109" s="47" t="n"/>
      <c r="CX109" s="47" t="n"/>
      <c r="CY109" s="47" t="n"/>
      <c r="CZ109" s="47" t="inlineStr">
        <is>
          <t>P</t>
        </is>
      </c>
      <c r="DA109" s="47" t="n"/>
      <c r="DB109" s="47" t="n"/>
      <c r="DC109" s="47" t="inlineStr">
        <is>
          <t>A</t>
        </is>
      </c>
      <c r="DD109" s="47" t="n"/>
      <c r="DE109" s="47" t="n"/>
      <c r="DF109" s="47" t="n"/>
      <c r="DG109" s="47" t="n"/>
      <c r="DH109" s="47" t="n"/>
      <c r="DI109" s="47" t="n"/>
      <c r="DJ109" s="47" t="n"/>
      <c r="DK109" s="47" t="inlineStr">
        <is>
          <t>P</t>
        </is>
      </c>
      <c r="DL109" s="47" t="n"/>
      <c r="DM109" s="47" t="n"/>
      <c r="DN109" s="47" t="inlineStr">
        <is>
          <t>P</t>
        </is>
      </c>
      <c r="DO109" s="47" t="inlineStr">
        <is>
          <t>P</t>
        </is>
      </c>
      <c r="DP109" s="47" t="n"/>
      <c r="DQ109" s="47" t="n"/>
      <c r="DR109" s="47" t="inlineStr">
        <is>
          <t>P</t>
        </is>
      </c>
      <c r="DS109" s="47" t="inlineStr">
        <is>
          <t>P</t>
        </is>
      </c>
      <c r="DT109" s="47" t="n"/>
      <c r="DU109" s="47" t="n"/>
      <c r="DV109" s="47" t="inlineStr">
        <is>
          <t>P</t>
        </is>
      </c>
      <c r="DW109" s="47" t="inlineStr">
        <is>
          <t>P</t>
        </is>
      </c>
      <c r="DX109" s="47" t="n"/>
      <c r="DY109" s="47" t="n"/>
      <c r="DZ109" s="47" t="inlineStr">
        <is>
          <t>P</t>
        </is>
      </c>
      <c r="EA109" s="47" t="n"/>
      <c r="EB109" s="47" t="n"/>
      <c r="EC109" s="47" t="n"/>
      <c r="ED109" s="47" t="n"/>
      <c r="EE109" s="47" t="n"/>
      <c r="EF109" s="47" t="n"/>
      <c r="EG109" s="47" t="n"/>
      <c r="EH109" s="47" t="inlineStr">
        <is>
          <t>P</t>
        </is>
      </c>
      <c r="EI109" s="47" t="n"/>
      <c r="EJ109" s="47" t="n"/>
      <c r="EK109" s="47" t="inlineStr">
        <is>
          <t>P</t>
        </is>
      </c>
      <c r="EL109" s="47" t="inlineStr">
        <is>
          <t>P</t>
        </is>
      </c>
      <c r="EM109" s="47" t="n"/>
      <c r="EN109" s="47" t="n"/>
      <c r="EO109" s="47" t="inlineStr">
        <is>
          <t>P</t>
        </is>
      </c>
      <c r="EP109" s="47" t="inlineStr">
        <is>
          <t>P</t>
        </is>
      </c>
      <c r="EQ109" s="47" t="n"/>
      <c r="ER109" s="47" t="n"/>
      <c r="ES109" s="47" t="inlineStr">
        <is>
          <t>P</t>
        </is>
      </c>
      <c r="ET109" s="47" t="inlineStr">
        <is>
          <t>P</t>
        </is>
      </c>
      <c r="EU109" s="47" t="n"/>
      <c r="EV109" s="47" t="n"/>
      <c r="EW109" s="47" t="n"/>
      <c r="EX109" s="47" t="n"/>
      <c r="EY109" s="47" t="n"/>
      <c r="EZ109" s="47" t="n"/>
      <c r="FA109" s="47" t="n"/>
      <c r="FB109" s="47" t="inlineStr">
        <is>
          <t>P</t>
        </is>
      </c>
      <c r="FC109" s="47" t="n"/>
      <c r="FD109" s="47" t="n"/>
      <c r="FE109" s="47" t="inlineStr">
        <is>
          <t>P</t>
        </is>
      </c>
      <c r="FF109" s="47" t="inlineStr">
        <is>
          <t>P</t>
        </is>
      </c>
      <c r="FG109" s="47" t="n"/>
      <c r="FH109" s="47" t="n"/>
      <c r="FI109" s="47" t="inlineStr">
        <is>
          <t>P</t>
        </is>
      </c>
      <c r="FJ109" s="47" t="inlineStr">
        <is>
          <t>P</t>
        </is>
      </c>
      <c r="FK109" s="47" t="n"/>
      <c r="FL109" s="47" t="n"/>
      <c r="FM109" s="47" t="n"/>
      <c r="FN109" s="47" t="n"/>
      <c r="FO109" s="47" t="n"/>
      <c r="FP109" s="47" t="n"/>
      <c r="FQ109" s="47" t="n"/>
      <c r="FR109" s="47" t="inlineStr">
        <is>
          <t>P</t>
        </is>
      </c>
      <c r="FS109" s="47" t="n"/>
      <c r="FT109" s="47" t="n"/>
      <c r="FU109" s="47" t="n"/>
      <c r="FV109" s="47" t="n"/>
      <c r="FW109" s="47" t="n"/>
      <c r="FX109" s="47" t="n"/>
      <c r="FY109" s="47" t="inlineStr">
        <is>
          <t>P</t>
        </is>
      </c>
      <c r="FZ109" s="47" t="inlineStr">
        <is>
          <t>P</t>
        </is>
      </c>
      <c r="GA109" s="47" t="n"/>
      <c r="GB109" s="47" t="n"/>
      <c r="GC109" s="47" t="n"/>
      <c r="GD109" s="47" t="inlineStr">
        <is>
          <t>P</t>
        </is>
      </c>
      <c r="GE109" s="47" t="n"/>
      <c r="GF109" s="47" t="n"/>
      <c r="GG109" s="47" t="inlineStr">
        <is>
          <t>A</t>
        </is>
      </c>
      <c r="GH109" s="47" t="n"/>
      <c r="GI109" s="47" t="n"/>
    </row>
    <row r="110" ht="14.25" customHeight="1" s="34">
      <c r="A110" s="46" t="n">
        <v>107</v>
      </c>
      <c r="B110" s="46" t="inlineStr">
        <is>
          <t>325106410107</t>
        </is>
      </c>
      <c r="C110" s="46" t="inlineStr">
        <is>
          <t>SISEKELO SAKHILE MAHLALELA</t>
        </is>
      </c>
      <c r="D110" s="47" t="inlineStr">
        <is>
          <t>A</t>
        </is>
      </c>
      <c r="E110" s="47" t="n"/>
      <c r="F110" s="47" t="n"/>
      <c r="G110" s="47" t="n"/>
      <c r="H110" s="47" t="n"/>
      <c r="I110" s="47" t="inlineStr">
        <is>
          <t>A</t>
        </is>
      </c>
      <c r="J110" s="47" t="n"/>
      <c r="K110" s="47" t="n"/>
      <c r="L110" s="47" t="inlineStr">
        <is>
          <t>A</t>
        </is>
      </c>
      <c r="M110" s="47" t="n"/>
      <c r="N110" s="47" t="n"/>
      <c r="O110" s="47" t="n"/>
      <c r="P110" s="47" t="inlineStr">
        <is>
          <t>A</t>
        </is>
      </c>
      <c r="Q110" s="47" t="inlineStr">
        <is>
          <t>A</t>
        </is>
      </c>
      <c r="R110" s="47" t="n"/>
      <c r="S110" s="47" t="n"/>
      <c r="T110" s="47" t="inlineStr">
        <is>
          <t>A</t>
        </is>
      </c>
      <c r="U110" s="47" t="n"/>
      <c r="V110" s="47" t="n"/>
      <c r="W110" s="47" t="n"/>
      <c r="X110" s="47" t="n"/>
      <c r="Y110" s="47" t="n"/>
      <c r="Z110" s="47" t="n"/>
      <c r="AA110" s="47" t="n"/>
      <c r="AB110" s="47" t="n"/>
      <c r="AC110" s="47" t="inlineStr">
        <is>
          <t>A</t>
        </is>
      </c>
      <c r="AD110" s="47" t="n"/>
      <c r="AE110" s="47" t="n"/>
      <c r="AF110" s="47" t="inlineStr">
        <is>
          <t>P</t>
        </is>
      </c>
      <c r="AG110" s="47" t="n"/>
      <c r="AH110" s="47" t="n"/>
      <c r="AI110" s="47" t="n"/>
      <c r="AJ110" s="47" t="inlineStr">
        <is>
          <t>A</t>
        </is>
      </c>
      <c r="AK110" s="47" t="inlineStr">
        <is>
          <t>A</t>
        </is>
      </c>
      <c r="AL110" s="47" t="n"/>
      <c r="AM110" s="47" t="n"/>
      <c r="AN110" s="47" t="inlineStr">
        <is>
          <t>P</t>
        </is>
      </c>
      <c r="AO110" s="47" t="n"/>
      <c r="AP110" s="47" t="n"/>
      <c r="AQ110" s="47" t="n"/>
      <c r="AR110" s="47" t="inlineStr">
        <is>
          <t>A</t>
        </is>
      </c>
      <c r="AS110" s="47" t="n"/>
      <c r="AT110" s="47" t="n"/>
      <c r="AU110" s="47" t="n"/>
      <c r="AV110" s="47" t="n"/>
      <c r="AW110" s="47" t="inlineStr">
        <is>
          <t>P</t>
        </is>
      </c>
      <c r="AX110" s="47" t="n"/>
      <c r="AY110" s="47" t="n"/>
      <c r="AZ110" s="47" t="inlineStr">
        <is>
          <t>A</t>
        </is>
      </c>
      <c r="BA110" s="47" t="inlineStr">
        <is>
          <t>A</t>
        </is>
      </c>
      <c r="BB110" s="47" t="n"/>
      <c r="BC110" s="47" t="n"/>
      <c r="BD110" s="47" t="inlineStr">
        <is>
          <t>P</t>
        </is>
      </c>
      <c r="BE110" s="47" t="inlineStr">
        <is>
          <t>A</t>
        </is>
      </c>
      <c r="BF110" s="47" t="n"/>
      <c r="BG110" s="47" t="n"/>
      <c r="BH110" s="47" t="inlineStr">
        <is>
          <t>A</t>
        </is>
      </c>
      <c r="BI110" s="47" t="inlineStr">
        <is>
          <t>A</t>
        </is>
      </c>
      <c r="BJ110" s="47" t="n"/>
      <c r="BK110" s="47" t="n"/>
      <c r="BL110" s="47" t="n"/>
      <c r="BM110" s="47" t="n"/>
      <c r="BN110" s="47" t="n"/>
      <c r="BO110" s="47" t="n"/>
      <c r="BP110" s="47" t="n"/>
      <c r="BQ110" s="47" t="inlineStr">
        <is>
          <t>P</t>
        </is>
      </c>
      <c r="BR110" s="47" t="n"/>
      <c r="BS110" s="47" t="n"/>
      <c r="BT110" s="47" t="inlineStr">
        <is>
          <t>P</t>
        </is>
      </c>
      <c r="BU110" s="47" t="inlineStr">
        <is>
          <t>P</t>
        </is>
      </c>
      <c r="BV110" s="47" t="n"/>
      <c r="BW110" s="47" t="n"/>
      <c r="BX110" s="47" t="inlineStr">
        <is>
          <t>P</t>
        </is>
      </c>
      <c r="BY110" s="47" t="inlineStr">
        <is>
          <t>P</t>
        </is>
      </c>
      <c r="BZ110" s="47" t="n"/>
      <c r="CA110" s="47" t="n"/>
      <c r="CB110" s="47" t="inlineStr">
        <is>
          <t>P</t>
        </is>
      </c>
      <c r="CC110" s="47" t="n"/>
      <c r="CD110" s="47" t="n"/>
      <c r="CE110" s="47" t="n"/>
      <c r="CF110" s="47" t="inlineStr">
        <is>
          <t>A</t>
        </is>
      </c>
      <c r="CG110" s="47" t="n"/>
      <c r="CH110" s="47" t="n"/>
      <c r="CI110" s="47" t="n"/>
      <c r="CJ110" s="47" t="n"/>
      <c r="CK110" s="47" t="n"/>
      <c r="CL110" s="47" t="n"/>
      <c r="CM110" s="47" t="n"/>
      <c r="CN110" s="47" t="inlineStr">
        <is>
          <t>A</t>
        </is>
      </c>
      <c r="CO110" s="47" t="n"/>
      <c r="CP110" s="47" t="n"/>
      <c r="CQ110" s="47" t="inlineStr">
        <is>
          <t>A</t>
        </is>
      </c>
      <c r="CR110" s="47" t="inlineStr">
        <is>
          <t>P</t>
        </is>
      </c>
      <c r="CS110" s="47" t="n"/>
      <c r="CT110" s="47" t="n"/>
      <c r="CU110" s="47" t="inlineStr">
        <is>
          <t>P</t>
        </is>
      </c>
      <c r="CV110" s="47" t="inlineStr">
        <is>
          <t>A</t>
        </is>
      </c>
      <c r="CW110" s="47" t="n"/>
      <c r="CX110" s="47" t="n"/>
      <c r="CY110" s="47" t="n"/>
      <c r="CZ110" s="47" t="inlineStr">
        <is>
          <t>P</t>
        </is>
      </c>
      <c r="DA110" s="47" t="n"/>
      <c r="DB110" s="47" t="n"/>
      <c r="DC110" s="47" t="inlineStr">
        <is>
          <t>A</t>
        </is>
      </c>
      <c r="DD110" s="47" t="n"/>
      <c r="DE110" s="47" t="n"/>
      <c r="DF110" s="47" t="n"/>
      <c r="DG110" s="47" t="n"/>
      <c r="DH110" s="47" t="n"/>
      <c r="DI110" s="47" t="n"/>
      <c r="DJ110" s="47" t="n"/>
      <c r="DK110" s="47" t="inlineStr">
        <is>
          <t>A</t>
        </is>
      </c>
      <c r="DL110" s="47" t="n"/>
      <c r="DM110" s="47" t="n"/>
      <c r="DN110" s="47" t="inlineStr">
        <is>
          <t>A</t>
        </is>
      </c>
      <c r="DO110" s="47" t="inlineStr">
        <is>
          <t>A</t>
        </is>
      </c>
      <c r="DP110" s="47" t="n"/>
      <c r="DQ110" s="47" t="n"/>
      <c r="DR110" s="47" t="inlineStr">
        <is>
          <t>P</t>
        </is>
      </c>
      <c r="DS110" s="47" t="inlineStr">
        <is>
          <t>P</t>
        </is>
      </c>
      <c r="DT110" s="47" t="n"/>
      <c r="DU110" s="47" t="n"/>
      <c r="DV110" s="47" t="inlineStr">
        <is>
          <t>A</t>
        </is>
      </c>
      <c r="DW110" s="47" t="inlineStr">
        <is>
          <t>A</t>
        </is>
      </c>
      <c r="DX110" s="47" t="n"/>
      <c r="DY110" s="47" t="n"/>
      <c r="DZ110" s="47" t="inlineStr">
        <is>
          <t>P</t>
        </is>
      </c>
      <c r="EA110" s="47" t="n"/>
      <c r="EB110" s="47" t="n"/>
      <c r="EC110" s="47" t="n"/>
      <c r="ED110" s="47" t="n"/>
      <c r="EE110" s="47" t="n"/>
      <c r="EF110" s="47" t="n"/>
      <c r="EG110" s="47" t="n"/>
      <c r="EH110" s="47" t="inlineStr">
        <is>
          <t>A</t>
        </is>
      </c>
      <c r="EI110" s="47" t="n"/>
      <c r="EJ110" s="47" t="n"/>
      <c r="EK110" s="47" t="inlineStr">
        <is>
          <t>P</t>
        </is>
      </c>
      <c r="EL110" s="47" t="inlineStr">
        <is>
          <t>P</t>
        </is>
      </c>
      <c r="EM110" s="47" t="n"/>
      <c r="EN110" s="47" t="n"/>
      <c r="EO110" s="47" t="inlineStr">
        <is>
          <t>A</t>
        </is>
      </c>
      <c r="EP110" s="47" t="inlineStr">
        <is>
          <t>A</t>
        </is>
      </c>
      <c r="EQ110" s="47" t="n"/>
      <c r="ER110" s="47" t="n"/>
      <c r="ES110" s="47" t="inlineStr">
        <is>
          <t>A</t>
        </is>
      </c>
      <c r="ET110" s="47" t="inlineStr">
        <is>
          <t>A</t>
        </is>
      </c>
      <c r="EU110" s="47" t="n"/>
      <c r="EV110" s="47" t="n"/>
      <c r="EW110" s="47" t="n"/>
      <c r="EX110" s="47" t="n"/>
      <c r="EY110" s="47" t="n"/>
      <c r="EZ110" s="47" t="n"/>
      <c r="FA110" s="47" t="n"/>
      <c r="FB110" s="47" t="inlineStr">
        <is>
          <t>P</t>
        </is>
      </c>
      <c r="FC110" s="47" t="n"/>
      <c r="FD110" s="47" t="n"/>
      <c r="FE110" s="47" t="inlineStr">
        <is>
          <t>A</t>
        </is>
      </c>
      <c r="FF110" s="47" t="inlineStr">
        <is>
          <t>A</t>
        </is>
      </c>
      <c r="FG110" s="47" t="n"/>
      <c r="FH110" s="47" t="n"/>
      <c r="FI110" s="47" t="inlineStr">
        <is>
          <t>A</t>
        </is>
      </c>
      <c r="FJ110" s="47" t="inlineStr">
        <is>
          <t>P</t>
        </is>
      </c>
      <c r="FK110" s="47" t="n"/>
      <c r="FL110" s="47" t="n"/>
      <c r="FM110" s="47" t="n"/>
      <c r="FN110" s="47" t="n"/>
      <c r="FO110" s="47" t="n"/>
      <c r="FP110" s="47" t="n"/>
      <c r="FQ110" s="47" t="n"/>
      <c r="FR110" s="47" t="inlineStr">
        <is>
          <t>P</t>
        </is>
      </c>
      <c r="FS110" s="47" t="n"/>
      <c r="FT110" s="47" t="n"/>
      <c r="FU110" s="47" t="n"/>
      <c r="FV110" s="47" t="n"/>
      <c r="FW110" s="47" t="n"/>
      <c r="FX110" s="47" t="n"/>
      <c r="FY110" s="47" t="inlineStr">
        <is>
          <t>P</t>
        </is>
      </c>
      <c r="FZ110" s="47" t="inlineStr">
        <is>
          <t>P</t>
        </is>
      </c>
      <c r="GA110" s="47" t="n"/>
      <c r="GB110" s="47" t="n"/>
      <c r="GC110" s="47" t="n"/>
      <c r="GD110" s="47" t="inlineStr">
        <is>
          <t>P</t>
        </is>
      </c>
      <c r="GE110" s="47" t="n"/>
      <c r="GF110" s="47" t="n"/>
      <c r="GG110" s="47" t="inlineStr">
        <is>
          <t>A</t>
        </is>
      </c>
      <c r="GH110" s="47" t="n"/>
      <c r="GI110" s="47" t="n"/>
    </row>
    <row r="111" ht="14.25" customHeight="1" s="34">
      <c r="A111" s="46" t="n">
        <v>108</v>
      </c>
      <c r="B111" s="46" t="inlineStr">
        <is>
          <t>325106410108</t>
        </is>
      </c>
      <c r="C111" s="46" t="inlineStr">
        <is>
          <t>SOUDAISSE AHAMADA</t>
        </is>
      </c>
      <c r="D111" s="47" t="inlineStr">
        <is>
          <t>A</t>
        </is>
      </c>
      <c r="E111" s="47" t="n"/>
      <c r="F111" s="47" t="n"/>
      <c r="G111" s="47" t="n"/>
      <c r="H111" s="47" t="n"/>
      <c r="I111" s="47" t="inlineStr">
        <is>
          <t>A</t>
        </is>
      </c>
      <c r="J111" s="47" t="n"/>
      <c r="K111" s="47" t="n"/>
      <c r="L111" s="47" t="inlineStr">
        <is>
          <t>A</t>
        </is>
      </c>
      <c r="M111" s="47" t="n"/>
      <c r="N111" s="47" t="n"/>
      <c r="O111" s="47" t="n"/>
      <c r="P111" s="47" t="inlineStr">
        <is>
          <t>A</t>
        </is>
      </c>
      <c r="Q111" s="47" t="inlineStr">
        <is>
          <t>A</t>
        </is>
      </c>
      <c r="R111" s="47" t="n"/>
      <c r="S111" s="47" t="n"/>
      <c r="T111" s="47" t="inlineStr">
        <is>
          <t>A</t>
        </is>
      </c>
      <c r="U111" s="47" t="n"/>
      <c r="V111" s="47" t="n"/>
      <c r="W111" s="47" t="n"/>
      <c r="X111" s="47" t="n"/>
      <c r="Y111" s="47" t="n"/>
      <c r="Z111" s="47" t="n"/>
      <c r="AA111" s="47" t="n"/>
      <c r="AB111" s="47" t="n"/>
      <c r="AC111" s="47" t="inlineStr">
        <is>
          <t>A</t>
        </is>
      </c>
      <c r="AD111" s="47" t="n"/>
      <c r="AE111" s="47" t="n"/>
      <c r="AF111" s="47" t="inlineStr">
        <is>
          <t>A</t>
        </is>
      </c>
      <c r="AG111" s="47" t="n"/>
      <c r="AH111" s="47" t="n"/>
      <c r="AI111" s="47" t="n"/>
      <c r="AJ111" s="47" t="inlineStr">
        <is>
          <t>P</t>
        </is>
      </c>
      <c r="AK111" s="47" t="inlineStr">
        <is>
          <t>P</t>
        </is>
      </c>
      <c r="AL111" s="47" t="n"/>
      <c r="AM111" s="47" t="n"/>
      <c r="AN111" s="47" t="inlineStr">
        <is>
          <t>A</t>
        </is>
      </c>
      <c r="AO111" s="47" t="n"/>
      <c r="AP111" s="47" t="n"/>
      <c r="AQ111" s="47" t="n"/>
      <c r="AR111" s="47" t="inlineStr">
        <is>
          <t>P</t>
        </is>
      </c>
      <c r="AS111" s="47" t="n"/>
      <c r="AT111" s="47" t="n"/>
      <c r="AU111" s="47" t="n"/>
      <c r="AV111" s="47" t="n"/>
      <c r="AW111" s="47" t="inlineStr">
        <is>
          <t>P</t>
        </is>
      </c>
      <c r="AX111" s="47" t="n"/>
      <c r="AY111" s="47" t="n"/>
      <c r="AZ111" s="47" t="inlineStr">
        <is>
          <t>P</t>
        </is>
      </c>
      <c r="BA111" s="47" t="inlineStr">
        <is>
          <t>P</t>
        </is>
      </c>
      <c r="BB111" s="47" t="n"/>
      <c r="BC111" s="47" t="n"/>
      <c r="BD111" s="47" t="inlineStr">
        <is>
          <t>P</t>
        </is>
      </c>
      <c r="BE111" s="47" t="inlineStr">
        <is>
          <t>P</t>
        </is>
      </c>
      <c r="BF111" s="47" t="n"/>
      <c r="BG111" s="47" t="n"/>
      <c r="BH111" s="47" t="inlineStr">
        <is>
          <t>P</t>
        </is>
      </c>
      <c r="BI111" s="47" t="inlineStr">
        <is>
          <t>P</t>
        </is>
      </c>
      <c r="BJ111" s="47" t="n"/>
      <c r="BK111" s="47" t="n"/>
      <c r="BL111" s="47" t="n"/>
      <c r="BM111" s="47" t="n"/>
      <c r="BN111" s="47" t="n"/>
      <c r="BO111" s="47" t="n"/>
      <c r="BP111" s="47" t="n"/>
      <c r="BQ111" s="47" t="inlineStr">
        <is>
          <t>P</t>
        </is>
      </c>
      <c r="BR111" s="47" t="n"/>
      <c r="BS111" s="47" t="n"/>
      <c r="BT111" s="47" t="inlineStr">
        <is>
          <t>P</t>
        </is>
      </c>
      <c r="BU111" s="47" t="inlineStr">
        <is>
          <t>P</t>
        </is>
      </c>
      <c r="BV111" s="47" t="n"/>
      <c r="BW111" s="47" t="n"/>
      <c r="BX111" s="47" t="inlineStr">
        <is>
          <t>P</t>
        </is>
      </c>
      <c r="BY111" s="47" t="inlineStr">
        <is>
          <t>P</t>
        </is>
      </c>
      <c r="BZ111" s="47" t="n"/>
      <c r="CA111" s="47" t="n"/>
      <c r="CB111" s="47" t="inlineStr">
        <is>
          <t>P</t>
        </is>
      </c>
      <c r="CC111" s="47" t="n"/>
      <c r="CD111" s="47" t="n"/>
      <c r="CE111" s="47" t="n"/>
      <c r="CF111" s="47" t="inlineStr">
        <is>
          <t>P</t>
        </is>
      </c>
      <c r="CG111" s="47" t="n"/>
      <c r="CH111" s="47" t="n"/>
      <c r="CI111" s="47" t="n"/>
      <c r="CJ111" s="47" t="n"/>
      <c r="CK111" s="47" t="n"/>
      <c r="CL111" s="47" t="n"/>
      <c r="CM111" s="47" t="n"/>
      <c r="CN111" s="47" t="inlineStr">
        <is>
          <t>P</t>
        </is>
      </c>
      <c r="CO111" s="47" t="n"/>
      <c r="CP111" s="47" t="n"/>
      <c r="CQ111" s="47" t="inlineStr">
        <is>
          <t>P</t>
        </is>
      </c>
      <c r="CR111" s="47" t="inlineStr">
        <is>
          <t>P</t>
        </is>
      </c>
      <c r="CS111" s="47" t="n"/>
      <c r="CT111" s="47" t="n"/>
      <c r="CU111" s="47" t="inlineStr">
        <is>
          <t>A</t>
        </is>
      </c>
      <c r="CV111" s="47" t="inlineStr">
        <is>
          <t>A</t>
        </is>
      </c>
      <c r="CW111" s="47" t="n"/>
      <c r="CX111" s="47" t="n"/>
      <c r="CY111" s="47" t="n"/>
      <c r="CZ111" s="47" t="inlineStr">
        <is>
          <t>A</t>
        </is>
      </c>
      <c r="DA111" s="47" t="n"/>
      <c r="DB111" s="47" t="n"/>
      <c r="DC111" s="47" t="inlineStr">
        <is>
          <t>P</t>
        </is>
      </c>
      <c r="DD111" s="47" t="n"/>
      <c r="DE111" s="47" t="n"/>
      <c r="DF111" s="47" t="n"/>
      <c r="DG111" s="47" t="n"/>
      <c r="DH111" s="47" t="n"/>
      <c r="DI111" s="47" t="n"/>
      <c r="DJ111" s="47" t="n"/>
      <c r="DK111" s="47" t="inlineStr">
        <is>
          <t>P</t>
        </is>
      </c>
      <c r="DL111" s="47" t="n"/>
      <c r="DM111" s="47" t="n"/>
      <c r="DN111" s="47" t="inlineStr">
        <is>
          <t>A</t>
        </is>
      </c>
      <c r="DO111" s="47" t="inlineStr">
        <is>
          <t>A</t>
        </is>
      </c>
      <c r="DP111" s="47" t="n"/>
      <c r="DQ111" s="47" t="n"/>
      <c r="DR111" s="47" t="inlineStr">
        <is>
          <t>P</t>
        </is>
      </c>
      <c r="DS111" s="47" t="inlineStr">
        <is>
          <t>P</t>
        </is>
      </c>
      <c r="DT111" s="47" t="n"/>
      <c r="DU111" s="47" t="n"/>
      <c r="DV111" s="47" t="inlineStr">
        <is>
          <t>A</t>
        </is>
      </c>
      <c r="DW111" s="47" t="inlineStr">
        <is>
          <t>A</t>
        </is>
      </c>
      <c r="DX111" s="47" t="n"/>
      <c r="DY111" s="47" t="n"/>
      <c r="DZ111" s="47" t="inlineStr">
        <is>
          <t>A</t>
        </is>
      </c>
      <c r="EA111" s="47" t="n"/>
      <c r="EB111" s="47" t="n"/>
      <c r="EC111" s="47" t="n"/>
      <c r="ED111" s="47" t="n"/>
      <c r="EE111" s="47" t="n"/>
      <c r="EF111" s="47" t="n"/>
      <c r="EG111" s="47" t="n"/>
      <c r="EH111" s="47" t="inlineStr">
        <is>
          <t>P</t>
        </is>
      </c>
      <c r="EI111" s="47" t="n"/>
      <c r="EJ111" s="47" t="n"/>
      <c r="EK111" s="47" t="inlineStr">
        <is>
          <t>P</t>
        </is>
      </c>
      <c r="EL111" s="47" t="inlineStr">
        <is>
          <t>P</t>
        </is>
      </c>
      <c r="EM111" s="47" t="n"/>
      <c r="EN111" s="47" t="n"/>
      <c r="EO111" s="47" t="inlineStr">
        <is>
          <t>A</t>
        </is>
      </c>
      <c r="EP111" s="47" t="inlineStr">
        <is>
          <t>A</t>
        </is>
      </c>
      <c r="EQ111" s="47" t="n"/>
      <c r="ER111" s="47" t="n"/>
      <c r="ES111" s="47" t="inlineStr">
        <is>
          <t>P</t>
        </is>
      </c>
      <c r="ET111" s="47" t="inlineStr">
        <is>
          <t>P</t>
        </is>
      </c>
      <c r="EU111" s="47" t="n"/>
      <c r="EV111" s="47" t="n"/>
      <c r="EW111" s="47" t="n"/>
      <c r="EX111" s="47" t="n"/>
      <c r="EY111" s="47" t="n"/>
      <c r="EZ111" s="47" t="n"/>
      <c r="FA111" s="47" t="n"/>
      <c r="FB111" s="47" t="inlineStr">
        <is>
          <t>P</t>
        </is>
      </c>
      <c r="FC111" s="47" t="n"/>
      <c r="FD111" s="47" t="n"/>
      <c r="FE111" s="47" t="inlineStr">
        <is>
          <t>P</t>
        </is>
      </c>
      <c r="FF111" s="47" t="inlineStr">
        <is>
          <t>P</t>
        </is>
      </c>
      <c r="FG111" s="47" t="n"/>
      <c r="FH111" s="47" t="n"/>
      <c r="FI111" s="47" t="inlineStr">
        <is>
          <t>P</t>
        </is>
      </c>
      <c r="FJ111" s="47" t="inlineStr">
        <is>
          <t>P</t>
        </is>
      </c>
      <c r="FK111" s="47" t="n"/>
      <c r="FL111" s="47" t="n"/>
      <c r="FM111" s="47" t="n"/>
      <c r="FN111" s="47" t="n"/>
      <c r="FO111" s="47" t="n"/>
      <c r="FP111" s="47" t="n"/>
      <c r="FQ111" s="47" t="n"/>
      <c r="FR111" s="47" t="inlineStr">
        <is>
          <t>P</t>
        </is>
      </c>
      <c r="FS111" s="47" t="n"/>
      <c r="FT111" s="47" t="n"/>
      <c r="FU111" s="47" t="n"/>
      <c r="FV111" s="47" t="n"/>
      <c r="FW111" s="47" t="n"/>
      <c r="FX111" s="47" t="n"/>
      <c r="FY111" s="47" t="inlineStr">
        <is>
          <t>P</t>
        </is>
      </c>
      <c r="FZ111" s="47" t="inlineStr">
        <is>
          <t>P</t>
        </is>
      </c>
      <c r="GA111" s="47" t="n"/>
      <c r="GB111" s="47" t="n"/>
      <c r="GC111" s="47" t="n"/>
      <c r="GD111" s="47" t="inlineStr">
        <is>
          <t>P</t>
        </is>
      </c>
      <c r="GE111" s="47" t="n"/>
      <c r="GF111" s="47" t="n"/>
      <c r="GG111" s="47" t="inlineStr">
        <is>
          <t>A</t>
        </is>
      </c>
      <c r="GH111" s="47" t="n"/>
      <c r="GI111" s="47" t="n"/>
    </row>
    <row r="112" ht="14.25" customHeight="1" s="34">
      <c r="A112" s="46" t="n">
        <v>109</v>
      </c>
      <c r="B112" s="46" t="inlineStr">
        <is>
          <t>325106410109</t>
        </is>
      </c>
      <c r="C112" s="46" t="inlineStr">
        <is>
          <t>STELIO LUIS</t>
        </is>
      </c>
      <c r="D112" s="47" t="inlineStr">
        <is>
          <t>A</t>
        </is>
      </c>
      <c r="E112" s="47" t="n"/>
      <c r="F112" s="47" t="n"/>
      <c r="G112" s="47" t="n"/>
      <c r="H112" s="47" t="n"/>
      <c r="I112" s="47" t="inlineStr">
        <is>
          <t>A</t>
        </is>
      </c>
      <c r="J112" s="47" t="n"/>
      <c r="K112" s="47" t="n"/>
      <c r="L112" s="47" t="inlineStr">
        <is>
          <t>A</t>
        </is>
      </c>
      <c r="M112" s="47" t="n"/>
      <c r="N112" s="47" t="n"/>
      <c r="O112" s="47" t="n"/>
      <c r="P112" s="47" t="inlineStr">
        <is>
          <t>A</t>
        </is>
      </c>
      <c r="Q112" s="47" t="inlineStr">
        <is>
          <t>A</t>
        </is>
      </c>
      <c r="R112" s="47" t="n"/>
      <c r="S112" s="47" t="n"/>
      <c r="T112" s="47" t="inlineStr">
        <is>
          <t>A</t>
        </is>
      </c>
      <c r="U112" s="47" t="n"/>
      <c r="V112" s="47" t="n"/>
      <c r="W112" s="47" t="n"/>
      <c r="X112" s="47" t="n"/>
      <c r="Y112" s="47" t="n"/>
      <c r="Z112" s="47" t="n"/>
      <c r="AA112" s="47" t="n"/>
      <c r="AB112" s="47" t="n"/>
      <c r="AC112" s="47" t="inlineStr">
        <is>
          <t>P</t>
        </is>
      </c>
      <c r="AD112" s="47" t="n"/>
      <c r="AE112" s="47" t="n"/>
      <c r="AF112" s="47" t="inlineStr">
        <is>
          <t>A</t>
        </is>
      </c>
      <c r="AG112" s="47" t="n"/>
      <c r="AH112" s="47" t="n"/>
      <c r="AI112" s="47" t="n"/>
      <c r="AJ112" s="47" t="inlineStr">
        <is>
          <t>P</t>
        </is>
      </c>
      <c r="AK112" s="47" t="inlineStr">
        <is>
          <t>P</t>
        </is>
      </c>
      <c r="AL112" s="47" t="n"/>
      <c r="AM112" s="47" t="n"/>
      <c r="AN112" s="47" t="inlineStr">
        <is>
          <t>P</t>
        </is>
      </c>
      <c r="AO112" s="47" t="n"/>
      <c r="AP112" s="47" t="n"/>
      <c r="AQ112" s="47" t="n"/>
      <c r="AR112" s="47" t="inlineStr">
        <is>
          <t>P</t>
        </is>
      </c>
      <c r="AS112" s="47" t="n"/>
      <c r="AT112" s="47" t="n"/>
      <c r="AU112" s="47" t="n"/>
      <c r="AV112" s="47" t="n"/>
      <c r="AW112" s="47" t="inlineStr">
        <is>
          <t>P</t>
        </is>
      </c>
      <c r="AX112" s="47" t="n"/>
      <c r="AY112" s="47" t="n"/>
      <c r="AZ112" s="47" t="inlineStr">
        <is>
          <t>P</t>
        </is>
      </c>
      <c r="BA112" s="47" t="inlineStr">
        <is>
          <t>P</t>
        </is>
      </c>
      <c r="BB112" s="47" t="n"/>
      <c r="BC112" s="47" t="n"/>
      <c r="BD112" s="47" t="inlineStr">
        <is>
          <t>P</t>
        </is>
      </c>
      <c r="BE112" s="47" t="inlineStr">
        <is>
          <t>P</t>
        </is>
      </c>
      <c r="BF112" s="47" t="n"/>
      <c r="BG112" s="47" t="n"/>
      <c r="BH112" s="47" t="inlineStr">
        <is>
          <t>P</t>
        </is>
      </c>
      <c r="BI112" s="47" t="inlineStr">
        <is>
          <t>P</t>
        </is>
      </c>
      <c r="BJ112" s="47" t="n"/>
      <c r="BK112" s="47" t="n"/>
      <c r="BL112" s="47" t="n"/>
      <c r="BM112" s="47" t="n"/>
      <c r="BN112" s="47" t="n"/>
      <c r="BO112" s="47" t="n"/>
      <c r="BP112" s="47" t="n"/>
      <c r="BQ112" s="47" t="inlineStr">
        <is>
          <t>P</t>
        </is>
      </c>
      <c r="BR112" s="47" t="n"/>
      <c r="BS112" s="47" t="n"/>
      <c r="BT112" s="47" t="inlineStr">
        <is>
          <t>A</t>
        </is>
      </c>
      <c r="BU112" s="47" t="inlineStr">
        <is>
          <t>A</t>
        </is>
      </c>
      <c r="BV112" s="47" t="n"/>
      <c r="BW112" s="47" t="n"/>
      <c r="BX112" s="47" t="inlineStr">
        <is>
          <t>P</t>
        </is>
      </c>
      <c r="BY112" s="47" t="inlineStr">
        <is>
          <t>P</t>
        </is>
      </c>
      <c r="BZ112" s="47" t="n"/>
      <c r="CA112" s="47" t="n"/>
      <c r="CB112" s="47" t="inlineStr">
        <is>
          <t>P</t>
        </is>
      </c>
      <c r="CC112" s="47" t="n"/>
      <c r="CD112" s="47" t="n"/>
      <c r="CE112" s="47" t="n"/>
      <c r="CF112" s="47" t="inlineStr">
        <is>
          <t>P</t>
        </is>
      </c>
      <c r="CG112" s="47" t="n"/>
      <c r="CH112" s="47" t="n"/>
      <c r="CI112" s="47" t="n"/>
      <c r="CJ112" s="47" t="n"/>
      <c r="CK112" s="47" t="n"/>
      <c r="CL112" s="47" t="n"/>
      <c r="CM112" s="47" t="n"/>
      <c r="CN112" s="47" t="inlineStr">
        <is>
          <t>P</t>
        </is>
      </c>
      <c r="CO112" s="47" t="n"/>
      <c r="CP112" s="47" t="n"/>
      <c r="CQ112" s="47" t="inlineStr">
        <is>
          <t>P</t>
        </is>
      </c>
      <c r="CR112" s="47" t="inlineStr">
        <is>
          <t>P</t>
        </is>
      </c>
      <c r="CS112" s="47" t="n"/>
      <c r="CT112" s="47" t="n"/>
      <c r="CU112" s="47" t="inlineStr">
        <is>
          <t>P</t>
        </is>
      </c>
      <c r="CV112" s="47" t="inlineStr">
        <is>
          <t>P</t>
        </is>
      </c>
      <c r="CW112" s="47" t="n"/>
      <c r="CX112" s="47" t="n"/>
      <c r="CY112" s="47" t="n"/>
      <c r="CZ112" s="47" t="inlineStr">
        <is>
          <t>A</t>
        </is>
      </c>
      <c r="DA112" s="47" t="n"/>
      <c r="DB112" s="47" t="n"/>
      <c r="DC112" s="47" t="inlineStr">
        <is>
          <t>P</t>
        </is>
      </c>
      <c r="DD112" s="47" t="n"/>
      <c r="DE112" s="47" t="n"/>
      <c r="DF112" s="47" t="n"/>
      <c r="DG112" s="47" t="n"/>
      <c r="DH112" s="47" t="n"/>
      <c r="DI112" s="47" t="n"/>
      <c r="DJ112" s="47" t="n"/>
      <c r="DK112" s="47" t="inlineStr">
        <is>
          <t>P</t>
        </is>
      </c>
      <c r="DL112" s="47" t="n"/>
      <c r="DM112" s="47" t="n"/>
      <c r="DN112" s="47" t="inlineStr">
        <is>
          <t>P</t>
        </is>
      </c>
      <c r="DO112" s="47" t="inlineStr">
        <is>
          <t>P</t>
        </is>
      </c>
      <c r="DP112" s="47" t="n"/>
      <c r="DQ112" s="47" t="n"/>
      <c r="DR112" s="47" t="inlineStr">
        <is>
          <t>P</t>
        </is>
      </c>
      <c r="DS112" s="47" t="inlineStr">
        <is>
          <t>P</t>
        </is>
      </c>
      <c r="DT112" s="47" t="n"/>
      <c r="DU112" s="47" t="n"/>
      <c r="DV112" s="47" t="inlineStr">
        <is>
          <t>A</t>
        </is>
      </c>
      <c r="DW112" s="47" t="inlineStr">
        <is>
          <t>A</t>
        </is>
      </c>
      <c r="DX112" s="47" t="n"/>
      <c r="DY112" s="47" t="n"/>
      <c r="DZ112" s="47" t="inlineStr">
        <is>
          <t>P</t>
        </is>
      </c>
      <c r="EA112" s="47" t="n"/>
      <c r="EB112" s="47" t="n"/>
      <c r="EC112" s="47" t="n"/>
      <c r="ED112" s="47" t="n"/>
      <c r="EE112" s="47" t="n"/>
      <c r="EF112" s="47" t="n"/>
      <c r="EG112" s="47" t="n"/>
      <c r="EH112" s="47" t="inlineStr">
        <is>
          <t>P</t>
        </is>
      </c>
      <c r="EI112" s="47" t="n"/>
      <c r="EJ112" s="47" t="n"/>
      <c r="EK112" s="47" t="inlineStr">
        <is>
          <t>P</t>
        </is>
      </c>
      <c r="EL112" s="47" t="inlineStr">
        <is>
          <t>P</t>
        </is>
      </c>
      <c r="EM112" s="47" t="n"/>
      <c r="EN112" s="47" t="n"/>
      <c r="EO112" s="47" t="inlineStr">
        <is>
          <t>P</t>
        </is>
      </c>
      <c r="EP112" s="47" t="inlineStr">
        <is>
          <t>P</t>
        </is>
      </c>
      <c r="EQ112" s="47" t="n"/>
      <c r="ER112" s="47" t="n"/>
      <c r="ES112" s="47" t="inlineStr">
        <is>
          <t>P</t>
        </is>
      </c>
      <c r="ET112" s="47" t="inlineStr">
        <is>
          <t>P</t>
        </is>
      </c>
      <c r="EU112" s="47" t="n"/>
      <c r="EV112" s="47" t="n"/>
      <c r="EW112" s="47" t="n"/>
      <c r="EX112" s="47" t="n"/>
      <c r="EY112" s="47" t="n"/>
      <c r="EZ112" s="47" t="n"/>
      <c r="FA112" s="47" t="n"/>
      <c r="FB112" s="47" t="inlineStr">
        <is>
          <t>P</t>
        </is>
      </c>
      <c r="FC112" s="47" t="n"/>
      <c r="FD112" s="47" t="n"/>
      <c r="FE112" s="47" t="inlineStr">
        <is>
          <t>P</t>
        </is>
      </c>
      <c r="FF112" s="47" t="inlineStr">
        <is>
          <t>P</t>
        </is>
      </c>
      <c r="FG112" s="47" t="n"/>
      <c r="FH112" s="47" t="n"/>
      <c r="FI112" s="47" t="inlineStr">
        <is>
          <t>P</t>
        </is>
      </c>
      <c r="FJ112" s="47" t="inlineStr">
        <is>
          <t>P</t>
        </is>
      </c>
      <c r="FK112" s="47" t="n"/>
      <c r="FL112" s="47" t="n"/>
      <c r="FM112" s="47" t="n"/>
      <c r="FN112" s="47" t="n"/>
      <c r="FO112" s="47" t="n"/>
      <c r="FP112" s="47" t="n"/>
      <c r="FQ112" s="47" t="n"/>
      <c r="FR112" s="47" t="inlineStr">
        <is>
          <t>P</t>
        </is>
      </c>
      <c r="FS112" s="47" t="n"/>
      <c r="FT112" s="47" t="n"/>
      <c r="FU112" s="47" t="n"/>
      <c r="FV112" s="47" t="n"/>
      <c r="FW112" s="47" t="n"/>
      <c r="FX112" s="47" t="n"/>
      <c r="FY112" s="47" t="inlineStr">
        <is>
          <t>P</t>
        </is>
      </c>
      <c r="FZ112" s="47" t="inlineStr">
        <is>
          <t>P</t>
        </is>
      </c>
      <c r="GA112" s="47" t="n"/>
      <c r="GB112" s="47" t="n"/>
      <c r="GC112" s="47" t="n"/>
      <c r="GD112" s="47" t="inlineStr">
        <is>
          <t>P</t>
        </is>
      </c>
      <c r="GE112" s="47" t="n"/>
      <c r="GF112" s="47" t="n"/>
      <c r="GG112" s="47" t="inlineStr">
        <is>
          <t>A</t>
        </is>
      </c>
      <c r="GH112" s="47" t="n"/>
      <c r="GI112" s="47" t="n"/>
    </row>
    <row r="113" ht="14.25" customHeight="1" s="34">
      <c r="A113" s="46" t="n">
        <v>110</v>
      </c>
      <c r="B113" s="46" t="inlineStr">
        <is>
          <t>325106410110</t>
        </is>
      </c>
      <c r="C113" s="46" t="inlineStr">
        <is>
          <t>SUSANTHA CHOWDHURY</t>
        </is>
      </c>
      <c r="D113" s="47" t="inlineStr">
        <is>
          <t>P</t>
        </is>
      </c>
      <c r="E113" s="47" t="n"/>
      <c r="F113" s="47" t="n"/>
      <c r="G113" s="47" t="n"/>
      <c r="H113" s="47" t="n"/>
      <c r="I113" s="47" t="inlineStr">
        <is>
          <t>A</t>
        </is>
      </c>
      <c r="J113" s="47" t="n"/>
      <c r="K113" s="47" t="n"/>
      <c r="L113" s="47" t="inlineStr">
        <is>
          <t>A</t>
        </is>
      </c>
      <c r="M113" s="47" t="n"/>
      <c r="N113" s="47" t="n"/>
      <c r="O113" s="47" t="n"/>
      <c r="P113" s="47" t="inlineStr">
        <is>
          <t>A</t>
        </is>
      </c>
      <c r="Q113" s="47" t="inlineStr">
        <is>
          <t>A</t>
        </is>
      </c>
      <c r="R113" s="47" t="n"/>
      <c r="S113" s="47" t="n"/>
      <c r="T113" s="47" t="inlineStr">
        <is>
          <t>P</t>
        </is>
      </c>
      <c r="U113" s="47" t="n"/>
      <c r="V113" s="47" t="n"/>
      <c r="W113" s="47" t="n"/>
      <c r="X113" s="47" t="n"/>
      <c r="Y113" s="47" t="n"/>
      <c r="Z113" s="47" t="n"/>
      <c r="AA113" s="47" t="n"/>
      <c r="AB113" s="47" t="n"/>
      <c r="AC113" s="47" t="inlineStr">
        <is>
          <t>P</t>
        </is>
      </c>
      <c r="AD113" s="47" t="n"/>
      <c r="AE113" s="47" t="n"/>
      <c r="AF113" s="47" t="inlineStr">
        <is>
          <t>A</t>
        </is>
      </c>
      <c r="AG113" s="47" t="n"/>
      <c r="AH113" s="47" t="n"/>
      <c r="AI113" s="47" t="n"/>
      <c r="AJ113" s="47" t="inlineStr">
        <is>
          <t>P</t>
        </is>
      </c>
      <c r="AK113" s="47" t="inlineStr">
        <is>
          <t>P</t>
        </is>
      </c>
      <c r="AL113" s="47" t="n"/>
      <c r="AM113" s="47" t="n"/>
      <c r="AN113" s="47" t="inlineStr">
        <is>
          <t>A</t>
        </is>
      </c>
      <c r="AO113" s="47" t="n"/>
      <c r="AP113" s="47" t="n"/>
      <c r="AQ113" s="47" t="n"/>
      <c r="AR113" s="47" t="inlineStr">
        <is>
          <t>A</t>
        </is>
      </c>
      <c r="AS113" s="47" t="n"/>
      <c r="AT113" s="47" t="n"/>
      <c r="AU113" s="47" t="n"/>
      <c r="AV113" s="47" t="n"/>
      <c r="AW113" s="47" t="inlineStr">
        <is>
          <t>A</t>
        </is>
      </c>
      <c r="AX113" s="47" t="n"/>
      <c r="AY113" s="47" t="n"/>
      <c r="AZ113" s="47" t="inlineStr">
        <is>
          <t>P</t>
        </is>
      </c>
      <c r="BA113" s="47" t="inlineStr">
        <is>
          <t>P</t>
        </is>
      </c>
      <c r="BB113" s="47" t="n"/>
      <c r="BC113" s="47" t="n"/>
      <c r="BD113" s="47" t="inlineStr">
        <is>
          <t>P</t>
        </is>
      </c>
      <c r="BE113" s="47" t="inlineStr">
        <is>
          <t>P</t>
        </is>
      </c>
      <c r="BF113" s="47" t="n"/>
      <c r="BG113" s="47" t="n"/>
      <c r="BH113" s="47" t="inlineStr">
        <is>
          <t>P</t>
        </is>
      </c>
      <c r="BI113" s="47" t="inlineStr">
        <is>
          <t>P</t>
        </is>
      </c>
      <c r="BJ113" s="47" t="n"/>
      <c r="BK113" s="47" t="n"/>
      <c r="BL113" s="47" t="n"/>
      <c r="BM113" s="47" t="n"/>
      <c r="BN113" s="47" t="n"/>
      <c r="BO113" s="47" t="n"/>
      <c r="BP113" s="47" t="n"/>
      <c r="BQ113" s="47" t="inlineStr">
        <is>
          <t>P</t>
        </is>
      </c>
      <c r="BR113" s="47" t="n"/>
      <c r="BS113" s="47" t="n"/>
      <c r="BT113" s="47" t="inlineStr">
        <is>
          <t>P</t>
        </is>
      </c>
      <c r="BU113" s="47" t="inlineStr">
        <is>
          <t>P</t>
        </is>
      </c>
      <c r="BV113" s="47" t="n"/>
      <c r="BW113" s="47" t="n"/>
      <c r="BX113" s="47" t="inlineStr">
        <is>
          <t>P</t>
        </is>
      </c>
      <c r="BY113" s="47" t="inlineStr">
        <is>
          <t>P</t>
        </is>
      </c>
      <c r="BZ113" s="47" t="n"/>
      <c r="CA113" s="47" t="n"/>
      <c r="CB113" s="47" t="inlineStr">
        <is>
          <t>P</t>
        </is>
      </c>
      <c r="CC113" s="47" t="n"/>
      <c r="CD113" s="47" t="n"/>
      <c r="CE113" s="47" t="n"/>
      <c r="CF113" s="47" t="inlineStr">
        <is>
          <t>A</t>
        </is>
      </c>
      <c r="CG113" s="47" t="n"/>
      <c r="CH113" s="47" t="n"/>
      <c r="CI113" s="47" t="n"/>
      <c r="CJ113" s="47" t="n"/>
      <c r="CK113" s="47" t="n"/>
      <c r="CL113" s="47" t="n"/>
      <c r="CM113" s="47" t="n"/>
      <c r="CN113" s="47" t="inlineStr">
        <is>
          <t>P</t>
        </is>
      </c>
      <c r="CO113" s="47" t="n"/>
      <c r="CP113" s="47" t="n"/>
      <c r="CQ113" s="47" t="inlineStr">
        <is>
          <t>A</t>
        </is>
      </c>
      <c r="CR113" s="47" t="inlineStr">
        <is>
          <t>P</t>
        </is>
      </c>
      <c r="CS113" s="47" t="n"/>
      <c r="CT113" s="47" t="n"/>
      <c r="CU113" s="47" t="inlineStr">
        <is>
          <t>P</t>
        </is>
      </c>
      <c r="CV113" s="47" t="inlineStr">
        <is>
          <t>P</t>
        </is>
      </c>
      <c r="CW113" s="47" t="n"/>
      <c r="CX113" s="47" t="n"/>
      <c r="CY113" s="47" t="n"/>
      <c r="CZ113" s="47" t="inlineStr">
        <is>
          <t>A</t>
        </is>
      </c>
      <c r="DA113" s="47" t="n"/>
      <c r="DB113" s="47" t="n"/>
      <c r="DC113" s="47" t="inlineStr">
        <is>
          <t>P</t>
        </is>
      </c>
      <c r="DD113" s="47" t="n"/>
      <c r="DE113" s="47" t="n"/>
      <c r="DF113" s="47" t="n"/>
      <c r="DG113" s="47" t="n"/>
      <c r="DH113" s="47" t="n"/>
      <c r="DI113" s="47" t="n"/>
      <c r="DJ113" s="47" t="n"/>
      <c r="DK113" s="47" t="inlineStr">
        <is>
          <t>P</t>
        </is>
      </c>
      <c r="DL113" s="47" t="n"/>
      <c r="DM113" s="47" t="n"/>
      <c r="DN113" s="47" t="inlineStr">
        <is>
          <t>P</t>
        </is>
      </c>
      <c r="DO113" s="47" t="inlineStr">
        <is>
          <t>A</t>
        </is>
      </c>
      <c r="DP113" s="47" t="n"/>
      <c r="DQ113" s="47" t="n"/>
      <c r="DR113" s="47" t="inlineStr">
        <is>
          <t>P</t>
        </is>
      </c>
      <c r="DS113" s="47" t="inlineStr">
        <is>
          <t>P</t>
        </is>
      </c>
      <c r="DT113" s="47" t="n"/>
      <c r="DU113" s="47" t="n"/>
      <c r="DV113" s="47" t="inlineStr">
        <is>
          <t>P</t>
        </is>
      </c>
      <c r="DW113" s="47" t="inlineStr">
        <is>
          <t>P</t>
        </is>
      </c>
      <c r="DX113" s="47" t="n"/>
      <c r="DY113" s="47" t="n"/>
      <c r="DZ113" s="47" t="inlineStr">
        <is>
          <t>P</t>
        </is>
      </c>
      <c r="EA113" s="47" t="n"/>
      <c r="EB113" s="47" t="n"/>
      <c r="EC113" s="47" t="n"/>
      <c r="ED113" s="47" t="n"/>
      <c r="EE113" s="47" t="n"/>
      <c r="EF113" s="47" t="n"/>
      <c r="EG113" s="47" t="n"/>
      <c r="EH113" s="47" t="inlineStr">
        <is>
          <t>P</t>
        </is>
      </c>
      <c r="EI113" s="47" t="n"/>
      <c r="EJ113" s="47" t="n"/>
      <c r="EK113" s="47" t="inlineStr">
        <is>
          <t>P</t>
        </is>
      </c>
      <c r="EL113" s="47" t="inlineStr">
        <is>
          <t>P</t>
        </is>
      </c>
      <c r="EM113" s="47" t="n"/>
      <c r="EN113" s="47" t="n"/>
      <c r="EO113" s="47" t="inlineStr">
        <is>
          <t>P</t>
        </is>
      </c>
      <c r="EP113" s="47" t="inlineStr">
        <is>
          <t>P</t>
        </is>
      </c>
      <c r="EQ113" s="47" t="n"/>
      <c r="ER113" s="47" t="n"/>
      <c r="ES113" s="47" t="inlineStr">
        <is>
          <t>P</t>
        </is>
      </c>
      <c r="ET113" s="47" t="inlineStr">
        <is>
          <t>P</t>
        </is>
      </c>
      <c r="EU113" s="47" t="n"/>
      <c r="EV113" s="47" t="n"/>
      <c r="EW113" s="47" t="n"/>
      <c r="EX113" s="47" t="n"/>
      <c r="EY113" s="47" t="n"/>
      <c r="EZ113" s="47" t="n"/>
      <c r="FA113" s="47" t="n"/>
      <c r="FB113" s="47" t="inlineStr">
        <is>
          <t>P</t>
        </is>
      </c>
      <c r="FC113" s="47" t="n"/>
      <c r="FD113" s="47" t="n"/>
      <c r="FE113" s="47" t="inlineStr">
        <is>
          <t>P</t>
        </is>
      </c>
      <c r="FF113" s="47" t="inlineStr">
        <is>
          <t>P</t>
        </is>
      </c>
      <c r="FG113" s="47" t="n"/>
      <c r="FH113" s="47" t="n"/>
      <c r="FI113" s="47" t="inlineStr">
        <is>
          <t>P</t>
        </is>
      </c>
      <c r="FJ113" s="47" t="inlineStr">
        <is>
          <t>P</t>
        </is>
      </c>
      <c r="FK113" s="47" t="n"/>
      <c r="FL113" s="47" t="n"/>
      <c r="FM113" s="47" t="n"/>
      <c r="FN113" s="47" t="n"/>
      <c r="FO113" s="47" t="n"/>
      <c r="FP113" s="47" t="n"/>
      <c r="FQ113" s="47" t="n"/>
      <c r="FR113" s="47" t="inlineStr">
        <is>
          <t>P</t>
        </is>
      </c>
      <c r="FS113" s="47" t="n"/>
      <c r="FT113" s="47" t="n"/>
      <c r="FU113" s="47" t="n"/>
      <c r="FV113" s="47" t="n"/>
      <c r="FW113" s="47" t="n"/>
      <c r="FX113" s="47" t="n"/>
      <c r="FY113" s="47" t="inlineStr">
        <is>
          <t>A</t>
        </is>
      </c>
      <c r="FZ113" s="47" t="inlineStr">
        <is>
          <t>A</t>
        </is>
      </c>
      <c r="GA113" s="47" t="n"/>
      <c r="GB113" s="47" t="n"/>
      <c r="GC113" s="47" t="n"/>
      <c r="GD113" s="47" t="inlineStr">
        <is>
          <t>A</t>
        </is>
      </c>
      <c r="GE113" s="47" t="n"/>
      <c r="GF113" s="47" t="n"/>
      <c r="GG113" s="47" t="inlineStr">
        <is>
          <t>P</t>
        </is>
      </c>
      <c r="GH113" s="47" t="n"/>
      <c r="GI113" s="47" t="n"/>
    </row>
    <row r="114" ht="14.25" customHeight="1" s="34">
      <c r="A114" s="46" t="n">
        <v>111</v>
      </c>
      <c r="B114" s="46" t="inlineStr">
        <is>
          <t>325106410111</t>
        </is>
      </c>
      <c r="C114" s="46" t="inlineStr">
        <is>
          <t>TJITAREE TJIUMBUA</t>
        </is>
      </c>
      <c r="D114" s="47" t="inlineStr">
        <is>
          <t>A</t>
        </is>
      </c>
      <c r="E114" s="47" t="n"/>
      <c r="F114" s="47" t="n"/>
      <c r="G114" s="47" t="n"/>
      <c r="H114" s="47" t="n"/>
      <c r="I114" s="47" t="inlineStr">
        <is>
          <t>A</t>
        </is>
      </c>
      <c r="J114" s="47" t="n"/>
      <c r="K114" s="47" t="n"/>
      <c r="L114" s="47" t="inlineStr">
        <is>
          <t>P</t>
        </is>
      </c>
      <c r="M114" s="47" t="n"/>
      <c r="N114" s="47" t="n"/>
      <c r="O114" s="47" t="n"/>
      <c r="P114" s="47" t="inlineStr">
        <is>
          <t>P</t>
        </is>
      </c>
      <c r="Q114" s="47" t="inlineStr">
        <is>
          <t>P</t>
        </is>
      </c>
      <c r="R114" s="47" t="n"/>
      <c r="S114" s="47" t="n"/>
      <c r="T114" s="47" t="inlineStr">
        <is>
          <t>P</t>
        </is>
      </c>
      <c r="U114" s="47" t="n"/>
      <c r="V114" s="47" t="n"/>
      <c r="W114" s="47" t="n"/>
      <c r="X114" s="47" t="n"/>
      <c r="Y114" s="47" t="n"/>
      <c r="Z114" s="47" t="n"/>
      <c r="AA114" s="47" t="n"/>
      <c r="AB114" s="47" t="n"/>
      <c r="AC114" s="47" t="inlineStr">
        <is>
          <t>P</t>
        </is>
      </c>
      <c r="AD114" s="47" t="n"/>
      <c r="AE114" s="47" t="n"/>
      <c r="AF114" s="47" t="inlineStr">
        <is>
          <t>P</t>
        </is>
      </c>
      <c r="AG114" s="47" t="n"/>
      <c r="AH114" s="47" t="n"/>
      <c r="AI114" s="47" t="n"/>
      <c r="AJ114" s="47" t="inlineStr">
        <is>
          <t>P</t>
        </is>
      </c>
      <c r="AK114" s="47" t="inlineStr">
        <is>
          <t>P</t>
        </is>
      </c>
      <c r="AL114" s="47" t="n"/>
      <c r="AM114" s="47" t="n"/>
      <c r="AN114" s="47" t="inlineStr">
        <is>
          <t>P</t>
        </is>
      </c>
      <c r="AO114" s="47" t="n"/>
      <c r="AP114" s="47" t="n"/>
      <c r="AQ114" s="47" t="n"/>
      <c r="AR114" s="47" t="inlineStr">
        <is>
          <t>P</t>
        </is>
      </c>
      <c r="AS114" s="47" t="n"/>
      <c r="AT114" s="47" t="n"/>
      <c r="AU114" s="47" t="n"/>
      <c r="AV114" s="47" t="n"/>
      <c r="AW114" s="47" t="inlineStr">
        <is>
          <t>P</t>
        </is>
      </c>
      <c r="AX114" s="47" t="n"/>
      <c r="AY114" s="47" t="n"/>
      <c r="AZ114" s="47" t="inlineStr">
        <is>
          <t>A</t>
        </is>
      </c>
      <c r="BA114" s="47" t="inlineStr">
        <is>
          <t>A</t>
        </is>
      </c>
      <c r="BB114" s="47" t="n"/>
      <c r="BC114" s="47" t="n"/>
      <c r="BD114" s="47" t="inlineStr">
        <is>
          <t>P</t>
        </is>
      </c>
      <c r="BE114" s="47" t="inlineStr">
        <is>
          <t>P</t>
        </is>
      </c>
      <c r="BF114" s="47" t="n"/>
      <c r="BG114" s="47" t="n"/>
      <c r="BH114" s="47" t="inlineStr">
        <is>
          <t>P</t>
        </is>
      </c>
      <c r="BI114" s="47" t="inlineStr">
        <is>
          <t>A</t>
        </is>
      </c>
      <c r="BJ114" s="47" t="n"/>
      <c r="BK114" s="47" t="n"/>
      <c r="BL114" s="47" t="n"/>
      <c r="BM114" s="47" t="n"/>
      <c r="BN114" s="47" t="n"/>
      <c r="BO114" s="47" t="n"/>
      <c r="BP114" s="47" t="n"/>
      <c r="BQ114" s="47" t="inlineStr">
        <is>
          <t>P</t>
        </is>
      </c>
      <c r="BR114" s="47" t="n"/>
      <c r="BS114" s="47" t="n"/>
      <c r="BT114" s="47" t="inlineStr">
        <is>
          <t>P</t>
        </is>
      </c>
      <c r="BU114" s="47" t="inlineStr">
        <is>
          <t>P</t>
        </is>
      </c>
      <c r="BV114" s="47" t="n"/>
      <c r="BW114" s="47" t="n"/>
      <c r="BX114" s="47" t="inlineStr">
        <is>
          <t>P</t>
        </is>
      </c>
      <c r="BY114" s="47" t="inlineStr">
        <is>
          <t>P</t>
        </is>
      </c>
      <c r="BZ114" s="47" t="n"/>
      <c r="CA114" s="47" t="n"/>
      <c r="CB114" s="47" t="inlineStr">
        <is>
          <t>P</t>
        </is>
      </c>
      <c r="CC114" s="47" t="n"/>
      <c r="CD114" s="47" t="n"/>
      <c r="CE114" s="47" t="n"/>
      <c r="CF114" s="47" t="inlineStr">
        <is>
          <t>P</t>
        </is>
      </c>
      <c r="CG114" s="47" t="n"/>
      <c r="CH114" s="47" t="n"/>
      <c r="CI114" s="47" t="n"/>
      <c r="CJ114" s="47" t="n"/>
      <c r="CK114" s="47" t="n"/>
      <c r="CL114" s="47" t="n"/>
      <c r="CM114" s="47" t="n"/>
      <c r="CN114" s="47" t="inlineStr">
        <is>
          <t>P</t>
        </is>
      </c>
      <c r="CO114" s="47" t="n"/>
      <c r="CP114" s="47" t="n"/>
      <c r="CQ114" s="47" t="inlineStr">
        <is>
          <t>P</t>
        </is>
      </c>
      <c r="CR114" s="47" t="inlineStr">
        <is>
          <t>P</t>
        </is>
      </c>
      <c r="CS114" s="47" t="n"/>
      <c r="CT114" s="47" t="n"/>
      <c r="CU114" s="47" t="inlineStr">
        <is>
          <t>P</t>
        </is>
      </c>
      <c r="CV114" s="47" t="inlineStr">
        <is>
          <t>P</t>
        </is>
      </c>
      <c r="CW114" s="47" t="n"/>
      <c r="CX114" s="47" t="n"/>
      <c r="CY114" s="47" t="n"/>
      <c r="CZ114" s="47" t="inlineStr">
        <is>
          <t>A</t>
        </is>
      </c>
      <c r="DA114" s="47" t="n"/>
      <c r="DB114" s="47" t="n"/>
      <c r="DC114" s="47" t="inlineStr">
        <is>
          <t>P</t>
        </is>
      </c>
      <c r="DD114" s="47" t="n"/>
      <c r="DE114" s="47" t="n"/>
      <c r="DF114" s="47" t="n"/>
      <c r="DG114" s="47" t="n"/>
      <c r="DH114" s="47" t="n"/>
      <c r="DI114" s="47" t="n"/>
      <c r="DJ114" s="47" t="n"/>
      <c r="DK114" s="47" t="inlineStr">
        <is>
          <t>P</t>
        </is>
      </c>
      <c r="DL114" s="47" t="n"/>
      <c r="DM114" s="47" t="n"/>
      <c r="DN114" s="47" t="inlineStr">
        <is>
          <t>P</t>
        </is>
      </c>
      <c r="DO114" s="47" t="inlineStr">
        <is>
          <t>P</t>
        </is>
      </c>
      <c r="DP114" s="47" t="n"/>
      <c r="DQ114" s="47" t="n"/>
      <c r="DR114" s="47" t="inlineStr">
        <is>
          <t>A</t>
        </is>
      </c>
      <c r="DS114" s="47" t="inlineStr">
        <is>
          <t>A</t>
        </is>
      </c>
      <c r="DT114" s="47" t="n"/>
      <c r="DU114" s="47" t="n"/>
      <c r="DV114" s="47" t="inlineStr">
        <is>
          <t>P</t>
        </is>
      </c>
      <c r="DW114" s="47" t="inlineStr">
        <is>
          <t>P</t>
        </is>
      </c>
      <c r="DX114" s="47" t="n"/>
      <c r="DY114" s="47" t="n"/>
      <c r="DZ114" s="47" t="inlineStr">
        <is>
          <t>P</t>
        </is>
      </c>
      <c r="EA114" s="47" t="n"/>
      <c r="EB114" s="47" t="n"/>
      <c r="EC114" s="47" t="n"/>
      <c r="ED114" s="47" t="n"/>
      <c r="EE114" s="47" t="n"/>
      <c r="EF114" s="47" t="n"/>
      <c r="EG114" s="47" t="n"/>
      <c r="EH114" s="47" t="inlineStr">
        <is>
          <t>P</t>
        </is>
      </c>
      <c r="EI114" s="47" t="n"/>
      <c r="EJ114" s="47" t="n"/>
      <c r="EK114" s="47" t="inlineStr">
        <is>
          <t>P</t>
        </is>
      </c>
      <c r="EL114" s="47" t="inlineStr">
        <is>
          <t>P</t>
        </is>
      </c>
      <c r="EM114" s="47" t="n"/>
      <c r="EN114" s="47" t="n"/>
      <c r="EO114" s="47" t="inlineStr">
        <is>
          <t>P</t>
        </is>
      </c>
      <c r="EP114" s="47" t="inlineStr">
        <is>
          <t>P</t>
        </is>
      </c>
      <c r="EQ114" s="47" t="n"/>
      <c r="ER114" s="47" t="n"/>
      <c r="ES114" s="47" t="inlineStr">
        <is>
          <t>P</t>
        </is>
      </c>
      <c r="ET114" s="47" t="inlineStr">
        <is>
          <t>P</t>
        </is>
      </c>
      <c r="EU114" s="47" t="n"/>
      <c r="EV114" s="47" t="n"/>
      <c r="EW114" s="47" t="n"/>
      <c r="EX114" s="47" t="n"/>
      <c r="EY114" s="47" t="n"/>
      <c r="EZ114" s="47" t="n"/>
      <c r="FA114" s="47" t="n"/>
      <c r="FB114" s="47" t="inlineStr">
        <is>
          <t>P</t>
        </is>
      </c>
      <c r="FC114" s="47" t="n"/>
      <c r="FD114" s="47" t="n"/>
      <c r="FE114" s="47" t="inlineStr">
        <is>
          <t>P</t>
        </is>
      </c>
      <c r="FF114" s="47" t="inlineStr">
        <is>
          <t>P</t>
        </is>
      </c>
      <c r="FG114" s="47" t="n"/>
      <c r="FH114" s="47" t="n"/>
      <c r="FI114" s="47" t="inlineStr">
        <is>
          <t>P</t>
        </is>
      </c>
      <c r="FJ114" s="47" t="inlineStr">
        <is>
          <t>P</t>
        </is>
      </c>
      <c r="FK114" s="47" t="n"/>
      <c r="FL114" s="47" t="n"/>
      <c r="FM114" s="47" t="n"/>
      <c r="FN114" s="47" t="n"/>
      <c r="FO114" s="47" t="n"/>
      <c r="FP114" s="47" t="n"/>
      <c r="FQ114" s="47" t="n"/>
      <c r="FR114" s="47" t="inlineStr">
        <is>
          <t>P</t>
        </is>
      </c>
      <c r="FS114" s="47" t="n"/>
      <c r="FT114" s="47" t="n"/>
      <c r="FU114" s="47" t="n"/>
      <c r="FV114" s="47" t="n"/>
      <c r="FW114" s="47" t="n"/>
      <c r="FX114" s="47" t="n"/>
      <c r="FY114" s="47" t="inlineStr">
        <is>
          <t>A</t>
        </is>
      </c>
      <c r="FZ114" s="47" t="inlineStr">
        <is>
          <t>A</t>
        </is>
      </c>
      <c r="GA114" s="47" t="n"/>
      <c r="GB114" s="47" t="n"/>
      <c r="GC114" s="47" t="n"/>
      <c r="GD114" s="47" t="inlineStr">
        <is>
          <t>A</t>
        </is>
      </c>
      <c r="GE114" s="47" t="n"/>
      <c r="GF114" s="47" t="n"/>
      <c r="GG114" s="47" t="inlineStr">
        <is>
          <t>P</t>
        </is>
      </c>
      <c r="GH114" s="47" t="n"/>
      <c r="GI114" s="47" t="n"/>
    </row>
    <row r="115" ht="14.25" customHeight="1" s="34">
      <c r="A115" s="46" t="n">
        <v>112</v>
      </c>
      <c r="B115" s="46" t="inlineStr">
        <is>
          <t>325106410112</t>
        </is>
      </c>
      <c r="C115" s="46" t="inlineStr">
        <is>
          <t>TOTHAGOTA DEY KABBO</t>
        </is>
      </c>
      <c r="D115" s="47" t="inlineStr">
        <is>
          <t>A</t>
        </is>
      </c>
      <c r="E115" s="47" t="n"/>
      <c r="F115" s="47" t="n"/>
      <c r="G115" s="47" t="n"/>
      <c r="H115" s="47" t="n"/>
      <c r="I115" s="47" t="inlineStr">
        <is>
          <t>A</t>
        </is>
      </c>
      <c r="J115" s="47" t="n"/>
      <c r="K115" s="47" t="n"/>
      <c r="L115" s="47" t="inlineStr">
        <is>
          <t>A</t>
        </is>
      </c>
      <c r="M115" s="47" t="n"/>
      <c r="N115" s="47" t="n"/>
      <c r="O115" s="47" t="n"/>
      <c r="P115" s="47" t="inlineStr">
        <is>
          <t>A</t>
        </is>
      </c>
      <c r="Q115" s="47" t="inlineStr">
        <is>
          <t>A</t>
        </is>
      </c>
      <c r="R115" s="47" t="n"/>
      <c r="S115" s="47" t="n"/>
      <c r="T115" s="47" t="inlineStr">
        <is>
          <t>A</t>
        </is>
      </c>
      <c r="U115" s="47" t="n"/>
      <c r="V115" s="47" t="n"/>
      <c r="W115" s="47" t="n"/>
      <c r="X115" s="47" t="n"/>
      <c r="Y115" s="47" t="n"/>
      <c r="Z115" s="47" t="n"/>
      <c r="AA115" s="47" t="n"/>
      <c r="AB115" s="47" t="n"/>
      <c r="AC115" s="47" t="inlineStr">
        <is>
          <t>A</t>
        </is>
      </c>
      <c r="AD115" s="47" t="n"/>
      <c r="AE115" s="47" t="n"/>
      <c r="AF115" s="47" t="inlineStr">
        <is>
          <t>A</t>
        </is>
      </c>
      <c r="AG115" s="47" t="n"/>
      <c r="AH115" s="47" t="n"/>
      <c r="AI115" s="47" t="n"/>
      <c r="AJ115" s="47" t="inlineStr">
        <is>
          <t>A</t>
        </is>
      </c>
      <c r="AK115" s="47" t="inlineStr">
        <is>
          <t>A</t>
        </is>
      </c>
      <c r="AL115" s="47" t="n"/>
      <c r="AM115" s="47" t="n"/>
      <c r="AN115" s="47" t="inlineStr">
        <is>
          <t>A</t>
        </is>
      </c>
      <c r="AO115" s="47" t="n"/>
      <c r="AP115" s="47" t="n"/>
      <c r="AQ115" s="47" t="n"/>
      <c r="AR115" s="47" t="inlineStr">
        <is>
          <t>A</t>
        </is>
      </c>
      <c r="AS115" s="47" t="n"/>
      <c r="AT115" s="47" t="n"/>
      <c r="AU115" s="47" t="n"/>
      <c r="AV115" s="47" t="n"/>
      <c r="AW115" s="47" t="inlineStr">
        <is>
          <t>A</t>
        </is>
      </c>
      <c r="AX115" s="47" t="n"/>
      <c r="AY115" s="47" t="n"/>
      <c r="AZ115" s="47" t="inlineStr">
        <is>
          <t>A</t>
        </is>
      </c>
      <c r="BA115" s="47" t="inlineStr">
        <is>
          <t>A</t>
        </is>
      </c>
      <c r="BB115" s="47" t="n"/>
      <c r="BC115" s="47" t="n"/>
      <c r="BD115" s="47" t="inlineStr">
        <is>
          <t>A</t>
        </is>
      </c>
      <c r="BE115" s="47" t="inlineStr">
        <is>
          <t>A</t>
        </is>
      </c>
      <c r="BF115" s="47" t="n"/>
      <c r="BG115" s="47" t="n"/>
      <c r="BH115" s="47" t="inlineStr">
        <is>
          <t>A</t>
        </is>
      </c>
      <c r="BI115" s="47" t="inlineStr">
        <is>
          <t>A</t>
        </is>
      </c>
      <c r="BJ115" s="47" t="n"/>
      <c r="BK115" s="47" t="n"/>
      <c r="BL115" s="47" t="n"/>
      <c r="BM115" s="47" t="n"/>
      <c r="BN115" s="47" t="n"/>
      <c r="BO115" s="47" t="n"/>
      <c r="BP115" s="47" t="n"/>
      <c r="BQ115" s="47" t="inlineStr">
        <is>
          <t>P</t>
        </is>
      </c>
      <c r="BR115" s="47" t="n"/>
      <c r="BS115" s="47" t="n"/>
      <c r="BT115" s="47" t="inlineStr">
        <is>
          <t>P</t>
        </is>
      </c>
      <c r="BU115" s="47" t="inlineStr">
        <is>
          <t>P</t>
        </is>
      </c>
      <c r="BV115" s="47" t="n"/>
      <c r="BW115" s="47" t="n"/>
      <c r="BX115" s="47" t="inlineStr">
        <is>
          <t>P</t>
        </is>
      </c>
      <c r="BY115" s="47" t="inlineStr">
        <is>
          <t>P</t>
        </is>
      </c>
      <c r="BZ115" s="47" t="n"/>
      <c r="CA115" s="47" t="n"/>
      <c r="CB115" s="47" t="inlineStr">
        <is>
          <t>P</t>
        </is>
      </c>
      <c r="CC115" s="47" t="n"/>
      <c r="CD115" s="47" t="n"/>
      <c r="CE115" s="47" t="n"/>
      <c r="CF115" s="47" t="inlineStr">
        <is>
          <t>P</t>
        </is>
      </c>
      <c r="CG115" s="47" t="n"/>
      <c r="CH115" s="47" t="n"/>
      <c r="CI115" s="47" t="n"/>
      <c r="CJ115" s="47" t="n"/>
      <c r="CK115" s="47" t="n"/>
      <c r="CL115" s="47" t="n"/>
      <c r="CM115" s="47" t="n"/>
      <c r="CN115" s="47" t="inlineStr">
        <is>
          <t>P</t>
        </is>
      </c>
      <c r="CO115" s="47" t="n"/>
      <c r="CP115" s="47" t="n"/>
      <c r="CQ115" s="47" t="inlineStr">
        <is>
          <t>P</t>
        </is>
      </c>
      <c r="CR115" s="47" t="inlineStr">
        <is>
          <t>P</t>
        </is>
      </c>
      <c r="CS115" s="47" t="n"/>
      <c r="CT115" s="47" t="n"/>
      <c r="CU115" s="47" t="inlineStr">
        <is>
          <t>P</t>
        </is>
      </c>
      <c r="CV115" s="47" t="inlineStr">
        <is>
          <t>P</t>
        </is>
      </c>
      <c r="CW115" s="47" t="n"/>
      <c r="CX115" s="47" t="n"/>
      <c r="CY115" s="47" t="n"/>
      <c r="CZ115" s="47" t="inlineStr">
        <is>
          <t>P</t>
        </is>
      </c>
      <c r="DA115" s="47" t="n"/>
      <c r="DB115" s="47" t="n"/>
      <c r="DC115" s="47" t="inlineStr">
        <is>
          <t>P</t>
        </is>
      </c>
      <c r="DD115" s="47" t="n"/>
      <c r="DE115" s="47" t="n"/>
      <c r="DF115" s="47" t="n"/>
      <c r="DG115" s="47" t="n"/>
      <c r="DH115" s="47" t="n"/>
      <c r="DI115" s="47" t="n"/>
      <c r="DJ115" s="47" t="n"/>
      <c r="DK115" s="47" t="inlineStr">
        <is>
          <t>P</t>
        </is>
      </c>
      <c r="DL115" s="47" t="n"/>
      <c r="DM115" s="47" t="n"/>
      <c r="DN115" s="47" t="inlineStr">
        <is>
          <t>P</t>
        </is>
      </c>
      <c r="DO115" s="47" t="inlineStr">
        <is>
          <t>P</t>
        </is>
      </c>
      <c r="DP115" s="47" t="n"/>
      <c r="DQ115" s="47" t="n"/>
      <c r="DR115" s="47" t="inlineStr">
        <is>
          <t>P</t>
        </is>
      </c>
      <c r="DS115" s="47" t="inlineStr">
        <is>
          <t>P</t>
        </is>
      </c>
      <c r="DT115" s="47" t="n"/>
      <c r="DU115" s="47" t="n"/>
      <c r="DV115" s="47" t="inlineStr">
        <is>
          <t>P</t>
        </is>
      </c>
      <c r="DW115" s="47" t="inlineStr">
        <is>
          <t>P</t>
        </is>
      </c>
      <c r="DX115" s="47" t="n"/>
      <c r="DY115" s="47" t="n"/>
      <c r="DZ115" s="47" t="inlineStr">
        <is>
          <t>P</t>
        </is>
      </c>
      <c r="EA115" s="47" t="n"/>
      <c r="EB115" s="47" t="n"/>
      <c r="EC115" s="47" t="n"/>
      <c r="ED115" s="47" t="n"/>
      <c r="EE115" s="47" t="n"/>
      <c r="EF115" s="47" t="n"/>
      <c r="EG115" s="47" t="n"/>
      <c r="EH115" s="47" t="inlineStr">
        <is>
          <t>A</t>
        </is>
      </c>
      <c r="EI115" s="47" t="n"/>
      <c r="EJ115" s="47" t="n"/>
      <c r="EK115" s="47" t="inlineStr">
        <is>
          <t>A</t>
        </is>
      </c>
      <c r="EL115" s="47" t="inlineStr">
        <is>
          <t>A</t>
        </is>
      </c>
      <c r="EM115" s="47" t="n"/>
      <c r="EN115" s="47" t="n"/>
      <c r="EO115" s="47" t="inlineStr">
        <is>
          <t>P</t>
        </is>
      </c>
      <c r="EP115" s="47" t="inlineStr">
        <is>
          <t>P</t>
        </is>
      </c>
      <c r="EQ115" s="47" t="n"/>
      <c r="ER115" s="47" t="n"/>
      <c r="ES115" s="47" t="inlineStr">
        <is>
          <t>A</t>
        </is>
      </c>
      <c r="ET115" s="47" t="inlineStr">
        <is>
          <t>A</t>
        </is>
      </c>
      <c r="EU115" s="47" t="n"/>
      <c r="EV115" s="47" t="n"/>
      <c r="EW115" s="47" t="n"/>
      <c r="EX115" s="47" t="n"/>
      <c r="EY115" s="47" t="n"/>
      <c r="EZ115" s="47" t="n"/>
      <c r="FA115" s="47" t="n"/>
      <c r="FB115" s="47" t="inlineStr">
        <is>
          <t>P</t>
        </is>
      </c>
      <c r="FC115" s="47" t="n"/>
      <c r="FD115" s="47" t="n"/>
      <c r="FE115" s="47" t="inlineStr">
        <is>
          <t>P</t>
        </is>
      </c>
      <c r="FF115" s="47" t="inlineStr">
        <is>
          <t>P</t>
        </is>
      </c>
      <c r="FG115" s="47" t="n"/>
      <c r="FH115" s="47" t="n"/>
      <c r="FI115" s="47" t="inlineStr">
        <is>
          <t>P</t>
        </is>
      </c>
      <c r="FJ115" s="47" t="inlineStr">
        <is>
          <t>P</t>
        </is>
      </c>
      <c r="FK115" s="47" t="n"/>
      <c r="FL115" s="47" t="n"/>
      <c r="FM115" s="47" t="n"/>
      <c r="FN115" s="47" t="n"/>
      <c r="FO115" s="47" t="n"/>
      <c r="FP115" s="47" t="n"/>
      <c r="FQ115" s="47" t="n"/>
      <c r="FR115" s="47" t="inlineStr">
        <is>
          <t>P</t>
        </is>
      </c>
      <c r="FS115" s="47" t="n"/>
      <c r="FT115" s="47" t="n"/>
      <c r="FU115" s="47" t="n"/>
      <c r="FV115" s="47" t="n"/>
      <c r="FW115" s="47" t="n"/>
      <c r="FX115" s="47" t="n"/>
      <c r="FY115" s="47" t="inlineStr">
        <is>
          <t>P</t>
        </is>
      </c>
      <c r="FZ115" s="47" t="inlineStr">
        <is>
          <t>P</t>
        </is>
      </c>
      <c r="GA115" s="47" t="n"/>
      <c r="GB115" s="47" t="n"/>
      <c r="GC115" s="47" t="n"/>
      <c r="GD115" s="47" t="inlineStr">
        <is>
          <t>A</t>
        </is>
      </c>
      <c r="GE115" s="47" t="n"/>
      <c r="GF115" s="47" t="n"/>
      <c r="GG115" s="47" t="inlineStr">
        <is>
          <t>P</t>
        </is>
      </c>
      <c r="GH115" s="47" t="n"/>
      <c r="GI115" s="47" t="n"/>
    </row>
    <row r="116" ht="14.25" customHeight="1" s="34">
      <c r="A116" s="46" t="n">
        <v>113</v>
      </c>
      <c r="B116" s="46" t="inlineStr">
        <is>
          <t>325106410113</t>
        </is>
      </c>
      <c r="C116" s="46" t="inlineStr">
        <is>
          <t>TUMPA DEBNATH</t>
        </is>
      </c>
      <c r="D116" s="47" t="inlineStr">
        <is>
          <t>A</t>
        </is>
      </c>
      <c r="E116" s="47" t="n"/>
      <c r="F116" s="47" t="n"/>
      <c r="G116" s="47" t="n"/>
      <c r="H116" s="47" t="n"/>
      <c r="I116" s="47" t="inlineStr">
        <is>
          <t>A</t>
        </is>
      </c>
      <c r="J116" s="47" t="n"/>
      <c r="K116" s="47" t="n"/>
      <c r="L116" s="47" t="inlineStr">
        <is>
          <t>A</t>
        </is>
      </c>
      <c r="M116" s="47" t="n"/>
      <c r="N116" s="47" t="n"/>
      <c r="O116" s="47" t="n"/>
      <c r="P116" s="47" t="inlineStr">
        <is>
          <t>A</t>
        </is>
      </c>
      <c r="Q116" s="47" t="inlineStr">
        <is>
          <t>A</t>
        </is>
      </c>
      <c r="R116" s="47" t="n"/>
      <c r="S116" s="47" t="n"/>
      <c r="T116" s="47" t="inlineStr">
        <is>
          <t>A</t>
        </is>
      </c>
      <c r="U116" s="47" t="n"/>
      <c r="V116" s="47" t="n"/>
      <c r="W116" s="47" t="n"/>
      <c r="X116" s="47" t="n"/>
      <c r="Y116" s="47" t="n"/>
      <c r="Z116" s="47" t="n"/>
      <c r="AA116" s="47" t="n"/>
      <c r="AB116" s="47" t="n"/>
      <c r="AC116" s="47" t="inlineStr">
        <is>
          <t>A</t>
        </is>
      </c>
      <c r="AD116" s="47" t="n"/>
      <c r="AE116" s="47" t="n"/>
      <c r="AF116" s="47" t="inlineStr">
        <is>
          <t>A</t>
        </is>
      </c>
      <c r="AG116" s="47" t="n"/>
      <c r="AH116" s="47" t="n"/>
      <c r="AI116" s="47" t="n"/>
      <c r="AJ116" s="47" t="inlineStr">
        <is>
          <t>P</t>
        </is>
      </c>
      <c r="AK116" s="47" t="inlineStr">
        <is>
          <t>P</t>
        </is>
      </c>
      <c r="AL116" s="47" t="n"/>
      <c r="AM116" s="47" t="n"/>
      <c r="AN116" s="47" t="inlineStr">
        <is>
          <t>P</t>
        </is>
      </c>
      <c r="AO116" s="47" t="n"/>
      <c r="AP116" s="47" t="n"/>
      <c r="AQ116" s="47" t="n"/>
      <c r="AR116" s="47" t="inlineStr">
        <is>
          <t>A</t>
        </is>
      </c>
      <c r="AS116" s="47" t="n"/>
      <c r="AT116" s="47" t="n"/>
      <c r="AU116" s="47" t="n"/>
      <c r="AV116" s="47" t="n"/>
      <c r="AW116" s="47" t="inlineStr">
        <is>
          <t>A</t>
        </is>
      </c>
      <c r="AX116" s="47" t="n"/>
      <c r="AY116" s="47" t="n"/>
      <c r="AZ116" s="47" t="inlineStr">
        <is>
          <t>P</t>
        </is>
      </c>
      <c r="BA116" s="47" t="inlineStr">
        <is>
          <t>P</t>
        </is>
      </c>
      <c r="BB116" s="47" t="n"/>
      <c r="BC116" s="47" t="n"/>
      <c r="BD116" s="47" t="inlineStr">
        <is>
          <t>A</t>
        </is>
      </c>
      <c r="BE116" s="47" t="inlineStr">
        <is>
          <t>A</t>
        </is>
      </c>
      <c r="BF116" s="47" t="n"/>
      <c r="BG116" s="47" t="n"/>
      <c r="BH116" s="47" t="inlineStr">
        <is>
          <t>P</t>
        </is>
      </c>
      <c r="BI116" s="47" t="inlineStr">
        <is>
          <t>P</t>
        </is>
      </c>
      <c r="BJ116" s="47" t="n"/>
      <c r="BK116" s="47" t="n"/>
      <c r="BL116" s="47" t="n"/>
      <c r="BM116" s="47" t="n"/>
      <c r="BN116" s="47" t="n"/>
      <c r="BO116" s="47" t="n"/>
      <c r="BP116" s="47" t="n"/>
      <c r="BQ116" s="47" t="inlineStr">
        <is>
          <t>P</t>
        </is>
      </c>
      <c r="BR116" s="47" t="n"/>
      <c r="BS116" s="47" t="n"/>
      <c r="BT116" s="47" t="inlineStr">
        <is>
          <t>P</t>
        </is>
      </c>
      <c r="BU116" s="47" t="inlineStr">
        <is>
          <t>P</t>
        </is>
      </c>
      <c r="BV116" s="47" t="n"/>
      <c r="BW116" s="47" t="n"/>
      <c r="BX116" s="47" t="inlineStr">
        <is>
          <t>P</t>
        </is>
      </c>
      <c r="BY116" s="47" t="inlineStr">
        <is>
          <t>P</t>
        </is>
      </c>
      <c r="BZ116" s="47" t="n"/>
      <c r="CA116" s="47" t="n"/>
      <c r="CB116" s="47" t="inlineStr">
        <is>
          <t>A</t>
        </is>
      </c>
      <c r="CC116" s="47" t="n"/>
      <c r="CD116" s="47" t="n"/>
      <c r="CE116" s="47" t="n"/>
      <c r="CF116" s="47" t="inlineStr">
        <is>
          <t>P</t>
        </is>
      </c>
      <c r="CG116" s="47" t="n"/>
      <c r="CH116" s="47" t="n"/>
      <c r="CI116" s="47" t="n"/>
      <c r="CJ116" s="47" t="n"/>
      <c r="CK116" s="47" t="n"/>
      <c r="CL116" s="47" t="n"/>
      <c r="CM116" s="47" t="n"/>
      <c r="CN116" s="47" t="inlineStr">
        <is>
          <t>P</t>
        </is>
      </c>
      <c r="CO116" s="47" t="n"/>
      <c r="CP116" s="47" t="n"/>
      <c r="CQ116" s="47" t="inlineStr">
        <is>
          <t>P</t>
        </is>
      </c>
      <c r="CR116" s="47" t="inlineStr">
        <is>
          <t>P</t>
        </is>
      </c>
      <c r="CS116" s="47" t="n"/>
      <c r="CT116" s="47" t="n"/>
      <c r="CU116" s="47" t="inlineStr">
        <is>
          <t>A</t>
        </is>
      </c>
      <c r="CV116" s="47" t="inlineStr">
        <is>
          <t>A</t>
        </is>
      </c>
      <c r="CW116" s="47" t="n"/>
      <c r="CX116" s="47" t="n"/>
      <c r="CY116" s="47" t="n"/>
      <c r="CZ116" s="47" t="inlineStr">
        <is>
          <t>P</t>
        </is>
      </c>
      <c r="DA116" s="47" t="n"/>
      <c r="DB116" s="47" t="n"/>
      <c r="DC116" s="47" t="inlineStr">
        <is>
          <t>P</t>
        </is>
      </c>
      <c r="DD116" s="47" t="n"/>
      <c r="DE116" s="47" t="n"/>
      <c r="DF116" s="47" t="n"/>
      <c r="DG116" s="47" t="n"/>
      <c r="DH116" s="47" t="n"/>
      <c r="DI116" s="47" t="n"/>
      <c r="DJ116" s="47" t="n"/>
      <c r="DK116" s="47" t="inlineStr">
        <is>
          <t>P</t>
        </is>
      </c>
      <c r="DL116" s="47" t="n"/>
      <c r="DM116" s="47" t="n"/>
      <c r="DN116" s="47" t="inlineStr">
        <is>
          <t>P</t>
        </is>
      </c>
      <c r="DO116" s="47" t="inlineStr">
        <is>
          <t>P</t>
        </is>
      </c>
      <c r="DP116" s="47" t="n"/>
      <c r="DQ116" s="47" t="n"/>
      <c r="DR116" s="47" t="inlineStr">
        <is>
          <t>P</t>
        </is>
      </c>
      <c r="DS116" s="47" t="inlineStr">
        <is>
          <t>P</t>
        </is>
      </c>
      <c r="DT116" s="47" t="n"/>
      <c r="DU116" s="47" t="n"/>
      <c r="DV116" s="47" t="inlineStr">
        <is>
          <t>P</t>
        </is>
      </c>
      <c r="DW116" s="47" t="inlineStr">
        <is>
          <t>P</t>
        </is>
      </c>
      <c r="DX116" s="47" t="n"/>
      <c r="DY116" s="47" t="n"/>
      <c r="DZ116" s="47" t="inlineStr">
        <is>
          <t>P</t>
        </is>
      </c>
      <c r="EA116" s="47" t="n"/>
      <c r="EB116" s="47" t="n"/>
      <c r="EC116" s="47" t="n"/>
      <c r="ED116" s="47" t="n"/>
      <c r="EE116" s="47" t="n"/>
      <c r="EF116" s="47" t="n"/>
      <c r="EG116" s="47" t="n"/>
      <c r="EH116" s="47" t="inlineStr">
        <is>
          <t>P</t>
        </is>
      </c>
      <c r="EI116" s="47" t="n"/>
      <c r="EJ116" s="47" t="n"/>
      <c r="EK116" s="47" t="inlineStr">
        <is>
          <t>P</t>
        </is>
      </c>
      <c r="EL116" s="47" t="inlineStr">
        <is>
          <t>P</t>
        </is>
      </c>
      <c r="EM116" s="47" t="n"/>
      <c r="EN116" s="47" t="n"/>
      <c r="EO116" s="47" t="inlineStr">
        <is>
          <t>A</t>
        </is>
      </c>
      <c r="EP116" s="47" t="inlineStr">
        <is>
          <t>P</t>
        </is>
      </c>
      <c r="EQ116" s="47" t="n"/>
      <c r="ER116" s="47" t="n"/>
      <c r="ES116" s="47" t="inlineStr">
        <is>
          <t>P</t>
        </is>
      </c>
      <c r="ET116" s="47" t="inlineStr">
        <is>
          <t>P</t>
        </is>
      </c>
      <c r="EU116" s="47" t="n"/>
      <c r="EV116" s="47" t="n"/>
      <c r="EW116" s="47" t="n"/>
      <c r="EX116" s="47" t="n"/>
      <c r="EY116" s="47" t="n"/>
      <c r="EZ116" s="47" t="n"/>
      <c r="FA116" s="47" t="n"/>
      <c r="FB116" s="47" t="inlineStr">
        <is>
          <t>P</t>
        </is>
      </c>
      <c r="FC116" s="47" t="n"/>
      <c r="FD116" s="47" t="n"/>
      <c r="FE116" s="47" t="inlineStr">
        <is>
          <t>P</t>
        </is>
      </c>
      <c r="FF116" s="47" t="inlineStr">
        <is>
          <t>P</t>
        </is>
      </c>
      <c r="FG116" s="47" t="n"/>
      <c r="FH116" s="47" t="n"/>
      <c r="FI116" s="47" t="inlineStr">
        <is>
          <t>P</t>
        </is>
      </c>
      <c r="FJ116" s="47" t="inlineStr">
        <is>
          <t>P</t>
        </is>
      </c>
      <c r="FK116" s="47" t="n"/>
      <c r="FL116" s="47" t="n"/>
      <c r="FM116" s="47" t="n"/>
      <c r="FN116" s="47" t="n"/>
      <c r="FO116" s="47" t="n"/>
      <c r="FP116" s="47" t="n"/>
      <c r="FQ116" s="47" t="n"/>
      <c r="FR116" s="47" t="inlineStr">
        <is>
          <t>P</t>
        </is>
      </c>
      <c r="FS116" s="47" t="n"/>
      <c r="FT116" s="47" t="n"/>
      <c r="FU116" s="47" t="n"/>
      <c r="FV116" s="47" t="n"/>
      <c r="FW116" s="47" t="n"/>
      <c r="FX116" s="47" t="n"/>
      <c r="FY116" s="47" t="inlineStr">
        <is>
          <t>P</t>
        </is>
      </c>
      <c r="FZ116" s="47" t="inlineStr">
        <is>
          <t>A</t>
        </is>
      </c>
      <c r="GA116" s="47" t="n"/>
      <c r="GB116" s="47" t="n"/>
      <c r="GC116" s="47" t="n"/>
      <c r="GD116" s="47" t="inlineStr">
        <is>
          <t>P</t>
        </is>
      </c>
      <c r="GE116" s="47" t="n"/>
      <c r="GF116" s="47" t="n"/>
      <c r="GG116" s="47" t="inlineStr">
        <is>
          <t>P</t>
        </is>
      </c>
      <c r="GH116" s="47" t="n"/>
      <c r="GI116" s="47" t="n"/>
    </row>
    <row r="117" ht="14.25" customHeight="1" s="34">
      <c r="A117" s="46" t="n">
        <v>114</v>
      </c>
      <c r="B117" s="46" t="inlineStr">
        <is>
          <t>325106410114</t>
        </is>
      </c>
      <c r="C117" s="46" t="inlineStr">
        <is>
          <t>UKASH CHAUDHARY</t>
        </is>
      </c>
      <c r="D117" s="47" t="inlineStr">
        <is>
          <t>A</t>
        </is>
      </c>
      <c r="E117" s="47" t="n"/>
      <c r="F117" s="47" t="n"/>
      <c r="G117" s="47" t="n"/>
      <c r="H117" s="47" t="n"/>
      <c r="I117" s="47" t="inlineStr">
        <is>
          <t>A</t>
        </is>
      </c>
      <c r="J117" s="47" t="n"/>
      <c r="K117" s="47" t="n"/>
      <c r="L117" s="47" t="inlineStr">
        <is>
          <t>A</t>
        </is>
      </c>
      <c r="M117" s="47" t="n"/>
      <c r="N117" s="47" t="n"/>
      <c r="O117" s="47" t="n"/>
      <c r="P117" s="47" t="inlineStr">
        <is>
          <t>A</t>
        </is>
      </c>
      <c r="Q117" s="47" t="inlineStr">
        <is>
          <t>A</t>
        </is>
      </c>
      <c r="R117" s="47" t="n"/>
      <c r="S117" s="47" t="n"/>
      <c r="T117" s="47" t="inlineStr">
        <is>
          <t>A</t>
        </is>
      </c>
      <c r="U117" s="47" t="n"/>
      <c r="V117" s="47" t="n"/>
      <c r="W117" s="47" t="n"/>
      <c r="X117" s="47" t="n"/>
      <c r="Y117" s="47" t="n"/>
      <c r="Z117" s="47" t="n"/>
      <c r="AA117" s="47" t="n"/>
      <c r="AB117" s="47" t="n"/>
      <c r="AC117" s="47" t="inlineStr">
        <is>
          <t>A</t>
        </is>
      </c>
      <c r="AD117" s="47" t="n"/>
      <c r="AE117" s="47" t="n"/>
      <c r="AF117" s="47" t="inlineStr">
        <is>
          <t>A</t>
        </is>
      </c>
      <c r="AG117" s="47" t="n"/>
      <c r="AH117" s="47" t="n"/>
      <c r="AI117" s="47" t="n"/>
      <c r="AJ117" s="47" t="inlineStr">
        <is>
          <t>A</t>
        </is>
      </c>
      <c r="AK117" s="47" t="inlineStr">
        <is>
          <t>A</t>
        </is>
      </c>
      <c r="AL117" s="47" t="n"/>
      <c r="AM117" s="47" t="n"/>
      <c r="AN117" s="47" t="inlineStr">
        <is>
          <t>A</t>
        </is>
      </c>
      <c r="AO117" s="47" t="n"/>
      <c r="AP117" s="47" t="n"/>
      <c r="AQ117" s="47" t="n"/>
      <c r="AR117" s="47" t="inlineStr">
        <is>
          <t>A</t>
        </is>
      </c>
      <c r="AS117" s="47" t="n"/>
      <c r="AT117" s="47" t="n"/>
      <c r="AU117" s="47" t="n"/>
      <c r="AV117" s="47" t="n"/>
      <c r="AW117" s="47" t="inlineStr">
        <is>
          <t>A</t>
        </is>
      </c>
      <c r="AX117" s="47" t="n"/>
      <c r="AY117" s="47" t="n"/>
      <c r="AZ117" s="47" t="inlineStr">
        <is>
          <t>A</t>
        </is>
      </c>
      <c r="BA117" s="47" t="inlineStr">
        <is>
          <t>A</t>
        </is>
      </c>
      <c r="BB117" s="47" t="n"/>
      <c r="BC117" s="47" t="n"/>
      <c r="BD117" s="47" t="inlineStr">
        <is>
          <t>A</t>
        </is>
      </c>
      <c r="BE117" s="47" t="inlineStr">
        <is>
          <t>A</t>
        </is>
      </c>
      <c r="BF117" s="47" t="n"/>
      <c r="BG117" s="47" t="n"/>
      <c r="BH117" s="47" t="inlineStr">
        <is>
          <t>P</t>
        </is>
      </c>
      <c r="BI117" s="47" t="inlineStr">
        <is>
          <t>P</t>
        </is>
      </c>
      <c r="BJ117" s="47" t="n"/>
      <c r="BK117" s="47" t="n"/>
      <c r="BL117" s="47" t="n"/>
      <c r="BM117" s="47" t="n"/>
      <c r="BN117" s="47" t="n"/>
      <c r="BO117" s="47" t="n"/>
      <c r="BP117" s="47" t="n"/>
      <c r="BQ117" s="47" t="inlineStr">
        <is>
          <t>P</t>
        </is>
      </c>
      <c r="BR117" s="47" t="n"/>
      <c r="BS117" s="47" t="n"/>
      <c r="BT117" s="47" t="inlineStr">
        <is>
          <t>P</t>
        </is>
      </c>
      <c r="BU117" s="47" t="inlineStr">
        <is>
          <t>P</t>
        </is>
      </c>
      <c r="BV117" s="47" t="n"/>
      <c r="BW117" s="47" t="n"/>
      <c r="BX117" s="47" t="inlineStr">
        <is>
          <t>P</t>
        </is>
      </c>
      <c r="BY117" s="47" t="inlineStr">
        <is>
          <t>P</t>
        </is>
      </c>
      <c r="BZ117" s="47" t="n"/>
      <c r="CA117" s="47" t="n"/>
      <c r="CB117" s="47" t="inlineStr">
        <is>
          <t>P</t>
        </is>
      </c>
      <c r="CC117" s="47" t="n"/>
      <c r="CD117" s="47" t="n"/>
      <c r="CE117" s="47" t="n"/>
      <c r="CF117" s="47" t="inlineStr">
        <is>
          <t>P</t>
        </is>
      </c>
      <c r="CG117" s="47" t="n"/>
      <c r="CH117" s="47" t="n"/>
      <c r="CI117" s="47" t="n"/>
      <c r="CJ117" s="47" t="n"/>
      <c r="CK117" s="47" t="n"/>
      <c r="CL117" s="47" t="n"/>
      <c r="CM117" s="47" t="n"/>
      <c r="CN117" s="47" t="inlineStr">
        <is>
          <t>P</t>
        </is>
      </c>
      <c r="CO117" s="47" t="n"/>
      <c r="CP117" s="47" t="n"/>
      <c r="CQ117" s="47" t="inlineStr">
        <is>
          <t>A</t>
        </is>
      </c>
      <c r="CR117" s="47" t="inlineStr">
        <is>
          <t>P</t>
        </is>
      </c>
      <c r="CS117" s="47" t="n"/>
      <c r="CT117" s="47" t="n"/>
      <c r="CU117" s="47" t="inlineStr">
        <is>
          <t>P</t>
        </is>
      </c>
      <c r="CV117" s="47" t="inlineStr">
        <is>
          <t>P</t>
        </is>
      </c>
      <c r="CW117" s="47" t="n"/>
      <c r="CX117" s="47" t="n"/>
      <c r="CY117" s="47" t="n"/>
      <c r="CZ117" s="47" t="inlineStr">
        <is>
          <t>P</t>
        </is>
      </c>
      <c r="DA117" s="47" t="n"/>
      <c r="DB117" s="47" t="n"/>
      <c r="DC117" s="47" t="inlineStr">
        <is>
          <t>P</t>
        </is>
      </c>
      <c r="DD117" s="47" t="n"/>
      <c r="DE117" s="47" t="n"/>
      <c r="DF117" s="47" t="n"/>
      <c r="DG117" s="47" t="n"/>
      <c r="DH117" s="47" t="n"/>
      <c r="DI117" s="47" t="n"/>
      <c r="DJ117" s="47" t="n"/>
      <c r="DK117" s="47" t="inlineStr">
        <is>
          <t>P</t>
        </is>
      </c>
      <c r="DL117" s="47" t="n"/>
      <c r="DM117" s="47" t="n"/>
      <c r="DN117" s="47" t="inlineStr">
        <is>
          <t>A</t>
        </is>
      </c>
      <c r="DO117" s="47" t="inlineStr">
        <is>
          <t>P</t>
        </is>
      </c>
      <c r="DP117" s="47" t="n"/>
      <c r="DQ117" s="47" t="n"/>
      <c r="DR117" s="47" t="inlineStr">
        <is>
          <t>P</t>
        </is>
      </c>
      <c r="DS117" s="47" t="inlineStr">
        <is>
          <t>P</t>
        </is>
      </c>
      <c r="DT117" s="47" t="n"/>
      <c r="DU117" s="47" t="n"/>
      <c r="DV117" s="47" t="inlineStr">
        <is>
          <t>A</t>
        </is>
      </c>
      <c r="DW117" s="47" t="inlineStr">
        <is>
          <t>A</t>
        </is>
      </c>
      <c r="DX117" s="47" t="n"/>
      <c r="DY117" s="47" t="n"/>
      <c r="DZ117" s="47" t="inlineStr">
        <is>
          <t>P</t>
        </is>
      </c>
      <c r="EA117" s="47" t="n"/>
      <c r="EB117" s="47" t="n"/>
      <c r="EC117" s="47" t="n"/>
      <c r="ED117" s="47" t="n"/>
      <c r="EE117" s="47" t="n"/>
      <c r="EF117" s="47" t="n"/>
      <c r="EG117" s="47" t="n"/>
      <c r="EH117" s="47" t="inlineStr">
        <is>
          <t>P</t>
        </is>
      </c>
      <c r="EI117" s="47" t="n"/>
      <c r="EJ117" s="47" t="n"/>
      <c r="EK117" s="47" t="inlineStr">
        <is>
          <t>P</t>
        </is>
      </c>
      <c r="EL117" s="47" t="inlineStr">
        <is>
          <t>P</t>
        </is>
      </c>
      <c r="EM117" s="47" t="n"/>
      <c r="EN117" s="47" t="n"/>
      <c r="EO117" s="47" t="inlineStr">
        <is>
          <t>P</t>
        </is>
      </c>
      <c r="EP117" s="47" t="inlineStr">
        <is>
          <t>A</t>
        </is>
      </c>
      <c r="EQ117" s="47" t="n"/>
      <c r="ER117" s="47" t="n"/>
      <c r="ES117" s="47" t="inlineStr">
        <is>
          <t>P</t>
        </is>
      </c>
      <c r="ET117" s="47" t="inlineStr">
        <is>
          <t>P</t>
        </is>
      </c>
      <c r="EU117" s="47" t="n"/>
      <c r="EV117" s="47" t="n"/>
      <c r="EW117" s="47" t="n"/>
      <c r="EX117" s="47" t="n"/>
      <c r="EY117" s="47" t="n"/>
      <c r="EZ117" s="47" t="n"/>
      <c r="FA117" s="47" t="n"/>
      <c r="FB117" s="47" t="inlineStr">
        <is>
          <t>P</t>
        </is>
      </c>
      <c r="FC117" s="47" t="n"/>
      <c r="FD117" s="47" t="n"/>
      <c r="FE117" s="47" t="inlineStr">
        <is>
          <t>P</t>
        </is>
      </c>
      <c r="FF117" s="47" t="inlineStr">
        <is>
          <t>A</t>
        </is>
      </c>
      <c r="FG117" s="47" t="n"/>
      <c r="FH117" s="47" t="n"/>
      <c r="FI117" s="47" t="inlineStr">
        <is>
          <t>P</t>
        </is>
      </c>
      <c r="FJ117" s="47" t="inlineStr">
        <is>
          <t>P</t>
        </is>
      </c>
      <c r="FK117" s="47" t="n"/>
      <c r="FL117" s="47" t="n"/>
      <c r="FM117" s="47" t="n"/>
      <c r="FN117" s="47" t="n"/>
      <c r="FO117" s="47" t="n"/>
      <c r="FP117" s="47" t="n"/>
      <c r="FQ117" s="47" t="n"/>
      <c r="FR117" s="47" t="inlineStr">
        <is>
          <t>P</t>
        </is>
      </c>
      <c r="FS117" s="47" t="n"/>
      <c r="FT117" s="47" t="n"/>
      <c r="FU117" s="47" t="n"/>
      <c r="FV117" s="47" t="n"/>
      <c r="FW117" s="47" t="n"/>
      <c r="FX117" s="47" t="n"/>
      <c r="FY117" s="47" t="inlineStr">
        <is>
          <t>P</t>
        </is>
      </c>
      <c r="FZ117" s="47" t="inlineStr">
        <is>
          <t>P</t>
        </is>
      </c>
      <c r="GA117" s="47" t="n"/>
      <c r="GB117" s="47" t="n"/>
      <c r="GC117" s="47" t="n"/>
      <c r="GD117" s="47" t="inlineStr">
        <is>
          <t>A</t>
        </is>
      </c>
      <c r="GE117" s="47" t="n"/>
      <c r="GF117" s="47" t="n"/>
      <c r="GG117" s="47" t="inlineStr">
        <is>
          <t>A</t>
        </is>
      </c>
      <c r="GH117" s="47" t="n"/>
      <c r="GI117" s="47" t="n"/>
    </row>
    <row r="118" ht="14.25" customHeight="1" s="34">
      <c r="A118" s="46" t="n">
        <v>115</v>
      </c>
      <c r="B118" s="46" t="inlineStr">
        <is>
          <t>325106410115</t>
        </is>
      </c>
      <c r="C118" s="46" t="inlineStr">
        <is>
          <t>WANTOK AMAKOU WANTOK AKHOL</t>
        </is>
      </c>
      <c r="D118" s="47" t="inlineStr">
        <is>
          <t>A</t>
        </is>
      </c>
      <c r="E118" s="47" t="n"/>
      <c r="F118" s="47" t="n"/>
      <c r="G118" s="47" t="n"/>
      <c r="H118" s="47" t="n"/>
      <c r="I118" s="47" t="inlineStr">
        <is>
          <t>P</t>
        </is>
      </c>
      <c r="J118" s="47" t="n"/>
      <c r="K118" s="47" t="n"/>
      <c r="L118" s="47" t="inlineStr">
        <is>
          <t>P</t>
        </is>
      </c>
      <c r="M118" s="47" t="n"/>
      <c r="N118" s="47" t="n"/>
      <c r="O118" s="47" t="n"/>
      <c r="P118" s="47" t="inlineStr">
        <is>
          <t>A</t>
        </is>
      </c>
      <c r="Q118" s="47" t="inlineStr">
        <is>
          <t>A</t>
        </is>
      </c>
      <c r="R118" s="47" t="n"/>
      <c r="S118" s="47" t="n"/>
      <c r="T118" s="47" t="inlineStr">
        <is>
          <t>A</t>
        </is>
      </c>
      <c r="U118" s="47" t="n"/>
      <c r="V118" s="47" t="n"/>
      <c r="W118" s="47" t="n"/>
      <c r="X118" s="47" t="n"/>
      <c r="Y118" s="47" t="n"/>
      <c r="Z118" s="47" t="n"/>
      <c r="AA118" s="47" t="n"/>
      <c r="AB118" s="47" t="n"/>
      <c r="AC118" s="47" t="inlineStr">
        <is>
          <t>P</t>
        </is>
      </c>
      <c r="AD118" s="47" t="n"/>
      <c r="AE118" s="47" t="n"/>
      <c r="AF118" s="47" t="inlineStr">
        <is>
          <t>A</t>
        </is>
      </c>
      <c r="AG118" s="47" t="n"/>
      <c r="AH118" s="47" t="n"/>
      <c r="AI118" s="47" t="n"/>
      <c r="AJ118" s="47" t="inlineStr">
        <is>
          <t>P</t>
        </is>
      </c>
      <c r="AK118" s="47" t="inlineStr">
        <is>
          <t>P</t>
        </is>
      </c>
      <c r="AL118" s="47" t="n"/>
      <c r="AM118" s="47" t="n"/>
      <c r="AN118" s="47" t="inlineStr">
        <is>
          <t>P</t>
        </is>
      </c>
      <c r="AO118" s="47" t="n"/>
      <c r="AP118" s="47" t="n"/>
      <c r="AQ118" s="47" t="n"/>
      <c r="AR118" s="47" t="inlineStr">
        <is>
          <t>P</t>
        </is>
      </c>
      <c r="AS118" s="47" t="n"/>
      <c r="AT118" s="47" t="n"/>
      <c r="AU118" s="47" t="n"/>
      <c r="AV118" s="47" t="n"/>
      <c r="AW118" s="47" t="inlineStr">
        <is>
          <t>P</t>
        </is>
      </c>
      <c r="AX118" s="47" t="n"/>
      <c r="AY118" s="47" t="n"/>
      <c r="AZ118" s="47" t="inlineStr">
        <is>
          <t>A</t>
        </is>
      </c>
      <c r="BA118" s="47" t="inlineStr">
        <is>
          <t>A</t>
        </is>
      </c>
      <c r="BB118" s="47" t="n"/>
      <c r="BC118" s="47" t="n"/>
      <c r="BD118" s="47" t="inlineStr">
        <is>
          <t>P</t>
        </is>
      </c>
      <c r="BE118" s="47" t="inlineStr">
        <is>
          <t>P</t>
        </is>
      </c>
      <c r="BF118" s="47" t="n"/>
      <c r="BG118" s="47" t="n"/>
      <c r="BH118" s="47" t="inlineStr">
        <is>
          <t>P</t>
        </is>
      </c>
      <c r="BI118" s="47" t="inlineStr">
        <is>
          <t>P</t>
        </is>
      </c>
      <c r="BJ118" s="47" t="n"/>
      <c r="BK118" s="47" t="n"/>
      <c r="BL118" s="47" t="n"/>
      <c r="BM118" s="47" t="n"/>
      <c r="BN118" s="47" t="n"/>
      <c r="BO118" s="47" t="n"/>
      <c r="BP118" s="47" t="n"/>
      <c r="BQ118" s="47" t="inlineStr">
        <is>
          <t>P</t>
        </is>
      </c>
      <c r="BR118" s="47" t="n"/>
      <c r="BS118" s="47" t="n"/>
      <c r="BT118" s="47" t="inlineStr">
        <is>
          <t>P</t>
        </is>
      </c>
      <c r="BU118" s="47" t="inlineStr">
        <is>
          <t>P</t>
        </is>
      </c>
      <c r="BV118" s="47" t="n"/>
      <c r="BW118" s="47" t="n"/>
      <c r="BX118" s="47" t="inlineStr">
        <is>
          <t>P</t>
        </is>
      </c>
      <c r="BY118" s="47" t="inlineStr">
        <is>
          <t>P</t>
        </is>
      </c>
      <c r="BZ118" s="47" t="n"/>
      <c r="CA118" s="47" t="n"/>
      <c r="CB118" s="47" t="inlineStr">
        <is>
          <t>P</t>
        </is>
      </c>
      <c r="CC118" s="47" t="n"/>
      <c r="CD118" s="47" t="n"/>
      <c r="CE118" s="47" t="n"/>
      <c r="CF118" s="47" t="inlineStr">
        <is>
          <t>P</t>
        </is>
      </c>
      <c r="CG118" s="47" t="n"/>
      <c r="CH118" s="47" t="n"/>
      <c r="CI118" s="47" t="n"/>
      <c r="CJ118" s="47" t="n"/>
      <c r="CK118" s="47" t="n"/>
      <c r="CL118" s="47" t="n"/>
      <c r="CM118" s="47" t="n"/>
      <c r="CN118" s="47" t="inlineStr">
        <is>
          <t>P</t>
        </is>
      </c>
      <c r="CO118" s="47" t="n"/>
      <c r="CP118" s="47" t="n"/>
      <c r="CQ118" s="47" t="inlineStr">
        <is>
          <t>P</t>
        </is>
      </c>
      <c r="CR118" s="47" t="inlineStr">
        <is>
          <t>P</t>
        </is>
      </c>
      <c r="CS118" s="47" t="n"/>
      <c r="CT118" s="47" t="n"/>
      <c r="CU118" s="47" t="inlineStr">
        <is>
          <t>P</t>
        </is>
      </c>
      <c r="CV118" s="47" t="inlineStr">
        <is>
          <t>P</t>
        </is>
      </c>
      <c r="CW118" s="47" t="n"/>
      <c r="CX118" s="47" t="n"/>
      <c r="CY118" s="47" t="n"/>
      <c r="CZ118" s="47" t="inlineStr">
        <is>
          <t>P</t>
        </is>
      </c>
      <c r="DA118" s="47" t="n"/>
      <c r="DB118" s="47" t="n"/>
      <c r="DC118" s="47" t="inlineStr">
        <is>
          <t>P</t>
        </is>
      </c>
      <c r="DD118" s="47" t="n"/>
      <c r="DE118" s="47" t="n"/>
      <c r="DF118" s="47" t="n"/>
      <c r="DG118" s="47" t="n"/>
      <c r="DH118" s="47" t="n"/>
      <c r="DI118" s="47" t="n"/>
      <c r="DJ118" s="47" t="n"/>
      <c r="DK118" s="47" t="inlineStr">
        <is>
          <t>P</t>
        </is>
      </c>
      <c r="DL118" s="47" t="n"/>
      <c r="DM118" s="47" t="n"/>
      <c r="DN118" s="47" t="inlineStr">
        <is>
          <t>P</t>
        </is>
      </c>
      <c r="DO118" s="47" t="inlineStr">
        <is>
          <t>P</t>
        </is>
      </c>
      <c r="DP118" s="47" t="n"/>
      <c r="DQ118" s="47" t="n"/>
      <c r="DR118" s="47" t="inlineStr">
        <is>
          <t>P</t>
        </is>
      </c>
      <c r="DS118" s="47" t="inlineStr">
        <is>
          <t>P</t>
        </is>
      </c>
      <c r="DT118" s="47" t="n"/>
      <c r="DU118" s="47" t="n"/>
      <c r="DV118" s="47" t="inlineStr">
        <is>
          <t>P</t>
        </is>
      </c>
      <c r="DW118" s="47" t="inlineStr">
        <is>
          <t>P</t>
        </is>
      </c>
      <c r="DX118" s="47" t="n"/>
      <c r="DY118" s="47" t="n"/>
      <c r="DZ118" s="47" t="inlineStr">
        <is>
          <t>A</t>
        </is>
      </c>
      <c r="EA118" s="47" t="n"/>
      <c r="EB118" s="47" t="n"/>
      <c r="EC118" s="47" t="n"/>
      <c r="ED118" s="47" t="n"/>
      <c r="EE118" s="47" t="n"/>
      <c r="EF118" s="47" t="n"/>
      <c r="EG118" s="47" t="n"/>
      <c r="EH118" s="47" t="inlineStr">
        <is>
          <t>P</t>
        </is>
      </c>
      <c r="EI118" s="47" t="n"/>
      <c r="EJ118" s="47" t="n"/>
      <c r="EK118" s="47" t="inlineStr">
        <is>
          <t>P</t>
        </is>
      </c>
      <c r="EL118" s="47" t="inlineStr">
        <is>
          <t>P</t>
        </is>
      </c>
      <c r="EM118" s="47" t="n"/>
      <c r="EN118" s="47" t="n"/>
      <c r="EO118" s="47" t="inlineStr">
        <is>
          <t>P</t>
        </is>
      </c>
      <c r="EP118" s="47" t="inlineStr">
        <is>
          <t>P</t>
        </is>
      </c>
      <c r="EQ118" s="47" t="n"/>
      <c r="ER118" s="47" t="n"/>
      <c r="ES118" s="47" t="inlineStr">
        <is>
          <t>P</t>
        </is>
      </c>
      <c r="ET118" s="47" t="inlineStr">
        <is>
          <t>P</t>
        </is>
      </c>
      <c r="EU118" s="47" t="n"/>
      <c r="EV118" s="47" t="n"/>
      <c r="EW118" s="47" t="n"/>
      <c r="EX118" s="47" t="n"/>
      <c r="EY118" s="47" t="n"/>
      <c r="EZ118" s="47" t="n"/>
      <c r="FA118" s="47" t="n"/>
      <c r="FB118" s="47" t="inlineStr">
        <is>
          <t>A</t>
        </is>
      </c>
      <c r="FC118" s="47" t="n"/>
      <c r="FD118" s="47" t="n"/>
      <c r="FE118" s="47" t="inlineStr">
        <is>
          <t>P</t>
        </is>
      </c>
      <c r="FF118" s="47" t="inlineStr">
        <is>
          <t>P</t>
        </is>
      </c>
      <c r="FG118" s="47" t="n"/>
      <c r="FH118" s="47" t="n"/>
      <c r="FI118" s="47" t="inlineStr">
        <is>
          <t>P</t>
        </is>
      </c>
      <c r="FJ118" s="47" t="inlineStr">
        <is>
          <t>P</t>
        </is>
      </c>
      <c r="FK118" s="47" t="n"/>
      <c r="FL118" s="47" t="n"/>
      <c r="FM118" s="47" t="n"/>
      <c r="FN118" s="47" t="n"/>
      <c r="FO118" s="47" t="n"/>
      <c r="FP118" s="47" t="n"/>
      <c r="FQ118" s="47" t="n"/>
      <c r="FR118" s="47" t="inlineStr">
        <is>
          <t>P</t>
        </is>
      </c>
      <c r="FS118" s="47" t="n"/>
      <c r="FT118" s="47" t="n"/>
      <c r="FU118" s="47" t="n"/>
      <c r="FV118" s="47" t="n"/>
      <c r="FW118" s="47" t="n"/>
      <c r="FX118" s="47" t="n"/>
      <c r="FY118" s="47" t="inlineStr">
        <is>
          <t>A</t>
        </is>
      </c>
      <c r="FZ118" s="47" t="inlineStr">
        <is>
          <t>A</t>
        </is>
      </c>
      <c r="GA118" s="47" t="n"/>
      <c r="GB118" s="47" t="n"/>
      <c r="GC118" s="47" t="n"/>
      <c r="GD118" s="47" t="inlineStr">
        <is>
          <t>P</t>
        </is>
      </c>
      <c r="GE118" s="47" t="n"/>
      <c r="GF118" s="47" t="n"/>
      <c r="GG118" s="47" t="inlineStr">
        <is>
          <t>P</t>
        </is>
      </c>
      <c r="GH118" s="47" t="n"/>
      <c r="GI118" s="47" t="n"/>
    </row>
    <row r="119" ht="14.25" customHeight="1" s="34">
      <c r="A119" s="46" t="n">
        <v>116</v>
      </c>
      <c r="B119" s="46" t="inlineStr">
        <is>
          <t>325106410116</t>
        </is>
      </c>
      <c r="C119" s="46" t="inlineStr">
        <is>
          <t>WEESLEY ROLL MUNGOI</t>
        </is>
      </c>
      <c r="D119" s="47" t="inlineStr">
        <is>
          <t>A</t>
        </is>
      </c>
      <c r="E119" s="47" t="n"/>
      <c r="F119" s="47" t="n"/>
      <c r="G119" s="47" t="n"/>
      <c r="H119" s="47" t="n"/>
      <c r="I119" s="47" t="inlineStr">
        <is>
          <t>A</t>
        </is>
      </c>
      <c r="J119" s="47" t="n"/>
      <c r="K119" s="47" t="n"/>
      <c r="L119" s="47" t="inlineStr">
        <is>
          <t>P</t>
        </is>
      </c>
      <c r="M119" s="47" t="n"/>
      <c r="N119" s="47" t="n"/>
      <c r="O119" s="47" t="n"/>
      <c r="P119" s="47" t="inlineStr">
        <is>
          <t>A</t>
        </is>
      </c>
      <c r="Q119" s="47" t="inlineStr">
        <is>
          <t>A</t>
        </is>
      </c>
      <c r="R119" s="47" t="n"/>
      <c r="S119" s="47" t="n"/>
      <c r="T119" s="47" t="inlineStr">
        <is>
          <t>A</t>
        </is>
      </c>
      <c r="U119" s="47" t="n"/>
      <c r="V119" s="47" t="n"/>
      <c r="W119" s="47" t="n"/>
      <c r="X119" s="47" t="n"/>
      <c r="Y119" s="47" t="n"/>
      <c r="Z119" s="47" t="n"/>
      <c r="AA119" s="47" t="n"/>
      <c r="AB119" s="47" t="n"/>
      <c r="AC119" s="47" t="inlineStr">
        <is>
          <t>A</t>
        </is>
      </c>
      <c r="AD119" s="47" t="n"/>
      <c r="AE119" s="47" t="n"/>
      <c r="AF119" s="47" t="inlineStr">
        <is>
          <t>A</t>
        </is>
      </c>
      <c r="AG119" s="47" t="n"/>
      <c r="AH119" s="47" t="n"/>
      <c r="AI119" s="47" t="n"/>
      <c r="AJ119" s="47" t="inlineStr">
        <is>
          <t>P</t>
        </is>
      </c>
      <c r="AK119" s="47" t="inlineStr">
        <is>
          <t>P</t>
        </is>
      </c>
      <c r="AL119" s="47" t="n"/>
      <c r="AM119" s="47" t="n"/>
      <c r="AN119" s="47" t="inlineStr">
        <is>
          <t>P</t>
        </is>
      </c>
      <c r="AO119" s="47" t="n"/>
      <c r="AP119" s="47" t="n"/>
      <c r="AQ119" s="47" t="n"/>
      <c r="AR119" s="47" t="inlineStr">
        <is>
          <t>P</t>
        </is>
      </c>
      <c r="AS119" s="47" t="n"/>
      <c r="AT119" s="47" t="n"/>
      <c r="AU119" s="47" t="n"/>
      <c r="AV119" s="47" t="n"/>
      <c r="AW119" s="47" t="inlineStr">
        <is>
          <t>A</t>
        </is>
      </c>
      <c r="AX119" s="47" t="n"/>
      <c r="AY119" s="47" t="n"/>
      <c r="AZ119" s="47" t="inlineStr">
        <is>
          <t>P</t>
        </is>
      </c>
      <c r="BA119" s="47" t="inlineStr">
        <is>
          <t>P</t>
        </is>
      </c>
      <c r="BB119" s="47" t="n"/>
      <c r="BC119" s="47" t="n"/>
      <c r="BD119" s="47" t="inlineStr">
        <is>
          <t>P</t>
        </is>
      </c>
      <c r="BE119" s="47" t="inlineStr">
        <is>
          <t>P</t>
        </is>
      </c>
      <c r="BF119" s="47" t="n"/>
      <c r="BG119" s="47" t="n"/>
      <c r="BH119" s="47" t="inlineStr">
        <is>
          <t>A</t>
        </is>
      </c>
      <c r="BI119" s="47" t="inlineStr">
        <is>
          <t>A</t>
        </is>
      </c>
      <c r="BJ119" s="47" t="n"/>
      <c r="BK119" s="47" t="n"/>
      <c r="BL119" s="47" t="n"/>
      <c r="BM119" s="47" t="n"/>
      <c r="BN119" s="47" t="n"/>
      <c r="BO119" s="47" t="n"/>
      <c r="BP119" s="47" t="n"/>
      <c r="BQ119" s="47" t="inlineStr">
        <is>
          <t>A</t>
        </is>
      </c>
      <c r="BR119" s="47" t="n"/>
      <c r="BS119" s="47" t="n"/>
      <c r="BT119" s="47" t="inlineStr">
        <is>
          <t>P</t>
        </is>
      </c>
      <c r="BU119" s="47" t="inlineStr">
        <is>
          <t>P</t>
        </is>
      </c>
      <c r="BV119" s="47" t="n"/>
      <c r="BW119" s="47" t="n"/>
      <c r="BX119" s="47" t="inlineStr">
        <is>
          <t>A</t>
        </is>
      </c>
      <c r="BY119" s="47" t="inlineStr">
        <is>
          <t>A</t>
        </is>
      </c>
      <c r="BZ119" s="47" t="n"/>
      <c r="CA119" s="47" t="n"/>
      <c r="CB119" s="47" t="inlineStr">
        <is>
          <t>P</t>
        </is>
      </c>
      <c r="CC119" s="47" t="n"/>
      <c r="CD119" s="47" t="n"/>
      <c r="CE119" s="47" t="n"/>
      <c r="CF119" s="47" t="inlineStr">
        <is>
          <t>A</t>
        </is>
      </c>
      <c r="CG119" s="47" t="n"/>
      <c r="CH119" s="47" t="n"/>
      <c r="CI119" s="47" t="n"/>
      <c r="CJ119" s="47" t="n"/>
      <c r="CK119" s="47" t="n"/>
      <c r="CL119" s="47" t="n"/>
      <c r="CM119" s="47" t="n"/>
      <c r="CN119" s="47" t="inlineStr">
        <is>
          <t>A</t>
        </is>
      </c>
      <c r="CO119" s="47" t="n"/>
      <c r="CP119" s="47" t="n"/>
      <c r="CQ119" s="47" t="inlineStr">
        <is>
          <t>A</t>
        </is>
      </c>
      <c r="CR119" s="47" t="inlineStr">
        <is>
          <t>P</t>
        </is>
      </c>
      <c r="CS119" s="47" t="n"/>
      <c r="CT119" s="47" t="n"/>
      <c r="CU119" s="47" t="inlineStr">
        <is>
          <t>P</t>
        </is>
      </c>
      <c r="CV119" s="47" t="inlineStr">
        <is>
          <t>P</t>
        </is>
      </c>
      <c r="CW119" s="47" t="n"/>
      <c r="CX119" s="47" t="n"/>
      <c r="CY119" s="47" t="n"/>
      <c r="CZ119" s="47" t="inlineStr">
        <is>
          <t>A</t>
        </is>
      </c>
      <c r="DA119" s="47" t="n"/>
      <c r="DB119" s="47" t="n"/>
      <c r="DC119" s="47" t="inlineStr">
        <is>
          <t>P</t>
        </is>
      </c>
      <c r="DD119" s="47" t="n"/>
      <c r="DE119" s="47" t="n"/>
      <c r="DF119" s="47" t="n"/>
      <c r="DG119" s="47" t="n"/>
      <c r="DH119" s="47" t="n"/>
      <c r="DI119" s="47" t="n"/>
      <c r="DJ119" s="47" t="n"/>
      <c r="DK119" s="47" t="inlineStr">
        <is>
          <t>P</t>
        </is>
      </c>
      <c r="DL119" s="47" t="n"/>
      <c r="DM119" s="47" t="n"/>
      <c r="DN119" s="47" t="inlineStr">
        <is>
          <t>A</t>
        </is>
      </c>
      <c r="DO119" s="47" t="inlineStr">
        <is>
          <t>A</t>
        </is>
      </c>
      <c r="DP119" s="47" t="n"/>
      <c r="DQ119" s="47" t="n"/>
      <c r="DR119" s="47" t="inlineStr">
        <is>
          <t>P</t>
        </is>
      </c>
      <c r="DS119" s="47" t="inlineStr">
        <is>
          <t>P</t>
        </is>
      </c>
      <c r="DT119" s="47" t="n"/>
      <c r="DU119" s="47" t="n"/>
      <c r="DV119" s="47" t="inlineStr">
        <is>
          <t>P</t>
        </is>
      </c>
      <c r="DW119" s="47" t="inlineStr">
        <is>
          <t>P</t>
        </is>
      </c>
      <c r="DX119" s="47" t="n"/>
      <c r="DY119" s="47" t="n"/>
      <c r="DZ119" s="47" t="inlineStr">
        <is>
          <t>P</t>
        </is>
      </c>
      <c r="EA119" s="47" t="n"/>
      <c r="EB119" s="47" t="n"/>
      <c r="EC119" s="47" t="n"/>
      <c r="ED119" s="47" t="n"/>
      <c r="EE119" s="47" t="n"/>
      <c r="EF119" s="47" t="n"/>
      <c r="EG119" s="47" t="n"/>
      <c r="EH119" s="47" t="inlineStr">
        <is>
          <t>P</t>
        </is>
      </c>
      <c r="EI119" s="47" t="n"/>
      <c r="EJ119" s="47" t="n"/>
      <c r="EK119" s="47" t="inlineStr">
        <is>
          <t>P</t>
        </is>
      </c>
      <c r="EL119" s="47" t="inlineStr">
        <is>
          <t>P</t>
        </is>
      </c>
      <c r="EM119" s="47" t="n"/>
      <c r="EN119" s="47" t="n"/>
      <c r="EO119" s="47" t="inlineStr">
        <is>
          <t>P</t>
        </is>
      </c>
      <c r="EP119" s="47" t="inlineStr">
        <is>
          <t>A</t>
        </is>
      </c>
      <c r="EQ119" s="47" t="n"/>
      <c r="ER119" s="47" t="n"/>
      <c r="ES119" s="47" t="inlineStr">
        <is>
          <t>P</t>
        </is>
      </c>
      <c r="ET119" s="47" t="inlineStr">
        <is>
          <t>P</t>
        </is>
      </c>
      <c r="EU119" s="47" t="n"/>
      <c r="EV119" s="47" t="n"/>
      <c r="EW119" s="47" t="n"/>
      <c r="EX119" s="47" t="n"/>
      <c r="EY119" s="47" t="n"/>
      <c r="EZ119" s="47" t="n"/>
      <c r="FA119" s="47" t="n"/>
      <c r="FB119" s="47" t="inlineStr">
        <is>
          <t>P</t>
        </is>
      </c>
      <c r="FC119" s="47" t="n"/>
      <c r="FD119" s="47" t="n"/>
      <c r="FE119" s="47" t="inlineStr">
        <is>
          <t>P</t>
        </is>
      </c>
      <c r="FF119" s="47" t="inlineStr">
        <is>
          <t>P</t>
        </is>
      </c>
      <c r="FG119" s="47" t="n"/>
      <c r="FH119" s="47" t="n"/>
      <c r="FI119" s="47" t="inlineStr">
        <is>
          <t>P</t>
        </is>
      </c>
      <c r="FJ119" s="47" t="inlineStr">
        <is>
          <t>P</t>
        </is>
      </c>
      <c r="FK119" s="47" t="n"/>
      <c r="FL119" s="47" t="n"/>
      <c r="FM119" s="47" t="n"/>
      <c r="FN119" s="47" t="n"/>
      <c r="FO119" s="47" t="n"/>
      <c r="FP119" s="47" t="n"/>
      <c r="FQ119" s="47" t="n"/>
      <c r="FR119" s="47" t="inlineStr">
        <is>
          <t>P</t>
        </is>
      </c>
      <c r="FS119" s="47" t="n"/>
      <c r="FT119" s="47" t="n"/>
      <c r="FU119" s="47" t="n"/>
      <c r="FV119" s="47" t="n"/>
      <c r="FW119" s="47" t="n"/>
      <c r="FX119" s="47" t="n"/>
      <c r="FY119" s="47" t="inlineStr">
        <is>
          <t>P</t>
        </is>
      </c>
      <c r="FZ119" s="47" t="inlineStr">
        <is>
          <t>P</t>
        </is>
      </c>
      <c r="GA119" s="47" t="n"/>
      <c r="GB119" s="47" t="n"/>
      <c r="GC119" s="47" t="n"/>
      <c r="GD119" s="47" t="inlineStr">
        <is>
          <t>A</t>
        </is>
      </c>
      <c r="GE119" s="47" t="n"/>
      <c r="GF119" s="47" t="n"/>
      <c r="GG119" s="47" t="inlineStr">
        <is>
          <t>P</t>
        </is>
      </c>
      <c r="GH119" s="47" t="n"/>
      <c r="GI119" s="47" t="n"/>
    </row>
    <row r="120" ht="14.25" customHeight="1" s="34">
      <c r="A120" s="46" t="n">
        <v>117</v>
      </c>
      <c r="B120" s="46" t="inlineStr">
        <is>
          <t>325106410117</t>
        </is>
      </c>
      <c r="C120" s="46" t="inlineStr">
        <is>
          <t>YAZID RABIU</t>
        </is>
      </c>
      <c r="D120" s="47" t="inlineStr">
        <is>
          <t>A</t>
        </is>
      </c>
      <c r="E120" s="47" t="n"/>
      <c r="F120" s="47" t="n"/>
      <c r="G120" s="47" t="n"/>
      <c r="H120" s="47" t="n"/>
      <c r="I120" s="47" t="inlineStr">
        <is>
          <t>A</t>
        </is>
      </c>
      <c r="J120" s="47" t="n"/>
      <c r="K120" s="47" t="n"/>
      <c r="L120" s="47" t="inlineStr">
        <is>
          <t>A</t>
        </is>
      </c>
      <c r="M120" s="47" t="n"/>
      <c r="N120" s="47" t="n"/>
      <c r="O120" s="47" t="n"/>
      <c r="P120" s="47" t="inlineStr">
        <is>
          <t>A</t>
        </is>
      </c>
      <c r="Q120" s="47" t="inlineStr">
        <is>
          <t>A</t>
        </is>
      </c>
      <c r="R120" s="47" t="n"/>
      <c r="S120" s="47" t="n"/>
      <c r="T120" s="47" t="inlineStr">
        <is>
          <t>A</t>
        </is>
      </c>
      <c r="U120" s="47" t="n"/>
      <c r="V120" s="47" t="n"/>
      <c r="W120" s="47" t="n"/>
      <c r="X120" s="47" t="n"/>
      <c r="Y120" s="47" t="n"/>
      <c r="Z120" s="47" t="n"/>
      <c r="AA120" s="47" t="n"/>
      <c r="AB120" s="47" t="n"/>
      <c r="AC120" s="47" t="inlineStr">
        <is>
          <t>A</t>
        </is>
      </c>
      <c r="AD120" s="47" t="n"/>
      <c r="AE120" s="47" t="n"/>
      <c r="AF120" s="47" t="inlineStr">
        <is>
          <t>A</t>
        </is>
      </c>
      <c r="AG120" s="47" t="n"/>
      <c r="AH120" s="47" t="n"/>
      <c r="AI120" s="47" t="n"/>
      <c r="AJ120" s="47" t="inlineStr">
        <is>
          <t>A</t>
        </is>
      </c>
      <c r="AK120" s="47" t="inlineStr">
        <is>
          <t>A</t>
        </is>
      </c>
      <c r="AL120" s="47" t="n"/>
      <c r="AM120" s="47" t="n"/>
      <c r="AN120" s="47" t="inlineStr">
        <is>
          <t>A</t>
        </is>
      </c>
      <c r="AO120" s="47" t="n"/>
      <c r="AP120" s="47" t="n"/>
      <c r="AQ120" s="47" t="n"/>
      <c r="AR120" s="47" t="inlineStr">
        <is>
          <t>A</t>
        </is>
      </c>
      <c r="AS120" s="47" t="n"/>
      <c r="AT120" s="47" t="n"/>
      <c r="AU120" s="47" t="n"/>
      <c r="AV120" s="47" t="n"/>
      <c r="AW120" s="47" t="inlineStr">
        <is>
          <t>A</t>
        </is>
      </c>
      <c r="AX120" s="47" t="n"/>
      <c r="AY120" s="47" t="n"/>
      <c r="AZ120" s="47" t="inlineStr">
        <is>
          <t>A</t>
        </is>
      </c>
      <c r="BA120" s="47" t="inlineStr">
        <is>
          <t>A</t>
        </is>
      </c>
      <c r="BB120" s="47" t="n"/>
      <c r="BC120" s="47" t="n"/>
      <c r="BD120" s="47" t="inlineStr">
        <is>
          <t>P</t>
        </is>
      </c>
      <c r="BE120" s="47" t="inlineStr">
        <is>
          <t>A</t>
        </is>
      </c>
      <c r="BF120" s="47" t="n"/>
      <c r="BG120" s="47" t="n"/>
      <c r="BH120" s="47" t="inlineStr">
        <is>
          <t>A</t>
        </is>
      </c>
      <c r="BI120" s="47" t="inlineStr">
        <is>
          <t>A</t>
        </is>
      </c>
      <c r="BJ120" s="47" t="n"/>
      <c r="BK120" s="47" t="n"/>
      <c r="BL120" s="47" t="n"/>
      <c r="BM120" s="47" t="n"/>
      <c r="BN120" s="47" t="n"/>
      <c r="BO120" s="47" t="n"/>
      <c r="BP120" s="47" t="n"/>
      <c r="BQ120" s="47" t="inlineStr">
        <is>
          <t>P</t>
        </is>
      </c>
      <c r="BR120" s="47" t="n"/>
      <c r="BS120" s="47" t="n"/>
      <c r="BT120" s="47" t="inlineStr">
        <is>
          <t>P</t>
        </is>
      </c>
      <c r="BU120" s="47" t="inlineStr">
        <is>
          <t>P</t>
        </is>
      </c>
      <c r="BV120" s="47" t="n"/>
      <c r="BW120" s="47" t="n"/>
      <c r="BX120" s="47" t="inlineStr">
        <is>
          <t>P</t>
        </is>
      </c>
      <c r="BY120" s="47" t="inlineStr">
        <is>
          <t>P</t>
        </is>
      </c>
      <c r="BZ120" s="47" t="n"/>
      <c r="CA120" s="47" t="n"/>
      <c r="CB120" s="47" t="inlineStr">
        <is>
          <t>P</t>
        </is>
      </c>
      <c r="CC120" s="47" t="n"/>
      <c r="CD120" s="47" t="n"/>
      <c r="CE120" s="47" t="n"/>
      <c r="CF120" s="47" t="inlineStr">
        <is>
          <t>A</t>
        </is>
      </c>
      <c r="CG120" s="47" t="n"/>
      <c r="CH120" s="47" t="n"/>
      <c r="CI120" s="47" t="n"/>
      <c r="CJ120" s="47" t="n"/>
      <c r="CK120" s="47" t="n"/>
      <c r="CL120" s="47" t="n"/>
      <c r="CM120" s="47" t="n"/>
      <c r="CN120" s="47" t="inlineStr">
        <is>
          <t>P</t>
        </is>
      </c>
      <c r="CO120" s="47" t="n"/>
      <c r="CP120" s="47" t="n"/>
      <c r="CQ120" s="47" t="inlineStr">
        <is>
          <t>P</t>
        </is>
      </c>
      <c r="CR120" s="47" t="inlineStr">
        <is>
          <t>P</t>
        </is>
      </c>
      <c r="CS120" s="47" t="n"/>
      <c r="CT120" s="47" t="n"/>
      <c r="CU120" s="47" t="inlineStr">
        <is>
          <t>A</t>
        </is>
      </c>
      <c r="CV120" s="47" t="inlineStr">
        <is>
          <t>P</t>
        </is>
      </c>
      <c r="CW120" s="47" t="n"/>
      <c r="CX120" s="47" t="n"/>
      <c r="CY120" s="47" t="n"/>
      <c r="CZ120" s="47" t="inlineStr">
        <is>
          <t>A</t>
        </is>
      </c>
      <c r="DA120" s="47" t="n"/>
      <c r="DB120" s="47" t="n"/>
      <c r="DC120" s="47" t="inlineStr">
        <is>
          <t>P</t>
        </is>
      </c>
      <c r="DD120" s="47" t="n"/>
      <c r="DE120" s="47" t="n"/>
      <c r="DF120" s="47" t="n"/>
      <c r="DG120" s="47" t="n"/>
      <c r="DH120" s="47" t="n"/>
      <c r="DI120" s="47" t="n"/>
      <c r="DJ120" s="47" t="n"/>
      <c r="DK120" s="47" t="inlineStr">
        <is>
          <t>P</t>
        </is>
      </c>
      <c r="DL120" s="47" t="n"/>
      <c r="DM120" s="47" t="n"/>
      <c r="DN120" s="47" t="inlineStr">
        <is>
          <t>A</t>
        </is>
      </c>
      <c r="DO120" s="47" t="inlineStr">
        <is>
          <t>A</t>
        </is>
      </c>
      <c r="DP120" s="47" t="n"/>
      <c r="DQ120" s="47" t="n"/>
      <c r="DR120" s="47" t="inlineStr">
        <is>
          <t>P</t>
        </is>
      </c>
      <c r="DS120" s="47" t="inlineStr">
        <is>
          <t>A</t>
        </is>
      </c>
      <c r="DT120" s="47" t="n"/>
      <c r="DU120" s="47" t="n"/>
      <c r="DV120" s="47" t="inlineStr">
        <is>
          <t>A</t>
        </is>
      </c>
      <c r="DW120" s="47" t="inlineStr">
        <is>
          <t>A</t>
        </is>
      </c>
      <c r="DX120" s="47" t="n"/>
      <c r="DY120" s="47" t="n"/>
      <c r="DZ120" s="47" t="inlineStr">
        <is>
          <t>P</t>
        </is>
      </c>
      <c r="EA120" s="47" t="n"/>
      <c r="EB120" s="47" t="n"/>
      <c r="EC120" s="47" t="n"/>
      <c r="ED120" s="47" t="n"/>
      <c r="EE120" s="47" t="n"/>
      <c r="EF120" s="47" t="n"/>
      <c r="EG120" s="47" t="n"/>
      <c r="EH120" s="47" t="inlineStr">
        <is>
          <t>P</t>
        </is>
      </c>
      <c r="EI120" s="47" t="n"/>
      <c r="EJ120" s="47" t="n"/>
      <c r="EK120" s="47" t="inlineStr">
        <is>
          <t>P</t>
        </is>
      </c>
      <c r="EL120" s="47" t="inlineStr">
        <is>
          <t>P</t>
        </is>
      </c>
      <c r="EM120" s="47" t="n"/>
      <c r="EN120" s="47" t="n"/>
      <c r="EO120" s="47" t="inlineStr">
        <is>
          <t>A</t>
        </is>
      </c>
      <c r="EP120" s="47" t="inlineStr">
        <is>
          <t>P</t>
        </is>
      </c>
      <c r="EQ120" s="47" t="n"/>
      <c r="ER120" s="47" t="n"/>
      <c r="ES120" s="47" t="inlineStr">
        <is>
          <t>P</t>
        </is>
      </c>
      <c r="ET120" s="47" t="inlineStr">
        <is>
          <t>P</t>
        </is>
      </c>
      <c r="EU120" s="47" t="n"/>
      <c r="EV120" s="47" t="n"/>
      <c r="EW120" s="47" t="n"/>
      <c r="EX120" s="47" t="n"/>
      <c r="EY120" s="47" t="n"/>
      <c r="EZ120" s="47" t="n"/>
      <c r="FA120" s="47" t="n"/>
      <c r="FB120" s="47" t="inlineStr">
        <is>
          <t>P</t>
        </is>
      </c>
      <c r="FC120" s="47" t="n"/>
      <c r="FD120" s="47" t="n"/>
      <c r="FE120" s="47" t="inlineStr">
        <is>
          <t>P</t>
        </is>
      </c>
      <c r="FF120" s="47" t="inlineStr">
        <is>
          <t>P</t>
        </is>
      </c>
      <c r="FG120" s="47" t="n"/>
      <c r="FH120" s="47" t="n"/>
      <c r="FI120" s="47" t="inlineStr">
        <is>
          <t>P</t>
        </is>
      </c>
      <c r="FJ120" s="47" t="inlineStr">
        <is>
          <t>P</t>
        </is>
      </c>
      <c r="FK120" s="47" t="n"/>
      <c r="FL120" s="47" t="n"/>
      <c r="FM120" s="47" t="n"/>
      <c r="FN120" s="47" t="n"/>
      <c r="FO120" s="47" t="n"/>
      <c r="FP120" s="47" t="n"/>
      <c r="FQ120" s="47" t="n"/>
      <c r="FR120" s="47" t="inlineStr">
        <is>
          <t>P</t>
        </is>
      </c>
      <c r="FS120" s="47" t="n"/>
      <c r="FT120" s="47" t="n"/>
      <c r="FU120" s="47" t="n"/>
      <c r="FV120" s="47" t="n"/>
      <c r="FW120" s="47" t="n"/>
      <c r="FX120" s="47" t="n"/>
      <c r="FY120" s="47" t="inlineStr">
        <is>
          <t>A</t>
        </is>
      </c>
      <c r="FZ120" s="47" t="inlineStr">
        <is>
          <t>A</t>
        </is>
      </c>
      <c r="GA120" s="47" t="n"/>
      <c r="GB120" s="47" t="n"/>
      <c r="GC120" s="47" t="n"/>
      <c r="GD120" s="47" t="inlineStr">
        <is>
          <t>A</t>
        </is>
      </c>
      <c r="GE120" s="47" t="n"/>
      <c r="GF120" s="47" t="n"/>
      <c r="GG120" s="47" t="inlineStr">
        <is>
          <t>A</t>
        </is>
      </c>
      <c r="GH120" s="47" t="n"/>
      <c r="GI120" s="47" t="n"/>
    </row>
    <row r="121" ht="14.25" customHeight="1" s="34">
      <c r="A121" s="46" t="n">
        <v>118</v>
      </c>
      <c r="B121" s="46" t="inlineStr">
        <is>
          <t>325106410118</t>
        </is>
      </c>
      <c r="C121" s="46" t="inlineStr">
        <is>
          <t>BANDARU LAXMANA ROHAN PATRUDU</t>
        </is>
      </c>
      <c r="D121" s="47" t="inlineStr">
        <is>
          <t>A</t>
        </is>
      </c>
      <c r="E121" s="47" t="n"/>
      <c r="F121" s="47" t="n"/>
      <c r="G121" s="47" t="n"/>
      <c r="H121" s="47" t="n"/>
      <c r="I121" s="47" t="inlineStr">
        <is>
          <t>A</t>
        </is>
      </c>
      <c r="J121" s="47" t="n"/>
      <c r="K121" s="47" t="n"/>
      <c r="L121" s="47" t="inlineStr">
        <is>
          <t>P</t>
        </is>
      </c>
      <c r="M121" s="47" t="n"/>
      <c r="N121" s="47" t="n"/>
      <c r="O121" s="47" t="n"/>
      <c r="P121" s="47" t="inlineStr">
        <is>
          <t>A</t>
        </is>
      </c>
      <c r="Q121" s="47" t="inlineStr">
        <is>
          <t>A</t>
        </is>
      </c>
      <c r="R121" s="47" t="n"/>
      <c r="S121" s="47" t="n"/>
      <c r="T121" s="47" t="inlineStr">
        <is>
          <t>P</t>
        </is>
      </c>
      <c r="U121" s="47" t="n"/>
      <c r="V121" s="47" t="n"/>
      <c r="W121" s="47" t="n"/>
      <c r="X121" s="47" t="n"/>
      <c r="Y121" s="47" t="n"/>
      <c r="Z121" s="47" t="n"/>
      <c r="AA121" s="47" t="n"/>
      <c r="AB121" s="47" t="n"/>
      <c r="AC121" s="47" t="inlineStr">
        <is>
          <t>P</t>
        </is>
      </c>
      <c r="AD121" s="47" t="n"/>
      <c r="AE121" s="47" t="n"/>
      <c r="AF121" s="47" t="inlineStr">
        <is>
          <t>P</t>
        </is>
      </c>
      <c r="AG121" s="47" t="n"/>
      <c r="AH121" s="47" t="n"/>
      <c r="AI121" s="47" t="n"/>
      <c r="AJ121" s="47" t="inlineStr">
        <is>
          <t>P</t>
        </is>
      </c>
      <c r="AK121" s="47" t="inlineStr">
        <is>
          <t>P</t>
        </is>
      </c>
      <c r="AL121" s="47" t="n"/>
      <c r="AM121" s="47" t="n"/>
      <c r="AN121" s="47" t="inlineStr">
        <is>
          <t>A</t>
        </is>
      </c>
      <c r="AO121" s="47" t="n"/>
      <c r="AP121" s="47" t="n"/>
      <c r="AQ121" s="47" t="n"/>
      <c r="AR121" s="47" t="inlineStr">
        <is>
          <t>P</t>
        </is>
      </c>
      <c r="AS121" s="47" t="n"/>
      <c r="AT121" s="47" t="n"/>
      <c r="AU121" s="47" t="n"/>
      <c r="AV121" s="47" t="n"/>
      <c r="AW121" s="47" t="inlineStr">
        <is>
          <t>P</t>
        </is>
      </c>
      <c r="AX121" s="47" t="n"/>
      <c r="AY121" s="47" t="n"/>
      <c r="AZ121" s="47" t="inlineStr">
        <is>
          <t>P</t>
        </is>
      </c>
      <c r="BA121" s="47" t="inlineStr">
        <is>
          <t>P</t>
        </is>
      </c>
      <c r="BB121" s="47" t="n"/>
      <c r="BC121" s="47" t="n"/>
      <c r="BD121" s="47" t="inlineStr">
        <is>
          <t>P</t>
        </is>
      </c>
      <c r="BE121" s="47" t="inlineStr">
        <is>
          <t>P</t>
        </is>
      </c>
      <c r="BF121" s="47" t="n"/>
      <c r="BG121" s="47" t="n"/>
      <c r="BH121" s="47" t="inlineStr">
        <is>
          <t>A</t>
        </is>
      </c>
      <c r="BI121" s="47" t="inlineStr">
        <is>
          <t>P</t>
        </is>
      </c>
      <c r="BJ121" s="47" t="n"/>
      <c r="BK121" s="47" t="n"/>
      <c r="BL121" s="47" t="n"/>
      <c r="BM121" s="47" t="n"/>
      <c r="BN121" s="47" t="n"/>
      <c r="BO121" s="47" t="n"/>
      <c r="BP121" s="47" t="n"/>
      <c r="BQ121" s="47" t="inlineStr">
        <is>
          <t>P</t>
        </is>
      </c>
      <c r="BR121" s="47" t="n"/>
      <c r="BS121" s="47" t="n"/>
      <c r="BT121" s="47" t="inlineStr">
        <is>
          <t>P</t>
        </is>
      </c>
      <c r="BU121" s="47" t="inlineStr">
        <is>
          <t>P</t>
        </is>
      </c>
      <c r="BV121" s="47" t="n"/>
      <c r="BW121" s="47" t="n"/>
      <c r="BX121" s="47" t="inlineStr">
        <is>
          <t>P</t>
        </is>
      </c>
      <c r="BY121" s="47" t="inlineStr">
        <is>
          <t>P</t>
        </is>
      </c>
      <c r="BZ121" s="47" t="n"/>
      <c r="CA121" s="47" t="n"/>
      <c r="CB121" s="47" t="inlineStr">
        <is>
          <t>P</t>
        </is>
      </c>
      <c r="CC121" s="47" t="n"/>
      <c r="CD121" s="47" t="n"/>
      <c r="CE121" s="47" t="n"/>
      <c r="CF121" s="47" t="inlineStr">
        <is>
          <t>P</t>
        </is>
      </c>
      <c r="CG121" s="47" t="n"/>
      <c r="CH121" s="47" t="n"/>
      <c r="CI121" s="47" t="n"/>
      <c r="CJ121" s="47" t="n"/>
      <c r="CK121" s="47" t="n"/>
      <c r="CL121" s="47" t="n"/>
      <c r="CM121" s="47" t="n"/>
      <c r="CN121" s="47" t="inlineStr">
        <is>
          <t>P</t>
        </is>
      </c>
      <c r="CO121" s="47" t="n"/>
      <c r="CP121" s="47" t="n"/>
      <c r="CQ121" s="47" t="inlineStr">
        <is>
          <t>P</t>
        </is>
      </c>
      <c r="CR121" s="47" t="inlineStr">
        <is>
          <t>P</t>
        </is>
      </c>
      <c r="CS121" s="47" t="n"/>
      <c r="CT121" s="47" t="n"/>
      <c r="CU121" s="47" t="inlineStr">
        <is>
          <t>P</t>
        </is>
      </c>
      <c r="CV121" s="47" t="inlineStr">
        <is>
          <t>P</t>
        </is>
      </c>
      <c r="CW121" s="47" t="n"/>
      <c r="CX121" s="47" t="n"/>
      <c r="CY121" s="47" t="n"/>
      <c r="CZ121" s="47" t="inlineStr">
        <is>
          <t>P</t>
        </is>
      </c>
      <c r="DA121" s="47" t="n"/>
      <c r="DB121" s="47" t="n"/>
      <c r="DC121" s="47" t="inlineStr">
        <is>
          <t>P</t>
        </is>
      </c>
      <c r="DD121" s="47" t="n"/>
      <c r="DE121" s="47" t="n"/>
      <c r="DF121" s="47" t="n"/>
      <c r="DG121" s="47" t="n"/>
      <c r="DH121" s="47" t="n"/>
      <c r="DI121" s="47" t="n"/>
      <c r="DJ121" s="47" t="n"/>
      <c r="DK121" s="47" t="inlineStr">
        <is>
          <t>P</t>
        </is>
      </c>
      <c r="DL121" s="47" t="n"/>
      <c r="DM121" s="47" t="n"/>
      <c r="DN121" s="47" t="inlineStr">
        <is>
          <t>A</t>
        </is>
      </c>
      <c r="DO121" s="47" t="inlineStr">
        <is>
          <t>A</t>
        </is>
      </c>
      <c r="DP121" s="47" t="n"/>
      <c r="DQ121" s="47" t="n"/>
      <c r="DR121" s="47" t="inlineStr">
        <is>
          <t>P</t>
        </is>
      </c>
      <c r="DS121" s="47" t="inlineStr">
        <is>
          <t>P</t>
        </is>
      </c>
      <c r="DT121" s="47" t="n"/>
      <c r="DU121" s="47" t="n"/>
      <c r="DV121" s="47" t="inlineStr">
        <is>
          <t>P</t>
        </is>
      </c>
      <c r="DW121" s="47" t="inlineStr">
        <is>
          <t>P</t>
        </is>
      </c>
      <c r="DX121" s="47" t="n"/>
      <c r="DY121" s="47" t="n"/>
      <c r="DZ121" s="47" t="inlineStr">
        <is>
          <t>P</t>
        </is>
      </c>
      <c r="EA121" s="47" t="n"/>
      <c r="EB121" s="47" t="n"/>
      <c r="EC121" s="47" t="n"/>
      <c r="ED121" s="47" t="n"/>
      <c r="EE121" s="47" t="n"/>
      <c r="EF121" s="47" t="n"/>
      <c r="EG121" s="47" t="n"/>
      <c r="EH121" s="47" t="inlineStr">
        <is>
          <t>P</t>
        </is>
      </c>
      <c r="EI121" s="47" t="n"/>
      <c r="EJ121" s="47" t="n"/>
      <c r="EK121" s="47" t="inlineStr">
        <is>
          <t>P</t>
        </is>
      </c>
      <c r="EL121" s="47" t="inlineStr">
        <is>
          <t>P</t>
        </is>
      </c>
      <c r="EM121" s="47" t="n"/>
      <c r="EN121" s="47" t="n"/>
      <c r="EO121" s="47" t="inlineStr">
        <is>
          <t>P</t>
        </is>
      </c>
      <c r="EP121" s="47" t="inlineStr">
        <is>
          <t>P</t>
        </is>
      </c>
      <c r="EQ121" s="47" t="n"/>
      <c r="ER121" s="47" t="n"/>
      <c r="ES121" s="47" t="inlineStr">
        <is>
          <t>P</t>
        </is>
      </c>
      <c r="ET121" s="47" t="inlineStr">
        <is>
          <t>P</t>
        </is>
      </c>
      <c r="EU121" s="47" t="n"/>
      <c r="EV121" s="47" t="n"/>
      <c r="EW121" s="47" t="n"/>
      <c r="EX121" s="47" t="n"/>
      <c r="EY121" s="47" t="n"/>
      <c r="EZ121" s="47" t="n"/>
      <c r="FA121" s="47" t="n"/>
      <c r="FB121" s="47" t="inlineStr">
        <is>
          <t>P</t>
        </is>
      </c>
      <c r="FC121" s="47" t="n"/>
      <c r="FD121" s="47" t="n"/>
      <c r="FE121" s="47" t="inlineStr">
        <is>
          <t>P</t>
        </is>
      </c>
      <c r="FF121" s="47" t="inlineStr">
        <is>
          <t>P</t>
        </is>
      </c>
      <c r="FG121" s="47" t="n"/>
      <c r="FH121" s="47" t="n"/>
      <c r="FI121" s="47" t="inlineStr">
        <is>
          <t>P</t>
        </is>
      </c>
      <c r="FJ121" s="47" t="inlineStr">
        <is>
          <t>P</t>
        </is>
      </c>
      <c r="FK121" s="47" t="n"/>
      <c r="FL121" s="47" t="n"/>
      <c r="FM121" s="47" t="n"/>
      <c r="FN121" s="47" t="n"/>
      <c r="FO121" s="47" t="n"/>
      <c r="FP121" s="47" t="n"/>
      <c r="FQ121" s="47" t="n"/>
      <c r="FR121" s="47" t="inlineStr">
        <is>
          <t>P</t>
        </is>
      </c>
      <c r="FS121" s="47" t="n"/>
      <c r="FT121" s="47" t="n"/>
      <c r="FU121" s="47" t="n"/>
      <c r="FV121" s="47" t="n"/>
      <c r="FW121" s="47" t="n"/>
      <c r="FX121" s="47" t="n"/>
      <c r="FY121" s="47" t="inlineStr">
        <is>
          <t>P</t>
        </is>
      </c>
      <c r="FZ121" s="47" t="inlineStr">
        <is>
          <t>P</t>
        </is>
      </c>
      <c r="GA121" s="47" t="n"/>
      <c r="GB121" s="47" t="n"/>
      <c r="GC121" s="47" t="n"/>
      <c r="GD121" s="47" t="inlineStr">
        <is>
          <t>P</t>
        </is>
      </c>
      <c r="GE121" s="47" t="n"/>
      <c r="GF121" s="47" t="n"/>
      <c r="GG121" s="47" t="inlineStr">
        <is>
          <t>P</t>
        </is>
      </c>
      <c r="GH121" s="47" t="n"/>
      <c r="GI121" s="47" t="n"/>
    </row>
    <row r="122" ht="14.25" customHeight="1" s="34">
      <c r="A122" s="46" t="n">
        <v>119</v>
      </c>
      <c r="B122" s="46" t="inlineStr">
        <is>
          <t>325106410119</t>
        </is>
      </c>
      <c r="C122" s="46" t="inlineStr">
        <is>
          <t>BENDURTHI JAYASREE</t>
        </is>
      </c>
      <c r="D122" s="47" t="inlineStr">
        <is>
          <t>P</t>
        </is>
      </c>
      <c r="E122" s="47" t="n"/>
      <c r="F122" s="47" t="n"/>
      <c r="G122" s="47" t="n"/>
      <c r="H122" s="47" t="n"/>
      <c r="I122" s="47" t="inlineStr">
        <is>
          <t>A</t>
        </is>
      </c>
      <c r="J122" s="47" t="n"/>
      <c r="K122" s="47" t="n"/>
      <c r="L122" s="47" t="inlineStr">
        <is>
          <t>P</t>
        </is>
      </c>
      <c r="M122" s="47" t="n"/>
      <c r="N122" s="47" t="n"/>
      <c r="O122" s="47" t="n"/>
      <c r="P122" s="47" t="inlineStr">
        <is>
          <t>P</t>
        </is>
      </c>
      <c r="Q122" s="47" t="inlineStr">
        <is>
          <t>P</t>
        </is>
      </c>
      <c r="R122" s="47" t="n"/>
      <c r="S122" s="47" t="n"/>
      <c r="T122" s="47" t="inlineStr">
        <is>
          <t>A</t>
        </is>
      </c>
      <c r="U122" s="47" t="n"/>
      <c r="V122" s="47" t="n"/>
      <c r="W122" s="47" t="n"/>
      <c r="X122" s="47" t="n"/>
      <c r="Y122" s="47" t="n"/>
      <c r="Z122" s="47" t="n"/>
      <c r="AA122" s="47" t="n"/>
      <c r="AB122" s="47" t="n"/>
      <c r="AC122" s="47" t="inlineStr">
        <is>
          <t>P</t>
        </is>
      </c>
      <c r="AD122" s="47" t="n"/>
      <c r="AE122" s="47" t="n"/>
      <c r="AF122" s="47" t="inlineStr">
        <is>
          <t>A</t>
        </is>
      </c>
      <c r="AG122" s="47" t="n"/>
      <c r="AH122" s="47" t="n"/>
      <c r="AI122" s="47" t="n"/>
      <c r="AJ122" s="47" t="inlineStr">
        <is>
          <t>P</t>
        </is>
      </c>
      <c r="AK122" s="47" t="inlineStr">
        <is>
          <t>P</t>
        </is>
      </c>
      <c r="AL122" s="47" t="n"/>
      <c r="AM122" s="47" t="n"/>
      <c r="AN122" s="47" t="inlineStr">
        <is>
          <t>A</t>
        </is>
      </c>
      <c r="AO122" s="47" t="n"/>
      <c r="AP122" s="47" t="n"/>
      <c r="AQ122" s="47" t="n"/>
      <c r="AR122" s="47" t="inlineStr">
        <is>
          <t>A</t>
        </is>
      </c>
      <c r="AS122" s="47" t="n"/>
      <c r="AT122" s="47" t="n"/>
      <c r="AU122" s="47" t="n"/>
      <c r="AV122" s="47" t="n"/>
      <c r="AW122" s="47" t="inlineStr">
        <is>
          <t>P</t>
        </is>
      </c>
      <c r="AX122" s="47" t="n"/>
      <c r="AY122" s="47" t="n"/>
      <c r="AZ122" s="47" t="inlineStr">
        <is>
          <t>A</t>
        </is>
      </c>
      <c r="BA122" s="47" t="inlineStr">
        <is>
          <t>A</t>
        </is>
      </c>
      <c r="BB122" s="47" t="n"/>
      <c r="BC122" s="47" t="n"/>
      <c r="BD122" s="47" t="inlineStr">
        <is>
          <t>P</t>
        </is>
      </c>
      <c r="BE122" s="47" t="inlineStr">
        <is>
          <t>P</t>
        </is>
      </c>
      <c r="BF122" s="47" t="n"/>
      <c r="BG122" s="47" t="n"/>
      <c r="BH122" s="47" t="inlineStr">
        <is>
          <t>P</t>
        </is>
      </c>
      <c r="BI122" s="47" t="inlineStr">
        <is>
          <t>P</t>
        </is>
      </c>
      <c r="BJ122" s="47" t="n"/>
      <c r="BK122" s="47" t="n"/>
      <c r="BL122" s="47" t="n"/>
      <c r="BM122" s="47" t="n"/>
      <c r="BN122" s="47" t="n"/>
      <c r="BO122" s="47" t="n"/>
      <c r="BP122" s="47" t="n"/>
      <c r="BQ122" s="47" t="inlineStr">
        <is>
          <t>A</t>
        </is>
      </c>
      <c r="BR122" s="47" t="n"/>
      <c r="BS122" s="47" t="n"/>
      <c r="BT122" s="47" t="inlineStr">
        <is>
          <t>A</t>
        </is>
      </c>
      <c r="BU122" s="47" t="inlineStr">
        <is>
          <t>A</t>
        </is>
      </c>
      <c r="BV122" s="47" t="n"/>
      <c r="BW122" s="47" t="n"/>
      <c r="BX122" s="47" t="inlineStr">
        <is>
          <t>P</t>
        </is>
      </c>
      <c r="BY122" s="47" t="inlineStr">
        <is>
          <t>A</t>
        </is>
      </c>
      <c r="BZ122" s="47" t="n"/>
      <c r="CA122" s="47" t="n"/>
      <c r="CB122" s="47" t="inlineStr">
        <is>
          <t>A</t>
        </is>
      </c>
      <c r="CC122" s="47" t="n"/>
      <c r="CD122" s="47" t="n"/>
      <c r="CE122" s="47" t="n"/>
      <c r="CF122" s="47" t="inlineStr">
        <is>
          <t>A</t>
        </is>
      </c>
      <c r="CG122" s="47" t="n"/>
      <c r="CH122" s="47" t="n"/>
      <c r="CI122" s="47" t="n"/>
      <c r="CJ122" s="47" t="n"/>
      <c r="CK122" s="47" t="n"/>
      <c r="CL122" s="47" t="n"/>
      <c r="CM122" s="47" t="n"/>
      <c r="CN122" s="47" t="inlineStr">
        <is>
          <t>A</t>
        </is>
      </c>
      <c r="CO122" s="47" t="n"/>
      <c r="CP122" s="47" t="n"/>
      <c r="CQ122" s="47" t="inlineStr">
        <is>
          <t>A</t>
        </is>
      </c>
      <c r="CR122" s="47" t="inlineStr">
        <is>
          <t>A</t>
        </is>
      </c>
      <c r="CS122" s="47" t="n"/>
      <c r="CT122" s="47" t="n"/>
      <c r="CU122" s="47" t="inlineStr">
        <is>
          <t>P</t>
        </is>
      </c>
      <c r="CV122" s="47" t="inlineStr">
        <is>
          <t>P</t>
        </is>
      </c>
      <c r="CW122" s="47" t="n"/>
      <c r="CX122" s="47" t="n"/>
      <c r="CY122" s="47" t="n"/>
      <c r="CZ122" s="47" t="inlineStr">
        <is>
          <t>P</t>
        </is>
      </c>
      <c r="DA122" s="47" t="n"/>
      <c r="DB122" s="47" t="n"/>
      <c r="DC122" s="47" t="inlineStr">
        <is>
          <t>A</t>
        </is>
      </c>
      <c r="DD122" s="47" t="n"/>
      <c r="DE122" s="47" t="n"/>
      <c r="DF122" s="47" t="n"/>
      <c r="DG122" s="47" t="n"/>
      <c r="DH122" s="47" t="n"/>
      <c r="DI122" s="47" t="n"/>
      <c r="DJ122" s="47" t="n"/>
      <c r="DK122" s="47" t="inlineStr">
        <is>
          <t>P</t>
        </is>
      </c>
      <c r="DL122" s="47" t="n"/>
      <c r="DM122" s="47" t="n"/>
      <c r="DN122" s="47" t="inlineStr">
        <is>
          <t>P</t>
        </is>
      </c>
      <c r="DO122" s="47" t="inlineStr">
        <is>
          <t>P</t>
        </is>
      </c>
      <c r="DP122" s="47" t="n"/>
      <c r="DQ122" s="47" t="n"/>
      <c r="DR122" s="47" t="inlineStr">
        <is>
          <t>P</t>
        </is>
      </c>
      <c r="DS122" s="47" t="inlineStr">
        <is>
          <t>P</t>
        </is>
      </c>
      <c r="DT122" s="47" t="n"/>
      <c r="DU122" s="47" t="n"/>
      <c r="DV122" s="47" t="inlineStr">
        <is>
          <t>P</t>
        </is>
      </c>
      <c r="DW122" s="47" t="inlineStr">
        <is>
          <t>P</t>
        </is>
      </c>
      <c r="DX122" s="47" t="n"/>
      <c r="DY122" s="47" t="n"/>
      <c r="DZ122" s="47" t="inlineStr">
        <is>
          <t>P</t>
        </is>
      </c>
      <c r="EA122" s="47" t="n"/>
      <c r="EB122" s="47" t="n"/>
      <c r="EC122" s="47" t="n"/>
      <c r="ED122" s="47" t="n"/>
      <c r="EE122" s="47" t="n"/>
      <c r="EF122" s="47" t="n"/>
      <c r="EG122" s="47" t="n"/>
      <c r="EH122" s="47" t="inlineStr">
        <is>
          <t>P</t>
        </is>
      </c>
      <c r="EI122" s="47" t="n"/>
      <c r="EJ122" s="47" t="n"/>
      <c r="EK122" s="47" t="inlineStr">
        <is>
          <t>P</t>
        </is>
      </c>
      <c r="EL122" s="47" t="inlineStr">
        <is>
          <t>P</t>
        </is>
      </c>
      <c r="EM122" s="47" t="n"/>
      <c r="EN122" s="47" t="n"/>
      <c r="EO122" s="47" t="inlineStr">
        <is>
          <t>A</t>
        </is>
      </c>
      <c r="EP122" s="47" t="inlineStr">
        <is>
          <t>P</t>
        </is>
      </c>
      <c r="EQ122" s="47" t="n"/>
      <c r="ER122" s="47" t="n"/>
      <c r="ES122" s="47" t="inlineStr">
        <is>
          <t>P</t>
        </is>
      </c>
      <c r="ET122" s="47" t="inlineStr">
        <is>
          <t>P</t>
        </is>
      </c>
      <c r="EU122" s="47" t="n"/>
      <c r="EV122" s="47" t="n"/>
      <c r="EW122" s="47" t="n"/>
      <c r="EX122" s="47" t="n"/>
      <c r="EY122" s="47" t="n"/>
      <c r="EZ122" s="47" t="n"/>
      <c r="FA122" s="47" t="n"/>
      <c r="FB122" s="47" t="inlineStr">
        <is>
          <t>P</t>
        </is>
      </c>
      <c r="FC122" s="47" t="n"/>
      <c r="FD122" s="47" t="n"/>
      <c r="FE122" s="47" t="inlineStr">
        <is>
          <t>P</t>
        </is>
      </c>
      <c r="FF122" s="47" t="inlineStr">
        <is>
          <t>P</t>
        </is>
      </c>
      <c r="FG122" s="47" t="n"/>
      <c r="FH122" s="47" t="n"/>
      <c r="FI122" s="47" t="inlineStr">
        <is>
          <t>P</t>
        </is>
      </c>
      <c r="FJ122" s="47" t="inlineStr">
        <is>
          <t>P</t>
        </is>
      </c>
      <c r="FK122" s="47" t="n"/>
      <c r="FL122" s="47" t="n"/>
      <c r="FM122" s="47" t="n"/>
      <c r="FN122" s="47" t="n"/>
      <c r="FO122" s="47" t="n"/>
      <c r="FP122" s="47" t="n"/>
      <c r="FQ122" s="47" t="n"/>
      <c r="FR122" s="47" t="inlineStr">
        <is>
          <t>P</t>
        </is>
      </c>
      <c r="FS122" s="47" t="n"/>
      <c r="FT122" s="47" t="n"/>
      <c r="FU122" s="47" t="n"/>
      <c r="FV122" s="47" t="n"/>
      <c r="FW122" s="47" t="n"/>
      <c r="FX122" s="47" t="n"/>
      <c r="FY122" s="47" t="inlineStr">
        <is>
          <t>P</t>
        </is>
      </c>
      <c r="FZ122" s="47" t="inlineStr">
        <is>
          <t>P</t>
        </is>
      </c>
      <c r="GA122" s="47" t="n"/>
      <c r="GB122" s="47" t="n"/>
      <c r="GC122" s="47" t="n"/>
      <c r="GD122" s="47" t="inlineStr">
        <is>
          <t>A</t>
        </is>
      </c>
      <c r="GE122" s="47" t="n"/>
      <c r="GF122" s="47" t="n"/>
      <c r="GG122" s="47" t="inlineStr">
        <is>
          <t>P</t>
        </is>
      </c>
      <c r="GH122" s="47" t="n"/>
      <c r="GI122" s="47" t="n"/>
    </row>
    <row r="123" ht="14.25" customHeight="1" s="34">
      <c r="A123" s="46" t="n">
        <v>120</v>
      </c>
      <c r="B123" s="46" t="inlineStr">
        <is>
          <t>325106410120</t>
        </is>
      </c>
      <c r="C123" s="46" t="inlineStr">
        <is>
          <t>BOTTA LOKESH BABU</t>
        </is>
      </c>
      <c r="D123" s="47" t="inlineStr">
        <is>
          <t>A</t>
        </is>
      </c>
      <c r="E123" s="47" t="n"/>
      <c r="F123" s="47" t="n"/>
      <c r="G123" s="47" t="n"/>
      <c r="H123" s="47" t="n"/>
      <c r="I123" s="47" t="inlineStr">
        <is>
          <t>A</t>
        </is>
      </c>
      <c r="J123" s="47" t="n"/>
      <c r="K123" s="47" t="n"/>
      <c r="L123" s="47" t="inlineStr">
        <is>
          <t>P</t>
        </is>
      </c>
      <c r="M123" s="47" t="n"/>
      <c r="N123" s="47" t="n"/>
      <c r="O123" s="47" t="n"/>
      <c r="P123" s="47" t="inlineStr">
        <is>
          <t>P</t>
        </is>
      </c>
      <c r="Q123" s="47" t="inlineStr">
        <is>
          <t>P</t>
        </is>
      </c>
      <c r="R123" s="47" t="n"/>
      <c r="S123" s="47" t="n"/>
      <c r="T123" s="47" t="inlineStr">
        <is>
          <t>P</t>
        </is>
      </c>
      <c r="U123" s="47" t="n"/>
      <c r="V123" s="47" t="n"/>
      <c r="W123" s="47" t="n"/>
      <c r="X123" s="47" t="n"/>
      <c r="Y123" s="47" t="n"/>
      <c r="Z123" s="47" t="n"/>
      <c r="AA123" s="47" t="n"/>
      <c r="AB123" s="47" t="n"/>
      <c r="AC123" s="47" t="inlineStr">
        <is>
          <t>P</t>
        </is>
      </c>
      <c r="AD123" s="47" t="n"/>
      <c r="AE123" s="47" t="n"/>
      <c r="AF123" s="47" t="inlineStr">
        <is>
          <t>P</t>
        </is>
      </c>
      <c r="AG123" s="47" t="n"/>
      <c r="AH123" s="47" t="n"/>
      <c r="AI123" s="47" t="n"/>
      <c r="AJ123" s="47" t="inlineStr">
        <is>
          <t>P</t>
        </is>
      </c>
      <c r="AK123" s="47" t="inlineStr">
        <is>
          <t>P</t>
        </is>
      </c>
      <c r="AL123" s="47" t="n"/>
      <c r="AM123" s="47" t="n"/>
      <c r="AN123" s="47" t="inlineStr">
        <is>
          <t>P</t>
        </is>
      </c>
      <c r="AO123" s="47" t="n"/>
      <c r="AP123" s="47" t="n"/>
      <c r="AQ123" s="47" t="n"/>
      <c r="AR123" s="47" t="inlineStr">
        <is>
          <t>P</t>
        </is>
      </c>
      <c r="AS123" s="47" t="n"/>
      <c r="AT123" s="47" t="n"/>
      <c r="AU123" s="47" t="n"/>
      <c r="AV123" s="47" t="n"/>
      <c r="AW123" s="47" t="inlineStr">
        <is>
          <t>P</t>
        </is>
      </c>
      <c r="AX123" s="47" t="n"/>
      <c r="AY123" s="47" t="n"/>
      <c r="AZ123" s="47" t="inlineStr">
        <is>
          <t>P</t>
        </is>
      </c>
      <c r="BA123" s="47" t="inlineStr">
        <is>
          <t>P</t>
        </is>
      </c>
      <c r="BB123" s="47" t="n"/>
      <c r="BC123" s="47" t="n"/>
      <c r="BD123" s="47" t="inlineStr">
        <is>
          <t>P</t>
        </is>
      </c>
      <c r="BE123" s="47" t="inlineStr">
        <is>
          <t>P</t>
        </is>
      </c>
      <c r="BF123" s="47" t="n"/>
      <c r="BG123" s="47" t="n"/>
      <c r="BH123" s="47" t="inlineStr">
        <is>
          <t>P</t>
        </is>
      </c>
      <c r="BI123" s="47" t="inlineStr">
        <is>
          <t>P</t>
        </is>
      </c>
      <c r="BJ123" s="47" t="n"/>
      <c r="BK123" s="47" t="n"/>
      <c r="BL123" s="47" t="n"/>
      <c r="BM123" s="47" t="n"/>
      <c r="BN123" s="47" t="n"/>
      <c r="BO123" s="47" t="n"/>
      <c r="BP123" s="47" t="n"/>
      <c r="BQ123" s="47" t="inlineStr">
        <is>
          <t>P</t>
        </is>
      </c>
      <c r="BR123" s="47" t="n"/>
      <c r="BS123" s="47" t="n"/>
      <c r="BT123" s="47" t="inlineStr">
        <is>
          <t>P</t>
        </is>
      </c>
      <c r="BU123" s="47" t="inlineStr">
        <is>
          <t>P</t>
        </is>
      </c>
      <c r="BV123" s="47" t="n"/>
      <c r="BW123" s="47" t="n"/>
      <c r="BX123" s="47" t="inlineStr">
        <is>
          <t>P</t>
        </is>
      </c>
      <c r="BY123" s="47" t="inlineStr">
        <is>
          <t>P</t>
        </is>
      </c>
      <c r="BZ123" s="47" t="n"/>
      <c r="CA123" s="47" t="n"/>
      <c r="CB123" s="47" t="inlineStr">
        <is>
          <t>P</t>
        </is>
      </c>
      <c r="CC123" s="47" t="n"/>
      <c r="CD123" s="47" t="n"/>
      <c r="CE123" s="47" t="n"/>
      <c r="CF123" s="47" t="inlineStr">
        <is>
          <t>P</t>
        </is>
      </c>
      <c r="CG123" s="47" t="n"/>
      <c r="CH123" s="47" t="n"/>
      <c r="CI123" s="47" t="n"/>
      <c r="CJ123" s="47" t="n"/>
      <c r="CK123" s="47" t="n"/>
      <c r="CL123" s="47" t="n"/>
      <c r="CM123" s="47" t="n"/>
      <c r="CN123" s="47" t="inlineStr">
        <is>
          <t>P</t>
        </is>
      </c>
      <c r="CO123" s="47" t="n"/>
      <c r="CP123" s="47" t="n"/>
      <c r="CQ123" s="47" t="inlineStr">
        <is>
          <t>A</t>
        </is>
      </c>
      <c r="CR123" s="47" t="inlineStr">
        <is>
          <t>A</t>
        </is>
      </c>
      <c r="CS123" s="47" t="n"/>
      <c r="CT123" s="47" t="n"/>
      <c r="CU123" s="47" t="inlineStr">
        <is>
          <t>P</t>
        </is>
      </c>
      <c r="CV123" s="47" t="inlineStr">
        <is>
          <t>P</t>
        </is>
      </c>
      <c r="CW123" s="47" t="n"/>
      <c r="CX123" s="47" t="n"/>
      <c r="CY123" s="47" t="n"/>
      <c r="CZ123" s="47" t="inlineStr">
        <is>
          <t>P</t>
        </is>
      </c>
      <c r="DA123" s="47" t="n"/>
      <c r="DB123" s="47" t="n"/>
      <c r="DC123" s="47" t="inlineStr">
        <is>
          <t>P</t>
        </is>
      </c>
      <c r="DD123" s="47" t="n"/>
      <c r="DE123" s="47" t="n"/>
      <c r="DF123" s="47" t="n"/>
      <c r="DG123" s="47" t="n"/>
      <c r="DH123" s="47" t="n"/>
      <c r="DI123" s="47" t="n"/>
      <c r="DJ123" s="47" t="n"/>
      <c r="DK123" s="47" t="inlineStr">
        <is>
          <t>P</t>
        </is>
      </c>
      <c r="DL123" s="47" t="n"/>
      <c r="DM123" s="47" t="n"/>
      <c r="DN123" s="47" t="inlineStr">
        <is>
          <t>A</t>
        </is>
      </c>
      <c r="DO123" s="47" t="inlineStr">
        <is>
          <t>A</t>
        </is>
      </c>
      <c r="DP123" s="47" t="n"/>
      <c r="DQ123" s="47" t="n"/>
      <c r="DR123" s="47" t="inlineStr">
        <is>
          <t>P</t>
        </is>
      </c>
      <c r="DS123" s="47" t="inlineStr">
        <is>
          <t>P</t>
        </is>
      </c>
      <c r="DT123" s="47" t="n"/>
      <c r="DU123" s="47" t="n"/>
      <c r="DV123" s="47" t="inlineStr">
        <is>
          <t>P</t>
        </is>
      </c>
      <c r="DW123" s="47" t="inlineStr">
        <is>
          <t>P</t>
        </is>
      </c>
      <c r="DX123" s="47" t="n"/>
      <c r="DY123" s="47" t="n"/>
      <c r="DZ123" s="47" t="inlineStr">
        <is>
          <t>P</t>
        </is>
      </c>
      <c r="EA123" s="47" t="n"/>
      <c r="EB123" s="47" t="n"/>
      <c r="EC123" s="47" t="n"/>
      <c r="ED123" s="47" t="n"/>
      <c r="EE123" s="47" t="n"/>
      <c r="EF123" s="47" t="n"/>
      <c r="EG123" s="47" t="n"/>
      <c r="EH123" s="47" t="inlineStr">
        <is>
          <t>P</t>
        </is>
      </c>
      <c r="EI123" s="47" t="n"/>
      <c r="EJ123" s="47" t="n"/>
      <c r="EK123" s="47" t="inlineStr">
        <is>
          <t>P</t>
        </is>
      </c>
      <c r="EL123" s="47" t="inlineStr">
        <is>
          <t>P</t>
        </is>
      </c>
      <c r="EM123" s="47" t="n"/>
      <c r="EN123" s="47" t="n"/>
      <c r="EO123" s="47" t="inlineStr">
        <is>
          <t>P</t>
        </is>
      </c>
      <c r="EP123" s="47" t="inlineStr">
        <is>
          <t>P</t>
        </is>
      </c>
      <c r="EQ123" s="47" t="n"/>
      <c r="ER123" s="47" t="n"/>
      <c r="ES123" s="47" t="inlineStr">
        <is>
          <t>P</t>
        </is>
      </c>
      <c r="ET123" s="47" t="inlineStr">
        <is>
          <t>P</t>
        </is>
      </c>
      <c r="EU123" s="47" t="n"/>
      <c r="EV123" s="47" t="n"/>
      <c r="EW123" s="47" t="n"/>
      <c r="EX123" s="47" t="n"/>
      <c r="EY123" s="47" t="n"/>
      <c r="EZ123" s="47" t="n"/>
      <c r="FA123" s="47" t="n"/>
      <c r="FB123" s="47" t="inlineStr">
        <is>
          <t>P</t>
        </is>
      </c>
      <c r="FC123" s="47" t="n"/>
      <c r="FD123" s="47" t="n"/>
      <c r="FE123" s="47" t="inlineStr">
        <is>
          <t>P</t>
        </is>
      </c>
      <c r="FF123" s="47" t="inlineStr">
        <is>
          <t>A</t>
        </is>
      </c>
      <c r="FG123" s="47" t="n"/>
      <c r="FH123" s="47" t="n"/>
      <c r="FI123" s="47" t="inlineStr">
        <is>
          <t>P</t>
        </is>
      </c>
      <c r="FJ123" s="47" t="inlineStr">
        <is>
          <t>P</t>
        </is>
      </c>
      <c r="FK123" s="47" t="n"/>
      <c r="FL123" s="47" t="n"/>
      <c r="FM123" s="47" t="n"/>
      <c r="FN123" s="47" t="n"/>
      <c r="FO123" s="47" t="n"/>
      <c r="FP123" s="47" t="n"/>
      <c r="FQ123" s="47" t="n"/>
      <c r="FR123" s="47" t="inlineStr">
        <is>
          <t>P</t>
        </is>
      </c>
      <c r="FS123" s="47" t="n"/>
      <c r="FT123" s="47" t="n"/>
      <c r="FU123" s="47" t="n"/>
      <c r="FV123" s="47" t="n"/>
      <c r="FW123" s="47" t="n"/>
      <c r="FX123" s="47" t="n"/>
      <c r="FY123" s="47" t="inlineStr">
        <is>
          <t>P</t>
        </is>
      </c>
      <c r="FZ123" s="47" t="inlineStr">
        <is>
          <t>P</t>
        </is>
      </c>
      <c r="GA123" s="47" t="n"/>
      <c r="GB123" s="47" t="n"/>
      <c r="GC123" s="47" t="n"/>
      <c r="GD123" s="47" t="inlineStr">
        <is>
          <t>P</t>
        </is>
      </c>
      <c r="GE123" s="47" t="n"/>
      <c r="GF123" s="47" t="n"/>
      <c r="GG123" s="47" t="inlineStr">
        <is>
          <t>P</t>
        </is>
      </c>
      <c r="GH123" s="47" t="n"/>
      <c r="GI123" s="47" t="n"/>
    </row>
    <row r="124" ht="14.25" customHeight="1" s="34">
      <c r="A124" s="46" t="n">
        <v>121</v>
      </c>
      <c r="B124" s="46" t="inlineStr">
        <is>
          <t>325106410121</t>
        </is>
      </c>
      <c r="C124" s="46" t="inlineStr">
        <is>
          <t>MADDULA SRAVAN KUMAR</t>
        </is>
      </c>
      <c r="D124" s="47" t="inlineStr">
        <is>
          <t>A</t>
        </is>
      </c>
      <c r="E124" s="47" t="n"/>
      <c r="F124" s="47" t="n"/>
      <c r="G124" s="47" t="n"/>
      <c r="H124" s="47" t="n"/>
      <c r="I124" s="47" t="inlineStr">
        <is>
          <t>A</t>
        </is>
      </c>
      <c r="J124" s="47" t="n"/>
      <c r="K124" s="47" t="n"/>
      <c r="L124" s="47" t="inlineStr">
        <is>
          <t>P</t>
        </is>
      </c>
      <c r="M124" s="47" t="n"/>
      <c r="N124" s="47" t="n"/>
      <c r="O124" s="47" t="n"/>
      <c r="P124" s="47" t="inlineStr">
        <is>
          <t>P</t>
        </is>
      </c>
      <c r="Q124" s="47" t="inlineStr">
        <is>
          <t>P</t>
        </is>
      </c>
      <c r="R124" s="47" t="n"/>
      <c r="S124" s="47" t="n"/>
      <c r="T124" s="47" t="inlineStr">
        <is>
          <t>A</t>
        </is>
      </c>
      <c r="U124" s="47" t="n"/>
      <c r="V124" s="47" t="n"/>
      <c r="W124" s="47" t="n"/>
      <c r="X124" s="47" t="n"/>
      <c r="Y124" s="47" t="n"/>
      <c r="Z124" s="47" t="n"/>
      <c r="AA124" s="47" t="n"/>
      <c r="AB124" s="47" t="n"/>
      <c r="AC124" s="47" t="inlineStr">
        <is>
          <t>P</t>
        </is>
      </c>
      <c r="AD124" s="47" t="n"/>
      <c r="AE124" s="47" t="n"/>
      <c r="AF124" s="47" t="inlineStr">
        <is>
          <t>P</t>
        </is>
      </c>
      <c r="AG124" s="47" t="n"/>
      <c r="AH124" s="47" t="n"/>
      <c r="AI124" s="47" t="n"/>
      <c r="AJ124" s="47" t="inlineStr">
        <is>
          <t>P</t>
        </is>
      </c>
      <c r="AK124" s="47" t="inlineStr">
        <is>
          <t>P</t>
        </is>
      </c>
      <c r="AL124" s="47" t="n"/>
      <c r="AM124" s="47" t="n"/>
      <c r="AN124" s="47" t="inlineStr">
        <is>
          <t>P</t>
        </is>
      </c>
      <c r="AO124" s="47" t="n"/>
      <c r="AP124" s="47" t="n"/>
      <c r="AQ124" s="47" t="n"/>
      <c r="AR124" s="47" t="inlineStr">
        <is>
          <t>P</t>
        </is>
      </c>
      <c r="AS124" s="47" t="n"/>
      <c r="AT124" s="47" t="n"/>
      <c r="AU124" s="47" t="n"/>
      <c r="AV124" s="47" t="n"/>
      <c r="AW124" s="47" t="inlineStr">
        <is>
          <t>P</t>
        </is>
      </c>
      <c r="AX124" s="47" t="n"/>
      <c r="AY124" s="47" t="n"/>
      <c r="AZ124" s="47" t="inlineStr">
        <is>
          <t>P</t>
        </is>
      </c>
      <c r="BA124" s="47" t="inlineStr">
        <is>
          <t>P</t>
        </is>
      </c>
      <c r="BB124" s="47" t="n"/>
      <c r="BC124" s="47" t="n"/>
      <c r="BD124" s="47" t="inlineStr">
        <is>
          <t>P</t>
        </is>
      </c>
      <c r="BE124" s="47" t="inlineStr">
        <is>
          <t>P</t>
        </is>
      </c>
      <c r="BF124" s="47" t="n"/>
      <c r="BG124" s="47" t="n"/>
      <c r="BH124" s="47" t="inlineStr">
        <is>
          <t>P</t>
        </is>
      </c>
      <c r="BI124" s="47" t="inlineStr">
        <is>
          <t>P</t>
        </is>
      </c>
      <c r="BJ124" s="47" t="n"/>
      <c r="BK124" s="47" t="n"/>
      <c r="BL124" s="47" t="n"/>
      <c r="BM124" s="47" t="n"/>
      <c r="BN124" s="47" t="n"/>
      <c r="BO124" s="47" t="n"/>
      <c r="BP124" s="47" t="n"/>
      <c r="BQ124" s="47" t="inlineStr">
        <is>
          <t>P</t>
        </is>
      </c>
      <c r="BR124" s="47" t="n"/>
      <c r="BS124" s="47" t="n"/>
      <c r="BT124" s="47" t="inlineStr">
        <is>
          <t>P</t>
        </is>
      </c>
      <c r="BU124" s="47" t="inlineStr">
        <is>
          <t>P</t>
        </is>
      </c>
      <c r="BV124" s="47" t="n"/>
      <c r="BW124" s="47" t="n"/>
      <c r="BX124" s="47" t="inlineStr">
        <is>
          <t>P</t>
        </is>
      </c>
      <c r="BY124" s="47" t="inlineStr">
        <is>
          <t>P</t>
        </is>
      </c>
      <c r="BZ124" s="47" t="n"/>
      <c r="CA124" s="47" t="n"/>
      <c r="CB124" s="47" t="inlineStr">
        <is>
          <t>P</t>
        </is>
      </c>
      <c r="CC124" s="47" t="n"/>
      <c r="CD124" s="47" t="n"/>
      <c r="CE124" s="47" t="n"/>
      <c r="CF124" s="47" t="inlineStr">
        <is>
          <t>P</t>
        </is>
      </c>
      <c r="CG124" s="47" t="n"/>
      <c r="CH124" s="47" t="n"/>
      <c r="CI124" s="47" t="n"/>
      <c r="CJ124" s="47" t="n"/>
      <c r="CK124" s="47" t="n"/>
      <c r="CL124" s="47" t="n"/>
      <c r="CM124" s="47" t="n"/>
      <c r="CN124" s="47" t="inlineStr">
        <is>
          <t>P</t>
        </is>
      </c>
      <c r="CO124" s="47" t="n"/>
      <c r="CP124" s="47" t="n"/>
      <c r="CQ124" s="47" t="inlineStr">
        <is>
          <t>P</t>
        </is>
      </c>
      <c r="CR124" s="47" t="inlineStr">
        <is>
          <t>P</t>
        </is>
      </c>
      <c r="CS124" s="47" t="n"/>
      <c r="CT124" s="47" t="n"/>
      <c r="CU124" s="47" t="inlineStr">
        <is>
          <t>P</t>
        </is>
      </c>
      <c r="CV124" s="47" t="inlineStr">
        <is>
          <t>P</t>
        </is>
      </c>
      <c r="CW124" s="47" t="n"/>
      <c r="CX124" s="47" t="n"/>
      <c r="CY124" s="47" t="n"/>
      <c r="CZ124" s="47" t="inlineStr">
        <is>
          <t>P</t>
        </is>
      </c>
      <c r="DA124" s="47" t="n"/>
      <c r="DB124" s="47" t="n"/>
      <c r="DC124" s="47" t="inlineStr">
        <is>
          <t>P</t>
        </is>
      </c>
      <c r="DD124" s="47" t="n"/>
      <c r="DE124" s="47" t="n"/>
      <c r="DF124" s="47" t="n"/>
      <c r="DG124" s="47" t="n"/>
      <c r="DH124" s="47" t="n"/>
      <c r="DI124" s="47" t="n"/>
      <c r="DJ124" s="47" t="n"/>
      <c r="DK124" s="47" t="inlineStr">
        <is>
          <t>P</t>
        </is>
      </c>
      <c r="DL124" s="47" t="n"/>
      <c r="DM124" s="47" t="n"/>
      <c r="DN124" s="47" t="inlineStr">
        <is>
          <t>A</t>
        </is>
      </c>
      <c r="DO124" s="47" t="inlineStr">
        <is>
          <t>A</t>
        </is>
      </c>
      <c r="DP124" s="47" t="n"/>
      <c r="DQ124" s="47" t="n"/>
      <c r="DR124" s="47" t="inlineStr">
        <is>
          <t>P</t>
        </is>
      </c>
      <c r="DS124" s="47" t="inlineStr">
        <is>
          <t>P</t>
        </is>
      </c>
      <c r="DT124" s="47" t="n"/>
      <c r="DU124" s="47" t="n"/>
      <c r="DV124" s="47" t="inlineStr">
        <is>
          <t>P</t>
        </is>
      </c>
      <c r="DW124" s="47" t="inlineStr">
        <is>
          <t>P</t>
        </is>
      </c>
      <c r="DX124" s="47" t="n"/>
      <c r="DY124" s="47" t="n"/>
      <c r="DZ124" s="47" t="inlineStr">
        <is>
          <t>P</t>
        </is>
      </c>
      <c r="EA124" s="47" t="n"/>
      <c r="EB124" s="47" t="n"/>
      <c r="EC124" s="47" t="n"/>
      <c r="ED124" s="47" t="n"/>
      <c r="EE124" s="47" t="n"/>
      <c r="EF124" s="47" t="n"/>
      <c r="EG124" s="47" t="n"/>
      <c r="EH124" s="47" t="inlineStr">
        <is>
          <t>P</t>
        </is>
      </c>
      <c r="EI124" s="47" t="n"/>
      <c r="EJ124" s="47" t="n"/>
      <c r="EK124" s="47" t="inlineStr">
        <is>
          <t>A</t>
        </is>
      </c>
      <c r="EL124" s="47" t="inlineStr">
        <is>
          <t>A</t>
        </is>
      </c>
      <c r="EM124" s="47" t="n"/>
      <c r="EN124" s="47" t="n"/>
      <c r="EO124" s="47" t="inlineStr">
        <is>
          <t>P</t>
        </is>
      </c>
      <c r="EP124" s="47" t="inlineStr">
        <is>
          <t>P</t>
        </is>
      </c>
      <c r="EQ124" s="47" t="n"/>
      <c r="ER124" s="47" t="n"/>
      <c r="ES124" s="47" t="inlineStr">
        <is>
          <t>P</t>
        </is>
      </c>
      <c r="ET124" s="47" t="inlineStr">
        <is>
          <t>P</t>
        </is>
      </c>
      <c r="EU124" s="47" t="n"/>
      <c r="EV124" s="47" t="n"/>
      <c r="EW124" s="47" t="n"/>
      <c r="EX124" s="47" t="n"/>
      <c r="EY124" s="47" t="n"/>
      <c r="EZ124" s="47" t="n"/>
      <c r="FA124" s="47" t="n"/>
      <c r="FB124" s="47" t="inlineStr">
        <is>
          <t>P</t>
        </is>
      </c>
      <c r="FC124" s="47" t="n"/>
      <c r="FD124" s="47" t="n"/>
      <c r="FE124" s="47" t="inlineStr">
        <is>
          <t>P</t>
        </is>
      </c>
      <c r="FF124" s="47" t="inlineStr">
        <is>
          <t>P</t>
        </is>
      </c>
      <c r="FG124" s="47" t="n"/>
      <c r="FH124" s="47" t="n"/>
      <c r="FI124" s="47" t="inlineStr">
        <is>
          <t>P</t>
        </is>
      </c>
      <c r="FJ124" s="47" t="inlineStr">
        <is>
          <t>P</t>
        </is>
      </c>
      <c r="FK124" s="47" t="n"/>
      <c r="FL124" s="47" t="n"/>
      <c r="FM124" s="47" t="n"/>
      <c r="FN124" s="47" t="n"/>
      <c r="FO124" s="47" t="n"/>
      <c r="FP124" s="47" t="n"/>
      <c r="FQ124" s="47" t="n"/>
      <c r="FR124" s="47" t="inlineStr">
        <is>
          <t>P</t>
        </is>
      </c>
      <c r="FS124" s="47" t="n"/>
      <c r="FT124" s="47" t="n"/>
      <c r="FU124" s="47" t="n"/>
      <c r="FV124" s="47" t="n"/>
      <c r="FW124" s="47" t="n"/>
      <c r="FX124" s="47" t="n"/>
      <c r="FY124" s="47" t="inlineStr">
        <is>
          <t>P</t>
        </is>
      </c>
      <c r="FZ124" s="47" t="inlineStr">
        <is>
          <t>P</t>
        </is>
      </c>
      <c r="GA124" s="47" t="n"/>
      <c r="GB124" s="47" t="n"/>
      <c r="GC124" s="47" t="n"/>
      <c r="GD124" s="47" t="inlineStr">
        <is>
          <t>P</t>
        </is>
      </c>
      <c r="GE124" s="47" t="n"/>
      <c r="GF124" s="47" t="n"/>
      <c r="GG124" s="47" t="inlineStr">
        <is>
          <t>P</t>
        </is>
      </c>
      <c r="GH124" s="47" t="n"/>
      <c r="GI124" s="47" t="n"/>
    </row>
    <row r="125" ht="14.25" customHeight="1" s="34">
      <c r="A125" s="46" t="n">
        <v>122</v>
      </c>
      <c r="B125" s="46" t="inlineStr">
        <is>
          <t>325106410122</t>
        </is>
      </c>
      <c r="C125" s="46" t="inlineStr">
        <is>
          <t>SALADI KALYAN MODHA ANKSHINI</t>
        </is>
      </c>
      <c r="D125" s="47" t="inlineStr">
        <is>
          <t>A</t>
        </is>
      </c>
      <c r="E125" s="47" t="n"/>
      <c r="F125" s="47" t="n"/>
      <c r="G125" s="47" t="n"/>
      <c r="H125" s="47" t="n"/>
      <c r="I125" s="47" t="inlineStr">
        <is>
          <t>A</t>
        </is>
      </c>
      <c r="J125" s="47" t="n"/>
      <c r="K125" s="47" t="n"/>
      <c r="L125" s="47" t="inlineStr">
        <is>
          <t>P</t>
        </is>
      </c>
      <c r="M125" s="47" t="n"/>
      <c r="N125" s="47" t="n"/>
      <c r="O125" s="47" t="n"/>
      <c r="P125" s="47" t="inlineStr">
        <is>
          <t>A</t>
        </is>
      </c>
      <c r="Q125" s="47" t="inlineStr">
        <is>
          <t>A</t>
        </is>
      </c>
      <c r="R125" s="47" t="n"/>
      <c r="S125" s="47" t="n"/>
      <c r="T125" s="47" t="inlineStr">
        <is>
          <t>P</t>
        </is>
      </c>
      <c r="U125" s="47" t="n"/>
      <c r="V125" s="47" t="n"/>
      <c r="W125" s="47" t="n"/>
      <c r="X125" s="47" t="n"/>
      <c r="Y125" s="47" t="n"/>
      <c r="Z125" s="47" t="n"/>
      <c r="AA125" s="47" t="n"/>
      <c r="AB125" s="47" t="n"/>
      <c r="AC125" s="47" t="inlineStr">
        <is>
          <t>A</t>
        </is>
      </c>
      <c r="AD125" s="47" t="n"/>
      <c r="AE125" s="47" t="n"/>
      <c r="AF125" s="47" t="inlineStr">
        <is>
          <t>P</t>
        </is>
      </c>
      <c r="AG125" s="47" t="n"/>
      <c r="AH125" s="47" t="n"/>
      <c r="AI125" s="47" t="n"/>
      <c r="AJ125" s="47" t="inlineStr">
        <is>
          <t>P</t>
        </is>
      </c>
      <c r="AK125" s="47" t="inlineStr">
        <is>
          <t>P</t>
        </is>
      </c>
      <c r="AL125" s="47" t="n"/>
      <c r="AM125" s="47" t="n"/>
      <c r="AN125" s="47" t="inlineStr">
        <is>
          <t>A</t>
        </is>
      </c>
      <c r="AO125" s="47" t="n"/>
      <c r="AP125" s="47" t="n"/>
      <c r="AQ125" s="47" t="n"/>
      <c r="AR125" s="47" t="inlineStr">
        <is>
          <t>A</t>
        </is>
      </c>
      <c r="AS125" s="47" t="n"/>
      <c r="AT125" s="47" t="n"/>
      <c r="AU125" s="47" t="n"/>
      <c r="AV125" s="47" t="n"/>
      <c r="AW125" s="47" t="inlineStr">
        <is>
          <t>P</t>
        </is>
      </c>
      <c r="AX125" s="47" t="n"/>
      <c r="AY125" s="47" t="n"/>
      <c r="AZ125" s="47" t="inlineStr">
        <is>
          <t>A</t>
        </is>
      </c>
      <c r="BA125" s="47" t="inlineStr">
        <is>
          <t>A</t>
        </is>
      </c>
      <c r="BB125" s="47" t="n"/>
      <c r="BC125" s="47" t="n"/>
      <c r="BD125" s="47" t="inlineStr">
        <is>
          <t>P</t>
        </is>
      </c>
      <c r="BE125" s="47" t="inlineStr">
        <is>
          <t>P</t>
        </is>
      </c>
      <c r="BF125" s="47" t="n"/>
      <c r="BG125" s="47" t="n"/>
      <c r="BH125" s="47" t="inlineStr">
        <is>
          <t>A</t>
        </is>
      </c>
      <c r="BI125" s="47" t="inlineStr">
        <is>
          <t>A</t>
        </is>
      </c>
      <c r="BJ125" s="47" t="n"/>
      <c r="BK125" s="47" t="n"/>
      <c r="BL125" s="47" t="n"/>
      <c r="BM125" s="47" t="n"/>
      <c r="BN125" s="47" t="n"/>
      <c r="BO125" s="47" t="n"/>
      <c r="BP125" s="47" t="n"/>
      <c r="BQ125" s="47" t="inlineStr">
        <is>
          <t>P</t>
        </is>
      </c>
      <c r="BR125" s="47" t="n"/>
      <c r="BS125" s="47" t="n"/>
      <c r="BT125" s="47" t="inlineStr">
        <is>
          <t>A</t>
        </is>
      </c>
      <c r="BU125" s="47" t="inlineStr">
        <is>
          <t>A</t>
        </is>
      </c>
      <c r="BV125" s="47" t="n"/>
      <c r="BW125" s="47" t="n"/>
      <c r="BX125" s="47" t="inlineStr">
        <is>
          <t>P</t>
        </is>
      </c>
      <c r="BY125" s="47" t="inlineStr">
        <is>
          <t>P</t>
        </is>
      </c>
      <c r="BZ125" s="47" t="n"/>
      <c r="CA125" s="47" t="n"/>
      <c r="CB125" s="47" t="inlineStr">
        <is>
          <t>A</t>
        </is>
      </c>
      <c r="CC125" s="47" t="n"/>
      <c r="CD125" s="47" t="n"/>
      <c r="CE125" s="47" t="n"/>
      <c r="CF125" s="47" t="inlineStr">
        <is>
          <t>P</t>
        </is>
      </c>
      <c r="CG125" s="47" t="n"/>
      <c r="CH125" s="47" t="n"/>
      <c r="CI125" s="47" t="n"/>
      <c r="CJ125" s="47" t="n"/>
      <c r="CK125" s="47" t="n"/>
      <c r="CL125" s="47" t="n"/>
      <c r="CM125" s="47" t="n"/>
      <c r="CN125" s="47" t="inlineStr">
        <is>
          <t>P</t>
        </is>
      </c>
      <c r="CO125" s="47" t="n"/>
      <c r="CP125" s="47" t="n"/>
      <c r="CQ125" s="47" t="inlineStr">
        <is>
          <t>A</t>
        </is>
      </c>
      <c r="CR125" s="47" t="inlineStr">
        <is>
          <t>A</t>
        </is>
      </c>
      <c r="CS125" s="47" t="n"/>
      <c r="CT125" s="47" t="n"/>
      <c r="CU125" s="47" t="inlineStr">
        <is>
          <t>P</t>
        </is>
      </c>
      <c r="CV125" s="47" t="inlineStr">
        <is>
          <t>P</t>
        </is>
      </c>
      <c r="CW125" s="47" t="n"/>
      <c r="CX125" s="47" t="n"/>
      <c r="CY125" s="47" t="n"/>
      <c r="CZ125" s="47" t="inlineStr">
        <is>
          <t>A</t>
        </is>
      </c>
      <c r="DA125" s="47" t="n"/>
      <c r="DB125" s="47" t="n"/>
      <c r="DC125" s="47" t="inlineStr">
        <is>
          <t>P</t>
        </is>
      </c>
      <c r="DD125" s="47" t="n"/>
      <c r="DE125" s="47" t="n"/>
      <c r="DF125" s="47" t="n"/>
      <c r="DG125" s="47" t="n"/>
      <c r="DH125" s="47" t="n"/>
      <c r="DI125" s="47" t="n"/>
      <c r="DJ125" s="47" t="n"/>
      <c r="DK125" s="47" t="inlineStr">
        <is>
          <t>P</t>
        </is>
      </c>
      <c r="DL125" s="47" t="n"/>
      <c r="DM125" s="47" t="n"/>
      <c r="DN125" s="47" t="inlineStr">
        <is>
          <t>P</t>
        </is>
      </c>
      <c r="DO125" s="47" t="inlineStr">
        <is>
          <t>P</t>
        </is>
      </c>
      <c r="DP125" s="47" t="n"/>
      <c r="DQ125" s="47" t="n"/>
      <c r="DR125" s="47" t="inlineStr">
        <is>
          <t>A</t>
        </is>
      </c>
      <c r="DS125" s="47" t="inlineStr">
        <is>
          <t>A</t>
        </is>
      </c>
      <c r="DT125" s="47" t="n"/>
      <c r="DU125" s="47" t="n"/>
      <c r="DV125" s="47" t="inlineStr">
        <is>
          <t>A</t>
        </is>
      </c>
      <c r="DW125" s="47" t="inlineStr">
        <is>
          <t>A</t>
        </is>
      </c>
      <c r="DX125" s="47" t="n"/>
      <c r="DY125" s="47" t="n"/>
      <c r="DZ125" s="47" t="inlineStr">
        <is>
          <t>P</t>
        </is>
      </c>
      <c r="EA125" s="47" t="n"/>
      <c r="EB125" s="47" t="n"/>
      <c r="EC125" s="47" t="n"/>
      <c r="ED125" s="47" t="n"/>
      <c r="EE125" s="47" t="n"/>
      <c r="EF125" s="47" t="n"/>
      <c r="EG125" s="47" t="n"/>
      <c r="EH125" s="47" t="inlineStr">
        <is>
          <t>P</t>
        </is>
      </c>
      <c r="EI125" s="47" t="n"/>
      <c r="EJ125" s="47" t="n"/>
      <c r="EK125" s="47" t="inlineStr">
        <is>
          <t>P</t>
        </is>
      </c>
      <c r="EL125" s="47" t="inlineStr">
        <is>
          <t>P</t>
        </is>
      </c>
      <c r="EM125" s="47" t="n"/>
      <c r="EN125" s="47" t="n"/>
      <c r="EO125" s="47" t="inlineStr">
        <is>
          <t>A</t>
        </is>
      </c>
      <c r="EP125" s="47" t="inlineStr">
        <is>
          <t>A</t>
        </is>
      </c>
      <c r="EQ125" s="47" t="n"/>
      <c r="ER125" s="47" t="n"/>
      <c r="ES125" s="47" t="inlineStr">
        <is>
          <t>P</t>
        </is>
      </c>
      <c r="ET125" s="47" t="inlineStr">
        <is>
          <t>P</t>
        </is>
      </c>
      <c r="EU125" s="47" t="n"/>
      <c r="EV125" s="47" t="n"/>
      <c r="EW125" s="47" t="n"/>
      <c r="EX125" s="47" t="n"/>
      <c r="EY125" s="47" t="n"/>
      <c r="EZ125" s="47" t="n"/>
      <c r="FA125" s="47" t="n"/>
      <c r="FB125" s="47" t="inlineStr">
        <is>
          <t>P</t>
        </is>
      </c>
      <c r="FC125" s="47" t="n"/>
      <c r="FD125" s="47" t="n"/>
      <c r="FE125" s="47" t="inlineStr">
        <is>
          <t>A</t>
        </is>
      </c>
      <c r="FF125" s="47" t="inlineStr">
        <is>
          <t>A</t>
        </is>
      </c>
      <c r="FG125" s="47" t="n"/>
      <c r="FH125" s="47" t="n"/>
      <c r="FI125" s="47" t="inlineStr">
        <is>
          <t>P</t>
        </is>
      </c>
      <c r="FJ125" s="47" t="inlineStr">
        <is>
          <t>P</t>
        </is>
      </c>
      <c r="FK125" s="47" t="n"/>
      <c r="FL125" s="47" t="n"/>
      <c r="FM125" s="47" t="n"/>
      <c r="FN125" s="47" t="n"/>
      <c r="FO125" s="47" t="n"/>
      <c r="FP125" s="47" t="n"/>
      <c r="FQ125" s="47" t="n"/>
      <c r="FR125" s="47" t="inlineStr">
        <is>
          <t>P</t>
        </is>
      </c>
      <c r="FS125" s="47" t="n"/>
      <c r="FT125" s="47" t="n"/>
      <c r="FU125" s="47" t="n"/>
      <c r="FV125" s="47" t="n"/>
      <c r="FW125" s="47" t="n"/>
      <c r="FX125" s="47" t="n"/>
      <c r="FY125" s="47" t="inlineStr">
        <is>
          <t>A</t>
        </is>
      </c>
      <c r="FZ125" s="47" t="inlineStr">
        <is>
          <t>A</t>
        </is>
      </c>
      <c r="GA125" s="47" t="n"/>
      <c r="GB125" s="47" t="n"/>
      <c r="GC125" s="47" t="n"/>
      <c r="GD125" s="47" t="inlineStr">
        <is>
          <t>A</t>
        </is>
      </c>
      <c r="GE125" s="47" t="n"/>
      <c r="GF125" s="47" t="n"/>
      <c r="GG125" s="47" t="inlineStr">
        <is>
          <t>P</t>
        </is>
      </c>
      <c r="GH125" s="47" t="n"/>
      <c r="GI125" s="47" t="n"/>
    </row>
    <row r="126" ht="14.25" customHeight="1" s="34">
      <c r="A126" s="46" t="n">
        <v>123</v>
      </c>
      <c r="B126" s="46" t="inlineStr">
        <is>
          <t>325106410123</t>
        </is>
      </c>
      <c r="C126" s="46" t="inlineStr">
        <is>
          <t>VERAPANENI VENKATA CHOWDARY</t>
        </is>
      </c>
      <c r="D126" s="47" t="inlineStr">
        <is>
          <t>A</t>
        </is>
      </c>
      <c r="E126" s="47" t="n"/>
      <c r="F126" s="47" t="n"/>
      <c r="G126" s="47" t="n"/>
      <c r="H126" s="47" t="n"/>
      <c r="I126" s="47" t="inlineStr">
        <is>
          <t>P</t>
        </is>
      </c>
      <c r="J126" s="47" t="n"/>
      <c r="K126" s="47" t="n"/>
      <c r="L126" s="47" t="inlineStr">
        <is>
          <t>P</t>
        </is>
      </c>
      <c r="M126" s="47" t="n"/>
      <c r="N126" s="47" t="n"/>
      <c r="O126" s="47" t="n"/>
      <c r="P126" s="47" t="inlineStr">
        <is>
          <t>A</t>
        </is>
      </c>
      <c r="Q126" s="47" t="inlineStr">
        <is>
          <t>A</t>
        </is>
      </c>
      <c r="R126" s="47" t="n"/>
      <c r="S126" s="47" t="n"/>
      <c r="T126" s="47" t="inlineStr">
        <is>
          <t>P</t>
        </is>
      </c>
      <c r="U126" s="47" t="n"/>
      <c r="V126" s="47" t="n"/>
      <c r="W126" s="47" t="n"/>
      <c r="X126" s="47" t="n"/>
      <c r="Y126" s="47" t="n"/>
      <c r="Z126" s="47" t="n"/>
      <c r="AA126" s="47" t="n"/>
      <c r="AB126" s="47" t="n"/>
      <c r="AC126" s="47" t="inlineStr">
        <is>
          <t>P</t>
        </is>
      </c>
      <c r="AD126" s="47" t="n"/>
      <c r="AE126" s="47" t="n"/>
      <c r="AF126" s="47" t="inlineStr">
        <is>
          <t>P</t>
        </is>
      </c>
      <c r="AG126" s="47" t="n"/>
      <c r="AH126" s="47" t="n"/>
      <c r="AI126" s="47" t="n"/>
      <c r="AJ126" s="47" t="inlineStr">
        <is>
          <t>P</t>
        </is>
      </c>
      <c r="AK126" s="47" t="inlineStr">
        <is>
          <t>P</t>
        </is>
      </c>
      <c r="AL126" s="47" t="n"/>
      <c r="AM126" s="47" t="n"/>
      <c r="AN126" s="47" t="inlineStr">
        <is>
          <t>P</t>
        </is>
      </c>
      <c r="AO126" s="47" t="n"/>
      <c r="AP126" s="47" t="n"/>
      <c r="AQ126" s="47" t="n"/>
      <c r="AR126" s="47" t="inlineStr">
        <is>
          <t>P</t>
        </is>
      </c>
      <c r="AS126" s="47" t="n"/>
      <c r="AT126" s="47" t="n"/>
      <c r="AU126" s="47" t="n"/>
      <c r="AV126" s="47" t="n"/>
      <c r="AW126" s="47" t="inlineStr">
        <is>
          <t>P</t>
        </is>
      </c>
      <c r="AX126" s="47" t="n"/>
      <c r="AY126" s="47" t="n"/>
      <c r="AZ126" s="47" t="inlineStr">
        <is>
          <t>P</t>
        </is>
      </c>
      <c r="BA126" s="47" t="inlineStr">
        <is>
          <t>P</t>
        </is>
      </c>
      <c r="BB126" s="47" t="n"/>
      <c r="BC126" s="47" t="n"/>
      <c r="BD126" s="47" t="inlineStr">
        <is>
          <t>P</t>
        </is>
      </c>
      <c r="BE126" s="47" t="inlineStr">
        <is>
          <t>P</t>
        </is>
      </c>
      <c r="BF126" s="47" t="n"/>
      <c r="BG126" s="47" t="n"/>
      <c r="BH126" s="47" t="inlineStr">
        <is>
          <t>P</t>
        </is>
      </c>
      <c r="BI126" s="47" t="inlineStr">
        <is>
          <t>P</t>
        </is>
      </c>
      <c r="BJ126" s="47" t="n"/>
      <c r="BK126" s="47" t="n"/>
      <c r="BL126" s="47" t="n"/>
      <c r="BM126" s="47" t="n"/>
      <c r="BN126" s="47" t="n"/>
      <c r="BO126" s="47" t="n"/>
      <c r="BP126" s="47" t="n"/>
      <c r="BQ126" s="47" t="inlineStr">
        <is>
          <t>P</t>
        </is>
      </c>
      <c r="BR126" s="47" t="n"/>
      <c r="BS126" s="47" t="n"/>
      <c r="BT126" s="47" t="inlineStr">
        <is>
          <t>P</t>
        </is>
      </c>
      <c r="BU126" s="47" t="inlineStr">
        <is>
          <t>P</t>
        </is>
      </c>
      <c r="BV126" s="47" t="n"/>
      <c r="BW126" s="47" t="n"/>
      <c r="BX126" s="47" t="inlineStr">
        <is>
          <t>P</t>
        </is>
      </c>
      <c r="BY126" s="47" t="inlineStr">
        <is>
          <t>P</t>
        </is>
      </c>
      <c r="BZ126" s="47" t="n"/>
      <c r="CA126" s="47" t="n"/>
      <c r="CB126" s="47" t="inlineStr">
        <is>
          <t>P</t>
        </is>
      </c>
      <c r="CC126" s="47" t="n"/>
      <c r="CD126" s="47" t="n"/>
      <c r="CE126" s="47" t="n"/>
      <c r="CF126" s="47" t="inlineStr">
        <is>
          <t>P</t>
        </is>
      </c>
      <c r="CG126" s="47" t="n"/>
      <c r="CH126" s="47" t="n"/>
      <c r="CI126" s="47" t="n"/>
      <c r="CJ126" s="47" t="n"/>
      <c r="CK126" s="47" t="n"/>
      <c r="CL126" s="47" t="n"/>
      <c r="CM126" s="47" t="n"/>
      <c r="CN126" s="47" t="inlineStr">
        <is>
          <t>A</t>
        </is>
      </c>
      <c r="CO126" s="47" t="n"/>
      <c r="CP126" s="47" t="n"/>
      <c r="CQ126" s="47" t="inlineStr">
        <is>
          <t>P</t>
        </is>
      </c>
      <c r="CR126" s="47" t="inlineStr">
        <is>
          <t>P</t>
        </is>
      </c>
      <c r="CS126" s="47" t="n"/>
      <c r="CT126" s="47" t="n"/>
      <c r="CU126" s="47" t="inlineStr">
        <is>
          <t>P</t>
        </is>
      </c>
      <c r="CV126" s="47" t="inlineStr">
        <is>
          <t>P</t>
        </is>
      </c>
      <c r="CW126" s="47" t="n"/>
      <c r="CX126" s="47" t="n"/>
      <c r="CY126" s="47" t="n"/>
      <c r="CZ126" s="47" t="inlineStr">
        <is>
          <t>A</t>
        </is>
      </c>
      <c r="DA126" s="47" t="n"/>
      <c r="DB126" s="47" t="n"/>
      <c r="DC126" s="47" t="inlineStr">
        <is>
          <t>P</t>
        </is>
      </c>
      <c r="DD126" s="47" t="n"/>
      <c r="DE126" s="47" t="n"/>
      <c r="DF126" s="47" t="n"/>
      <c r="DG126" s="47" t="n"/>
      <c r="DH126" s="47" t="n"/>
      <c r="DI126" s="47" t="n"/>
      <c r="DJ126" s="47" t="n"/>
      <c r="DK126" s="47" t="inlineStr">
        <is>
          <t>P</t>
        </is>
      </c>
      <c r="DL126" s="47" t="n"/>
      <c r="DM126" s="47" t="n"/>
      <c r="DN126" s="47" t="inlineStr">
        <is>
          <t>A</t>
        </is>
      </c>
      <c r="DO126" s="47" t="inlineStr">
        <is>
          <t>A</t>
        </is>
      </c>
      <c r="DP126" s="47" t="n"/>
      <c r="DQ126" s="47" t="n"/>
      <c r="DR126" s="47" t="inlineStr">
        <is>
          <t>P</t>
        </is>
      </c>
      <c r="DS126" s="47" t="inlineStr">
        <is>
          <t>P</t>
        </is>
      </c>
      <c r="DT126" s="47" t="n"/>
      <c r="DU126" s="47" t="n"/>
      <c r="DV126" s="47" t="inlineStr">
        <is>
          <t>P</t>
        </is>
      </c>
      <c r="DW126" s="47" t="inlineStr">
        <is>
          <t>P</t>
        </is>
      </c>
      <c r="DX126" s="47" t="n"/>
      <c r="DY126" s="47" t="n"/>
      <c r="DZ126" s="47" t="inlineStr">
        <is>
          <t>P</t>
        </is>
      </c>
      <c r="EA126" s="47" t="n"/>
      <c r="EB126" s="47" t="n"/>
      <c r="EC126" s="47" t="n"/>
      <c r="ED126" s="47" t="n"/>
      <c r="EE126" s="47" t="n"/>
      <c r="EF126" s="47" t="n"/>
      <c r="EG126" s="47" t="n"/>
      <c r="EH126" s="47" t="inlineStr">
        <is>
          <t>P</t>
        </is>
      </c>
      <c r="EI126" s="47" t="n"/>
      <c r="EJ126" s="47" t="n"/>
      <c r="EK126" s="47" t="inlineStr">
        <is>
          <t>P</t>
        </is>
      </c>
      <c r="EL126" s="47" t="inlineStr">
        <is>
          <t>P</t>
        </is>
      </c>
      <c r="EM126" s="47" t="n"/>
      <c r="EN126" s="47" t="n"/>
      <c r="EO126" s="47" t="inlineStr">
        <is>
          <t>P</t>
        </is>
      </c>
      <c r="EP126" s="47" t="inlineStr">
        <is>
          <t>P</t>
        </is>
      </c>
      <c r="EQ126" s="47" t="n"/>
      <c r="ER126" s="47" t="n"/>
      <c r="ES126" s="47" t="inlineStr">
        <is>
          <t>A</t>
        </is>
      </c>
      <c r="ET126" s="47" t="inlineStr">
        <is>
          <t>A</t>
        </is>
      </c>
      <c r="EU126" s="47" t="n"/>
      <c r="EV126" s="47" t="n"/>
      <c r="EW126" s="47" t="n"/>
      <c r="EX126" s="47" t="n"/>
      <c r="EY126" s="47" t="n"/>
      <c r="EZ126" s="47" t="n"/>
      <c r="FA126" s="47" t="n"/>
      <c r="FB126" s="47" t="inlineStr">
        <is>
          <t>P</t>
        </is>
      </c>
      <c r="FC126" s="47" t="n"/>
      <c r="FD126" s="47" t="n"/>
      <c r="FE126" s="47" t="inlineStr">
        <is>
          <t>P</t>
        </is>
      </c>
      <c r="FF126" s="47" t="inlineStr">
        <is>
          <t>P</t>
        </is>
      </c>
      <c r="FG126" s="47" t="n"/>
      <c r="FH126" s="47" t="n"/>
      <c r="FI126" s="47" t="inlineStr">
        <is>
          <t>A</t>
        </is>
      </c>
      <c r="FJ126" s="47" t="inlineStr">
        <is>
          <t>A</t>
        </is>
      </c>
      <c r="FK126" s="47" t="n"/>
      <c r="FL126" s="47" t="n"/>
      <c r="FM126" s="47" t="n"/>
      <c r="FN126" s="47" t="n"/>
      <c r="FO126" s="47" t="n"/>
      <c r="FP126" s="47" t="n"/>
      <c r="FQ126" s="47" t="n"/>
      <c r="FR126" s="47" t="inlineStr">
        <is>
          <t>P</t>
        </is>
      </c>
      <c r="FS126" s="47" t="n"/>
      <c r="FT126" s="47" t="n"/>
      <c r="FU126" s="47" t="n"/>
      <c r="FV126" s="47" t="n"/>
      <c r="FW126" s="47" t="n"/>
      <c r="FX126" s="47" t="n"/>
      <c r="FY126" s="47" t="inlineStr">
        <is>
          <t>P</t>
        </is>
      </c>
      <c r="FZ126" s="47" t="inlineStr">
        <is>
          <t>P</t>
        </is>
      </c>
      <c r="GA126" s="47" t="n"/>
      <c r="GB126" s="47" t="n"/>
      <c r="GC126" s="47" t="n"/>
      <c r="GD126" s="47" t="inlineStr">
        <is>
          <t>A</t>
        </is>
      </c>
      <c r="GE126" s="47" t="n"/>
      <c r="GF126" s="47" t="n"/>
      <c r="GG126" s="47" t="inlineStr">
        <is>
          <t>P</t>
        </is>
      </c>
      <c r="GH126" s="47" t="n"/>
      <c r="GI126" s="47" t="n"/>
    </row>
    <row r="127" ht="14.25" customHeight="1" s="34">
      <c r="A127" s="46" t="n">
        <v>124</v>
      </c>
      <c r="B127" s="46" t="inlineStr">
        <is>
          <t>325106410124</t>
        </is>
      </c>
      <c r="C127" s="46" t="inlineStr">
        <is>
          <t>YUVRAJ SINGH</t>
        </is>
      </c>
      <c r="D127" s="47" t="inlineStr">
        <is>
          <t>A</t>
        </is>
      </c>
      <c r="E127" s="47" t="n"/>
      <c r="F127" s="47" t="n"/>
      <c r="G127" s="47" t="n"/>
      <c r="H127" s="47" t="n"/>
      <c r="I127" s="47" t="inlineStr">
        <is>
          <t>A</t>
        </is>
      </c>
      <c r="J127" s="47" t="n"/>
      <c r="K127" s="47" t="n"/>
      <c r="L127" s="47" t="inlineStr">
        <is>
          <t>A</t>
        </is>
      </c>
      <c r="M127" s="47" t="n"/>
      <c r="N127" s="47" t="n"/>
      <c r="O127" s="47" t="n"/>
      <c r="P127" s="47" t="inlineStr">
        <is>
          <t>A</t>
        </is>
      </c>
      <c r="Q127" s="47" t="inlineStr">
        <is>
          <t>A</t>
        </is>
      </c>
      <c r="R127" s="47" t="n"/>
      <c r="S127" s="47" t="n"/>
      <c r="T127" s="47" t="inlineStr">
        <is>
          <t>A</t>
        </is>
      </c>
      <c r="U127" s="47" t="n"/>
      <c r="V127" s="47" t="n"/>
      <c r="W127" s="47" t="n"/>
      <c r="X127" s="47" t="n"/>
      <c r="Y127" s="47" t="n"/>
      <c r="Z127" s="47" t="n"/>
      <c r="AA127" s="47" t="n"/>
      <c r="AB127" s="47" t="n"/>
      <c r="AC127" s="47" t="inlineStr">
        <is>
          <t>A</t>
        </is>
      </c>
      <c r="AD127" s="47" t="n"/>
      <c r="AE127" s="47" t="n"/>
      <c r="AF127" s="47" t="inlineStr">
        <is>
          <t>A</t>
        </is>
      </c>
      <c r="AG127" s="47" t="n"/>
      <c r="AH127" s="47" t="n"/>
      <c r="AI127" s="47" t="n"/>
      <c r="AJ127" s="47" t="inlineStr">
        <is>
          <t>A</t>
        </is>
      </c>
      <c r="AK127" s="47" t="inlineStr">
        <is>
          <t>A</t>
        </is>
      </c>
      <c r="AL127" s="47" t="n"/>
      <c r="AM127" s="47" t="n"/>
      <c r="AN127" s="47" t="inlineStr">
        <is>
          <t>A</t>
        </is>
      </c>
      <c r="AO127" s="47" t="n"/>
      <c r="AP127" s="47" t="n"/>
      <c r="AQ127" s="47" t="n"/>
      <c r="AR127" s="47" t="inlineStr">
        <is>
          <t>A</t>
        </is>
      </c>
      <c r="AS127" s="47" t="n"/>
      <c r="AT127" s="47" t="n"/>
      <c r="AU127" s="47" t="n"/>
      <c r="AV127" s="47" t="n"/>
      <c r="AW127" s="47" t="inlineStr">
        <is>
          <t>P</t>
        </is>
      </c>
      <c r="AX127" s="47" t="n"/>
      <c r="AY127" s="47" t="n"/>
      <c r="AZ127" s="47" t="inlineStr">
        <is>
          <t>A</t>
        </is>
      </c>
      <c r="BA127" s="47" t="inlineStr">
        <is>
          <t>A</t>
        </is>
      </c>
      <c r="BB127" s="47" t="n"/>
      <c r="BC127" s="47" t="n"/>
      <c r="BD127" s="47" t="inlineStr">
        <is>
          <t>P</t>
        </is>
      </c>
      <c r="BE127" s="47" t="inlineStr">
        <is>
          <t>P</t>
        </is>
      </c>
      <c r="BF127" s="47" t="n"/>
      <c r="BG127" s="47" t="n"/>
      <c r="BH127" s="47" t="inlineStr">
        <is>
          <t>P</t>
        </is>
      </c>
      <c r="BI127" s="47" t="inlineStr">
        <is>
          <t>A</t>
        </is>
      </c>
      <c r="BJ127" s="47" t="n"/>
      <c r="BK127" s="47" t="n"/>
      <c r="BL127" s="47" t="n"/>
      <c r="BM127" s="47" t="n"/>
      <c r="BN127" s="47" t="n"/>
      <c r="BO127" s="47" t="n"/>
      <c r="BP127" s="47" t="n"/>
      <c r="BQ127" s="47" t="inlineStr">
        <is>
          <t>P</t>
        </is>
      </c>
      <c r="BR127" s="47" t="n"/>
      <c r="BS127" s="47" t="n"/>
      <c r="BT127" s="47" t="inlineStr">
        <is>
          <t>P</t>
        </is>
      </c>
      <c r="BU127" s="47" t="inlineStr">
        <is>
          <t>P</t>
        </is>
      </c>
      <c r="BV127" s="47" t="n"/>
      <c r="BW127" s="47" t="n"/>
      <c r="BX127" s="47" t="inlineStr">
        <is>
          <t>P</t>
        </is>
      </c>
      <c r="BY127" s="47" t="inlineStr">
        <is>
          <t>P</t>
        </is>
      </c>
      <c r="BZ127" s="47" t="n"/>
      <c r="CA127" s="47" t="n"/>
      <c r="CB127" s="47" t="inlineStr">
        <is>
          <t>P</t>
        </is>
      </c>
      <c r="CC127" s="47" t="n"/>
      <c r="CD127" s="47" t="n"/>
      <c r="CE127" s="47" t="n"/>
      <c r="CF127" s="47" t="inlineStr">
        <is>
          <t>A</t>
        </is>
      </c>
      <c r="CG127" s="47" t="n"/>
      <c r="CH127" s="47" t="n"/>
      <c r="CI127" s="47" t="n"/>
      <c r="CJ127" s="47" t="n"/>
      <c r="CK127" s="47" t="n"/>
      <c r="CL127" s="47" t="n"/>
      <c r="CM127" s="47" t="n"/>
      <c r="CN127" s="47" t="inlineStr">
        <is>
          <t>P</t>
        </is>
      </c>
      <c r="CO127" s="47" t="n"/>
      <c r="CP127" s="47" t="n"/>
      <c r="CQ127" s="47" t="inlineStr">
        <is>
          <t>P</t>
        </is>
      </c>
      <c r="CR127" s="47" t="inlineStr">
        <is>
          <t>P</t>
        </is>
      </c>
      <c r="CS127" s="47" t="n"/>
      <c r="CT127" s="47" t="n"/>
      <c r="CU127" s="47" t="inlineStr">
        <is>
          <t>P</t>
        </is>
      </c>
      <c r="CV127" s="47" t="inlineStr">
        <is>
          <t>P</t>
        </is>
      </c>
      <c r="CW127" s="47" t="n"/>
      <c r="CX127" s="47" t="n"/>
      <c r="CY127" s="47" t="n"/>
      <c r="CZ127" s="47" t="inlineStr">
        <is>
          <t>A</t>
        </is>
      </c>
      <c r="DA127" s="47" t="n"/>
      <c r="DB127" s="47" t="n"/>
      <c r="DC127" s="47" t="inlineStr">
        <is>
          <t>P</t>
        </is>
      </c>
      <c r="DD127" s="47" t="n"/>
      <c r="DE127" s="47" t="n"/>
      <c r="DF127" s="47" t="n"/>
      <c r="DG127" s="47" t="n"/>
      <c r="DH127" s="47" t="n"/>
      <c r="DI127" s="47" t="n"/>
      <c r="DJ127" s="47" t="n"/>
      <c r="DK127" s="47" t="inlineStr">
        <is>
          <t>P</t>
        </is>
      </c>
      <c r="DL127" s="47" t="n"/>
      <c r="DM127" s="47" t="n"/>
      <c r="DN127" s="47" t="inlineStr">
        <is>
          <t>P</t>
        </is>
      </c>
      <c r="DO127" s="47" t="inlineStr">
        <is>
          <t>P</t>
        </is>
      </c>
      <c r="DP127" s="47" t="n"/>
      <c r="DQ127" s="47" t="n"/>
      <c r="DR127" s="47" t="inlineStr">
        <is>
          <t>P</t>
        </is>
      </c>
      <c r="DS127" s="47" t="inlineStr">
        <is>
          <t>P</t>
        </is>
      </c>
      <c r="DT127" s="47" t="n"/>
      <c r="DU127" s="47" t="n"/>
      <c r="DV127" s="47" t="inlineStr">
        <is>
          <t>A</t>
        </is>
      </c>
      <c r="DW127" s="47" t="inlineStr">
        <is>
          <t>A</t>
        </is>
      </c>
      <c r="DX127" s="47" t="n"/>
      <c r="DY127" s="47" t="n"/>
      <c r="DZ127" s="47" t="inlineStr">
        <is>
          <t>P</t>
        </is>
      </c>
      <c r="EA127" s="47" t="n"/>
      <c r="EB127" s="47" t="n"/>
      <c r="EC127" s="47" t="n"/>
      <c r="ED127" s="47" t="n"/>
      <c r="EE127" s="47" t="n"/>
      <c r="EF127" s="47" t="n"/>
      <c r="EG127" s="47" t="n"/>
      <c r="EH127" s="47" t="inlineStr">
        <is>
          <t>P</t>
        </is>
      </c>
      <c r="EI127" s="47" t="n"/>
      <c r="EJ127" s="47" t="n"/>
      <c r="EK127" s="47" t="inlineStr">
        <is>
          <t>P</t>
        </is>
      </c>
      <c r="EL127" s="47" t="inlineStr">
        <is>
          <t>P</t>
        </is>
      </c>
      <c r="EM127" s="47" t="n"/>
      <c r="EN127" s="47" t="n"/>
      <c r="EO127" s="47" t="inlineStr">
        <is>
          <t>A</t>
        </is>
      </c>
      <c r="EP127" s="47" t="inlineStr">
        <is>
          <t>P</t>
        </is>
      </c>
      <c r="EQ127" s="47" t="n"/>
      <c r="ER127" s="47" t="n"/>
      <c r="ES127" s="47" t="inlineStr">
        <is>
          <t>P</t>
        </is>
      </c>
      <c r="ET127" s="47" t="inlineStr">
        <is>
          <t>P</t>
        </is>
      </c>
      <c r="EU127" s="47" t="n"/>
      <c r="EV127" s="47" t="n"/>
      <c r="EW127" s="47" t="n"/>
      <c r="EX127" s="47" t="n"/>
      <c r="EY127" s="47" t="n"/>
      <c r="EZ127" s="47" t="n"/>
      <c r="FA127" s="47" t="n"/>
      <c r="FB127" s="47" t="inlineStr">
        <is>
          <t>P</t>
        </is>
      </c>
      <c r="FC127" s="47" t="n"/>
      <c r="FD127" s="47" t="n"/>
      <c r="FE127" s="47" t="inlineStr">
        <is>
          <t>P</t>
        </is>
      </c>
      <c r="FF127" s="47" t="inlineStr">
        <is>
          <t>P</t>
        </is>
      </c>
      <c r="FG127" s="47" t="n"/>
      <c r="FH127" s="47" t="n"/>
      <c r="FI127" s="47" t="inlineStr">
        <is>
          <t>P</t>
        </is>
      </c>
      <c r="FJ127" s="47" t="inlineStr">
        <is>
          <t>P</t>
        </is>
      </c>
      <c r="FK127" s="47" t="n"/>
      <c r="FL127" s="47" t="n"/>
      <c r="FM127" s="47" t="n"/>
      <c r="FN127" s="47" t="n"/>
      <c r="FO127" s="47" t="n"/>
      <c r="FP127" s="47" t="n"/>
      <c r="FQ127" s="47" t="n"/>
      <c r="FR127" s="47" t="inlineStr">
        <is>
          <t>P</t>
        </is>
      </c>
      <c r="FS127" s="47" t="n"/>
      <c r="FT127" s="47" t="n"/>
      <c r="FU127" s="47" t="n"/>
      <c r="FV127" s="47" t="n"/>
      <c r="FW127" s="47" t="n"/>
      <c r="FX127" s="47" t="n"/>
      <c r="FY127" s="47" t="inlineStr">
        <is>
          <t>P</t>
        </is>
      </c>
      <c r="FZ127" s="47" t="inlineStr">
        <is>
          <t>P</t>
        </is>
      </c>
      <c r="GA127" s="47" t="n"/>
      <c r="GB127" s="47" t="n"/>
      <c r="GC127" s="47" t="n"/>
      <c r="GD127" s="47" t="inlineStr">
        <is>
          <t>A</t>
        </is>
      </c>
      <c r="GE127" s="47" t="n"/>
      <c r="GF127" s="47" t="n"/>
      <c r="GG127" s="47" t="inlineStr">
        <is>
          <t>A</t>
        </is>
      </c>
      <c r="GH127" s="47" t="n"/>
      <c r="GI127" s="47" t="n"/>
    </row>
  </sheetData>
  <mergeCells count="51">
    <mergeCell ref="BH1:BK1"/>
    <mergeCell ref="CQ1:CT1"/>
    <mergeCell ref="BP1:BS1"/>
    <mergeCell ref="DJ1:DM1"/>
    <mergeCell ref="CY1:DB1"/>
    <mergeCell ref="DR1:DU1"/>
    <mergeCell ref="DV1:DY1"/>
    <mergeCell ref="ES1:EV1"/>
    <mergeCell ref="FE1:FH1"/>
    <mergeCell ref="X1:AA1"/>
    <mergeCell ref="AJ1:AM1"/>
    <mergeCell ref="AF1:AI1"/>
    <mergeCell ref="BT1:BW1"/>
    <mergeCell ref="AR1:AU1"/>
    <mergeCell ref="CB1:CE1"/>
    <mergeCell ref="FM1:FP1"/>
    <mergeCell ref="EK1:EN1"/>
    <mergeCell ref="AV1:AY1"/>
    <mergeCell ref="D1:G1"/>
    <mergeCell ref="FU1:FX1"/>
    <mergeCell ref="AZ1:BC1"/>
    <mergeCell ref="H1:K1"/>
    <mergeCell ref="P1:S1"/>
    <mergeCell ref="A1:A3"/>
    <mergeCell ref="BL1:BO1"/>
    <mergeCell ref="CI1:CL1"/>
    <mergeCell ref="CU1:CX1"/>
    <mergeCell ref="EC1:EF1"/>
    <mergeCell ref="DN1:DQ1"/>
    <mergeCell ref="EW1:EZ1"/>
    <mergeCell ref="DC1:DE1"/>
    <mergeCell ref="EO1:ER1"/>
    <mergeCell ref="FA1:FD1"/>
    <mergeCell ref="FI1:FL1"/>
    <mergeCell ref="AB1:AE1"/>
    <mergeCell ref="AN1:AQ1"/>
    <mergeCell ref="BX1:CA1"/>
    <mergeCell ref="GG1:GI1"/>
    <mergeCell ref="B1:B3"/>
    <mergeCell ref="C1:C3"/>
    <mergeCell ref="BD1:BG1"/>
    <mergeCell ref="DF1:DI1"/>
    <mergeCell ref="FQ1:FT1"/>
    <mergeCell ref="EG1:EJ1"/>
    <mergeCell ref="CF1:CH1"/>
    <mergeCell ref="FY1:GB1"/>
    <mergeCell ref="DZ1:EB1"/>
    <mergeCell ref="GC1:GF1"/>
    <mergeCell ref="L1:O1"/>
    <mergeCell ref="CM1:CP1"/>
    <mergeCell ref="T1:W1"/>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CM126"/>
  <sheetViews>
    <sheetView showFormulas="0" showGridLines="1" showRowColHeaders="1" showZeros="1" rightToLeft="0" tabSelected="0" showOutlineSymbols="1" defaultGridColor="1" view="normal" topLeftCell="F1" colorId="64" zoomScale="100" zoomScaleNormal="100" zoomScalePageLayoutView="100" workbookViewId="0">
      <pane xSplit="3" ySplit="2" topLeftCell="D3" activePane="bottomRight" state="frozen"/>
      <selection pane="topLeft" activeCell="F1" activeCellId="0" sqref="F1"/>
      <selection pane="topRight" activeCell="D1" activeCellId="0" sqref="D1"/>
      <selection pane="bottomLeft" activeCell="F3" activeCellId="0" sqref="F3"/>
      <selection pane="bottomRight" activeCell="C14" activeCellId="0" sqref="C14"/>
    </sheetView>
  </sheetViews>
  <sheetFormatPr baseColWidth="8" defaultColWidth="8.796875" defaultRowHeight="14.25" zeroHeight="0" outlineLevelRow="0"/>
  <cols>
    <col width="6" customWidth="1" style="36" min="1" max="1"/>
    <col width="18" customWidth="1" style="36" min="2" max="2"/>
    <col width="35" customWidth="1" style="36" min="3" max="3"/>
    <col width="11" customWidth="1" style="36" min="4" max="91"/>
  </cols>
  <sheetData>
    <row r="1" ht="21.75" customHeight="1" s="34">
      <c r="A1" s="48" t="n"/>
      <c r="B1" s="48" t="n"/>
      <c r="C1" s="48" t="n"/>
      <c r="D1" s="49" t="inlineStr">
        <is>
          <t>JUNE — Subject-wise &amp; Total Attendance</t>
        </is>
      </c>
      <c r="E1" s="50" t="n"/>
      <c r="F1" s="50" t="n"/>
      <c r="G1" s="50" t="n"/>
      <c r="H1" s="50" t="n"/>
      <c r="I1" s="50" t="n"/>
      <c r="J1" s="50" t="n"/>
      <c r="K1" s="50" t="n"/>
      <c r="L1" s="50" t="n"/>
      <c r="M1" s="50" t="n"/>
      <c r="N1" s="50" t="n"/>
      <c r="O1" s="50" t="n"/>
      <c r="P1" s="50" t="n"/>
      <c r="Q1" s="50" t="n"/>
      <c r="R1" s="50" t="n"/>
      <c r="S1" s="50" t="n"/>
      <c r="T1" s="50" t="n"/>
      <c r="U1" s="50" t="n"/>
      <c r="V1" s="50" t="n"/>
      <c r="W1" s="50" t="n"/>
      <c r="X1" s="51" t="n"/>
      <c r="Y1" s="52" t="inlineStr">
        <is>
          <t>JULY — Subject-wise &amp; Total Attendance</t>
        </is>
      </c>
      <c r="Z1" s="50" t="n"/>
      <c r="AA1" s="50" t="n"/>
      <c r="AB1" s="50" t="n"/>
      <c r="AC1" s="50" t="n"/>
      <c r="AD1" s="50" t="n"/>
      <c r="AE1" s="50" t="n"/>
      <c r="AF1" s="50" t="n"/>
      <c r="AG1" s="50" t="n"/>
      <c r="AH1" s="50" t="n"/>
      <c r="AI1" s="50" t="n"/>
      <c r="AJ1" s="50" t="n"/>
      <c r="AK1" s="50" t="n"/>
      <c r="AL1" s="50" t="n"/>
      <c r="AM1" s="50" t="n"/>
      <c r="AN1" s="50" t="n"/>
      <c r="AO1" s="50" t="n"/>
      <c r="AP1" s="50" t="n"/>
      <c r="AQ1" s="50" t="n"/>
      <c r="AR1" s="50" t="n"/>
      <c r="AS1" s="51" t="n"/>
      <c r="AT1" s="53" t="inlineStr">
        <is>
          <t>AUGUST — Subject-wise &amp; Total Attendance</t>
        </is>
      </c>
      <c r="AU1" s="50" t="n"/>
      <c r="AV1" s="50" t="n"/>
      <c r="AW1" s="50" t="n"/>
      <c r="AX1" s="50" t="n"/>
      <c r="AY1" s="50" t="n"/>
      <c r="AZ1" s="50" t="n"/>
      <c r="BA1" s="50" t="n"/>
      <c r="BB1" s="50" t="n"/>
      <c r="BC1" s="50" t="n"/>
      <c r="BD1" s="50" t="n"/>
      <c r="BE1" s="50" t="n"/>
      <c r="BF1" s="50" t="n"/>
      <c r="BG1" s="50" t="n"/>
      <c r="BH1" s="50" t="n"/>
      <c r="BI1" s="50" t="n"/>
      <c r="BJ1" s="50" t="n"/>
      <c r="BK1" s="50" t="n"/>
      <c r="BL1" s="50" t="n"/>
      <c r="BM1" s="50" t="n"/>
      <c r="BN1" s="51" t="n"/>
      <c r="BO1" s="54" t="inlineStr">
        <is>
          <t>OVERALL (Jun+Jul+Aug) — Subject-wise &amp; Total</t>
        </is>
      </c>
      <c r="BP1" s="50" t="n"/>
      <c r="BQ1" s="50" t="n"/>
      <c r="BR1" s="50" t="n"/>
      <c r="BS1" s="50" t="n"/>
      <c r="BT1" s="50" t="n"/>
      <c r="BU1" s="50" t="n"/>
      <c r="BV1" s="50" t="n"/>
      <c r="BW1" s="50" t="n"/>
      <c r="BX1" s="50" t="n"/>
      <c r="BY1" s="50" t="n"/>
      <c r="BZ1" s="50" t="n"/>
      <c r="CA1" s="50" t="n"/>
      <c r="CB1" s="50" t="n"/>
      <c r="CC1" s="50" t="n"/>
      <c r="CD1" s="50" t="n"/>
      <c r="CE1" s="50" t="n"/>
      <c r="CF1" s="50" t="n"/>
      <c r="CG1" s="50" t="n"/>
      <c r="CH1" s="50" t="n"/>
      <c r="CI1" s="51" t="n"/>
      <c r="CJ1" s="55" t="inlineStr">
        <is>
          <t>GRAND TOTAL (Theory 1x + Lab 2x)</t>
        </is>
      </c>
      <c r="CK1" s="50" t="n"/>
      <c r="CL1" s="50" t="n"/>
      <c r="CM1" s="51" t="n"/>
    </row>
    <row r="2" ht="30" customHeight="1" s="34">
      <c r="A2" s="56" t="n"/>
      <c r="B2" s="56" t="n"/>
      <c r="C2" s="56" t="n"/>
      <c r="D2" s="57" t="inlineStr">
        <is>
          <t>PSQT P</t>
        </is>
      </c>
      <c r="E2" s="57" t="inlineStr">
        <is>
          <t>PSQT A</t>
        </is>
      </c>
      <c r="F2" s="57" t="inlineStr">
        <is>
          <t>PSQT %</t>
        </is>
      </c>
      <c r="G2" s="57" t="inlineStr">
        <is>
          <t>OOPJ P</t>
        </is>
      </c>
      <c r="H2" s="57" t="inlineStr">
        <is>
          <t>OOPJ A</t>
        </is>
      </c>
      <c r="I2" s="57" t="inlineStr">
        <is>
          <t>OOPJ %</t>
        </is>
      </c>
      <c r="J2" s="57" t="inlineStr">
        <is>
          <t>OS P</t>
        </is>
      </c>
      <c r="K2" s="57" t="inlineStr">
        <is>
          <t>OS A</t>
        </is>
      </c>
      <c r="L2" s="57" t="inlineStr">
        <is>
          <t>OS %</t>
        </is>
      </c>
      <c r="M2" s="57" t="inlineStr">
        <is>
          <t>COA P</t>
        </is>
      </c>
      <c r="N2" s="57" t="inlineStr">
        <is>
          <t>COA A</t>
        </is>
      </c>
      <c r="O2" s="57" t="inlineStr">
        <is>
          <t>COA %</t>
        </is>
      </c>
      <c r="P2" s="57" t="inlineStr">
        <is>
          <t>DMS P</t>
        </is>
      </c>
      <c r="Q2" s="57" t="inlineStr">
        <is>
          <t>DMS A</t>
        </is>
      </c>
      <c r="R2" s="57" t="inlineStr">
        <is>
          <t>DMS %</t>
        </is>
      </c>
      <c r="S2" s="57" t="inlineStr">
        <is>
          <t>June Theory Total P</t>
        </is>
      </c>
      <c r="T2" s="57" t="inlineStr">
        <is>
          <t>June Theory Total A</t>
        </is>
      </c>
      <c r="U2" s="57" t="inlineStr">
        <is>
          <t>June Theory Total %</t>
        </is>
      </c>
      <c r="V2" s="58" t="inlineStr">
        <is>
          <t>June Lab P</t>
        </is>
      </c>
      <c r="W2" s="58" t="inlineStr">
        <is>
          <t>June Lab A</t>
        </is>
      </c>
      <c r="X2" s="58" t="inlineStr">
        <is>
          <t>June Lab %</t>
        </is>
      </c>
      <c r="Y2" s="59" t="inlineStr">
        <is>
          <t>PSQT P</t>
        </is>
      </c>
      <c r="Z2" s="59" t="inlineStr">
        <is>
          <t>PSQT A</t>
        </is>
      </c>
      <c r="AA2" s="59" t="inlineStr">
        <is>
          <t>PSQT %</t>
        </is>
      </c>
      <c r="AB2" s="59" t="inlineStr">
        <is>
          <t>OOPJ P</t>
        </is>
      </c>
      <c r="AC2" s="59" t="inlineStr">
        <is>
          <t>OOPJ A</t>
        </is>
      </c>
      <c r="AD2" s="59" t="inlineStr">
        <is>
          <t>OOPJ %</t>
        </is>
      </c>
      <c r="AE2" s="59" t="inlineStr">
        <is>
          <t>OS P</t>
        </is>
      </c>
      <c r="AF2" s="59" t="inlineStr">
        <is>
          <t>OS A</t>
        </is>
      </c>
      <c r="AG2" s="59" t="inlineStr">
        <is>
          <t>OS %</t>
        </is>
      </c>
      <c r="AH2" s="59" t="inlineStr">
        <is>
          <t>COA P</t>
        </is>
      </c>
      <c r="AI2" s="59" t="inlineStr">
        <is>
          <t>COA A</t>
        </is>
      </c>
      <c r="AJ2" s="59" t="inlineStr">
        <is>
          <t>COA %</t>
        </is>
      </c>
      <c r="AK2" s="59" t="inlineStr">
        <is>
          <t>DMS P</t>
        </is>
      </c>
      <c r="AL2" s="59" t="inlineStr">
        <is>
          <t>DMS A</t>
        </is>
      </c>
      <c r="AM2" s="59" t="inlineStr">
        <is>
          <t>DMS %</t>
        </is>
      </c>
      <c r="AN2" s="59" t="inlineStr">
        <is>
          <t>July Theory Total P</t>
        </is>
      </c>
      <c r="AO2" s="59" t="inlineStr">
        <is>
          <t>July Theory Total A</t>
        </is>
      </c>
      <c r="AP2" s="59" t="inlineStr">
        <is>
          <t>July Theory Total %</t>
        </is>
      </c>
      <c r="AQ2" s="58" t="inlineStr">
        <is>
          <t>July Lab P</t>
        </is>
      </c>
      <c r="AR2" s="58" t="inlineStr">
        <is>
          <t>July Lab A</t>
        </is>
      </c>
      <c r="AS2" s="58" t="inlineStr">
        <is>
          <t>July Lab %</t>
        </is>
      </c>
      <c r="AT2" s="60" t="inlineStr">
        <is>
          <t>PSQT P</t>
        </is>
      </c>
      <c r="AU2" s="60" t="inlineStr">
        <is>
          <t>PSQT A</t>
        </is>
      </c>
      <c r="AV2" s="60" t="inlineStr">
        <is>
          <t>PSQT %</t>
        </is>
      </c>
      <c r="AW2" s="60" t="inlineStr">
        <is>
          <t>OOPJ P</t>
        </is>
      </c>
      <c r="AX2" s="60" t="inlineStr">
        <is>
          <t>OOPJ A</t>
        </is>
      </c>
      <c r="AY2" s="60" t="inlineStr">
        <is>
          <t>OOPJ %</t>
        </is>
      </c>
      <c r="AZ2" s="60" t="inlineStr">
        <is>
          <t>OS P</t>
        </is>
      </c>
      <c r="BA2" s="60" t="inlineStr">
        <is>
          <t>OS A</t>
        </is>
      </c>
      <c r="BB2" s="60" t="inlineStr">
        <is>
          <t>OS %</t>
        </is>
      </c>
      <c r="BC2" s="60" t="inlineStr">
        <is>
          <t>COA P</t>
        </is>
      </c>
      <c r="BD2" s="60" t="inlineStr">
        <is>
          <t>COA A</t>
        </is>
      </c>
      <c r="BE2" s="60" t="inlineStr">
        <is>
          <t>COA %</t>
        </is>
      </c>
      <c r="BF2" s="60" t="inlineStr">
        <is>
          <t>DMS P</t>
        </is>
      </c>
      <c r="BG2" s="60" t="inlineStr">
        <is>
          <t>DMS A</t>
        </is>
      </c>
      <c r="BH2" s="60" t="inlineStr">
        <is>
          <t>DMS %</t>
        </is>
      </c>
      <c r="BI2" s="60" t="inlineStr">
        <is>
          <t>Aug Theory Total P</t>
        </is>
      </c>
      <c r="BJ2" s="60" t="inlineStr">
        <is>
          <t>Aug Theory Total A</t>
        </is>
      </c>
      <c r="BK2" s="60" t="inlineStr">
        <is>
          <t>Aug Theory Total %</t>
        </is>
      </c>
      <c r="BL2" s="58" t="inlineStr">
        <is>
          <t>Aug Lab P</t>
        </is>
      </c>
      <c r="BM2" s="58" t="inlineStr">
        <is>
          <t>Aug Lab A</t>
        </is>
      </c>
      <c r="BN2" s="58" t="inlineStr">
        <is>
          <t>Aug Lab %</t>
        </is>
      </c>
      <c r="BO2" s="61" t="inlineStr">
        <is>
          <t>PSQT Overall P</t>
        </is>
      </c>
      <c r="BP2" s="61" t="inlineStr">
        <is>
          <t>PSQT Overall A</t>
        </is>
      </c>
      <c r="BQ2" s="61" t="inlineStr">
        <is>
          <t>PSQT Overall %</t>
        </is>
      </c>
      <c r="BR2" s="61" t="inlineStr">
        <is>
          <t>OOPJ Overall P</t>
        </is>
      </c>
      <c r="BS2" s="61" t="inlineStr">
        <is>
          <t>OOPJ Overall A</t>
        </is>
      </c>
      <c r="BT2" s="61" t="inlineStr">
        <is>
          <t>OOPJ Overall %</t>
        </is>
      </c>
      <c r="BU2" s="61" t="inlineStr">
        <is>
          <t>OS Overall P</t>
        </is>
      </c>
      <c r="BV2" s="61" t="inlineStr">
        <is>
          <t>OS Overall A</t>
        </is>
      </c>
      <c r="BW2" s="61" t="inlineStr">
        <is>
          <t>OS Overall %</t>
        </is>
      </c>
      <c r="BX2" s="61" t="inlineStr">
        <is>
          <t>COA Overall P</t>
        </is>
      </c>
      <c r="BY2" s="61" t="inlineStr">
        <is>
          <t>COA Overall A</t>
        </is>
      </c>
      <c r="BZ2" s="61" t="inlineStr">
        <is>
          <t>COA Overall %</t>
        </is>
      </c>
      <c r="CA2" s="61" t="inlineStr">
        <is>
          <t>DMS Overall P</t>
        </is>
      </c>
      <c r="CB2" s="61" t="inlineStr">
        <is>
          <t>DMS Overall A</t>
        </is>
      </c>
      <c r="CC2" s="61" t="inlineStr">
        <is>
          <t>DMS Overall %</t>
        </is>
      </c>
      <c r="CD2" s="61" t="inlineStr">
        <is>
          <t>Overall Theory Total P</t>
        </is>
      </c>
      <c r="CE2" s="61" t="inlineStr">
        <is>
          <t>Overall Theory Total A</t>
        </is>
      </c>
      <c r="CF2" s="61" t="inlineStr">
        <is>
          <t>Overall Theory Total %</t>
        </is>
      </c>
      <c r="CG2" s="58" t="inlineStr">
        <is>
          <t>Overall Lab P</t>
        </is>
      </c>
      <c r="CH2" s="58" t="inlineStr">
        <is>
          <t>Overall Lab A</t>
        </is>
      </c>
      <c r="CI2" s="58" t="inlineStr">
        <is>
          <t>Overall Lab %</t>
        </is>
      </c>
      <c r="CJ2" s="62" t="inlineStr">
        <is>
          <t>Grand Total Present (Units)</t>
        </is>
      </c>
      <c r="CK2" s="62" t="inlineStr">
        <is>
          <t>Grand Total Absent (Units)</t>
        </is>
      </c>
      <c r="CL2" s="62" t="inlineStr">
        <is>
          <t>Grand Overall % (Theory=1x, Lab=2x)</t>
        </is>
      </c>
      <c r="CM2" s="62" t="inlineStr">
        <is>
          <t>Lab Batch</t>
        </is>
      </c>
    </row>
    <row r="3" ht="14.25" customHeight="1" s="34">
      <c r="A3" s="46" t="n">
        <v>1</v>
      </c>
      <c r="B3" s="46" t="inlineStr">
        <is>
          <t>325106410001</t>
        </is>
      </c>
      <c r="C3" s="46" t="inlineStr">
        <is>
          <t>RATISH SHARMA</t>
        </is>
      </c>
      <c r="D3" s="63" t="n">
        <v>0</v>
      </c>
      <c r="E3" s="63" t="n">
        <v>0</v>
      </c>
      <c r="F3" s="64">
        <f>IF((D3+E3)=0,"", D3/(D3+E3))</f>
        <v/>
      </c>
      <c r="G3" s="63">
        <f>COUNTIF('Detailed Attendance'!I4:I4, "P")</f>
        <v/>
      </c>
      <c r="H3" s="63">
        <f>COUNTIF('Detailed Attendance'!I4:I4, "A")</f>
        <v/>
      </c>
      <c r="I3" s="64">
        <f>IF((G3+H3)=0,"", G3/(G3+H3))</f>
        <v/>
      </c>
      <c r="J3" s="63" t="n">
        <v>0</v>
      </c>
      <c r="K3" s="63" t="n">
        <v>0</v>
      </c>
      <c r="L3" s="64">
        <f>IF((J3+K3)=0,"", J3/(J3+K3))</f>
        <v/>
      </c>
      <c r="M3" s="63">
        <f>COUNTIF('Detailed Attendance'!D4:D4, "P")</f>
        <v/>
      </c>
      <c r="N3" s="63">
        <f>COUNTIF('Detailed Attendance'!D4:D4, "A")</f>
        <v/>
      </c>
      <c r="O3" s="64">
        <f>IF((M3+N3)=0,"", M3/(M3+N3))</f>
        <v/>
      </c>
      <c r="P3" s="63" t="n">
        <v>0</v>
      </c>
      <c r="Q3" s="63" t="n">
        <v>0</v>
      </c>
      <c r="R3" s="64">
        <f>IF((P3+Q3)=0,"", P3/(P3+Q3))</f>
        <v/>
      </c>
      <c r="S3" s="63">
        <f>D3+G3+J3+M3+P3</f>
        <v/>
      </c>
      <c r="T3" s="63">
        <f>E3+H3+K3+N3+Q3</f>
        <v/>
      </c>
      <c r="U3" s="64">
        <f>IF((S3+T3)=0,"", S3/(S3+T3))</f>
        <v/>
      </c>
      <c r="V3" s="65">
        <f>COUNTIF('Detailed Attendance'!E4:E4, "P")</f>
        <v/>
      </c>
      <c r="W3" s="65">
        <f>COUNTIF('Detailed Attendance'!E4:E4, "A")</f>
        <v/>
      </c>
      <c r="X3" s="66">
        <f>IF((V3+W3)=0,"", V3/(V3+W3))</f>
        <v/>
      </c>
      <c r="Y3" s="63">
        <f>COUNTIF('Detailed Attendance'!R4:R4, "P")+COUNTIF('Detailed Attendance'!X4:X4, "P")+COUNTIF('Detailed Attendance'!AL4:AL4, "P")+COUNTIF('Detailed Attendance'!BF4:BF4, "P")+COUNTIF('Detailed Attendance'!BL4:BL4, "P")+COUNTIF('Detailed Attendance'!BZ4:BZ4, "P")+COUNTIF('Detailed Attendance'!CI4:CI4, "P")+COUNTIF('Detailed Attendance'!CW4:CW4, "P")</f>
        <v/>
      </c>
      <c r="Z3" s="63">
        <f>COUNTIF('Detailed Attendance'!R4:R4, "A")+COUNTIF('Detailed Attendance'!X4:X4, "A")+COUNTIF('Detailed Attendance'!AL4:AL4, "A")+COUNTIF('Detailed Attendance'!BF4:BF4, "A")+COUNTIF('Detailed Attendance'!BL4:BL4, "A")+COUNTIF('Detailed Attendance'!BZ4:BZ4, "A")+COUNTIF('Detailed Attendance'!CI4:CI4, "A")+COUNTIF('Detailed Attendance'!CW4:CW4, "A")</f>
        <v/>
      </c>
      <c r="AA3" s="64">
        <f>IF((Y3+Z3)=0,"", Y3/(Y3+Z3))</f>
        <v/>
      </c>
      <c r="AB3" s="63">
        <f>COUNTIF('Detailed Attendance'!Q4:Q4, "P")+COUNTIF('Detailed Attendance'!AC4:AC4, "P")+COUNTIF('Detailed Attendance'!AK4:AK4, "P")+COUNTIF('Detailed Attendance'!AW4:AW4, "P")+COUNTIF('Detailed Attendance'!BE4:BE4, "P")+COUNTIF('Detailed Attendance'!BQ4:BQ4, "P")+COUNTIF('Detailed Attendance'!BY4:BY4, "P")+COUNTIF('Detailed Attendance'!CN4:CN4, "P")+COUNTIF('Detailed Attendance'!CV4:CV4, "P")</f>
        <v/>
      </c>
      <c r="AC3" s="63">
        <f>COUNTIF('Detailed Attendance'!Q4:Q4, "A")+COUNTIF('Detailed Attendance'!AC4:AC4, "A")+COUNTIF('Detailed Attendance'!AK4:AK4, "A")+COUNTIF('Detailed Attendance'!AW4:AW4, "A")+COUNTIF('Detailed Attendance'!BE4:BE4, "A")+COUNTIF('Detailed Attendance'!BQ4:BQ4, "A")+COUNTIF('Detailed Attendance'!BY4:BY4, "A")+COUNTIF('Detailed Attendance'!CN4:CN4, "A")+COUNTIF('Detailed Attendance'!CV4:CV4, "A")</f>
        <v/>
      </c>
      <c r="AD3" s="64">
        <f>IF((AB3+AC3)=0,"", AB3/(AB3+AC3))</f>
        <v/>
      </c>
      <c r="AE3" s="63">
        <f>COUNTIF('Detailed Attendance'!L4:L4, "P")+COUNTIF('Detailed Attendance'!P4:P4, "P")+COUNTIF('Detailed Attendance'!AF4:AF4, "P")+COUNTIF('Detailed Attendance'!AJ4:AJ4, "P")+COUNTIF('Detailed Attendance'!AZ4:AZ4, "P")+COUNTIF('Detailed Attendance'!BD4:BD4, "P")+COUNTIF('Detailed Attendance'!BT4:BT4, "P")+COUNTIF('Detailed Attendance'!BX4:BX4, "P")+COUNTIF('Detailed Attendance'!CQ4:CQ4, "P")+COUNTIF('Detailed Attendance'!CU4:CU4, "P")</f>
        <v/>
      </c>
      <c r="AF3" s="67">
        <f>COUNTIF('Detailed Attendance'!L4:L4, "A")+COUNTIF('Detailed Attendance'!P4:P4, "A")+COUNTIF('Detailed Attendance'!AF4:AF4, "A")+COUNTIF('Detailed Attendance'!AJ4:AJ4, "A")+COUNTIF('Detailed Attendance'!AZ4:AZ4, "A")+COUNTIF('Detailed Attendance'!BD4:BD4, "A")+COUNTIF('Detailed Attendance'!BT4:BT4, "A")+COUNTIF('Detailed Attendance'!BX4:BX4, "A")+COUNTIF('Detailed Attendance'!CQ4:CQ4, "A")+COUNTIF('Detailed Attendance'!CU4:CU4, "A")</f>
        <v/>
      </c>
      <c r="AG3" s="68">
        <f>IF((AE3+AF3)=0,"", AE3/(AE3+AF3))</f>
        <v/>
      </c>
      <c r="AH3" s="67">
        <f>COUNTIF('Detailed Attendance'!T4:T4, "P")+COUNTIF('Detailed Attendance'!AN4:AN4, "P")+COUNTIF('Detailed Attendance'!AR4:AR4, "P")+COUNTIF('Detailed Attendance'!BH4:BH4, "P")+COUNTIF('Detailed Attendance'!CB4:CB4, "P")+COUNTIF('Detailed Attendance'!CF4:CF4, "P")+COUNTIF('Detailed Attendance'!CY4:CY4, "P")</f>
        <v/>
      </c>
      <c r="AI3" s="67">
        <f>COUNTIF('Detailed Attendance'!T4:T4, "A")+COUNTIF('Detailed Attendance'!AN4:AN4, "A")+COUNTIF('Detailed Attendance'!AR4:AR4, "A")+COUNTIF('Detailed Attendance'!BH4:BH4, "A")+COUNTIF('Detailed Attendance'!CB4:CB4, "A")+COUNTIF('Detailed Attendance'!CF4:CF4, "A")+COUNTIF('Detailed Attendance'!CY4:CY4, "A")</f>
        <v/>
      </c>
      <c r="AJ3" s="68">
        <f>IF((AH3+AI3)=0,"", AH3/(AH3+AI3))</f>
        <v/>
      </c>
      <c r="AK3" s="67">
        <f>COUNTIF('Detailed Attendance'!M4:M4, "P")+COUNTIF('Detailed Attendance'!U4:U4, "P")+COUNTIF('Detailed Attendance'!AG4:AG4, "P")+COUNTIF('Detailed Attendance'!AO4:AO4, "P")+COUNTIF('Detailed Attendance'!BA4:BA4, "P")+COUNTIF('Detailed Attendance'!BI4:BI4, "P")+COUNTIF('Detailed Attendance'!BU4:BU4, "P")+COUNTIF('Detailed Attendance'!CC4:CC4, "P")+COUNTIF('Detailed Attendance'!CR4:CR4, "P")+COUNTIF('Detailed Attendance'!CZ4:CZ4, "P")</f>
        <v/>
      </c>
      <c r="AL3" s="67">
        <f>COUNTIF('Detailed Attendance'!M4:M4, "A")+COUNTIF('Detailed Attendance'!U4:U4, "A")+COUNTIF('Detailed Attendance'!AG4:AG4, "A")+COUNTIF('Detailed Attendance'!AO4:AO4, "A")+COUNTIF('Detailed Attendance'!BA4:BA4, "A")+COUNTIF('Detailed Attendance'!BI4:BI4, "A")+COUNTIF('Detailed Attendance'!BU4:BU4, "A")+COUNTIF('Detailed Attendance'!CC4:CC4, "A")+COUNTIF('Detailed Attendance'!CR4:CR4, "A")+COUNTIF('Detailed Attendance'!CZ4:CZ4, "A")</f>
        <v/>
      </c>
      <c r="AM3" s="68">
        <f>IF((AK3+AL3)=0,"", AK3/(AK3+AL3))</f>
        <v/>
      </c>
      <c r="AN3" s="67">
        <f>Y3+AB3+AE3+AH3+AK3</f>
        <v/>
      </c>
      <c r="AO3" s="67">
        <f>Z3+AC3+AF3+AI3+AL3</f>
        <v/>
      </c>
      <c r="AP3" s="68">
        <f>IF((AN3+AO3)=0,"", AN3/(AN3+AO3))</f>
        <v/>
      </c>
      <c r="AQ3" s="69">
        <f>COUNTIF('Detailed Attendance'!Y4:Y4, "P")+COUNTIF('Detailed Attendance'!AS4:AS4, "P")+COUNTIF('Detailed Attendance'!BM4:BM4, "P")+COUNTIF('Detailed Attendance'!CJ4:CJ4, "P")+COUNTIF('Detailed Attendance'!V4:V4, "P")+COUNTIF('Detailed Attendance'!AP4:AP4, "P")+COUNTIF('Detailed Attendance'!BJ4:BJ4, "P")+COUNTIF('Detailed Attendance'!CD4:CD4, "P")+COUNTIF('Detailed Attendance'!DA4:DA4, "P")+COUNTIF('Detailed Attendance'!CH4:CH4, "P")</f>
        <v/>
      </c>
      <c r="AR3" s="69">
        <f>COUNTIF('Detailed Attendance'!Y4:Y4, "A")+COUNTIF('Detailed Attendance'!AS4:AS4, "A")+COUNTIF('Detailed Attendance'!BM4:BM4, "A")+COUNTIF('Detailed Attendance'!CJ4:CJ4, "A")+COUNTIF('Detailed Attendance'!V4:V4, "A")+COUNTIF('Detailed Attendance'!AP4:AP4, "A")+COUNTIF('Detailed Attendance'!BJ4:BJ4, "A")+COUNTIF('Detailed Attendance'!CD4:CD4, "A")+COUNTIF('Detailed Attendance'!DA4:DA4, "A")+COUNTIF('Detailed Attendance'!CH4:CH4, "A")</f>
        <v/>
      </c>
      <c r="AS3" s="70">
        <f>IF((AQ3+AR3)=0,"", AQ3/(AQ3+AR3))</f>
        <v/>
      </c>
      <c r="AT3" s="67">
        <f>COUNTIF('Detailed Attendance'!DF4:DF4, "P")+COUNTIF('Detailed Attendance'!DT4:DT4, "P")+COUNTIF('Detailed Attendance'!EC4:EC4, "P")+COUNTIF('Detailed Attendance'!EQ4:EQ4, "P")+COUNTIF('Detailed Attendance'!EW4:EW4, "P")+COUNTIF('Detailed Attendance'!FK4:FK4, "P")+COUNTIF('Detailed Attendance'!FM4:FM4, "P")+COUNTIF('Detailed Attendance'!GA4:GA4, "P")</f>
        <v/>
      </c>
      <c r="AU3" s="67">
        <f>COUNTIF('Detailed Attendance'!DF4:DF4, "A")+COUNTIF('Detailed Attendance'!DT4:DT4, "A")+COUNTIF('Detailed Attendance'!EC4:EC4, "A")+COUNTIF('Detailed Attendance'!EQ4:EQ4, "A")+COUNTIF('Detailed Attendance'!EW4:EW4, "A")+COUNTIF('Detailed Attendance'!FK4:FK4, "A")+COUNTIF('Detailed Attendance'!FM4:FM4, "A")+COUNTIF('Detailed Attendance'!GA4:GA4, "A")</f>
        <v/>
      </c>
      <c r="AV3" s="68">
        <f>IF((AT3+AU3)=0,"", AT3/(AT3+AU3))</f>
        <v/>
      </c>
      <c r="AW3" s="67">
        <f>COUNTIF('Detailed Attendance'!DK4:DK4, "P")+COUNTIF('Detailed Attendance'!DS4:DS4, "P")+COUNTIF('Detailed Attendance'!EH4:EH4, "P")+COUNTIF('Detailed Attendance'!EP4:EP4, "P")+COUNTIF('Detailed Attendance'!FB4:FB4, "P")+COUNTIF('Detailed Attendance'!FJ4:FJ4, "P")+COUNTIF('Detailed Attendance'!FR4:FR4, "P")+COUNTIF('Detailed Attendance'!FZ4:FZ4, "P")</f>
        <v/>
      </c>
      <c r="AX3" s="67">
        <f>COUNTIF('Detailed Attendance'!DK4:DK4, "A")+COUNTIF('Detailed Attendance'!DS4:DS4, "A")+COUNTIF('Detailed Attendance'!EH4:EH4, "A")+COUNTIF('Detailed Attendance'!EP4:EP4, "A")+COUNTIF('Detailed Attendance'!FB4:FB4, "A")+COUNTIF('Detailed Attendance'!FJ4:FJ4, "A")+COUNTIF('Detailed Attendance'!FR4:FR4, "A")+COUNTIF('Detailed Attendance'!FZ4:FZ4, "A")</f>
        <v/>
      </c>
      <c r="AY3" s="68">
        <f>IF((AW3+AX3)=0,"", AW3/(AW3+AX3))</f>
        <v/>
      </c>
      <c r="AZ3" s="67">
        <f>COUNTIF('Detailed Attendance'!DN4:DN4, "P")+COUNTIF('Detailed Attendance'!DR4:DR4, "P")+COUNTIF('Detailed Attendance'!EK4:EK4, "P")+COUNTIF('Detailed Attendance'!EO4:EO4, "P")+COUNTIF('Detailed Attendance'!FE4:FE4, "P")+COUNTIF('Detailed Attendance'!FI4:FI4, "P")+COUNTIF('Detailed Attendance'!FU4:FU4, "P")+COUNTIF('Detailed Attendance'!FY4:FY4, "P")</f>
        <v/>
      </c>
      <c r="BA3" s="67">
        <f>COUNTIF('Detailed Attendance'!DN4:DN4, "A")+COUNTIF('Detailed Attendance'!DR4:DR4, "A")+COUNTIF('Detailed Attendance'!EK4:EK4, "A")+COUNTIF('Detailed Attendance'!EO4:EO4, "A")+COUNTIF('Detailed Attendance'!FE4:FE4, "A")+COUNTIF('Detailed Attendance'!FI4:FI4, "A")+COUNTIF('Detailed Attendance'!FU4:FU4, "A")+COUNTIF('Detailed Attendance'!FY4:FY4, "A")</f>
        <v/>
      </c>
      <c r="BB3" s="68">
        <f>IF((AZ3+BA3)=0,"", AZ3/(AZ3+BA3))</f>
        <v/>
      </c>
      <c r="BC3" s="67">
        <f>COUNTIF('Detailed Attendance'!DC4:DC4, "P")+COUNTIF('Detailed Attendance'!DV4:DV4, "P")+COUNTIF('Detailed Attendance'!DZ4:DZ4, "P")+COUNTIF('Detailed Attendance'!ES4:ES4, "P")+COUNTIF('Detailed Attendance'!GC4:GC4, "P")+COUNTIF('Detailed Attendance'!GG4:GG4, "P")</f>
        <v/>
      </c>
      <c r="BD3" s="67">
        <f>COUNTIF('Detailed Attendance'!DC4:DC4, "A")+COUNTIF('Detailed Attendance'!DV4:DV4, "A")+COUNTIF('Detailed Attendance'!DZ4:DZ4, "A")+COUNTIF('Detailed Attendance'!ES4:ES4, "A")+COUNTIF('Detailed Attendance'!GC4:GC4, "A")+COUNTIF('Detailed Attendance'!GG4:GG4, "A")</f>
        <v/>
      </c>
      <c r="BE3" s="68">
        <f>IF((BC3+BD3)=0,"", BC3/(BC3+BD3))</f>
        <v/>
      </c>
      <c r="BF3" s="67">
        <f>COUNTIF('Detailed Attendance'!DO4:DO4, "P")+COUNTIF('Detailed Attendance'!DW4:DW4, "P")+COUNTIF('Detailed Attendance'!EL4:EL4, "P")+COUNTIF('Detailed Attendance'!ET4:ET4, "P")+COUNTIF('Detailed Attendance'!FF4:FF4, "P")+COUNTIF('Detailed Attendance'!FV4:FV4, "P")+COUNTIF('Detailed Attendance'!GD4:GD4, "P")</f>
        <v/>
      </c>
      <c r="BG3" s="67">
        <f>COUNTIF('Detailed Attendance'!DO4:DO4, "A")+COUNTIF('Detailed Attendance'!DW4:DW4, "A")+COUNTIF('Detailed Attendance'!EL4:EL4, "A")+COUNTIF('Detailed Attendance'!ET4:ET4, "A")+COUNTIF('Detailed Attendance'!FF4:FF4, "A")+COUNTIF('Detailed Attendance'!FV4:FV4, "A")+COUNTIF('Detailed Attendance'!GD4:GD4, "A")</f>
        <v/>
      </c>
      <c r="BH3" s="68">
        <f>IF((BF3+BG3)=0,"", BF3/(BF3+BG3))</f>
        <v/>
      </c>
      <c r="BI3" s="67">
        <f>AT3+AW3+AZ3+BC3+BF3</f>
        <v/>
      </c>
      <c r="BJ3" s="67">
        <f>AU3+AX3+BA3+BD3+BG3</f>
        <v/>
      </c>
      <c r="BK3" s="68">
        <f>IF((BI3+BJ3)=0,"", BI3/(BI3+BJ3))</f>
        <v/>
      </c>
      <c r="BL3" s="69">
        <f>COUNTIF('Detailed Attendance'!DG4:DG4, "P")+COUNTIF('Detailed Attendance'!ED4:ED4, "P")+COUNTIF('Detailed Attendance'!EX4:EX4, "P")+COUNTIF('Detailed Attendance'!FN4:FN4, "P")+COUNTIF('Detailed Attendance'!DX4:DX4, "P")+COUNTIF('Detailed Attendance'!EU4:EU4, "P")+COUNTIF('Detailed Attendance'!GE4:GE4, "P")+COUNTIF('Detailed Attendance'!DE4:DE4, "P")+COUNTIF('Detailed Attendance'!EB4:EB4, "P")+COUNTIF('Detailed Attendance'!GI4:GI4, "P")</f>
        <v/>
      </c>
      <c r="BM3" s="69">
        <f>COUNTIF('Detailed Attendance'!DG4:DG4, "A")+COUNTIF('Detailed Attendance'!ED4:ED4, "A")+COUNTIF('Detailed Attendance'!EX4:EX4, "A")+COUNTIF('Detailed Attendance'!FN4:FN4, "A")+COUNTIF('Detailed Attendance'!DX4:DX4, "A")+COUNTIF('Detailed Attendance'!EU4:EU4, "A")+COUNTIF('Detailed Attendance'!GE4:GE4, "A")+COUNTIF('Detailed Attendance'!DE4:DE4, "A")+COUNTIF('Detailed Attendance'!EB4:EB4, "A")+COUNTIF('Detailed Attendance'!GI4:GI4, "A")</f>
        <v/>
      </c>
      <c r="BN3" s="70">
        <f>IF((BL3+BM3)=0,"", BL3/(BL3+BM3))</f>
        <v/>
      </c>
      <c r="BO3" s="67">
        <f>D3+Y3+AT3</f>
        <v/>
      </c>
      <c r="BP3" s="67">
        <f>E3+Z3+AU3</f>
        <v/>
      </c>
      <c r="BQ3" s="68">
        <f>IF((BO3+BP3)=0,"", BO3/(BO3+BP3))</f>
        <v/>
      </c>
      <c r="BR3" s="67">
        <f>G3+AB3+AW3</f>
        <v/>
      </c>
      <c r="BS3" s="67">
        <f>H3+AC3+AX3</f>
        <v/>
      </c>
      <c r="BT3" s="68">
        <f>IF((BR3+BS3)=0,"", BR3/(BR3+BS3))</f>
        <v/>
      </c>
      <c r="BU3" s="67">
        <f>J3+AE3+AZ3</f>
        <v/>
      </c>
      <c r="BV3" s="67">
        <f>K3+AF3+BA3</f>
        <v/>
      </c>
      <c r="BW3" s="68">
        <f>IF((BU3+BV3)=0,"", BU3/(BU3+BV3))</f>
        <v/>
      </c>
      <c r="BX3" s="67">
        <f>M3+AH3+BC3</f>
        <v/>
      </c>
      <c r="BY3" s="67">
        <f>N3+AI3+BD3</f>
        <v/>
      </c>
      <c r="BZ3" s="68">
        <f>IF((BX3+BY3)=0,"", BX3/(BX3+BY3))</f>
        <v/>
      </c>
      <c r="CA3" s="67">
        <f>P3+AK3+BF3</f>
        <v/>
      </c>
      <c r="CB3" s="67">
        <f>Q3+AL3+BG3</f>
        <v/>
      </c>
      <c r="CC3" s="68">
        <f>IF((CA3+CB3)=0,"", CA3/(CA3+CB3))</f>
        <v/>
      </c>
      <c r="CD3" s="67">
        <f>S3+AN3+BI3</f>
        <v/>
      </c>
      <c r="CE3" s="67">
        <f>T3+AO3+BJ3</f>
        <v/>
      </c>
      <c r="CF3" s="68">
        <f>IF((CD3+CE3)=0,"", CD3/(CD3+CE3))</f>
        <v/>
      </c>
      <c r="CG3" s="69">
        <f>V3+AQ3+BL3</f>
        <v/>
      </c>
      <c r="CH3" s="69">
        <f>W3+AR3+BM3</f>
        <v/>
      </c>
      <c r="CI3" s="70">
        <f>IF((CG3+CH3)=0,"", CG3/(CG3+CH3))</f>
        <v/>
      </c>
      <c r="CJ3" s="67">
        <f>CD3+(CG3*2)</f>
        <v/>
      </c>
      <c r="CK3" s="67">
        <f>CE3+(CH3*2)</f>
        <v/>
      </c>
      <c r="CL3" s="68">
        <f>IF((CJ3+CK3)=0,"", CJ3/(CJ3+CK3))</f>
        <v/>
      </c>
      <c r="CM3" s="67" t="inlineStr">
        <is>
          <t>Batch 1</t>
        </is>
      </c>
    </row>
    <row r="4" ht="14.25" customHeight="1" s="34">
      <c r="A4" s="46" t="n">
        <v>2</v>
      </c>
      <c r="B4" s="46" t="inlineStr">
        <is>
          <t>325106410002</t>
        </is>
      </c>
      <c r="C4" s="46" t="inlineStr">
        <is>
          <t>ABDUL REHMAN</t>
        </is>
      </c>
      <c r="D4" s="63" t="n">
        <v>0</v>
      </c>
      <c r="E4" s="63" t="n">
        <v>0</v>
      </c>
      <c r="F4" s="64">
        <f>IF((D4+E4)=0,"", D4/(D4+E4))</f>
        <v/>
      </c>
      <c r="G4" s="63">
        <f>COUNTIF('Detailed Attendance'!I5:I5, "P")</f>
        <v/>
      </c>
      <c r="H4" s="63">
        <f>COUNTIF('Detailed Attendance'!I5:I5, "A")</f>
        <v/>
      </c>
      <c r="I4" s="64">
        <f>IF((G4+H4)=0,"", G4/(G4+H4))</f>
        <v/>
      </c>
      <c r="J4" s="63" t="n">
        <v>0</v>
      </c>
      <c r="K4" s="63" t="n">
        <v>0</v>
      </c>
      <c r="L4" s="64">
        <f>IF((J4+K4)=0,"", J4/(J4+K4))</f>
        <v/>
      </c>
      <c r="M4" s="63">
        <f>COUNTIF('Detailed Attendance'!D5:D5, "P")</f>
        <v/>
      </c>
      <c r="N4" s="63">
        <f>COUNTIF('Detailed Attendance'!D5:D5, "A")</f>
        <v/>
      </c>
      <c r="O4" s="64">
        <f>IF((M4+N4)=0,"", M4/(M4+N4))</f>
        <v/>
      </c>
      <c r="P4" s="63" t="n">
        <v>0</v>
      </c>
      <c r="Q4" s="63" t="n">
        <v>0</v>
      </c>
      <c r="R4" s="64">
        <f>IF((P4+Q4)=0,"", P4/(P4+Q4))</f>
        <v/>
      </c>
      <c r="S4" s="63">
        <f>D4+G4+J4+M4+P4</f>
        <v/>
      </c>
      <c r="T4" s="63">
        <f>E4+H4+K4+N4+Q4</f>
        <v/>
      </c>
      <c r="U4" s="64">
        <f>IF((S4+T4)=0,"", S4/(S4+T4))</f>
        <v/>
      </c>
      <c r="V4" s="65">
        <f>COUNTIF('Detailed Attendance'!E5:E5, "P")</f>
        <v/>
      </c>
      <c r="W4" s="65">
        <f>COUNTIF('Detailed Attendance'!E5:E5, "A")</f>
        <v/>
      </c>
      <c r="X4" s="66">
        <f>IF((V4+W4)=0,"", V4/(V4+W4))</f>
        <v/>
      </c>
      <c r="Y4" s="63">
        <f>COUNTIF('Detailed Attendance'!R5:R5, "P")+COUNTIF('Detailed Attendance'!X5:X5, "P")+COUNTIF('Detailed Attendance'!AL5:AL5, "P")+COUNTIF('Detailed Attendance'!BF5:BF5, "P")+COUNTIF('Detailed Attendance'!BL5:BL5, "P")+COUNTIF('Detailed Attendance'!BZ5:BZ5, "P")+COUNTIF('Detailed Attendance'!CI5:CI5, "P")+COUNTIF('Detailed Attendance'!CW5:CW5, "P")</f>
        <v/>
      </c>
      <c r="Z4" s="63">
        <f>COUNTIF('Detailed Attendance'!R5:R5, "A")+COUNTIF('Detailed Attendance'!X5:X5, "A")+COUNTIF('Detailed Attendance'!AL5:AL5, "A")+COUNTIF('Detailed Attendance'!BF5:BF5, "A")+COUNTIF('Detailed Attendance'!BL5:BL5, "A")+COUNTIF('Detailed Attendance'!BZ5:BZ5, "A")+COUNTIF('Detailed Attendance'!CI5:CI5, "A")+COUNTIF('Detailed Attendance'!CW5:CW5, "A")</f>
        <v/>
      </c>
      <c r="AA4" s="64">
        <f>IF((Y4+Z4)=0,"", Y4/(Y4+Z4))</f>
        <v/>
      </c>
      <c r="AB4" s="63">
        <f>COUNTIF('Detailed Attendance'!Q5:Q5, "P")+COUNTIF('Detailed Attendance'!AC5:AC5, "P")+COUNTIF('Detailed Attendance'!AK5:AK5, "P")+COUNTIF('Detailed Attendance'!AW5:AW5, "P")+COUNTIF('Detailed Attendance'!BE5:BE5, "P")+COUNTIF('Detailed Attendance'!BQ5:BQ5, "P")+COUNTIF('Detailed Attendance'!BY5:BY5, "P")+COUNTIF('Detailed Attendance'!CN5:CN5, "P")+COUNTIF('Detailed Attendance'!CV5:CV5, "P")</f>
        <v/>
      </c>
      <c r="AC4" s="63">
        <f>COUNTIF('Detailed Attendance'!Q5:Q5, "A")+COUNTIF('Detailed Attendance'!AC5:AC5, "A")+COUNTIF('Detailed Attendance'!AK5:AK5, "A")+COUNTIF('Detailed Attendance'!AW5:AW5, "A")+COUNTIF('Detailed Attendance'!BE5:BE5, "A")+COUNTIF('Detailed Attendance'!BQ5:BQ5, "A")+COUNTIF('Detailed Attendance'!BY5:BY5, "A")+COUNTIF('Detailed Attendance'!CN5:CN5, "A")+COUNTIF('Detailed Attendance'!CV5:CV5, "A")</f>
        <v/>
      </c>
      <c r="AD4" s="64">
        <f>IF((AB4+AC4)=0,"", AB4/(AB4+AC4))</f>
        <v/>
      </c>
      <c r="AE4" s="63">
        <f>COUNTIF('Detailed Attendance'!L5:L5, "P")+COUNTIF('Detailed Attendance'!P5:P5, "P")+COUNTIF('Detailed Attendance'!AF5:AF5, "P")+COUNTIF('Detailed Attendance'!AJ5:AJ5, "P")+COUNTIF('Detailed Attendance'!AZ5:AZ5, "P")+COUNTIF('Detailed Attendance'!BD5:BD5, "P")+COUNTIF('Detailed Attendance'!BT5:BT5, "P")+COUNTIF('Detailed Attendance'!BX5:BX5, "P")+COUNTIF('Detailed Attendance'!CQ5:CQ5, "P")+COUNTIF('Detailed Attendance'!CU5:CU5, "P")</f>
        <v/>
      </c>
      <c r="AF4" s="67">
        <f>COUNTIF('Detailed Attendance'!L5:L5, "A")+COUNTIF('Detailed Attendance'!P5:P5, "A")+COUNTIF('Detailed Attendance'!AF5:AF5, "A")+COUNTIF('Detailed Attendance'!AJ5:AJ5, "A")+COUNTIF('Detailed Attendance'!AZ5:AZ5, "A")+COUNTIF('Detailed Attendance'!BD5:BD5, "A")+COUNTIF('Detailed Attendance'!BT5:BT5, "A")+COUNTIF('Detailed Attendance'!BX5:BX5, "A")+COUNTIF('Detailed Attendance'!CQ5:CQ5, "A")+COUNTIF('Detailed Attendance'!CU5:CU5, "A")</f>
        <v/>
      </c>
      <c r="AG4" s="68">
        <f>IF((AE4+AF4)=0,"", AE4/(AE4+AF4))</f>
        <v/>
      </c>
      <c r="AH4" s="67">
        <f>COUNTIF('Detailed Attendance'!T5:T5, "P")+COUNTIF('Detailed Attendance'!AN5:AN5, "P")+COUNTIF('Detailed Attendance'!AR5:AR5, "P")+COUNTIF('Detailed Attendance'!BH5:BH5, "P")+COUNTIF('Detailed Attendance'!CB5:CB5, "P")+COUNTIF('Detailed Attendance'!CF5:CF5, "P")+COUNTIF('Detailed Attendance'!CY5:CY5, "P")</f>
        <v/>
      </c>
      <c r="AI4" s="67">
        <f>COUNTIF('Detailed Attendance'!T5:T5, "A")+COUNTIF('Detailed Attendance'!AN5:AN5, "A")+COUNTIF('Detailed Attendance'!AR5:AR5, "A")+COUNTIF('Detailed Attendance'!BH5:BH5, "A")+COUNTIF('Detailed Attendance'!CB5:CB5, "A")+COUNTIF('Detailed Attendance'!CF5:CF5, "A")+COUNTIF('Detailed Attendance'!CY5:CY5, "A")</f>
        <v/>
      </c>
      <c r="AJ4" s="68">
        <f>IF((AH4+AI4)=0,"", AH4/(AH4+AI4))</f>
        <v/>
      </c>
      <c r="AK4" s="67">
        <f>COUNTIF('Detailed Attendance'!M5:M5, "P")+COUNTIF('Detailed Attendance'!U5:U5, "P")+COUNTIF('Detailed Attendance'!AG5:AG5, "P")+COUNTIF('Detailed Attendance'!AO5:AO5, "P")+COUNTIF('Detailed Attendance'!BA5:BA5, "P")+COUNTIF('Detailed Attendance'!BI5:BI5, "P")+COUNTIF('Detailed Attendance'!BU5:BU5, "P")+COUNTIF('Detailed Attendance'!CC5:CC5, "P")+COUNTIF('Detailed Attendance'!CR5:CR5, "P")+COUNTIF('Detailed Attendance'!CZ5:CZ5, "P")</f>
        <v/>
      </c>
      <c r="AL4" s="67">
        <f>COUNTIF('Detailed Attendance'!M5:M5, "A")+COUNTIF('Detailed Attendance'!U5:U5, "A")+COUNTIF('Detailed Attendance'!AG5:AG5, "A")+COUNTIF('Detailed Attendance'!AO5:AO5, "A")+COUNTIF('Detailed Attendance'!BA5:BA5, "A")+COUNTIF('Detailed Attendance'!BI5:BI5, "A")+COUNTIF('Detailed Attendance'!BU5:BU5, "A")+COUNTIF('Detailed Attendance'!CC5:CC5, "A")+COUNTIF('Detailed Attendance'!CR5:CR5, "A")+COUNTIF('Detailed Attendance'!CZ5:CZ5, "A")</f>
        <v/>
      </c>
      <c r="AM4" s="68">
        <f>IF((AK4+AL4)=0,"", AK4/(AK4+AL4))</f>
        <v/>
      </c>
      <c r="AN4" s="67">
        <f>Y4+AB4+AE4+AH4+AK4</f>
        <v/>
      </c>
      <c r="AO4" s="67">
        <f>Z4+AC4+AF4+AI4+AL4</f>
        <v/>
      </c>
      <c r="AP4" s="68">
        <f>IF((AN4+AO4)=0,"", AN4/(AN4+AO4))</f>
        <v/>
      </c>
      <c r="AQ4" s="69">
        <f>COUNTIF('Detailed Attendance'!Y5:Y5, "P")+COUNTIF('Detailed Attendance'!AS5:AS5, "P")+COUNTIF('Detailed Attendance'!BM5:BM5, "P")+COUNTIF('Detailed Attendance'!CJ5:CJ5, "P")+COUNTIF('Detailed Attendance'!V5:V5, "P")+COUNTIF('Detailed Attendance'!AP5:AP5, "P")+COUNTIF('Detailed Attendance'!BJ5:BJ5, "P")+COUNTIF('Detailed Attendance'!CD5:CD5, "P")+COUNTIF('Detailed Attendance'!DA5:DA5, "P")+COUNTIF('Detailed Attendance'!CH5:CH5, "P")</f>
        <v/>
      </c>
      <c r="AR4" s="69">
        <f>COUNTIF('Detailed Attendance'!Y5:Y5, "A")+COUNTIF('Detailed Attendance'!AS5:AS5, "A")+COUNTIF('Detailed Attendance'!BM5:BM5, "A")+COUNTIF('Detailed Attendance'!CJ5:CJ5, "A")+COUNTIF('Detailed Attendance'!V5:V5, "A")+COUNTIF('Detailed Attendance'!AP5:AP5, "A")+COUNTIF('Detailed Attendance'!BJ5:BJ5, "A")+COUNTIF('Detailed Attendance'!CD5:CD5, "A")+COUNTIF('Detailed Attendance'!DA5:DA5, "A")+COUNTIF('Detailed Attendance'!CH5:CH5, "A")</f>
        <v/>
      </c>
      <c r="AS4" s="70">
        <f>IF((AQ4+AR4)=0,"", AQ4/(AQ4+AR4))</f>
        <v/>
      </c>
      <c r="AT4" s="67">
        <f>COUNTIF('Detailed Attendance'!DF5:DF5, "P")+COUNTIF('Detailed Attendance'!DT5:DT5, "P")+COUNTIF('Detailed Attendance'!EC5:EC5, "P")+COUNTIF('Detailed Attendance'!EQ5:EQ5, "P")+COUNTIF('Detailed Attendance'!EW5:EW5, "P")+COUNTIF('Detailed Attendance'!FK5:FK5, "P")+COUNTIF('Detailed Attendance'!FM5:FM5, "P")+COUNTIF('Detailed Attendance'!GA5:GA5, "P")</f>
        <v/>
      </c>
      <c r="AU4" s="67">
        <f>COUNTIF('Detailed Attendance'!DF5:DF5, "A")+COUNTIF('Detailed Attendance'!DT5:DT5, "A")+COUNTIF('Detailed Attendance'!EC5:EC5, "A")+COUNTIF('Detailed Attendance'!EQ5:EQ5, "A")+COUNTIF('Detailed Attendance'!EW5:EW5, "A")+COUNTIF('Detailed Attendance'!FK5:FK5, "A")+COUNTIF('Detailed Attendance'!FM5:FM5, "A")+COUNTIF('Detailed Attendance'!GA5:GA5, "A")</f>
        <v/>
      </c>
      <c r="AV4" s="68">
        <f>IF((AT4+AU4)=0,"", AT4/(AT4+AU4))</f>
        <v/>
      </c>
      <c r="AW4" s="67">
        <f>COUNTIF('Detailed Attendance'!DK5:DK5, "P")+COUNTIF('Detailed Attendance'!DS5:DS5, "P")+COUNTIF('Detailed Attendance'!EH5:EH5, "P")+COUNTIF('Detailed Attendance'!EP5:EP5, "P")+COUNTIF('Detailed Attendance'!FB5:FB5, "P")+COUNTIF('Detailed Attendance'!FJ5:FJ5, "P")+COUNTIF('Detailed Attendance'!FR5:FR5, "P")+COUNTIF('Detailed Attendance'!FZ5:FZ5, "P")</f>
        <v/>
      </c>
      <c r="AX4" s="67">
        <f>COUNTIF('Detailed Attendance'!DK5:DK5, "A")+COUNTIF('Detailed Attendance'!DS5:DS5, "A")+COUNTIF('Detailed Attendance'!EH5:EH5, "A")+COUNTIF('Detailed Attendance'!EP5:EP5, "A")+COUNTIF('Detailed Attendance'!FB5:FB5, "A")+COUNTIF('Detailed Attendance'!FJ5:FJ5, "A")+COUNTIF('Detailed Attendance'!FR5:FR5, "A")+COUNTIF('Detailed Attendance'!FZ5:FZ5, "A")</f>
        <v/>
      </c>
      <c r="AY4" s="68">
        <f>IF((AW4+AX4)=0,"", AW4/(AW4+AX4))</f>
        <v/>
      </c>
      <c r="AZ4" s="67">
        <f>COUNTIF('Detailed Attendance'!DN5:DN5, "P")+COUNTIF('Detailed Attendance'!DR5:DR5, "P")+COUNTIF('Detailed Attendance'!EK5:EK5, "P")+COUNTIF('Detailed Attendance'!EO5:EO5, "P")+COUNTIF('Detailed Attendance'!FE5:FE5, "P")+COUNTIF('Detailed Attendance'!FI5:FI5, "P")+COUNTIF('Detailed Attendance'!FU5:FU5, "P")+COUNTIF('Detailed Attendance'!FY5:FY5, "P")</f>
        <v/>
      </c>
      <c r="BA4" s="67">
        <f>COUNTIF('Detailed Attendance'!DN5:DN5, "A")+COUNTIF('Detailed Attendance'!DR5:DR5, "A")+COUNTIF('Detailed Attendance'!EK5:EK5, "A")+COUNTIF('Detailed Attendance'!EO5:EO5, "A")+COUNTIF('Detailed Attendance'!FE5:FE5, "A")+COUNTIF('Detailed Attendance'!FI5:FI5, "A")+COUNTIF('Detailed Attendance'!FU5:FU5, "A")+COUNTIF('Detailed Attendance'!FY5:FY5, "A")</f>
        <v/>
      </c>
      <c r="BB4" s="68">
        <f>IF((AZ4+BA4)=0,"", AZ4/(AZ4+BA4))</f>
        <v/>
      </c>
      <c r="BC4" s="67">
        <f>COUNTIF('Detailed Attendance'!DC5:DC5, "P")+COUNTIF('Detailed Attendance'!DV5:DV5, "P")+COUNTIF('Detailed Attendance'!DZ5:DZ5, "P")+COUNTIF('Detailed Attendance'!ES5:ES5, "P")+COUNTIF('Detailed Attendance'!GC5:GC5, "P")+COUNTIF('Detailed Attendance'!GG5:GG5, "P")</f>
        <v/>
      </c>
      <c r="BD4" s="67">
        <f>COUNTIF('Detailed Attendance'!DC5:DC5, "A")+COUNTIF('Detailed Attendance'!DV5:DV5, "A")+COUNTIF('Detailed Attendance'!DZ5:DZ5, "A")+COUNTIF('Detailed Attendance'!ES5:ES5, "A")+COUNTIF('Detailed Attendance'!GC5:GC5, "A")+COUNTIF('Detailed Attendance'!GG5:GG5, "A")</f>
        <v/>
      </c>
      <c r="BE4" s="68">
        <f>IF((BC4+BD4)=0,"", BC4/(BC4+BD4))</f>
        <v/>
      </c>
      <c r="BF4" s="67">
        <f>COUNTIF('Detailed Attendance'!DO5:DO5, "P")+COUNTIF('Detailed Attendance'!DW5:DW5, "P")+COUNTIF('Detailed Attendance'!EL5:EL5, "P")+COUNTIF('Detailed Attendance'!ET5:ET5, "P")+COUNTIF('Detailed Attendance'!FF5:FF5, "P")+COUNTIF('Detailed Attendance'!FV5:FV5, "P")+COUNTIF('Detailed Attendance'!GD5:GD5, "P")</f>
        <v/>
      </c>
      <c r="BG4" s="67">
        <f>COUNTIF('Detailed Attendance'!DO5:DO5, "A")+COUNTIF('Detailed Attendance'!DW5:DW5, "A")+COUNTIF('Detailed Attendance'!EL5:EL5, "A")+COUNTIF('Detailed Attendance'!ET5:ET5, "A")+COUNTIF('Detailed Attendance'!FF5:FF5, "A")+COUNTIF('Detailed Attendance'!FV5:FV5, "A")+COUNTIF('Detailed Attendance'!GD5:GD5, "A")</f>
        <v/>
      </c>
      <c r="BH4" s="68">
        <f>IF((BF4+BG4)=0,"", BF4/(BF4+BG4))</f>
        <v/>
      </c>
      <c r="BI4" s="67">
        <f>AT4+AW4+AZ4+BC4+BF4</f>
        <v/>
      </c>
      <c r="BJ4" s="67">
        <f>AU4+AX4+BA4+BD4+BG4</f>
        <v/>
      </c>
      <c r="BK4" s="68">
        <f>IF((BI4+BJ4)=0,"", BI4/(BI4+BJ4))</f>
        <v/>
      </c>
      <c r="BL4" s="69">
        <f>COUNTIF('Detailed Attendance'!DG5:DG5, "P")+COUNTIF('Detailed Attendance'!ED5:ED5, "P")+COUNTIF('Detailed Attendance'!EX5:EX5, "P")+COUNTIF('Detailed Attendance'!FN5:FN5, "P")+COUNTIF('Detailed Attendance'!DX5:DX5, "P")+COUNTIF('Detailed Attendance'!EU5:EU5, "P")+COUNTIF('Detailed Attendance'!GE5:GE5, "P")+COUNTIF('Detailed Attendance'!DE5:DE5, "P")+COUNTIF('Detailed Attendance'!EB5:EB5, "P")+COUNTIF('Detailed Attendance'!GI5:GI5, "P")</f>
        <v/>
      </c>
      <c r="BM4" s="69">
        <f>COUNTIF('Detailed Attendance'!DG5:DG5, "A")+COUNTIF('Detailed Attendance'!ED5:ED5, "A")+COUNTIF('Detailed Attendance'!EX5:EX5, "A")+COUNTIF('Detailed Attendance'!FN5:FN5, "A")+COUNTIF('Detailed Attendance'!DX5:DX5, "A")+COUNTIF('Detailed Attendance'!EU5:EU5, "A")+COUNTIF('Detailed Attendance'!GE5:GE5, "A")+COUNTIF('Detailed Attendance'!DE5:DE5, "A")+COUNTIF('Detailed Attendance'!EB5:EB5, "A")+COUNTIF('Detailed Attendance'!GI5:GI5, "A")</f>
        <v/>
      </c>
      <c r="BN4" s="70">
        <f>IF((BL4+BM4)=0,"", BL4/(BL4+BM4))</f>
        <v/>
      </c>
      <c r="BO4" s="67">
        <f>D4+Y4+AT4</f>
        <v/>
      </c>
      <c r="BP4" s="67">
        <f>E4+Z4+AU4</f>
        <v/>
      </c>
      <c r="BQ4" s="68">
        <f>IF((BO4+BP4)=0,"", BO4/(BO4+BP4))</f>
        <v/>
      </c>
      <c r="BR4" s="67">
        <f>G4+AB4+AW4</f>
        <v/>
      </c>
      <c r="BS4" s="67">
        <f>H4+AC4+AX4</f>
        <v/>
      </c>
      <c r="BT4" s="68">
        <f>IF((BR4+BS4)=0,"", BR4/(BR4+BS4))</f>
        <v/>
      </c>
      <c r="BU4" s="67">
        <f>J4+AE4+AZ4</f>
        <v/>
      </c>
      <c r="BV4" s="67">
        <f>K4+AF4+BA4</f>
        <v/>
      </c>
      <c r="BW4" s="68">
        <f>IF((BU4+BV4)=0,"", BU4/(BU4+BV4))</f>
        <v/>
      </c>
      <c r="BX4" s="67">
        <f>M4+AH4+BC4</f>
        <v/>
      </c>
      <c r="BY4" s="67">
        <f>N4+AI4+BD4</f>
        <v/>
      </c>
      <c r="BZ4" s="68">
        <f>IF((BX4+BY4)=0,"", BX4/(BX4+BY4))</f>
        <v/>
      </c>
      <c r="CA4" s="67">
        <f>P4+AK4+BF4</f>
        <v/>
      </c>
      <c r="CB4" s="67">
        <f>Q4+AL4+BG4</f>
        <v/>
      </c>
      <c r="CC4" s="68">
        <f>IF((CA4+CB4)=0,"", CA4/(CA4+CB4))</f>
        <v/>
      </c>
      <c r="CD4" s="67">
        <f>S4+AN4+BI4</f>
        <v/>
      </c>
      <c r="CE4" s="67">
        <f>T4+AO4+BJ4</f>
        <v/>
      </c>
      <c r="CF4" s="68">
        <f>IF((CD4+CE4)=0,"", CD4/(CD4+CE4))</f>
        <v/>
      </c>
      <c r="CG4" s="69">
        <f>V4+AQ4+BL4</f>
        <v/>
      </c>
      <c r="CH4" s="69">
        <f>W4+AR4+BM4</f>
        <v/>
      </c>
      <c r="CI4" s="70">
        <f>IF((CG4+CH4)=0,"", CG4/(CG4+CH4))</f>
        <v/>
      </c>
      <c r="CJ4" s="67">
        <f>CD4+(CG4*2)</f>
        <v/>
      </c>
      <c r="CK4" s="67">
        <f>CE4+(CH4*2)</f>
        <v/>
      </c>
      <c r="CL4" s="68">
        <f>IF((CJ4+CK4)=0,"", CJ4/(CJ4+CK4))</f>
        <v/>
      </c>
      <c r="CM4" s="67" t="inlineStr">
        <is>
          <t>Batch 1</t>
        </is>
      </c>
    </row>
    <row r="5" ht="14.25" customHeight="1" s="34">
      <c r="A5" s="46" t="n">
        <v>3</v>
      </c>
      <c r="B5" s="46" t="inlineStr">
        <is>
          <t>325106410003</t>
        </is>
      </c>
      <c r="C5" s="46" t="inlineStr">
        <is>
          <t>RISHITHA AKUMARTHI</t>
        </is>
      </c>
      <c r="D5" s="63" t="n">
        <v>0</v>
      </c>
      <c r="E5" s="63" t="n">
        <v>0</v>
      </c>
      <c r="F5" s="64">
        <f>IF((D5+E5)=0,"", D5/(D5+E5))</f>
        <v/>
      </c>
      <c r="G5" s="63">
        <f>COUNTIF('Detailed Attendance'!I6:I6, "P")</f>
        <v/>
      </c>
      <c r="H5" s="63">
        <f>COUNTIF('Detailed Attendance'!I6:I6, "A")</f>
        <v/>
      </c>
      <c r="I5" s="64">
        <f>IF((G5+H5)=0,"", G5/(G5+H5))</f>
        <v/>
      </c>
      <c r="J5" s="63" t="n">
        <v>0</v>
      </c>
      <c r="K5" s="63" t="n">
        <v>0</v>
      </c>
      <c r="L5" s="64">
        <f>IF((J5+K5)=0,"", J5/(J5+K5))</f>
        <v/>
      </c>
      <c r="M5" s="63">
        <f>COUNTIF('Detailed Attendance'!D6:D6, "P")</f>
        <v/>
      </c>
      <c r="N5" s="63">
        <f>COUNTIF('Detailed Attendance'!D6:D6, "A")</f>
        <v/>
      </c>
      <c r="O5" s="64">
        <f>IF((M5+N5)=0,"", M5/(M5+N5))</f>
        <v/>
      </c>
      <c r="P5" s="63" t="n">
        <v>0</v>
      </c>
      <c r="Q5" s="63" t="n">
        <v>0</v>
      </c>
      <c r="R5" s="64">
        <f>IF((P5+Q5)=0,"", P5/(P5+Q5))</f>
        <v/>
      </c>
      <c r="S5" s="63">
        <f>D5+G5+J5+M5+P5</f>
        <v/>
      </c>
      <c r="T5" s="63">
        <f>E5+H5+K5+N5+Q5</f>
        <v/>
      </c>
      <c r="U5" s="64">
        <f>IF((S5+T5)=0,"", S5/(S5+T5))</f>
        <v/>
      </c>
      <c r="V5" s="65">
        <f>COUNTIF('Detailed Attendance'!E6:E6, "P")</f>
        <v/>
      </c>
      <c r="W5" s="65">
        <f>COUNTIF('Detailed Attendance'!E6:E6, "A")</f>
        <v/>
      </c>
      <c r="X5" s="66">
        <f>IF((V5+W5)=0,"", V5/(V5+W5))</f>
        <v/>
      </c>
      <c r="Y5" s="63">
        <f>COUNTIF('Detailed Attendance'!R6:R6, "P")+COUNTIF('Detailed Attendance'!X6:X6, "P")+COUNTIF('Detailed Attendance'!AL6:AL6, "P")+COUNTIF('Detailed Attendance'!BF6:BF6, "P")+COUNTIF('Detailed Attendance'!BL6:BL6, "P")+COUNTIF('Detailed Attendance'!BZ6:BZ6, "P")+COUNTIF('Detailed Attendance'!CI6:CI6, "P")+COUNTIF('Detailed Attendance'!CW6:CW6, "P")</f>
        <v/>
      </c>
      <c r="Z5" s="63">
        <f>COUNTIF('Detailed Attendance'!R6:R6, "A")+COUNTIF('Detailed Attendance'!X6:X6, "A")+COUNTIF('Detailed Attendance'!AL6:AL6, "A")+COUNTIF('Detailed Attendance'!BF6:BF6, "A")+COUNTIF('Detailed Attendance'!BL6:BL6, "A")+COUNTIF('Detailed Attendance'!BZ6:BZ6, "A")+COUNTIF('Detailed Attendance'!CI6:CI6, "A")+COUNTIF('Detailed Attendance'!CW6:CW6, "A")</f>
        <v/>
      </c>
      <c r="AA5" s="64">
        <f>IF((Y5+Z5)=0,"", Y5/(Y5+Z5))</f>
        <v/>
      </c>
      <c r="AB5" s="63">
        <f>COUNTIF('Detailed Attendance'!Q6:Q6, "P")+COUNTIF('Detailed Attendance'!AC6:AC6, "P")+COUNTIF('Detailed Attendance'!AK6:AK6, "P")+COUNTIF('Detailed Attendance'!AW6:AW6, "P")+COUNTIF('Detailed Attendance'!BE6:BE6, "P")+COUNTIF('Detailed Attendance'!BQ6:BQ6, "P")+COUNTIF('Detailed Attendance'!BY6:BY6, "P")+COUNTIF('Detailed Attendance'!CN6:CN6, "P")+COUNTIF('Detailed Attendance'!CV6:CV6, "P")</f>
        <v/>
      </c>
      <c r="AC5" s="63">
        <f>COUNTIF('Detailed Attendance'!Q6:Q6, "A")+COUNTIF('Detailed Attendance'!AC6:AC6, "A")+COUNTIF('Detailed Attendance'!AK6:AK6, "A")+COUNTIF('Detailed Attendance'!AW6:AW6, "A")+COUNTIF('Detailed Attendance'!BE6:BE6, "A")+COUNTIF('Detailed Attendance'!BQ6:BQ6, "A")+COUNTIF('Detailed Attendance'!BY6:BY6, "A")+COUNTIF('Detailed Attendance'!CN6:CN6, "A")+COUNTIF('Detailed Attendance'!CV6:CV6, "A")</f>
        <v/>
      </c>
      <c r="AD5" s="64">
        <f>IF((AB5+AC5)=0,"", AB5/(AB5+AC5))</f>
        <v/>
      </c>
      <c r="AE5" s="63">
        <f>COUNTIF('Detailed Attendance'!L6:L6, "P")+COUNTIF('Detailed Attendance'!P6:P6, "P")+COUNTIF('Detailed Attendance'!AF6:AF6, "P")+COUNTIF('Detailed Attendance'!AJ6:AJ6, "P")+COUNTIF('Detailed Attendance'!AZ6:AZ6, "P")+COUNTIF('Detailed Attendance'!BD6:BD6, "P")+COUNTIF('Detailed Attendance'!BT6:BT6, "P")+COUNTIF('Detailed Attendance'!BX6:BX6, "P")+COUNTIF('Detailed Attendance'!CQ6:CQ6, "P")+COUNTIF('Detailed Attendance'!CU6:CU6, "P")</f>
        <v/>
      </c>
      <c r="AF5" s="67">
        <f>COUNTIF('Detailed Attendance'!L6:L6, "A")+COUNTIF('Detailed Attendance'!P6:P6, "A")+COUNTIF('Detailed Attendance'!AF6:AF6, "A")+COUNTIF('Detailed Attendance'!AJ6:AJ6, "A")+COUNTIF('Detailed Attendance'!AZ6:AZ6, "A")+COUNTIF('Detailed Attendance'!BD6:BD6, "A")+COUNTIF('Detailed Attendance'!BT6:BT6, "A")+COUNTIF('Detailed Attendance'!BX6:BX6, "A")+COUNTIF('Detailed Attendance'!CQ6:CQ6, "A")+COUNTIF('Detailed Attendance'!CU6:CU6, "A")</f>
        <v/>
      </c>
      <c r="AG5" s="68">
        <f>IF((AE5+AF5)=0,"", AE5/(AE5+AF5))</f>
        <v/>
      </c>
      <c r="AH5" s="67">
        <f>COUNTIF('Detailed Attendance'!T6:T6, "P")+COUNTIF('Detailed Attendance'!AN6:AN6, "P")+COUNTIF('Detailed Attendance'!AR6:AR6, "P")+COUNTIF('Detailed Attendance'!BH6:BH6, "P")+COUNTIF('Detailed Attendance'!CB6:CB6, "P")+COUNTIF('Detailed Attendance'!CF6:CF6, "P")+COUNTIF('Detailed Attendance'!CY6:CY6, "P")</f>
        <v/>
      </c>
      <c r="AI5" s="67">
        <f>COUNTIF('Detailed Attendance'!T6:T6, "A")+COUNTIF('Detailed Attendance'!AN6:AN6, "A")+COUNTIF('Detailed Attendance'!AR6:AR6, "A")+COUNTIF('Detailed Attendance'!BH6:BH6, "A")+COUNTIF('Detailed Attendance'!CB6:CB6, "A")+COUNTIF('Detailed Attendance'!CF6:CF6, "A")+COUNTIF('Detailed Attendance'!CY6:CY6, "A")</f>
        <v/>
      </c>
      <c r="AJ5" s="68">
        <f>IF((AH5+AI5)=0,"", AH5/(AH5+AI5))</f>
        <v/>
      </c>
      <c r="AK5" s="67">
        <f>COUNTIF('Detailed Attendance'!M6:M6, "P")+COUNTIF('Detailed Attendance'!U6:U6, "P")+COUNTIF('Detailed Attendance'!AG6:AG6, "P")+COUNTIF('Detailed Attendance'!AO6:AO6, "P")+COUNTIF('Detailed Attendance'!BA6:BA6, "P")+COUNTIF('Detailed Attendance'!BI6:BI6, "P")+COUNTIF('Detailed Attendance'!BU6:BU6, "P")+COUNTIF('Detailed Attendance'!CC6:CC6, "P")+COUNTIF('Detailed Attendance'!CR6:CR6, "P")+COUNTIF('Detailed Attendance'!CZ6:CZ6, "P")</f>
        <v/>
      </c>
      <c r="AL5" s="67">
        <f>COUNTIF('Detailed Attendance'!M6:M6, "A")+COUNTIF('Detailed Attendance'!U6:U6, "A")+COUNTIF('Detailed Attendance'!AG6:AG6, "A")+COUNTIF('Detailed Attendance'!AO6:AO6, "A")+COUNTIF('Detailed Attendance'!BA6:BA6, "A")+COUNTIF('Detailed Attendance'!BI6:BI6, "A")+COUNTIF('Detailed Attendance'!BU6:BU6, "A")+COUNTIF('Detailed Attendance'!CC6:CC6, "A")+COUNTIF('Detailed Attendance'!CR6:CR6, "A")+COUNTIF('Detailed Attendance'!CZ6:CZ6, "A")</f>
        <v/>
      </c>
      <c r="AM5" s="68">
        <f>IF((AK5+AL5)=0,"", AK5/(AK5+AL5))</f>
        <v/>
      </c>
      <c r="AN5" s="67">
        <f>Y5+AB5+AE5+AH5+AK5</f>
        <v/>
      </c>
      <c r="AO5" s="67">
        <f>Z5+AC5+AF5+AI5+AL5</f>
        <v/>
      </c>
      <c r="AP5" s="68">
        <f>IF((AN5+AO5)=0,"", AN5/(AN5+AO5))</f>
        <v/>
      </c>
      <c r="AQ5" s="69">
        <f>COUNTIF('Detailed Attendance'!Y6:Y6, "P")+COUNTIF('Detailed Attendance'!AS6:AS6, "P")+COUNTIF('Detailed Attendance'!BM6:BM6, "P")+COUNTIF('Detailed Attendance'!CJ6:CJ6, "P")+COUNTIF('Detailed Attendance'!V6:V6, "P")+COUNTIF('Detailed Attendance'!AP6:AP6, "P")+COUNTIF('Detailed Attendance'!BJ6:BJ6, "P")+COUNTIF('Detailed Attendance'!CD6:CD6, "P")+COUNTIF('Detailed Attendance'!DA6:DA6, "P")+COUNTIF('Detailed Attendance'!CH6:CH6, "P")</f>
        <v/>
      </c>
      <c r="AR5" s="69">
        <f>COUNTIF('Detailed Attendance'!Y6:Y6, "A")+COUNTIF('Detailed Attendance'!AS6:AS6, "A")+COUNTIF('Detailed Attendance'!BM6:BM6, "A")+COUNTIF('Detailed Attendance'!CJ6:CJ6, "A")+COUNTIF('Detailed Attendance'!V6:V6, "A")+COUNTIF('Detailed Attendance'!AP6:AP6, "A")+COUNTIF('Detailed Attendance'!BJ6:BJ6, "A")+COUNTIF('Detailed Attendance'!CD6:CD6, "A")+COUNTIF('Detailed Attendance'!DA6:DA6, "A")+COUNTIF('Detailed Attendance'!CH6:CH6, "A")</f>
        <v/>
      </c>
      <c r="AS5" s="70">
        <f>IF((AQ5+AR5)=0,"", AQ5/(AQ5+AR5))</f>
        <v/>
      </c>
      <c r="AT5" s="67">
        <f>COUNTIF('Detailed Attendance'!DF6:DF6, "P")+COUNTIF('Detailed Attendance'!DT6:DT6, "P")+COUNTIF('Detailed Attendance'!EC6:EC6, "P")+COUNTIF('Detailed Attendance'!EQ6:EQ6, "P")+COUNTIF('Detailed Attendance'!EW6:EW6, "P")+COUNTIF('Detailed Attendance'!FK6:FK6, "P")+COUNTIF('Detailed Attendance'!FM6:FM6, "P")+COUNTIF('Detailed Attendance'!GA6:GA6, "P")</f>
        <v/>
      </c>
      <c r="AU5" s="67">
        <f>COUNTIF('Detailed Attendance'!DF6:DF6, "A")+COUNTIF('Detailed Attendance'!DT6:DT6, "A")+COUNTIF('Detailed Attendance'!EC6:EC6, "A")+COUNTIF('Detailed Attendance'!EQ6:EQ6, "A")+COUNTIF('Detailed Attendance'!EW6:EW6, "A")+COUNTIF('Detailed Attendance'!FK6:FK6, "A")+COUNTIF('Detailed Attendance'!FM6:FM6, "A")+COUNTIF('Detailed Attendance'!GA6:GA6, "A")</f>
        <v/>
      </c>
      <c r="AV5" s="68">
        <f>IF((AT5+AU5)=0,"", AT5/(AT5+AU5))</f>
        <v/>
      </c>
      <c r="AW5" s="67">
        <f>COUNTIF('Detailed Attendance'!DK6:DK6, "P")+COUNTIF('Detailed Attendance'!DS6:DS6, "P")+COUNTIF('Detailed Attendance'!EH6:EH6, "P")+COUNTIF('Detailed Attendance'!EP6:EP6, "P")+COUNTIF('Detailed Attendance'!FB6:FB6, "P")+COUNTIF('Detailed Attendance'!FJ6:FJ6, "P")+COUNTIF('Detailed Attendance'!FR6:FR6, "P")+COUNTIF('Detailed Attendance'!FZ6:FZ6, "P")</f>
        <v/>
      </c>
      <c r="AX5" s="67">
        <f>COUNTIF('Detailed Attendance'!DK6:DK6, "A")+COUNTIF('Detailed Attendance'!DS6:DS6, "A")+COUNTIF('Detailed Attendance'!EH6:EH6, "A")+COUNTIF('Detailed Attendance'!EP6:EP6, "A")+COUNTIF('Detailed Attendance'!FB6:FB6, "A")+COUNTIF('Detailed Attendance'!FJ6:FJ6, "A")+COUNTIF('Detailed Attendance'!FR6:FR6, "A")+COUNTIF('Detailed Attendance'!FZ6:FZ6, "A")</f>
        <v/>
      </c>
      <c r="AY5" s="68">
        <f>IF((AW5+AX5)=0,"", AW5/(AW5+AX5))</f>
        <v/>
      </c>
      <c r="AZ5" s="67">
        <f>COUNTIF('Detailed Attendance'!DN6:DN6, "P")+COUNTIF('Detailed Attendance'!DR6:DR6, "P")+COUNTIF('Detailed Attendance'!EK6:EK6, "P")+COUNTIF('Detailed Attendance'!EO6:EO6, "P")+COUNTIF('Detailed Attendance'!FE6:FE6, "P")+COUNTIF('Detailed Attendance'!FI6:FI6, "P")+COUNTIF('Detailed Attendance'!FU6:FU6, "P")+COUNTIF('Detailed Attendance'!FY6:FY6, "P")</f>
        <v/>
      </c>
      <c r="BA5" s="67">
        <f>COUNTIF('Detailed Attendance'!DN6:DN6, "A")+COUNTIF('Detailed Attendance'!DR6:DR6, "A")+COUNTIF('Detailed Attendance'!EK6:EK6, "A")+COUNTIF('Detailed Attendance'!EO6:EO6, "A")+COUNTIF('Detailed Attendance'!FE6:FE6, "A")+COUNTIF('Detailed Attendance'!FI6:FI6, "A")+COUNTIF('Detailed Attendance'!FU6:FU6, "A")+COUNTIF('Detailed Attendance'!FY6:FY6, "A")</f>
        <v/>
      </c>
      <c r="BB5" s="68">
        <f>IF((AZ5+BA5)=0,"", AZ5/(AZ5+BA5))</f>
        <v/>
      </c>
      <c r="BC5" s="67">
        <f>COUNTIF('Detailed Attendance'!DC6:DC6, "P")+COUNTIF('Detailed Attendance'!DV6:DV6, "P")+COUNTIF('Detailed Attendance'!DZ6:DZ6, "P")+COUNTIF('Detailed Attendance'!ES6:ES6, "P")+COUNTIF('Detailed Attendance'!GC6:GC6, "P")+COUNTIF('Detailed Attendance'!GG6:GG6, "P")</f>
        <v/>
      </c>
      <c r="BD5" s="67">
        <f>COUNTIF('Detailed Attendance'!DC6:DC6, "A")+COUNTIF('Detailed Attendance'!DV6:DV6, "A")+COUNTIF('Detailed Attendance'!DZ6:DZ6, "A")+COUNTIF('Detailed Attendance'!ES6:ES6, "A")+COUNTIF('Detailed Attendance'!GC6:GC6, "A")+COUNTIF('Detailed Attendance'!GG6:GG6, "A")</f>
        <v/>
      </c>
      <c r="BE5" s="68">
        <f>IF((BC5+BD5)=0,"", BC5/(BC5+BD5))</f>
        <v/>
      </c>
      <c r="BF5" s="67">
        <f>COUNTIF('Detailed Attendance'!DO6:DO6, "P")+COUNTIF('Detailed Attendance'!DW6:DW6, "P")+COUNTIF('Detailed Attendance'!EL6:EL6, "P")+COUNTIF('Detailed Attendance'!ET6:ET6, "P")+COUNTIF('Detailed Attendance'!FF6:FF6, "P")+COUNTIF('Detailed Attendance'!FV6:FV6, "P")+COUNTIF('Detailed Attendance'!GD6:GD6, "P")</f>
        <v/>
      </c>
      <c r="BG5" s="67">
        <f>COUNTIF('Detailed Attendance'!DO6:DO6, "A")+COUNTIF('Detailed Attendance'!DW6:DW6, "A")+COUNTIF('Detailed Attendance'!EL6:EL6, "A")+COUNTIF('Detailed Attendance'!ET6:ET6, "A")+COUNTIF('Detailed Attendance'!FF6:FF6, "A")+COUNTIF('Detailed Attendance'!FV6:FV6, "A")+COUNTIF('Detailed Attendance'!GD6:GD6, "A")</f>
        <v/>
      </c>
      <c r="BH5" s="68">
        <f>IF((BF5+BG5)=0,"", BF5/(BF5+BG5))</f>
        <v/>
      </c>
      <c r="BI5" s="67">
        <f>AT5+AW5+AZ5+BC5+BF5</f>
        <v/>
      </c>
      <c r="BJ5" s="67">
        <f>AU5+AX5+BA5+BD5+BG5</f>
        <v/>
      </c>
      <c r="BK5" s="68">
        <f>IF((BI5+BJ5)=0,"", BI5/(BI5+BJ5))</f>
        <v/>
      </c>
      <c r="BL5" s="69">
        <f>COUNTIF('Detailed Attendance'!DG6:DG6, "P")+COUNTIF('Detailed Attendance'!ED6:ED6, "P")+COUNTIF('Detailed Attendance'!EX6:EX6, "P")+COUNTIF('Detailed Attendance'!FN6:FN6, "P")+COUNTIF('Detailed Attendance'!DX6:DX6, "P")+COUNTIF('Detailed Attendance'!EU6:EU6, "P")+COUNTIF('Detailed Attendance'!GE6:GE6, "P")+COUNTIF('Detailed Attendance'!DE6:DE6, "P")+COUNTIF('Detailed Attendance'!EB6:EB6, "P")+COUNTIF('Detailed Attendance'!GI6:GI6, "P")</f>
        <v/>
      </c>
      <c r="BM5" s="69">
        <f>COUNTIF('Detailed Attendance'!DG6:DG6, "A")+COUNTIF('Detailed Attendance'!ED6:ED6, "A")+COUNTIF('Detailed Attendance'!EX6:EX6, "A")+COUNTIF('Detailed Attendance'!FN6:FN6, "A")+COUNTIF('Detailed Attendance'!DX6:DX6, "A")+COUNTIF('Detailed Attendance'!EU6:EU6, "A")+COUNTIF('Detailed Attendance'!GE6:GE6, "A")+COUNTIF('Detailed Attendance'!DE6:DE6, "A")+COUNTIF('Detailed Attendance'!EB6:EB6, "A")+COUNTIF('Detailed Attendance'!GI6:GI6, "A")</f>
        <v/>
      </c>
      <c r="BN5" s="70">
        <f>IF((BL5+BM5)=0,"", BL5/(BL5+BM5))</f>
        <v/>
      </c>
      <c r="BO5" s="67">
        <f>D5+Y5+AT5</f>
        <v/>
      </c>
      <c r="BP5" s="67">
        <f>E5+Z5+AU5</f>
        <v/>
      </c>
      <c r="BQ5" s="68">
        <f>IF((BO5+BP5)=0,"", BO5/(BO5+BP5))</f>
        <v/>
      </c>
      <c r="BR5" s="67">
        <f>G5+AB5+AW5</f>
        <v/>
      </c>
      <c r="BS5" s="67">
        <f>H5+AC5+AX5</f>
        <v/>
      </c>
      <c r="BT5" s="68">
        <f>IF((BR5+BS5)=0,"", BR5/(BR5+BS5))</f>
        <v/>
      </c>
      <c r="BU5" s="67">
        <f>J5+AE5+AZ5</f>
        <v/>
      </c>
      <c r="BV5" s="67">
        <f>K5+AF5+BA5</f>
        <v/>
      </c>
      <c r="BW5" s="68">
        <f>IF((BU5+BV5)=0,"", BU5/(BU5+BV5))</f>
        <v/>
      </c>
      <c r="BX5" s="67">
        <f>M5+AH5+BC5</f>
        <v/>
      </c>
      <c r="BY5" s="67">
        <f>N5+AI5+BD5</f>
        <v/>
      </c>
      <c r="BZ5" s="68">
        <f>IF((BX5+BY5)=0,"", BX5/(BX5+BY5))</f>
        <v/>
      </c>
      <c r="CA5" s="67">
        <f>P5+AK5+BF5</f>
        <v/>
      </c>
      <c r="CB5" s="67">
        <f>Q5+AL5+BG5</f>
        <v/>
      </c>
      <c r="CC5" s="68">
        <f>IF((CA5+CB5)=0,"", CA5/(CA5+CB5))</f>
        <v/>
      </c>
      <c r="CD5" s="67">
        <f>S5+AN5+BI5</f>
        <v/>
      </c>
      <c r="CE5" s="67">
        <f>T5+AO5+BJ5</f>
        <v/>
      </c>
      <c r="CF5" s="68">
        <f>IF((CD5+CE5)=0,"", CD5/(CD5+CE5))</f>
        <v/>
      </c>
      <c r="CG5" s="69">
        <f>V5+AQ5+BL5</f>
        <v/>
      </c>
      <c r="CH5" s="69">
        <f>W5+AR5+BM5</f>
        <v/>
      </c>
      <c r="CI5" s="70">
        <f>IF((CG5+CH5)=0,"", CG5/(CG5+CH5))</f>
        <v/>
      </c>
      <c r="CJ5" s="67">
        <f>CD5+(CG5*2)</f>
        <v/>
      </c>
      <c r="CK5" s="67">
        <f>CE5+(CH5*2)</f>
        <v/>
      </c>
      <c r="CL5" s="68">
        <f>IF((CJ5+CK5)=0,"", CJ5/(CJ5+CK5))</f>
        <v/>
      </c>
      <c r="CM5" s="67" t="inlineStr">
        <is>
          <t>Batch 1</t>
        </is>
      </c>
    </row>
    <row r="6" ht="14.25" customHeight="1" s="34">
      <c r="A6" s="46" t="n">
        <v>4</v>
      </c>
      <c r="B6" s="46" t="inlineStr">
        <is>
          <t>325106410004</t>
        </is>
      </c>
      <c r="C6" s="46" t="inlineStr">
        <is>
          <t>SIREESHA BADANA</t>
        </is>
      </c>
      <c r="D6" s="63" t="n">
        <v>0</v>
      </c>
      <c r="E6" s="63" t="n">
        <v>0</v>
      </c>
      <c r="F6" s="64">
        <f>IF((D6+E6)=0,"", D6/(D6+E6))</f>
        <v/>
      </c>
      <c r="G6" s="63">
        <f>COUNTIF('Detailed Attendance'!I7:I7, "P")</f>
        <v/>
      </c>
      <c r="H6" s="63">
        <f>COUNTIF('Detailed Attendance'!I7:I7, "A")</f>
        <v/>
      </c>
      <c r="I6" s="64">
        <f>IF((G6+H6)=0,"", G6/(G6+H6))</f>
        <v/>
      </c>
      <c r="J6" s="63" t="n">
        <v>0</v>
      </c>
      <c r="K6" s="63" t="n">
        <v>0</v>
      </c>
      <c r="L6" s="64">
        <f>IF((J6+K6)=0,"", J6/(J6+K6))</f>
        <v/>
      </c>
      <c r="M6" s="63">
        <f>COUNTIF('Detailed Attendance'!D7:D7, "P")</f>
        <v/>
      </c>
      <c r="N6" s="63">
        <f>COUNTIF('Detailed Attendance'!D7:D7, "A")</f>
        <v/>
      </c>
      <c r="O6" s="64">
        <f>IF((M6+N6)=0,"", M6/(M6+N6))</f>
        <v/>
      </c>
      <c r="P6" s="63" t="n">
        <v>0</v>
      </c>
      <c r="Q6" s="63" t="n">
        <v>0</v>
      </c>
      <c r="R6" s="64">
        <f>IF((P6+Q6)=0,"", P6/(P6+Q6))</f>
        <v/>
      </c>
      <c r="S6" s="63">
        <f>D6+G6+J6+M6+P6</f>
        <v/>
      </c>
      <c r="T6" s="63">
        <f>E6+H6+K6+N6+Q6</f>
        <v/>
      </c>
      <c r="U6" s="64">
        <f>IF((S6+T6)=0,"", S6/(S6+T6))</f>
        <v/>
      </c>
      <c r="V6" s="65">
        <f>COUNTIF('Detailed Attendance'!E7:E7, "P")</f>
        <v/>
      </c>
      <c r="W6" s="65">
        <f>COUNTIF('Detailed Attendance'!E7:E7, "A")</f>
        <v/>
      </c>
      <c r="X6" s="66">
        <f>IF((V6+W6)=0,"", V6/(V6+W6))</f>
        <v/>
      </c>
      <c r="Y6" s="63">
        <f>COUNTIF('Detailed Attendance'!R7:R7, "P")+COUNTIF('Detailed Attendance'!X7:X7, "P")+COUNTIF('Detailed Attendance'!AL7:AL7, "P")+COUNTIF('Detailed Attendance'!BF7:BF7, "P")+COUNTIF('Detailed Attendance'!BL7:BL7, "P")+COUNTIF('Detailed Attendance'!BZ7:BZ7, "P")+COUNTIF('Detailed Attendance'!CI7:CI7, "P")+COUNTIF('Detailed Attendance'!CW7:CW7, "P")</f>
        <v/>
      </c>
      <c r="Z6" s="63">
        <f>COUNTIF('Detailed Attendance'!R7:R7, "A")+COUNTIF('Detailed Attendance'!X7:X7, "A")+COUNTIF('Detailed Attendance'!AL7:AL7, "A")+COUNTIF('Detailed Attendance'!BF7:BF7, "A")+COUNTIF('Detailed Attendance'!BL7:BL7, "A")+COUNTIF('Detailed Attendance'!BZ7:BZ7, "A")+COUNTIF('Detailed Attendance'!CI7:CI7, "A")+COUNTIF('Detailed Attendance'!CW7:CW7, "A")</f>
        <v/>
      </c>
      <c r="AA6" s="64">
        <f>IF((Y6+Z6)=0,"", Y6/(Y6+Z6))</f>
        <v/>
      </c>
      <c r="AB6" s="63">
        <f>COUNTIF('Detailed Attendance'!Q7:Q7, "P")+COUNTIF('Detailed Attendance'!AC7:AC7, "P")+COUNTIF('Detailed Attendance'!AK7:AK7, "P")+COUNTIF('Detailed Attendance'!AW7:AW7, "P")+COUNTIF('Detailed Attendance'!BE7:BE7, "P")+COUNTIF('Detailed Attendance'!BQ7:BQ7, "P")+COUNTIF('Detailed Attendance'!BY7:BY7, "P")+COUNTIF('Detailed Attendance'!CN7:CN7, "P")+COUNTIF('Detailed Attendance'!CV7:CV7, "P")</f>
        <v/>
      </c>
      <c r="AC6" s="63">
        <f>COUNTIF('Detailed Attendance'!Q7:Q7, "A")+COUNTIF('Detailed Attendance'!AC7:AC7, "A")+COUNTIF('Detailed Attendance'!AK7:AK7, "A")+COUNTIF('Detailed Attendance'!AW7:AW7, "A")+COUNTIF('Detailed Attendance'!BE7:BE7, "A")+COUNTIF('Detailed Attendance'!BQ7:BQ7, "A")+COUNTIF('Detailed Attendance'!BY7:BY7, "A")+COUNTIF('Detailed Attendance'!CN7:CN7, "A")+COUNTIF('Detailed Attendance'!CV7:CV7, "A")</f>
        <v/>
      </c>
      <c r="AD6" s="64">
        <f>IF((AB6+AC6)=0,"", AB6/(AB6+AC6))</f>
        <v/>
      </c>
      <c r="AE6" s="63">
        <f>COUNTIF('Detailed Attendance'!L7:L7, "P")+COUNTIF('Detailed Attendance'!P7:P7, "P")+COUNTIF('Detailed Attendance'!AF7:AF7, "P")+COUNTIF('Detailed Attendance'!AJ7:AJ7, "P")+COUNTIF('Detailed Attendance'!AZ7:AZ7, "P")+COUNTIF('Detailed Attendance'!BD7:BD7, "P")+COUNTIF('Detailed Attendance'!BT7:BT7, "P")+COUNTIF('Detailed Attendance'!BX7:BX7, "P")+COUNTIF('Detailed Attendance'!CQ7:CQ7, "P")+COUNTIF('Detailed Attendance'!CU7:CU7, "P")</f>
        <v/>
      </c>
      <c r="AF6" s="67">
        <f>COUNTIF('Detailed Attendance'!L7:L7, "A")+COUNTIF('Detailed Attendance'!P7:P7, "A")+COUNTIF('Detailed Attendance'!AF7:AF7, "A")+COUNTIF('Detailed Attendance'!AJ7:AJ7, "A")+COUNTIF('Detailed Attendance'!AZ7:AZ7, "A")+COUNTIF('Detailed Attendance'!BD7:BD7, "A")+COUNTIF('Detailed Attendance'!BT7:BT7, "A")+COUNTIF('Detailed Attendance'!BX7:BX7, "A")+COUNTIF('Detailed Attendance'!CQ7:CQ7, "A")+COUNTIF('Detailed Attendance'!CU7:CU7, "A")</f>
        <v/>
      </c>
      <c r="AG6" s="68">
        <f>IF((AE6+AF6)=0,"", AE6/(AE6+AF6))</f>
        <v/>
      </c>
      <c r="AH6" s="67">
        <f>COUNTIF('Detailed Attendance'!T7:T7, "P")+COUNTIF('Detailed Attendance'!AN7:AN7, "P")+COUNTIF('Detailed Attendance'!AR7:AR7, "P")+COUNTIF('Detailed Attendance'!BH7:BH7, "P")+COUNTIF('Detailed Attendance'!CB7:CB7, "P")+COUNTIF('Detailed Attendance'!CF7:CF7, "P")+COUNTIF('Detailed Attendance'!CY7:CY7, "P")</f>
        <v/>
      </c>
      <c r="AI6" s="67">
        <f>COUNTIF('Detailed Attendance'!T7:T7, "A")+COUNTIF('Detailed Attendance'!AN7:AN7, "A")+COUNTIF('Detailed Attendance'!AR7:AR7, "A")+COUNTIF('Detailed Attendance'!BH7:BH7, "A")+COUNTIF('Detailed Attendance'!CB7:CB7, "A")+COUNTIF('Detailed Attendance'!CF7:CF7, "A")+COUNTIF('Detailed Attendance'!CY7:CY7, "A")</f>
        <v/>
      </c>
      <c r="AJ6" s="68">
        <f>IF((AH6+AI6)=0,"", AH6/(AH6+AI6))</f>
        <v/>
      </c>
      <c r="AK6" s="67">
        <f>COUNTIF('Detailed Attendance'!M7:M7, "P")+COUNTIF('Detailed Attendance'!U7:U7, "P")+COUNTIF('Detailed Attendance'!AG7:AG7, "P")+COUNTIF('Detailed Attendance'!AO7:AO7, "P")+COUNTIF('Detailed Attendance'!BA7:BA7, "P")+COUNTIF('Detailed Attendance'!BI7:BI7, "P")+COUNTIF('Detailed Attendance'!BU7:BU7, "P")+COUNTIF('Detailed Attendance'!CC7:CC7, "P")+COUNTIF('Detailed Attendance'!CR7:CR7, "P")+COUNTIF('Detailed Attendance'!CZ7:CZ7, "P")</f>
        <v/>
      </c>
      <c r="AL6" s="67">
        <f>COUNTIF('Detailed Attendance'!M7:M7, "A")+COUNTIF('Detailed Attendance'!U7:U7, "A")+COUNTIF('Detailed Attendance'!AG7:AG7, "A")+COUNTIF('Detailed Attendance'!AO7:AO7, "A")+COUNTIF('Detailed Attendance'!BA7:BA7, "A")+COUNTIF('Detailed Attendance'!BI7:BI7, "A")+COUNTIF('Detailed Attendance'!BU7:BU7, "A")+COUNTIF('Detailed Attendance'!CC7:CC7, "A")+COUNTIF('Detailed Attendance'!CR7:CR7, "A")+COUNTIF('Detailed Attendance'!CZ7:CZ7, "A")</f>
        <v/>
      </c>
      <c r="AM6" s="68">
        <f>IF((AK6+AL6)=0,"", AK6/(AK6+AL6))</f>
        <v/>
      </c>
      <c r="AN6" s="67">
        <f>Y6+AB6+AE6+AH6+AK6</f>
        <v/>
      </c>
      <c r="AO6" s="67">
        <f>Z6+AC6+AF6+AI6+AL6</f>
        <v/>
      </c>
      <c r="AP6" s="68">
        <f>IF((AN6+AO6)=0,"", AN6/(AN6+AO6))</f>
        <v/>
      </c>
      <c r="AQ6" s="69">
        <f>COUNTIF('Detailed Attendance'!Y7:Y7, "P")+COUNTIF('Detailed Attendance'!AS7:AS7, "P")+COUNTIF('Detailed Attendance'!BM7:BM7, "P")+COUNTIF('Detailed Attendance'!CJ7:CJ7, "P")+COUNTIF('Detailed Attendance'!V7:V7, "P")+COUNTIF('Detailed Attendance'!AP7:AP7, "P")+COUNTIF('Detailed Attendance'!BJ7:BJ7, "P")+COUNTIF('Detailed Attendance'!CD7:CD7, "P")+COUNTIF('Detailed Attendance'!DA7:DA7, "P")+COUNTIF('Detailed Attendance'!CH7:CH7, "P")</f>
        <v/>
      </c>
      <c r="AR6" s="69">
        <f>COUNTIF('Detailed Attendance'!Y7:Y7, "A")+COUNTIF('Detailed Attendance'!AS7:AS7, "A")+COUNTIF('Detailed Attendance'!BM7:BM7, "A")+COUNTIF('Detailed Attendance'!CJ7:CJ7, "A")+COUNTIF('Detailed Attendance'!V7:V7, "A")+COUNTIF('Detailed Attendance'!AP7:AP7, "A")+COUNTIF('Detailed Attendance'!BJ7:BJ7, "A")+COUNTIF('Detailed Attendance'!CD7:CD7, "A")+COUNTIF('Detailed Attendance'!DA7:DA7, "A")+COUNTIF('Detailed Attendance'!CH7:CH7, "A")</f>
        <v/>
      </c>
      <c r="AS6" s="70">
        <f>IF((AQ6+AR6)=0,"", AQ6/(AQ6+AR6))</f>
        <v/>
      </c>
      <c r="AT6" s="67">
        <f>COUNTIF('Detailed Attendance'!DF7:DF7, "P")+COUNTIF('Detailed Attendance'!DT7:DT7, "P")+COUNTIF('Detailed Attendance'!EC7:EC7, "P")+COUNTIF('Detailed Attendance'!EQ7:EQ7, "P")+COUNTIF('Detailed Attendance'!EW7:EW7, "P")+COUNTIF('Detailed Attendance'!FK7:FK7, "P")+COUNTIF('Detailed Attendance'!FM7:FM7, "P")+COUNTIF('Detailed Attendance'!GA7:GA7, "P")</f>
        <v/>
      </c>
      <c r="AU6" s="67">
        <f>COUNTIF('Detailed Attendance'!DF7:DF7, "A")+COUNTIF('Detailed Attendance'!DT7:DT7, "A")+COUNTIF('Detailed Attendance'!EC7:EC7, "A")+COUNTIF('Detailed Attendance'!EQ7:EQ7, "A")+COUNTIF('Detailed Attendance'!EW7:EW7, "A")+COUNTIF('Detailed Attendance'!FK7:FK7, "A")+COUNTIF('Detailed Attendance'!FM7:FM7, "A")+COUNTIF('Detailed Attendance'!GA7:GA7, "A")</f>
        <v/>
      </c>
      <c r="AV6" s="68">
        <f>IF((AT6+AU6)=0,"", AT6/(AT6+AU6))</f>
        <v/>
      </c>
      <c r="AW6" s="67">
        <f>COUNTIF('Detailed Attendance'!DK7:DK7, "P")+COUNTIF('Detailed Attendance'!DS7:DS7, "P")+COUNTIF('Detailed Attendance'!EH7:EH7, "P")+COUNTIF('Detailed Attendance'!EP7:EP7, "P")+COUNTIF('Detailed Attendance'!FB7:FB7, "P")+COUNTIF('Detailed Attendance'!FJ7:FJ7, "P")+COUNTIF('Detailed Attendance'!FR7:FR7, "P")+COUNTIF('Detailed Attendance'!FZ7:FZ7, "P")</f>
        <v/>
      </c>
      <c r="AX6" s="67">
        <f>COUNTIF('Detailed Attendance'!DK7:DK7, "A")+COUNTIF('Detailed Attendance'!DS7:DS7, "A")+COUNTIF('Detailed Attendance'!EH7:EH7, "A")+COUNTIF('Detailed Attendance'!EP7:EP7, "A")+COUNTIF('Detailed Attendance'!FB7:FB7, "A")+COUNTIF('Detailed Attendance'!FJ7:FJ7, "A")+COUNTIF('Detailed Attendance'!FR7:FR7, "A")+COUNTIF('Detailed Attendance'!FZ7:FZ7, "A")</f>
        <v/>
      </c>
      <c r="AY6" s="68">
        <f>IF((AW6+AX6)=0,"", AW6/(AW6+AX6))</f>
        <v/>
      </c>
      <c r="AZ6" s="67">
        <f>COUNTIF('Detailed Attendance'!DN7:DN7, "P")+COUNTIF('Detailed Attendance'!DR7:DR7, "P")+COUNTIF('Detailed Attendance'!EK7:EK7, "P")+COUNTIF('Detailed Attendance'!EO7:EO7, "P")+COUNTIF('Detailed Attendance'!FE7:FE7, "P")+COUNTIF('Detailed Attendance'!FI7:FI7, "P")+COUNTIF('Detailed Attendance'!FU7:FU7, "P")+COUNTIF('Detailed Attendance'!FY7:FY7, "P")</f>
        <v/>
      </c>
      <c r="BA6" s="67">
        <f>COUNTIF('Detailed Attendance'!DN7:DN7, "A")+COUNTIF('Detailed Attendance'!DR7:DR7, "A")+COUNTIF('Detailed Attendance'!EK7:EK7, "A")+COUNTIF('Detailed Attendance'!EO7:EO7, "A")+COUNTIF('Detailed Attendance'!FE7:FE7, "A")+COUNTIF('Detailed Attendance'!FI7:FI7, "A")+COUNTIF('Detailed Attendance'!FU7:FU7, "A")+COUNTIF('Detailed Attendance'!FY7:FY7, "A")</f>
        <v/>
      </c>
      <c r="BB6" s="68">
        <f>IF((AZ6+BA6)=0,"", AZ6/(AZ6+BA6))</f>
        <v/>
      </c>
      <c r="BC6" s="67">
        <f>COUNTIF('Detailed Attendance'!DC7:DC7, "P")+COUNTIF('Detailed Attendance'!DV7:DV7, "P")+COUNTIF('Detailed Attendance'!DZ7:DZ7, "P")+COUNTIF('Detailed Attendance'!ES7:ES7, "P")+COUNTIF('Detailed Attendance'!GC7:GC7, "P")+COUNTIF('Detailed Attendance'!GG7:GG7, "P")</f>
        <v/>
      </c>
      <c r="BD6" s="67">
        <f>COUNTIF('Detailed Attendance'!DC7:DC7, "A")+COUNTIF('Detailed Attendance'!DV7:DV7, "A")+COUNTIF('Detailed Attendance'!DZ7:DZ7, "A")+COUNTIF('Detailed Attendance'!ES7:ES7, "A")+COUNTIF('Detailed Attendance'!GC7:GC7, "A")+COUNTIF('Detailed Attendance'!GG7:GG7, "A")</f>
        <v/>
      </c>
      <c r="BE6" s="68">
        <f>IF((BC6+BD6)=0,"", BC6/(BC6+BD6))</f>
        <v/>
      </c>
      <c r="BF6" s="67">
        <f>COUNTIF('Detailed Attendance'!DO7:DO7, "P")+COUNTIF('Detailed Attendance'!DW7:DW7, "P")+COUNTIF('Detailed Attendance'!EL7:EL7, "P")+COUNTIF('Detailed Attendance'!ET7:ET7, "P")+COUNTIF('Detailed Attendance'!FF7:FF7, "P")+COUNTIF('Detailed Attendance'!FV7:FV7, "P")+COUNTIF('Detailed Attendance'!GD7:GD7, "P")</f>
        <v/>
      </c>
      <c r="BG6" s="67">
        <f>COUNTIF('Detailed Attendance'!DO7:DO7, "A")+COUNTIF('Detailed Attendance'!DW7:DW7, "A")+COUNTIF('Detailed Attendance'!EL7:EL7, "A")+COUNTIF('Detailed Attendance'!ET7:ET7, "A")+COUNTIF('Detailed Attendance'!FF7:FF7, "A")+COUNTIF('Detailed Attendance'!FV7:FV7, "A")+COUNTIF('Detailed Attendance'!GD7:GD7, "A")</f>
        <v/>
      </c>
      <c r="BH6" s="68">
        <f>IF((BF6+BG6)=0,"", BF6/(BF6+BG6))</f>
        <v/>
      </c>
      <c r="BI6" s="67">
        <f>AT6+AW6+AZ6+BC6+BF6</f>
        <v/>
      </c>
      <c r="BJ6" s="67">
        <f>AU6+AX6+BA6+BD6+BG6</f>
        <v/>
      </c>
      <c r="BK6" s="68">
        <f>IF((BI6+BJ6)=0,"", BI6/(BI6+BJ6))</f>
        <v/>
      </c>
      <c r="BL6" s="69">
        <f>COUNTIF('Detailed Attendance'!DG7:DG7, "P")+COUNTIF('Detailed Attendance'!ED7:ED7, "P")+COUNTIF('Detailed Attendance'!EX7:EX7, "P")+COUNTIF('Detailed Attendance'!FN7:FN7, "P")+COUNTIF('Detailed Attendance'!DX7:DX7, "P")+COUNTIF('Detailed Attendance'!EU7:EU7, "P")+COUNTIF('Detailed Attendance'!GE7:GE7, "P")+COUNTIF('Detailed Attendance'!DE7:DE7, "P")+COUNTIF('Detailed Attendance'!EB7:EB7, "P")+COUNTIF('Detailed Attendance'!GI7:GI7, "P")</f>
        <v/>
      </c>
      <c r="BM6" s="69">
        <f>COUNTIF('Detailed Attendance'!DG7:DG7, "A")+COUNTIF('Detailed Attendance'!ED7:ED7, "A")+COUNTIF('Detailed Attendance'!EX7:EX7, "A")+COUNTIF('Detailed Attendance'!FN7:FN7, "A")+COUNTIF('Detailed Attendance'!DX7:DX7, "A")+COUNTIF('Detailed Attendance'!EU7:EU7, "A")+COUNTIF('Detailed Attendance'!GE7:GE7, "A")+COUNTIF('Detailed Attendance'!DE7:DE7, "A")+COUNTIF('Detailed Attendance'!EB7:EB7, "A")+COUNTIF('Detailed Attendance'!GI7:GI7, "A")</f>
        <v/>
      </c>
      <c r="BN6" s="70">
        <f>IF((BL6+BM6)=0,"", BL6/(BL6+BM6))</f>
        <v/>
      </c>
      <c r="BO6" s="67">
        <f>D6+Y6+AT6</f>
        <v/>
      </c>
      <c r="BP6" s="67">
        <f>E6+Z6+AU6</f>
        <v/>
      </c>
      <c r="BQ6" s="68">
        <f>IF((BO6+BP6)=0,"", BO6/(BO6+BP6))</f>
        <v/>
      </c>
      <c r="BR6" s="67">
        <f>G6+AB6+AW6</f>
        <v/>
      </c>
      <c r="BS6" s="67">
        <f>H6+AC6+AX6</f>
        <v/>
      </c>
      <c r="BT6" s="68">
        <f>IF((BR6+BS6)=0,"", BR6/(BR6+BS6))</f>
        <v/>
      </c>
      <c r="BU6" s="67">
        <f>J6+AE6+AZ6</f>
        <v/>
      </c>
      <c r="BV6" s="67">
        <f>K6+AF6+BA6</f>
        <v/>
      </c>
      <c r="BW6" s="68">
        <f>IF((BU6+BV6)=0,"", BU6/(BU6+BV6))</f>
        <v/>
      </c>
      <c r="BX6" s="67">
        <f>M6+AH6+BC6</f>
        <v/>
      </c>
      <c r="BY6" s="67">
        <f>N6+AI6+BD6</f>
        <v/>
      </c>
      <c r="BZ6" s="68">
        <f>IF((BX6+BY6)=0,"", BX6/(BX6+BY6))</f>
        <v/>
      </c>
      <c r="CA6" s="67">
        <f>P6+AK6+BF6</f>
        <v/>
      </c>
      <c r="CB6" s="67">
        <f>Q6+AL6+BG6</f>
        <v/>
      </c>
      <c r="CC6" s="68">
        <f>IF((CA6+CB6)=0,"", CA6/(CA6+CB6))</f>
        <v/>
      </c>
      <c r="CD6" s="67">
        <f>S6+AN6+BI6</f>
        <v/>
      </c>
      <c r="CE6" s="67">
        <f>T6+AO6+BJ6</f>
        <v/>
      </c>
      <c r="CF6" s="68">
        <f>IF((CD6+CE6)=0,"", CD6/(CD6+CE6))</f>
        <v/>
      </c>
      <c r="CG6" s="69">
        <f>V6+AQ6+BL6</f>
        <v/>
      </c>
      <c r="CH6" s="69">
        <f>W6+AR6+BM6</f>
        <v/>
      </c>
      <c r="CI6" s="70">
        <f>IF((CG6+CH6)=0,"", CG6/(CG6+CH6))</f>
        <v/>
      </c>
      <c r="CJ6" s="67">
        <f>CD6+(CG6*2)</f>
        <v/>
      </c>
      <c r="CK6" s="67">
        <f>CE6+(CH6*2)</f>
        <v/>
      </c>
      <c r="CL6" s="68">
        <f>IF((CJ6+CK6)=0,"", CJ6/(CJ6+CK6))</f>
        <v/>
      </c>
      <c r="CM6" s="67" t="inlineStr">
        <is>
          <t>Batch 1</t>
        </is>
      </c>
    </row>
    <row r="7" ht="14.25" customHeight="1" s="34">
      <c r="A7" s="46" t="n">
        <v>5</v>
      </c>
      <c r="B7" s="46" t="inlineStr">
        <is>
          <t>325106410005</t>
        </is>
      </c>
      <c r="C7" s="46" t="inlineStr">
        <is>
          <t>LAKSHMANA KUMAR BATHULA</t>
        </is>
      </c>
      <c r="D7" s="63" t="n">
        <v>0</v>
      </c>
      <c r="E7" s="63" t="n">
        <v>0</v>
      </c>
      <c r="F7" s="64">
        <f>IF((D7+E7)=0,"", D7/(D7+E7))</f>
        <v/>
      </c>
      <c r="G7" s="63">
        <f>COUNTIF('Detailed Attendance'!I8:I8, "P")</f>
        <v/>
      </c>
      <c r="H7" s="63">
        <f>COUNTIF('Detailed Attendance'!I8:I8, "A")</f>
        <v/>
      </c>
      <c r="I7" s="64">
        <f>IF((G7+H7)=0,"", G7/(G7+H7))</f>
        <v/>
      </c>
      <c r="J7" s="63" t="n">
        <v>0</v>
      </c>
      <c r="K7" s="63" t="n">
        <v>0</v>
      </c>
      <c r="L7" s="64">
        <f>IF((J7+K7)=0,"", J7/(J7+K7))</f>
        <v/>
      </c>
      <c r="M7" s="63">
        <f>COUNTIF('Detailed Attendance'!D8:D8, "P")</f>
        <v/>
      </c>
      <c r="N7" s="63">
        <f>COUNTIF('Detailed Attendance'!D8:D8, "A")</f>
        <v/>
      </c>
      <c r="O7" s="64">
        <f>IF((M7+N7)=0,"", M7/(M7+N7))</f>
        <v/>
      </c>
      <c r="P7" s="63" t="n">
        <v>0</v>
      </c>
      <c r="Q7" s="63" t="n">
        <v>0</v>
      </c>
      <c r="R7" s="64">
        <f>IF((P7+Q7)=0,"", P7/(P7+Q7))</f>
        <v/>
      </c>
      <c r="S7" s="63">
        <f>D7+G7+J7+M7+P7</f>
        <v/>
      </c>
      <c r="T7" s="63">
        <f>E7+H7+K7+N7+Q7</f>
        <v/>
      </c>
      <c r="U7" s="64">
        <f>IF((S7+T7)=0,"", S7/(S7+T7))</f>
        <v/>
      </c>
      <c r="V7" s="65">
        <f>COUNTIF('Detailed Attendance'!E8:E8, "P")</f>
        <v/>
      </c>
      <c r="W7" s="65">
        <f>COUNTIF('Detailed Attendance'!E8:E8, "A")</f>
        <v/>
      </c>
      <c r="X7" s="66">
        <f>IF((V7+W7)=0,"", V7/(V7+W7))</f>
        <v/>
      </c>
      <c r="Y7" s="63">
        <f>COUNTIF('Detailed Attendance'!R8:R8, "P")+COUNTIF('Detailed Attendance'!X8:X8, "P")+COUNTIF('Detailed Attendance'!AL8:AL8, "P")+COUNTIF('Detailed Attendance'!BF8:BF8, "P")+COUNTIF('Detailed Attendance'!BL8:BL8, "P")+COUNTIF('Detailed Attendance'!BZ8:BZ8, "P")+COUNTIF('Detailed Attendance'!CI8:CI8, "P")+COUNTIF('Detailed Attendance'!CW8:CW8, "P")</f>
        <v/>
      </c>
      <c r="Z7" s="63">
        <f>COUNTIF('Detailed Attendance'!R8:R8, "A")+COUNTIF('Detailed Attendance'!X8:X8, "A")+COUNTIF('Detailed Attendance'!AL8:AL8, "A")+COUNTIF('Detailed Attendance'!BF8:BF8, "A")+COUNTIF('Detailed Attendance'!BL8:BL8, "A")+COUNTIF('Detailed Attendance'!BZ8:BZ8, "A")+COUNTIF('Detailed Attendance'!CI8:CI8, "A")+COUNTIF('Detailed Attendance'!CW8:CW8, "A")</f>
        <v/>
      </c>
      <c r="AA7" s="64">
        <f>IF((Y7+Z7)=0,"", Y7/(Y7+Z7))</f>
        <v/>
      </c>
      <c r="AB7" s="63">
        <f>COUNTIF('Detailed Attendance'!Q8:Q8, "P")+COUNTIF('Detailed Attendance'!AC8:AC8, "P")+COUNTIF('Detailed Attendance'!AK8:AK8, "P")+COUNTIF('Detailed Attendance'!AW8:AW8, "P")+COUNTIF('Detailed Attendance'!BE8:BE8, "P")+COUNTIF('Detailed Attendance'!BQ8:BQ8, "P")+COUNTIF('Detailed Attendance'!BY8:BY8, "P")+COUNTIF('Detailed Attendance'!CN8:CN8, "P")+COUNTIF('Detailed Attendance'!CV8:CV8, "P")</f>
        <v/>
      </c>
      <c r="AC7" s="63">
        <f>COUNTIF('Detailed Attendance'!Q8:Q8, "A")+COUNTIF('Detailed Attendance'!AC8:AC8, "A")+COUNTIF('Detailed Attendance'!AK8:AK8, "A")+COUNTIF('Detailed Attendance'!AW8:AW8, "A")+COUNTIF('Detailed Attendance'!BE8:BE8, "A")+COUNTIF('Detailed Attendance'!BQ8:BQ8, "A")+COUNTIF('Detailed Attendance'!BY8:BY8, "A")+COUNTIF('Detailed Attendance'!CN8:CN8, "A")+COUNTIF('Detailed Attendance'!CV8:CV8, "A")</f>
        <v/>
      </c>
      <c r="AD7" s="64">
        <f>IF((AB7+AC7)=0,"", AB7/(AB7+AC7))</f>
        <v/>
      </c>
      <c r="AE7" s="63">
        <f>COUNTIF('Detailed Attendance'!L8:L8, "P")+COUNTIF('Detailed Attendance'!P8:P8, "P")+COUNTIF('Detailed Attendance'!AF8:AF8, "P")+COUNTIF('Detailed Attendance'!AJ8:AJ8, "P")+COUNTIF('Detailed Attendance'!AZ8:AZ8, "P")+COUNTIF('Detailed Attendance'!BD8:BD8, "P")+COUNTIF('Detailed Attendance'!BT8:BT8, "P")+COUNTIF('Detailed Attendance'!BX8:BX8, "P")+COUNTIF('Detailed Attendance'!CQ8:CQ8, "P")+COUNTIF('Detailed Attendance'!CU8:CU8, "P")</f>
        <v/>
      </c>
      <c r="AF7" s="67">
        <f>COUNTIF('Detailed Attendance'!L8:L8, "A")+COUNTIF('Detailed Attendance'!P8:P8, "A")+COUNTIF('Detailed Attendance'!AF8:AF8, "A")+COUNTIF('Detailed Attendance'!AJ8:AJ8, "A")+COUNTIF('Detailed Attendance'!AZ8:AZ8, "A")+COUNTIF('Detailed Attendance'!BD8:BD8, "A")+COUNTIF('Detailed Attendance'!BT8:BT8, "A")+COUNTIF('Detailed Attendance'!BX8:BX8, "A")+COUNTIF('Detailed Attendance'!CQ8:CQ8, "A")+COUNTIF('Detailed Attendance'!CU8:CU8, "A")</f>
        <v/>
      </c>
      <c r="AG7" s="68">
        <f>IF((AE7+AF7)=0,"", AE7/(AE7+AF7))</f>
        <v/>
      </c>
      <c r="AH7" s="67">
        <f>COUNTIF('Detailed Attendance'!T8:T8, "P")+COUNTIF('Detailed Attendance'!AN8:AN8, "P")+COUNTIF('Detailed Attendance'!AR8:AR8, "P")+COUNTIF('Detailed Attendance'!BH8:BH8, "P")+COUNTIF('Detailed Attendance'!CB8:CB8, "P")+COUNTIF('Detailed Attendance'!CF8:CF8, "P")+COUNTIF('Detailed Attendance'!CY8:CY8, "P")</f>
        <v/>
      </c>
      <c r="AI7" s="67">
        <f>COUNTIF('Detailed Attendance'!T8:T8, "A")+COUNTIF('Detailed Attendance'!AN8:AN8, "A")+COUNTIF('Detailed Attendance'!AR8:AR8, "A")+COUNTIF('Detailed Attendance'!BH8:BH8, "A")+COUNTIF('Detailed Attendance'!CB8:CB8, "A")+COUNTIF('Detailed Attendance'!CF8:CF8, "A")+COUNTIF('Detailed Attendance'!CY8:CY8, "A")</f>
        <v/>
      </c>
      <c r="AJ7" s="68">
        <f>IF((AH7+AI7)=0,"", AH7/(AH7+AI7))</f>
        <v/>
      </c>
      <c r="AK7" s="67">
        <f>COUNTIF('Detailed Attendance'!M8:M8, "P")+COUNTIF('Detailed Attendance'!U8:U8, "P")+COUNTIF('Detailed Attendance'!AG8:AG8, "P")+COUNTIF('Detailed Attendance'!AO8:AO8, "P")+COUNTIF('Detailed Attendance'!BA8:BA8, "P")+COUNTIF('Detailed Attendance'!BI8:BI8, "P")+COUNTIF('Detailed Attendance'!BU8:BU8, "P")+COUNTIF('Detailed Attendance'!CC8:CC8, "P")+COUNTIF('Detailed Attendance'!CR8:CR8, "P")+COUNTIF('Detailed Attendance'!CZ8:CZ8, "P")</f>
        <v/>
      </c>
      <c r="AL7" s="67">
        <f>COUNTIF('Detailed Attendance'!M8:M8, "A")+COUNTIF('Detailed Attendance'!U8:U8, "A")+COUNTIF('Detailed Attendance'!AG8:AG8, "A")+COUNTIF('Detailed Attendance'!AO8:AO8, "A")+COUNTIF('Detailed Attendance'!BA8:BA8, "A")+COUNTIF('Detailed Attendance'!BI8:BI8, "A")+COUNTIF('Detailed Attendance'!BU8:BU8, "A")+COUNTIF('Detailed Attendance'!CC8:CC8, "A")+COUNTIF('Detailed Attendance'!CR8:CR8, "A")+COUNTIF('Detailed Attendance'!CZ8:CZ8, "A")</f>
        <v/>
      </c>
      <c r="AM7" s="68">
        <f>IF((AK7+AL7)=0,"", AK7/(AK7+AL7))</f>
        <v/>
      </c>
      <c r="AN7" s="67">
        <f>Y7+AB7+AE7+AH7+AK7</f>
        <v/>
      </c>
      <c r="AO7" s="67">
        <f>Z7+AC7+AF7+AI7+AL7</f>
        <v/>
      </c>
      <c r="AP7" s="68">
        <f>IF((AN7+AO7)=0,"", AN7/(AN7+AO7))</f>
        <v/>
      </c>
      <c r="AQ7" s="69">
        <f>COUNTIF('Detailed Attendance'!Y8:Y8, "P")+COUNTIF('Detailed Attendance'!AS8:AS8, "P")+COUNTIF('Detailed Attendance'!BM8:BM8, "P")+COUNTIF('Detailed Attendance'!CJ8:CJ8, "P")+COUNTIF('Detailed Attendance'!V8:V8, "P")+COUNTIF('Detailed Attendance'!AP8:AP8, "P")+COUNTIF('Detailed Attendance'!BJ8:BJ8, "P")+COUNTIF('Detailed Attendance'!CD8:CD8, "P")+COUNTIF('Detailed Attendance'!DA8:DA8, "P")+COUNTIF('Detailed Attendance'!CH8:CH8, "P")</f>
        <v/>
      </c>
      <c r="AR7" s="69">
        <f>COUNTIF('Detailed Attendance'!Y8:Y8, "A")+COUNTIF('Detailed Attendance'!AS8:AS8, "A")+COUNTIF('Detailed Attendance'!BM8:BM8, "A")+COUNTIF('Detailed Attendance'!CJ8:CJ8, "A")+COUNTIF('Detailed Attendance'!V8:V8, "A")+COUNTIF('Detailed Attendance'!AP8:AP8, "A")+COUNTIF('Detailed Attendance'!BJ8:BJ8, "A")+COUNTIF('Detailed Attendance'!CD8:CD8, "A")+COUNTIF('Detailed Attendance'!DA8:DA8, "A")+COUNTIF('Detailed Attendance'!CH8:CH8, "A")</f>
        <v/>
      </c>
      <c r="AS7" s="70">
        <f>IF((AQ7+AR7)=0,"", AQ7/(AQ7+AR7))</f>
        <v/>
      </c>
      <c r="AT7" s="67">
        <f>COUNTIF('Detailed Attendance'!DF8:DF8, "P")+COUNTIF('Detailed Attendance'!DT8:DT8, "P")+COUNTIF('Detailed Attendance'!EC8:EC8, "P")+COUNTIF('Detailed Attendance'!EQ8:EQ8, "P")+COUNTIF('Detailed Attendance'!EW8:EW8, "P")+COUNTIF('Detailed Attendance'!FK8:FK8, "P")+COUNTIF('Detailed Attendance'!FM8:FM8, "P")+COUNTIF('Detailed Attendance'!GA8:GA8, "P")</f>
        <v/>
      </c>
      <c r="AU7" s="67">
        <f>COUNTIF('Detailed Attendance'!DF8:DF8, "A")+COUNTIF('Detailed Attendance'!DT8:DT8, "A")+COUNTIF('Detailed Attendance'!EC8:EC8, "A")+COUNTIF('Detailed Attendance'!EQ8:EQ8, "A")+COUNTIF('Detailed Attendance'!EW8:EW8, "A")+COUNTIF('Detailed Attendance'!FK8:FK8, "A")+COUNTIF('Detailed Attendance'!FM8:FM8, "A")+COUNTIF('Detailed Attendance'!GA8:GA8, "A")</f>
        <v/>
      </c>
      <c r="AV7" s="68">
        <f>IF((AT7+AU7)=0,"", AT7/(AT7+AU7))</f>
        <v/>
      </c>
      <c r="AW7" s="67">
        <f>COUNTIF('Detailed Attendance'!DK8:DK8, "P")+COUNTIF('Detailed Attendance'!DS8:DS8, "P")+COUNTIF('Detailed Attendance'!EH8:EH8, "P")+COUNTIF('Detailed Attendance'!EP8:EP8, "P")+COUNTIF('Detailed Attendance'!FB8:FB8, "P")+COUNTIF('Detailed Attendance'!FJ8:FJ8, "P")+COUNTIF('Detailed Attendance'!FR8:FR8, "P")+COUNTIF('Detailed Attendance'!FZ8:FZ8, "P")</f>
        <v/>
      </c>
      <c r="AX7" s="67">
        <f>COUNTIF('Detailed Attendance'!DK8:DK8, "A")+COUNTIF('Detailed Attendance'!DS8:DS8, "A")+COUNTIF('Detailed Attendance'!EH8:EH8, "A")+COUNTIF('Detailed Attendance'!EP8:EP8, "A")+COUNTIF('Detailed Attendance'!FB8:FB8, "A")+COUNTIF('Detailed Attendance'!FJ8:FJ8, "A")+COUNTIF('Detailed Attendance'!FR8:FR8, "A")+COUNTIF('Detailed Attendance'!FZ8:FZ8, "A")</f>
        <v/>
      </c>
      <c r="AY7" s="68">
        <f>IF((AW7+AX7)=0,"", AW7/(AW7+AX7))</f>
        <v/>
      </c>
      <c r="AZ7" s="67">
        <f>COUNTIF('Detailed Attendance'!DN8:DN8, "P")+COUNTIF('Detailed Attendance'!DR8:DR8, "P")+COUNTIF('Detailed Attendance'!EK8:EK8, "P")+COUNTIF('Detailed Attendance'!EO8:EO8, "P")+COUNTIF('Detailed Attendance'!FE8:FE8, "P")+COUNTIF('Detailed Attendance'!FI8:FI8, "P")+COUNTIF('Detailed Attendance'!FU8:FU8, "P")+COUNTIF('Detailed Attendance'!FY8:FY8, "P")</f>
        <v/>
      </c>
      <c r="BA7" s="67">
        <f>COUNTIF('Detailed Attendance'!DN8:DN8, "A")+COUNTIF('Detailed Attendance'!DR8:DR8, "A")+COUNTIF('Detailed Attendance'!EK8:EK8, "A")+COUNTIF('Detailed Attendance'!EO8:EO8, "A")+COUNTIF('Detailed Attendance'!FE8:FE8, "A")+COUNTIF('Detailed Attendance'!FI8:FI8, "A")+COUNTIF('Detailed Attendance'!FU8:FU8, "A")+COUNTIF('Detailed Attendance'!FY8:FY8, "A")</f>
        <v/>
      </c>
      <c r="BB7" s="68">
        <f>IF((AZ7+BA7)=0,"", AZ7/(AZ7+BA7))</f>
        <v/>
      </c>
      <c r="BC7" s="67">
        <f>COUNTIF('Detailed Attendance'!DC8:DC8, "P")+COUNTIF('Detailed Attendance'!DV8:DV8, "P")+COUNTIF('Detailed Attendance'!DZ8:DZ8, "P")+COUNTIF('Detailed Attendance'!ES8:ES8, "P")+COUNTIF('Detailed Attendance'!GC8:GC8, "P")+COUNTIF('Detailed Attendance'!GG8:GG8, "P")</f>
        <v/>
      </c>
      <c r="BD7" s="67">
        <f>COUNTIF('Detailed Attendance'!DC8:DC8, "A")+COUNTIF('Detailed Attendance'!DV8:DV8, "A")+COUNTIF('Detailed Attendance'!DZ8:DZ8, "A")+COUNTIF('Detailed Attendance'!ES8:ES8, "A")+COUNTIF('Detailed Attendance'!GC8:GC8, "A")+COUNTIF('Detailed Attendance'!GG8:GG8, "A")</f>
        <v/>
      </c>
      <c r="BE7" s="68">
        <f>IF((BC7+BD7)=0,"", BC7/(BC7+BD7))</f>
        <v/>
      </c>
      <c r="BF7" s="67">
        <f>COUNTIF('Detailed Attendance'!DO8:DO8, "P")+COUNTIF('Detailed Attendance'!DW8:DW8, "P")+COUNTIF('Detailed Attendance'!EL8:EL8, "P")+COUNTIF('Detailed Attendance'!ET8:ET8, "P")+COUNTIF('Detailed Attendance'!FF8:FF8, "P")+COUNTIF('Detailed Attendance'!FV8:FV8, "P")+COUNTIF('Detailed Attendance'!GD8:GD8, "P")</f>
        <v/>
      </c>
      <c r="BG7" s="67">
        <f>COUNTIF('Detailed Attendance'!DO8:DO8, "A")+COUNTIF('Detailed Attendance'!DW8:DW8, "A")+COUNTIF('Detailed Attendance'!EL8:EL8, "A")+COUNTIF('Detailed Attendance'!ET8:ET8, "A")+COUNTIF('Detailed Attendance'!FF8:FF8, "A")+COUNTIF('Detailed Attendance'!FV8:FV8, "A")+COUNTIF('Detailed Attendance'!GD8:GD8, "A")</f>
        <v/>
      </c>
      <c r="BH7" s="68">
        <f>IF((BF7+BG7)=0,"", BF7/(BF7+BG7))</f>
        <v/>
      </c>
      <c r="BI7" s="67">
        <f>AT7+AW7+AZ7+BC7+BF7</f>
        <v/>
      </c>
      <c r="BJ7" s="67">
        <f>AU7+AX7+BA7+BD7+BG7</f>
        <v/>
      </c>
      <c r="BK7" s="68">
        <f>IF((BI7+BJ7)=0,"", BI7/(BI7+BJ7))</f>
        <v/>
      </c>
      <c r="BL7" s="69">
        <f>COUNTIF('Detailed Attendance'!DG8:DG8, "P")+COUNTIF('Detailed Attendance'!ED8:ED8, "P")+COUNTIF('Detailed Attendance'!EX8:EX8, "P")+COUNTIF('Detailed Attendance'!FN8:FN8, "P")+COUNTIF('Detailed Attendance'!DX8:DX8, "P")+COUNTIF('Detailed Attendance'!EU8:EU8, "P")+COUNTIF('Detailed Attendance'!GE8:GE8, "P")+COUNTIF('Detailed Attendance'!DE8:DE8, "P")+COUNTIF('Detailed Attendance'!EB8:EB8, "P")+COUNTIF('Detailed Attendance'!GI8:GI8, "P")</f>
        <v/>
      </c>
      <c r="BM7" s="69">
        <f>COUNTIF('Detailed Attendance'!DG8:DG8, "A")+COUNTIF('Detailed Attendance'!ED8:ED8, "A")+COUNTIF('Detailed Attendance'!EX8:EX8, "A")+COUNTIF('Detailed Attendance'!FN8:FN8, "A")+COUNTIF('Detailed Attendance'!DX8:DX8, "A")+COUNTIF('Detailed Attendance'!EU8:EU8, "A")+COUNTIF('Detailed Attendance'!GE8:GE8, "A")+COUNTIF('Detailed Attendance'!DE8:DE8, "A")+COUNTIF('Detailed Attendance'!EB8:EB8, "A")+COUNTIF('Detailed Attendance'!GI8:GI8, "A")</f>
        <v/>
      </c>
      <c r="BN7" s="70">
        <f>IF((BL7+BM7)=0,"", BL7/(BL7+BM7))</f>
        <v/>
      </c>
      <c r="BO7" s="67">
        <f>D7+Y7+AT7</f>
        <v/>
      </c>
      <c r="BP7" s="67">
        <f>E7+Z7+AU7</f>
        <v/>
      </c>
      <c r="BQ7" s="68">
        <f>IF((BO7+BP7)=0,"", BO7/(BO7+BP7))</f>
        <v/>
      </c>
      <c r="BR7" s="67">
        <f>G7+AB7+AW7</f>
        <v/>
      </c>
      <c r="BS7" s="67">
        <f>H7+AC7+AX7</f>
        <v/>
      </c>
      <c r="BT7" s="68">
        <f>IF((BR7+BS7)=0,"", BR7/(BR7+BS7))</f>
        <v/>
      </c>
      <c r="BU7" s="67">
        <f>J7+AE7+AZ7</f>
        <v/>
      </c>
      <c r="BV7" s="67">
        <f>K7+AF7+BA7</f>
        <v/>
      </c>
      <c r="BW7" s="68">
        <f>IF((BU7+BV7)=0,"", BU7/(BU7+BV7))</f>
        <v/>
      </c>
      <c r="BX7" s="67">
        <f>M7+AH7+BC7</f>
        <v/>
      </c>
      <c r="BY7" s="67">
        <f>N7+AI7+BD7</f>
        <v/>
      </c>
      <c r="BZ7" s="68">
        <f>IF((BX7+BY7)=0,"", BX7/(BX7+BY7))</f>
        <v/>
      </c>
      <c r="CA7" s="67">
        <f>P7+AK7+BF7</f>
        <v/>
      </c>
      <c r="CB7" s="67">
        <f>Q7+AL7+BG7</f>
        <v/>
      </c>
      <c r="CC7" s="68">
        <f>IF((CA7+CB7)=0,"", CA7/(CA7+CB7))</f>
        <v/>
      </c>
      <c r="CD7" s="67">
        <f>S7+AN7+BI7</f>
        <v/>
      </c>
      <c r="CE7" s="67">
        <f>T7+AO7+BJ7</f>
        <v/>
      </c>
      <c r="CF7" s="68">
        <f>IF((CD7+CE7)=0,"", CD7/(CD7+CE7))</f>
        <v/>
      </c>
      <c r="CG7" s="69">
        <f>V7+AQ7+BL7</f>
        <v/>
      </c>
      <c r="CH7" s="69">
        <f>W7+AR7+BM7</f>
        <v/>
      </c>
      <c r="CI7" s="70">
        <f>IF((CG7+CH7)=0,"", CG7/(CG7+CH7))</f>
        <v/>
      </c>
      <c r="CJ7" s="67">
        <f>CD7+(CG7*2)</f>
        <v/>
      </c>
      <c r="CK7" s="67">
        <f>CE7+(CH7*2)</f>
        <v/>
      </c>
      <c r="CL7" s="68">
        <f>IF((CJ7+CK7)=0,"", CJ7/(CJ7+CK7))</f>
        <v/>
      </c>
      <c r="CM7" s="67" t="inlineStr">
        <is>
          <t>Batch 1</t>
        </is>
      </c>
    </row>
    <row r="8" ht="14.25" customHeight="1" s="34">
      <c r="A8" s="46" t="n">
        <v>6</v>
      </c>
      <c r="B8" s="46" t="inlineStr">
        <is>
          <t>325106410006</t>
        </is>
      </c>
      <c r="C8" s="46" t="inlineStr">
        <is>
          <t>PADMA KUMARI CHIKKALA</t>
        </is>
      </c>
      <c r="D8" s="63" t="n">
        <v>0</v>
      </c>
      <c r="E8" s="63" t="n">
        <v>0</v>
      </c>
      <c r="F8" s="64">
        <f>IF((D8+E8)=0,"", D8/(D8+E8))</f>
        <v/>
      </c>
      <c r="G8" s="63">
        <f>COUNTIF('Detailed Attendance'!I9:I9, "P")</f>
        <v/>
      </c>
      <c r="H8" s="63">
        <f>COUNTIF('Detailed Attendance'!I9:I9, "A")</f>
        <v/>
      </c>
      <c r="I8" s="64">
        <f>IF((G8+H8)=0,"", G8/(G8+H8))</f>
        <v/>
      </c>
      <c r="J8" s="63" t="n">
        <v>0</v>
      </c>
      <c r="K8" s="63" t="n">
        <v>0</v>
      </c>
      <c r="L8" s="64">
        <f>IF((J8+K8)=0,"", J8/(J8+K8))</f>
        <v/>
      </c>
      <c r="M8" s="63">
        <f>COUNTIF('Detailed Attendance'!D9:D9, "P")</f>
        <v/>
      </c>
      <c r="N8" s="63">
        <f>COUNTIF('Detailed Attendance'!D9:D9, "A")</f>
        <v/>
      </c>
      <c r="O8" s="64">
        <f>IF((M8+N8)=0,"", M8/(M8+N8))</f>
        <v/>
      </c>
      <c r="P8" s="63" t="n">
        <v>0</v>
      </c>
      <c r="Q8" s="63" t="n">
        <v>0</v>
      </c>
      <c r="R8" s="64">
        <f>IF((P8+Q8)=0,"", P8/(P8+Q8))</f>
        <v/>
      </c>
      <c r="S8" s="63">
        <f>D8+G8+J8+M8+P8</f>
        <v/>
      </c>
      <c r="T8" s="63">
        <f>E8+H8+K8+N8+Q8</f>
        <v/>
      </c>
      <c r="U8" s="64">
        <f>IF((S8+T8)=0,"", S8/(S8+T8))</f>
        <v/>
      </c>
      <c r="V8" s="65">
        <f>COUNTIF('Detailed Attendance'!E9:E9, "P")</f>
        <v/>
      </c>
      <c r="W8" s="65">
        <f>COUNTIF('Detailed Attendance'!E9:E9, "A")</f>
        <v/>
      </c>
      <c r="X8" s="66">
        <f>IF((V8+W8)=0,"", V8/(V8+W8))</f>
        <v/>
      </c>
      <c r="Y8" s="63">
        <f>COUNTIF('Detailed Attendance'!R9:R9, "P")+COUNTIF('Detailed Attendance'!X9:X9, "P")+COUNTIF('Detailed Attendance'!AL9:AL9, "P")+COUNTIF('Detailed Attendance'!BF9:BF9, "P")+COUNTIF('Detailed Attendance'!BL9:BL9, "P")+COUNTIF('Detailed Attendance'!BZ9:BZ9, "P")+COUNTIF('Detailed Attendance'!CI9:CI9, "P")+COUNTIF('Detailed Attendance'!CW9:CW9, "P")</f>
        <v/>
      </c>
      <c r="Z8" s="63">
        <f>COUNTIF('Detailed Attendance'!R9:R9, "A")+COUNTIF('Detailed Attendance'!X9:X9, "A")+COUNTIF('Detailed Attendance'!AL9:AL9, "A")+COUNTIF('Detailed Attendance'!BF9:BF9, "A")+COUNTIF('Detailed Attendance'!BL9:BL9, "A")+COUNTIF('Detailed Attendance'!BZ9:BZ9, "A")+COUNTIF('Detailed Attendance'!CI9:CI9, "A")+COUNTIF('Detailed Attendance'!CW9:CW9, "A")</f>
        <v/>
      </c>
      <c r="AA8" s="64">
        <f>IF((Y8+Z8)=0,"", Y8/(Y8+Z8))</f>
        <v/>
      </c>
      <c r="AB8" s="63">
        <f>COUNTIF('Detailed Attendance'!Q9:Q9, "P")+COUNTIF('Detailed Attendance'!AC9:AC9, "P")+COUNTIF('Detailed Attendance'!AK9:AK9, "P")+COUNTIF('Detailed Attendance'!AW9:AW9, "P")+COUNTIF('Detailed Attendance'!BE9:BE9, "P")+COUNTIF('Detailed Attendance'!BQ9:BQ9, "P")+COUNTIF('Detailed Attendance'!BY9:BY9, "P")+COUNTIF('Detailed Attendance'!CN9:CN9, "P")+COUNTIF('Detailed Attendance'!CV9:CV9, "P")</f>
        <v/>
      </c>
      <c r="AC8" s="63">
        <f>COUNTIF('Detailed Attendance'!Q9:Q9, "A")+COUNTIF('Detailed Attendance'!AC9:AC9, "A")+COUNTIF('Detailed Attendance'!AK9:AK9, "A")+COUNTIF('Detailed Attendance'!AW9:AW9, "A")+COUNTIF('Detailed Attendance'!BE9:BE9, "A")+COUNTIF('Detailed Attendance'!BQ9:BQ9, "A")+COUNTIF('Detailed Attendance'!BY9:BY9, "A")+COUNTIF('Detailed Attendance'!CN9:CN9, "A")+COUNTIF('Detailed Attendance'!CV9:CV9, "A")</f>
        <v/>
      </c>
      <c r="AD8" s="64">
        <f>IF((AB8+AC8)=0,"", AB8/(AB8+AC8))</f>
        <v/>
      </c>
      <c r="AE8" s="63">
        <f>COUNTIF('Detailed Attendance'!L9:L9, "P")+COUNTIF('Detailed Attendance'!P9:P9, "P")+COUNTIF('Detailed Attendance'!AF9:AF9, "P")+COUNTIF('Detailed Attendance'!AJ9:AJ9, "P")+COUNTIF('Detailed Attendance'!AZ9:AZ9, "P")+COUNTIF('Detailed Attendance'!BD9:BD9, "P")+COUNTIF('Detailed Attendance'!BT9:BT9, "P")+COUNTIF('Detailed Attendance'!BX9:BX9, "P")+COUNTIF('Detailed Attendance'!CQ9:CQ9, "P")+COUNTIF('Detailed Attendance'!CU9:CU9, "P")</f>
        <v/>
      </c>
      <c r="AF8" s="67">
        <f>COUNTIF('Detailed Attendance'!L9:L9, "A")+COUNTIF('Detailed Attendance'!P9:P9, "A")+COUNTIF('Detailed Attendance'!AF9:AF9, "A")+COUNTIF('Detailed Attendance'!AJ9:AJ9, "A")+COUNTIF('Detailed Attendance'!AZ9:AZ9, "A")+COUNTIF('Detailed Attendance'!BD9:BD9, "A")+COUNTIF('Detailed Attendance'!BT9:BT9, "A")+COUNTIF('Detailed Attendance'!BX9:BX9, "A")+COUNTIF('Detailed Attendance'!CQ9:CQ9, "A")+COUNTIF('Detailed Attendance'!CU9:CU9, "A")</f>
        <v/>
      </c>
      <c r="AG8" s="68">
        <f>IF((AE8+AF8)=0,"", AE8/(AE8+AF8))</f>
        <v/>
      </c>
      <c r="AH8" s="67">
        <f>COUNTIF('Detailed Attendance'!T9:T9, "P")+COUNTIF('Detailed Attendance'!AN9:AN9, "P")+COUNTIF('Detailed Attendance'!AR9:AR9, "P")+COUNTIF('Detailed Attendance'!BH9:BH9, "P")+COUNTIF('Detailed Attendance'!CB9:CB9, "P")+COUNTIF('Detailed Attendance'!CF9:CF9, "P")+COUNTIF('Detailed Attendance'!CY9:CY9, "P")</f>
        <v/>
      </c>
      <c r="AI8" s="67">
        <f>COUNTIF('Detailed Attendance'!T9:T9, "A")+COUNTIF('Detailed Attendance'!AN9:AN9, "A")+COUNTIF('Detailed Attendance'!AR9:AR9, "A")+COUNTIF('Detailed Attendance'!BH9:BH9, "A")+COUNTIF('Detailed Attendance'!CB9:CB9, "A")+COUNTIF('Detailed Attendance'!CF9:CF9, "A")+COUNTIF('Detailed Attendance'!CY9:CY9, "A")</f>
        <v/>
      </c>
      <c r="AJ8" s="68">
        <f>IF((AH8+AI8)=0,"", AH8/(AH8+AI8))</f>
        <v/>
      </c>
      <c r="AK8" s="67">
        <f>COUNTIF('Detailed Attendance'!M9:M9, "P")+COUNTIF('Detailed Attendance'!U9:U9, "P")+COUNTIF('Detailed Attendance'!AG9:AG9, "P")+COUNTIF('Detailed Attendance'!AO9:AO9, "P")+COUNTIF('Detailed Attendance'!BA9:BA9, "P")+COUNTIF('Detailed Attendance'!BI9:BI9, "P")+COUNTIF('Detailed Attendance'!BU9:BU9, "P")+COUNTIF('Detailed Attendance'!CC9:CC9, "P")+COUNTIF('Detailed Attendance'!CR9:CR9, "P")+COUNTIF('Detailed Attendance'!CZ9:CZ9, "P")</f>
        <v/>
      </c>
      <c r="AL8" s="67">
        <f>COUNTIF('Detailed Attendance'!M9:M9, "A")+COUNTIF('Detailed Attendance'!U9:U9, "A")+COUNTIF('Detailed Attendance'!AG9:AG9, "A")+COUNTIF('Detailed Attendance'!AO9:AO9, "A")+COUNTIF('Detailed Attendance'!BA9:BA9, "A")+COUNTIF('Detailed Attendance'!BI9:BI9, "A")+COUNTIF('Detailed Attendance'!BU9:BU9, "A")+COUNTIF('Detailed Attendance'!CC9:CC9, "A")+COUNTIF('Detailed Attendance'!CR9:CR9, "A")+COUNTIF('Detailed Attendance'!CZ9:CZ9, "A")</f>
        <v/>
      </c>
      <c r="AM8" s="68">
        <f>IF((AK8+AL8)=0,"", AK8/(AK8+AL8))</f>
        <v/>
      </c>
      <c r="AN8" s="67">
        <f>Y8+AB8+AE8+AH8+AK8</f>
        <v/>
      </c>
      <c r="AO8" s="67">
        <f>Z8+AC8+AF8+AI8+AL8</f>
        <v/>
      </c>
      <c r="AP8" s="68">
        <f>IF((AN8+AO8)=0,"", AN8/(AN8+AO8))</f>
        <v/>
      </c>
      <c r="AQ8" s="69">
        <f>COUNTIF('Detailed Attendance'!Y9:Y9, "P")+COUNTIF('Detailed Attendance'!AS9:AS9, "P")+COUNTIF('Detailed Attendance'!BM9:BM9, "P")+COUNTIF('Detailed Attendance'!CJ9:CJ9, "P")+COUNTIF('Detailed Attendance'!V9:V9, "P")+COUNTIF('Detailed Attendance'!AP9:AP9, "P")+COUNTIF('Detailed Attendance'!BJ9:BJ9, "P")+COUNTIF('Detailed Attendance'!CD9:CD9, "P")+COUNTIF('Detailed Attendance'!DA9:DA9, "P")+COUNTIF('Detailed Attendance'!CH9:CH9, "P")</f>
        <v/>
      </c>
      <c r="AR8" s="69">
        <f>COUNTIF('Detailed Attendance'!Y9:Y9, "A")+COUNTIF('Detailed Attendance'!AS9:AS9, "A")+COUNTIF('Detailed Attendance'!BM9:BM9, "A")+COUNTIF('Detailed Attendance'!CJ9:CJ9, "A")+COUNTIF('Detailed Attendance'!V9:V9, "A")+COUNTIF('Detailed Attendance'!AP9:AP9, "A")+COUNTIF('Detailed Attendance'!BJ9:BJ9, "A")+COUNTIF('Detailed Attendance'!CD9:CD9, "A")+COUNTIF('Detailed Attendance'!DA9:DA9, "A")+COUNTIF('Detailed Attendance'!CH9:CH9, "A")</f>
        <v/>
      </c>
      <c r="AS8" s="70">
        <f>IF((AQ8+AR8)=0,"", AQ8/(AQ8+AR8))</f>
        <v/>
      </c>
      <c r="AT8" s="67">
        <f>COUNTIF('Detailed Attendance'!DF9:DF9, "P")+COUNTIF('Detailed Attendance'!DT9:DT9, "P")+COUNTIF('Detailed Attendance'!EC9:EC9, "P")+COUNTIF('Detailed Attendance'!EQ9:EQ9, "P")+COUNTIF('Detailed Attendance'!EW9:EW9, "P")+COUNTIF('Detailed Attendance'!FK9:FK9, "P")+COUNTIF('Detailed Attendance'!FM9:FM9, "P")+COUNTIF('Detailed Attendance'!GA9:GA9, "P")</f>
        <v/>
      </c>
      <c r="AU8" s="67">
        <f>COUNTIF('Detailed Attendance'!DF9:DF9, "A")+COUNTIF('Detailed Attendance'!DT9:DT9, "A")+COUNTIF('Detailed Attendance'!EC9:EC9, "A")+COUNTIF('Detailed Attendance'!EQ9:EQ9, "A")+COUNTIF('Detailed Attendance'!EW9:EW9, "A")+COUNTIF('Detailed Attendance'!FK9:FK9, "A")+COUNTIF('Detailed Attendance'!FM9:FM9, "A")+COUNTIF('Detailed Attendance'!GA9:GA9, "A")</f>
        <v/>
      </c>
      <c r="AV8" s="68">
        <f>IF((AT8+AU8)=0,"", AT8/(AT8+AU8))</f>
        <v/>
      </c>
      <c r="AW8" s="67">
        <f>COUNTIF('Detailed Attendance'!DK9:DK9, "P")+COUNTIF('Detailed Attendance'!DS9:DS9, "P")+COUNTIF('Detailed Attendance'!EH9:EH9, "P")+COUNTIF('Detailed Attendance'!EP9:EP9, "P")+COUNTIF('Detailed Attendance'!FB9:FB9, "P")+COUNTIF('Detailed Attendance'!FJ9:FJ9, "P")+COUNTIF('Detailed Attendance'!FR9:FR9, "P")+COUNTIF('Detailed Attendance'!FZ9:FZ9, "P")</f>
        <v/>
      </c>
      <c r="AX8" s="67">
        <f>COUNTIF('Detailed Attendance'!DK9:DK9, "A")+COUNTIF('Detailed Attendance'!DS9:DS9, "A")+COUNTIF('Detailed Attendance'!EH9:EH9, "A")+COUNTIF('Detailed Attendance'!EP9:EP9, "A")+COUNTIF('Detailed Attendance'!FB9:FB9, "A")+COUNTIF('Detailed Attendance'!FJ9:FJ9, "A")+COUNTIF('Detailed Attendance'!FR9:FR9, "A")+COUNTIF('Detailed Attendance'!FZ9:FZ9, "A")</f>
        <v/>
      </c>
      <c r="AY8" s="68">
        <f>IF((AW8+AX8)=0,"", AW8/(AW8+AX8))</f>
        <v/>
      </c>
      <c r="AZ8" s="67">
        <f>COUNTIF('Detailed Attendance'!DN9:DN9, "P")+COUNTIF('Detailed Attendance'!DR9:DR9, "P")+COUNTIF('Detailed Attendance'!EK9:EK9, "P")+COUNTIF('Detailed Attendance'!EO9:EO9, "P")+COUNTIF('Detailed Attendance'!FE9:FE9, "P")+COUNTIF('Detailed Attendance'!FI9:FI9, "P")+COUNTIF('Detailed Attendance'!FU9:FU9, "P")+COUNTIF('Detailed Attendance'!FY9:FY9, "P")</f>
        <v/>
      </c>
      <c r="BA8" s="67">
        <f>COUNTIF('Detailed Attendance'!DN9:DN9, "A")+COUNTIF('Detailed Attendance'!DR9:DR9, "A")+COUNTIF('Detailed Attendance'!EK9:EK9, "A")+COUNTIF('Detailed Attendance'!EO9:EO9, "A")+COUNTIF('Detailed Attendance'!FE9:FE9, "A")+COUNTIF('Detailed Attendance'!FI9:FI9, "A")+COUNTIF('Detailed Attendance'!FU9:FU9, "A")+COUNTIF('Detailed Attendance'!FY9:FY9, "A")</f>
        <v/>
      </c>
      <c r="BB8" s="68">
        <f>IF((AZ8+BA8)=0,"", AZ8/(AZ8+BA8))</f>
        <v/>
      </c>
      <c r="BC8" s="67">
        <f>COUNTIF('Detailed Attendance'!DC9:DC9, "P")+COUNTIF('Detailed Attendance'!DV9:DV9, "P")+COUNTIF('Detailed Attendance'!DZ9:DZ9, "P")+COUNTIF('Detailed Attendance'!ES9:ES9, "P")+COUNTIF('Detailed Attendance'!GC9:GC9, "P")+COUNTIF('Detailed Attendance'!GG9:GG9, "P")</f>
        <v/>
      </c>
      <c r="BD8" s="67">
        <f>COUNTIF('Detailed Attendance'!DC9:DC9, "A")+COUNTIF('Detailed Attendance'!DV9:DV9, "A")+COUNTIF('Detailed Attendance'!DZ9:DZ9, "A")+COUNTIF('Detailed Attendance'!ES9:ES9, "A")+COUNTIF('Detailed Attendance'!GC9:GC9, "A")+COUNTIF('Detailed Attendance'!GG9:GG9, "A")</f>
        <v/>
      </c>
      <c r="BE8" s="68">
        <f>IF((BC8+BD8)=0,"", BC8/(BC8+BD8))</f>
        <v/>
      </c>
      <c r="BF8" s="67">
        <f>COUNTIF('Detailed Attendance'!DO9:DO9, "P")+COUNTIF('Detailed Attendance'!DW9:DW9, "P")+COUNTIF('Detailed Attendance'!EL9:EL9, "P")+COUNTIF('Detailed Attendance'!ET9:ET9, "P")+COUNTIF('Detailed Attendance'!FF9:FF9, "P")+COUNTIF('Detailed Attendance'!FV9:FV9, "P")+COUNTIF('Detailed Attendance'!GD9:GD9, "P")</f>
        <v/>
      </c>
      <c r="BG8" s="67">
        <f>COUNTIF('Detailed Attendance'!DO9:DO9, "A")+COUNTIF('Detailed Attendance'!DW9:DW9, "A")+COUNTIF('Detailed Attendance'!EL9:EL9, "A")+COUNTIF('Detailed Attendance'!ET9:ET9, "A")+COUNTIF('Detailed Attendance'!FF9:FF9, "A")+COUNTIF('Detailed Attendance'!FV9:FV9, "A")+COUNTIF('Detailed Attendance'!GD9:GD9, "A")</f>
        <v/>
      </c>
      <c r="BH8" s="68">
        <f>IF((BF8+BG8)=0,"", BF8/(BF8+BG8))</f>
        <v/>
      </c>
      <c r="BI8" s="67">
        <f>AT8+AW8+AZ8+BC8+BF8</f>
        <v/>
      </c>
      <c r="BJ8" s="67">
        <f>AU8+AX8+BA8+BD8+BG8</f>
        <v/>
      </c>
      <c r="BK8" s="68">
        <f>IF((BI8+BJ8)=0,"", BI8/(BI8+BJ8))</f>
        <v/>
      </c>
      <c r="BL8" s="69">
        <f>COUNTIF('Detailed Attendance'!DG9:DG9, "P")+COUNTIF('Detailed Attendance'!ED9:ED9, "P")+COUNTIF('Detailed Attendance'!EX9:EX9, "P")+COUNTIF('Detailed Attendance'!FN9:FN9, "P")+COUNTIF('Detailed Attendance'!DX9:DX9, "P")+COUNTIF('Detailed Attendance'!EU9:EU9, "P")+COUNTIF('Detailed Attendance'!GE9:GE9, "P")+COUNTIF('Detailed Attendance'!DE9:DE9, "P")+COUNTIF('Detailed Attendance'!EB9:EB9, "P")+COUNTIF('Detailed Attendance'!GI9:GI9, "P")</f>
        <v/>
      </c>
      <c r="BM8" s="69">
        <f>COUNTIF('Detailed Attendance'!DG9:DG9, "A")+COUNTIF('Detailed Attendance'!ED9:ED9, "A")+COUNTIF('Detailed Attendance'!EX9:EX9, "A")+COUNTIF('Detailed Attendance'!FN9:FN9, "A")+COUNTIF('Detailed Attendance'!DX9:DX9, "A")+COUNTIF('Detailed Attendance'!EU9:EU9, "A")+COUNTIF('Detailed Attendance'!GE9:GE9, "A")+COUNTIF('Detailed Attendance'!DE9:DE9, "A")+COUNTIF('Detailed Attendance'!EB9:EB9, "A")+COUNTIF('Detailed Attendance'!GI9:GI9, "A")</f>
        <v/>
      </c>
      <c r="BN8" s="70">
        <f>IF((BL8+BM8)=0,"", BL8/(BL8+BM8))</f>
        <v/>
      </c>
      <c r="BO8" s="67">
        <f>D8+Y8+AT8</f>
        <v/>
      </c>
      <c r="BP8" s="67">
        <f>E8+Z8+AU8</f>
        <v/>
      </c>
      <c r="BQ8" s="68">
        <f>IF((BO8+BP8)=0,"", BO8/(BO8+BP8))</f>
        <v/>
      </c>
      <c r="BR8" s="67">
        <f>G8+AB8+AW8</f>
        <v/>
      </c>
      <c r="BS8" s="67">
        <f>H8+AC8+AX8</f>
        <v/>
      </c>
      <c r="BT8" s="68">
        <f>IF((BR8+BS8)=0,"", BR8/(BR8+BS8))</f>
        <v/>
      </c>
      <c r="BU8" s="67">
        <f>J8+AE8+AZ8</f>
        <v/>
      </c>
      <c r="BV8" s="67">
        <f>K8+AF8+BA8</f>
        <v/>
      </c>
      <c r="BW8" s="68">
        <f>IF((BU8+BV8)=0,"", BU8/(BU8+BV8))</f>
        <v/>
      </c>
      <c r="BX8" s="67">
        <f>M8+AH8+BC8</f>
        <v/>
      </c>
      <c r="BY8" s="67">
        <f>N8+AI8+BD8</f>
        <v/>
      </c>
      <c r="BZ8" s="68">
        <f>IF((BX8+BY8)=0,"", BX8/(BX8+BY8))</f>
        <v/>
      </c>
      <c r="CA8" s="67">
        <f>P8+AK8+BF8</f>
        <v/>
      </c>
      <c r="CB8" s="67">
        <f>Q8+AL8+BG8</f>
        <v/>
      </c>
      <c r="CC8" s="68">
        <f>IF((CA8+CB8)=0,"", CA8/(CA8+CB8))</f>
        <v/>
      </c>
      <c r="CD8" s="67">
        <f>S8+AN8+BI8</f>
        <v/>
      </c>
      <c r="CE8" s="67">
        <f>T8+AO8+BJ8</f>
        <v/>
      </c>
      <c r="CF8" s="68">
        <f>IF((CD8+CE8)=0,"", CD8/(CD8+CE8))</f>
        <v/>
      </c>
      <c r="CG8" s="69">
        <f>V8+AQ8+BL8</f>
        <v/>
      </c>
      <c r="CH8" s="69">
        <f>W8+AR8+BM8</f>
        <v/>
      </c>
      <c r="CI8" s="70">
        <f>IF((CG8+CH8)=0,"", CG8/(CG8+CH8))</f>
        <v/>
      </c>
      <c r="CJ8" s="67">
        <f>CD8+(CG8*2)</f>
        <v/>
      </c>
      <c r="CK8" s="67">
        <f>CE8+(CH8*2)</f>
        <v/>
      </c>
      <c r="CL8" s="68">
        <f>IF((CJ8+CK8)=0,"", CJ8/(CJ8+CK8))</f>
        <v/>
      </c>
      <c r="CM8" s="67" t="inlineStr">
        <is>
          <t>Batch 1</t>
        </is>
      </c>
    </row>
    <row r="9" ht="14.25" customHeight="1" s="34">
      <c r="A9" s="46" t="n">
        <v>7</v>
      </c>
      <c r="B9" s="46" t="inlineStr">
        <is>
          <t>325106410007</t>
        </is>
      </c>
      <c r="C9" s="46" t="inlineStr">
        <is>
          <t>RAKESH CHOPPA</t>
        </is>
      </c>
      <c r="D9" s="63" t="n">
        <v>0</v>
      </c>
      <c r="E9" s="63" t="n">
        <v>0</v>
      </c>
      <c r="F9" s="64">
        <f>IF((D9+E9)=0,"", D9/(D9+E9))</f>
        <v/>
      </c>
      <c r="G9" s="63">
        <f>COUNTIF('Detailed Attendance'!I10:I10, "P")</f>
        <v/>
      </c>
      <c r="H9" s="63">
        <f>COUNTIF('Detailed Attendance'!I10:I10, "A")</f>
        <v/>
      </c>
      <c r="I9" s="64">
        <f>IF((G9+H9)=0,"", G9/(G9+H9))</f>
        <v/>
      </c>
      <c r="J9" s="63" t="n">
        <v>0</v>
      </c>
      <c r="K9" s="63" t="n">
        <v>0</v>
      </c>
      <c r="L9" s="64">
        <f>IF((J9+K9)=0,"", J9/(J9+K9))</f>
        <v/>
      </c>
      <c r="M9" s="63">
        <f>COUNTIF('Detailed Attendance'!D10:D10, "P")</f>
        <v/>
      </c>
      <c r="N9" s="63">
        <f>COUNTIF('Detailed Attendance'!D10:D10, "A")</f>
        <v/>
      </c>
      <c r="O9" s="64">
        <f>IF((M9+N9)=0,"", M9/(M9+N9))</f>
        <v/>
      </c>
      <c r="P9" s="63" t="n">
        <v>0</v>
      </c>
      <c r="Q9" s="63" t="n">
        <v>0</v>
      </c>
      <c r="R9" s="64">
        <f>IF((P9+Q9)=0,"", P9/(P9+Q9))</f>
        <v/>
      </c>
      <c r="S9" s="63">
        <f>D9+G9+J9+M9+P9</f>
        <v/>
      </c>
      <c r="T9" s="63">
        <f>E9+H9+K9+N9+Q9</f>
        <v/>
      </c>
      <c r="U9" s="64">
        <f>IF((S9+T9)=0,"", S9/(S9+T9))</f>
        <v/>
      </c>
      <c r="V9" s="65">
        <f>COUNTIF('Detailed Attendance'!E10:E10, "P")</f>
        <v/>
      </c>
      <c r="W9" s="65">
        <f>COUNTIF('Detailed Attendance'!E10:E10, "A")</f>
        <v/>
      </c>
      <c r="X9" s="66">
        <f>IF((V9+W9)=0,"", V9/(V9+W9))</f>
        <v/>
      </c>
      <c r="Y9" s="63">
        <f>COUNTIF('Detailed Attendance'!R10:R10, "P")+COUNTIF('Detailed Attendance'!X10:X10, "P")+COUNTIF('Detailed Attendance'!AL10:AL10, "P")+COUNTIF('Detailed Attendance'!BF10:BF10, "P")+COUNTIF('Detailed Attendance'!BL10:BL10, "P")+COUNTIF('Detailed Attendance'!BZ10:BZ10, "P")+COUNTIF('Detailed Attendance'!CI10:CI10, "P")+COUNTIF('Detailed Attendance'!CW10:CW10, "P")</f>
        <v/>
      </c>
      <c r="Z9" s="63">
        <f>COUNTIF('Detailed Attendance'!R10:R10, "A")+COUNTIF('Detailed Attendance'!X10:X10, "A")+COUNTIF('Detailed Attendance'!AL10:AL10, "A")+COUNTIF('Detailed Attendance'!BF10:BF10, "A")+COUNTIF('Detailed Attendance'!BL10:BL10, "A")+COUNTIF('Detailed Attendance'!BZ10:BZ10, "A")+COUNTIF('Detailed Attendance'!CI10:CI10, "A")+COUNTIF('Detailed Attendance'!CW10:CW10, "A")</f>
        <v/>
      </c>
      <c r="AA9" s="64">
        <f>IF((Y9+Z9)=0,"", Y9/(Y9+Z9))</f>
        <v/>
      </c>
      <c r="AB9" s="63">
        <f>COUNTIF('Detailed Attendance'!Q10:Q10, "P")+COUNTIF('Detailed Attendance'!AC10:AC10, "P")+COUNTIF('Detailed Attendance'!AK10:AK10, "P")+COUNTIF('Detailed Attendance'!AW10:AW10, "P")+COUNTIF('Detailed Attendance'!BE10:BE10, "P")+COUNTIF('Detailed Attendance'!BQ10:BQ10, "P")+COUNTIF('Detailed Attendance'!BY10:BY10, "P")+COUNTIF('Detailed Attendance'!CN10:CN10, "P")+COUNTIF('Detailed Attendance'!CV10:CV10, "P")</f>
        <v/>
      </c>
      <c r="AC9" s="63">
        <f>COUNTIF('Detailed Attendance'!Q10:Q10, "A")+COUNTIF('Detailed Attendance'!AC10:AC10, "A")+COUNTIF('Detailed Attendance'!AK10:AK10, "A")+COUNTIF('Detailed Attendance'!AW10:AW10, "A")+COUNTIF('Detailed Attendance'!BE10:BE10, "A")+COUNTIF('Detailed Attendance'!BQ10:BQ10, "A")+COUNTIF('Detailed Attendance'!BY10:BY10, "A")+COUNTIF('Detailed Attendance'!CN10:CN10, "A")+COUNTIF('Detailed Attendance'!CV10:CV10, "A")</f>
        <v/>
      </c>
      <c r="AD9" s="64">
        <f>IF((AB9+AC9)=0,"", AB9/(AB9+AC9))</f>
        <v/>
      </c>
      <c r="AE9" s="63">
        <f>COUNTIF('Detailed Attendance'!L10:L10, "P")+COUNTIF('Detailed Attendance'!P10:P10, "P")+COUNTIF('Detailed Attendance'!AF10:AF10, "P")+COUNTIF('Detailed Attendance'!AJ10:AJ10, "P")+COUNTIF('Detailed Attendance'!AZ10:AZ10, "P")+COUNTIF('Detailed Attendance'!BD10:BD10, "P")+COUNTIF('Detailed Attendance'!BT10:BT10, "P")+COUNTIF('Detailed Attendance'!BX10:BX10, "P")+COUNTIF('Detailed Attendance'!CQ10:CQ10, "P")+COUNTIF('Detailed Attendance'!CU10:CU10, "P")</f>
        <v/>
      </c>
      <c r="AF9" s="67">
        <f>COUNTIF('Detailed Attendance'!L10:L10, "A")+COUNTIF('Detailed Attendance'!P10:P10, "A")+COUNTIF('Detailed Attendance'!AF10:AF10, "A")+COUNTIF('Detailed Attendance'!AJ10:AJ10, "A")+COUNTIF('Detailed Attendance'!AZ10:AZ10, "A")+COUNTIF('Detailed Attendance'!BD10:BD10, "A")+COUNTIF('Detailed Attendance'!BT10:BT10, "A")+COUNTIF('Detailed Attendance'!BX10:BX10, "A")+COUNTIF('Detailed Attendance'!CQ10:CQ10, "A")+COUNTIF('Detailed Attendance'!CU10:CU10, "A")</f>
        <v/>
      </c>
      <c r="AG9" s="68">
        <f>IF((AE9+AF9)=0,"", AE9/(AE9+AF9))</f>
        <v/>
      </c>
      <c r="AH9" s="67">
        <f>COUNTIF('Detailed Attendance'!T10:T10, "P")+COUNTIF('Detailed Attendance'!AN10:AN10, "P")+COUNTIF('Detailed Attendance'!AR10:AR10, "P")+COUNTIF('Detailed Attendance'!BH10:BH10, "P")+COUNTIF('Detailed Attendance'!CB10:CB10, "P")+COUNTIF('Detailed Attendance'!CF10:CF10, "P")+COUNTIF('Detailed Attendance'!CY10:CY10, "P")</f>
        <v/>
      </c>
      <c r="AI9" s="67">
        <f>COUNTIF('Detailed Attendance'!T10:T10, "A")+COUNTIF('Detailed Attendance'!AN10:AN10, "A")+COUNTIF('Detailed Attendance'!AR10:AR10, "A")+COUNTIF('Detailed Attendance'!BH10:BH10, "A")+COUNTIF('Detailed Attendance'!CB10:CB10, "A")+COUNTIF('Detailed Attendance'!CF10:CF10, "A")+COUNTIF('Detailed Attendance'!CY10:CY10, "A")</f>
        <v/>
      </c>
      <c r="AJ9" s="68">
        <f>IF((AH9+AI9)=0,"", AH9/(AH9+AI9))</f>
        <v/>
      </c>
      <c r="AK9" s="67">
        <f>COUNTIF('Detailed Attendance'!M10:M10, "P")+COUNTIF('Detailed Attendance'!U10:U10, "P")+COUNTIF('Detailed Attendance'!AG10:AG10, "P")+COUNTIF('Detailed Attendance'!AO10:AO10, "P")+COUNTIF('Detailed Attendance'!BA10:BA10, "P")+COUNTIF('Detailed Attendance'!BI10:BI10, "P")+COUNTIF('Detailed Attendance'!BU10:BU10, "P")+COUNTIF('Detailed Attendance'!CC10:CC10, "P")+COUNTIF('Detailed Attendance'!CR10:CR10, "P")+COUNTIF('Detailed Attendance'!CZ10:CZ10, "P")</f>
        <v/>
      </c>
      <c r="AL9" s="67">
        <f>COUNTIF('Detailed Attendance'!M10:M10, "A")+COUNTIF('Detailed Attendance'!U10:U10, "A")+COUNTIF('Detailed Attendance'!AG10:AG10, "A")+COUNTIF('Detailed Attendance'!AO10:AO10, "A")+COUNTIF('Detailed Attendance'!BA10:BA10, "A")+COUNTIF('Detailed Attendance'!BI10:BI10, "A")+COUNTIF('Detailed Attendance'!BU10:BU10, "A")+COUNTIF('Detailed Attendance'!CC10:CC10, "A")+COUNTIF('Detailed Attendance'!CR10:CR10, "A")+COUNTIF('Detailed Attendance'!CZ10:CZ10, "A")</f>
        <v/>
      </c>
      <c r="AM9" s="68">
        <f>IF((AK9+AL9)=0,"", AK9/(AK9+AL9))</f>
        <v/>
      </c>
      <c r="AN9" s="67">
        <f>Y9+AB9+AE9+AH9+AK9</f>
        <v/>
      </c>
      <c r="AO9" s="67">
        <f>Z9+AC9+AF9+AI9+AL9</f>
        <v/>
      </c>
      <c r="AP9" s="68">
        <f>IF((AN9+AO9)=0,"", AN9/(AN9+AO9))</f>
        <v/>
      </c>
      <c r="AQ9" s="69">
        <f>COUNTIF('Detailed Attendance'!Y10:Y10, "P")+COUNTIF('Detailed Attendance'!AS10:AS10, "P")+COUNTIF('Detailed Attendance'!BM10:BM10, "P")+COUNTIF('Detailed Attendance'!CJ10:CJ10, "P")+COUNTIF('Detailed Attendance'!V10:V10, "P")+COUNTIF('Detailed Attendance'!AP10:AP10, "P")+COUNTIF('Detailed Attendance'!BJ10:BJ10, "P")+COUNTIF('Detailed Attendance'!CD10:CD10, "P")+COUNTIF('Detailed Attendance'!DA10:DA10, "P")+COUNTIF('Detailed Attendance'!CH10:CH10, "P")</f>
        <v/>
      </c>
      <c r="AR9" s="69">
        <f>COUNTIF('Detailed Attendance'!Y10:Y10, "A")+COUNTIF('Detailed Attendance'!AS10:AS10, "A")+COUNTIF('Detailed Attendance'!BM10:BM10, "A")+COUNTIF('Detailed Attendance'!CJ10:CJ10, "A")+COUNTIF('Detailed Attendance'!V10:V10, "A")+COUNTIF('Detailed Attendance'!AP10:AP10, "A")+COUNTIF('Detailed Attendance'!BJ10:BJ10, "A")+COUNTIF('Detailed Attendance'!CD10:CD10, "A")+COUNTIF('Detailed Attendance'!DA10:DA10, "A")+COUNTIF('Detailed Attendance'!CH10:CH10, "A")</f>
        <v/>
      </c>
      <c r="AS9" s="70">
        <f>IF((AQ9+AR9)=0,"", AQ9/(AQ9+AR9))</f>
        <v/>
      </c>
      <c r="AT9" s="67">
        <f>COUNTIF('Detailed Attendance'!DF10:DF10, "P")+COUNTIF('Detailed Attendance'!DT10:DT10, "P")+COUNTIF('Detailed Attendance'!EC10:EC10, "P")+COUNTIF('Detailed Attendance'!EQ10:EQ10, "P")+COUNTIF('Detailed Attendance'!EW10:EW10, "P")+COUNTIF('Detailed Attendance'!FK10:FK10, "P")+COUNTIF('Detailed Attendance'!FM10:FM10, "P")+COUNTIF('Detailed Attendance'!GA10:GA10, "P")</f>
        <v/>
      </c>
      <c r="AU9" s="67">
        <f>COUNTIF('Detailed Attendance'!DF10:DF10, "A")+COUNTIF('Detailed Attendance'!DT10:DT10, "A")+COUNTIF('Detailed Attendance'!EC10:EC10, "A")+COUNTIF('Detailed Attendance'!EQ10:EQ10, "A")+COUNTIF('Detailed Attendance'!EW10:EW10, "A")+COUNTIF('Detailed Attendance'!FK10:FK10, "A")+COUNTIF('Detailed Attendance'!FM10:FM10, "A")+COUNTIF('Detailed Attendance'!GA10:GA10, "A")</f>
        <v/>
      </c>
      <c r="AV9" s="68">
        <f>IF((AT9+AU9)=0,"", AT9/(AT9+AU9))</f>
        <v/>
      </c>
      <c r="AW9" s="67">
        <f>COUNTIF('Detailed Attendance'!DK10:DK10, "P")+COUNTIF('Detailed Attendance'!DS10:DS10, "P")+COUNTIF('Detailed Attendance'!EH10:EH10, "P")+COUNTIF('Detailed Attendance'!EP10:EP10, "P")+COUNTIF('Detailed Attendance'!FB10:FB10, "P")+COUNTIF('Detailed Attendance'!FJ10:FJ10, "P")+COUNTIF('Detailed Attendance'!FR10:FR10, "P")+COUNTIF('Detailed Attendance'!FZ10:FZ10, "P")</f>
        <v/>
      </c>
      <c r="AX9" s="67">
        <f>COUNTIF('Detailed Attendance'!DK10:DK10, "A")+COUNTIF('Detailed Attendance'!DS10:DS10, "A")+COUNTIF('Detailed Attendance'!EH10:EH10, "A")+COUNTIF('Detailed Attendance'!EP10:EP10, "A")+COUNTIF('Detailed Attendance'!FB10:FB10, "A")+COUNTIF('Detailed Attendance'!FJ10:FJ10, "A")+COUNTIF('Detailed Attendance'!FR10:FR10, "A")+COUNTIF('Detailed Attendance'!FZ10:FZ10, "A")</f>
        <v/>
      </c>
      <c r="AY9" s="68">
        <f>IF((AW9+AX9)=0,"", AW9/(AW9+AX9))</f>
        <v/>
      </c>
      <c r="AZ9" s="67">
        <f>COUNTIF('Detailed Attendance'!DN10:DN10, "P")+COUNTIF('Detailed Attendance'!DR10:DR10, "P")+COUNTIF('Detailed Attendance'!EK10:EK10, "P")+COUNTIF('Detailed Attendance'!EO10:EO10, "P")+COUNTIF('Detailed Attendance'!FE10:FE10, "P")+COUNTIF('Detailed Attendance'!FI10:FI10, "P")+COUNTIF('Detailed Attendance'!FU10:FU10, "P")+COUNTIF('Detailed Attendance'!FY10:FY10, "P")</f>
        <v/>
      </c>
      <c r="BA9" s="67">
        <f>COUNTIF('Detailed Attendance'!DN10:DN10, "A")+COUNTIF('Detailed Attendance'!DR10:DR10, "A")+COUNTIF('Detailed Attendance'!EK10:EK10, "A")+COUNTIF('Detailed Attendance'!EO10:EO10, "A")+COUNTIF('Detailed Attendance'!FE10:FE10, "A")+COUNTIF('Detailed Attendance'!FI10:FI10, "A")+COUNTIF('Detailed Attendance'!FU10:FU10, "A")+COUNTIF('Detailed Attendance'!FY10:FY10, "A")</f>
        <v/>
      </c>
      <c r="BB9" s="68">
        <f>IF((AZ9+BA9)=0,"", AZ9/(AZ9+BA9))</f>
        <v/>
      </c>
      <c r="BC9" s="67">
        <f>COUNTIF('Detailed Attendance'!DC10:DC10, "P")+COUNTIF('Detailed Attendance'!DV10:DV10, "P")+COUNTIF('Detailed Attendance'!DZ10:DZ10, "P")+COUNTIF('Detailed Attendance'!ES10:ES10, "P")+COUNTIF('Detailed Attendance'!GC10:GC10, "P")+COUNTIF('Detailed Attendance'!GG10:GG10, "P")</f>
        <v/>
      </c>
      <c r="BD9" s="67">
        <f>COUNTIF('Detailed Attendance'!DC10:DC10, "A")+COUNTIF('Detailed Attendance'!DV10:DV10, "A")+COUNTIF('Detailed Attendance'!DZ10:DZ10, "A")+COUNTIF('Detailed Attendance'!ES10:ES10, "A")+COUNTIF('Detailed Attendance'!GC10:GC10, "A")+COUNTIF('Detailed Attendance'!GG10:GG10, "A")</f>
        <v/>
      </c>
      <c r="BE9" s="68">
        <f>IF((BC9+BD9)=0,"", BC9/(BC9+BD9))</f>
        <v/>
      </c>
      <c r="BF9" s="67">
        <f>COUNTIF('Detailed Attendance'!DO10:DO10, "P")+COUNTIF('Detailed Attendance'!DW10:DW10, "P")+COUNTIF('Detailed Attendance'!EL10:EL10, "P")+COUNTIF('Detailed Attendance'!ET10:ET10, "P")+COUNTIF('Detailed Attendance'!FF10:FF10, "P")+COUNTIF('Detailed Attendance'!FV10:FV10, "P")+COUNTIF('Detailed Attendance'!GD10:GD10, "P")</f>
        <v/>
      </c>
      <c r="BG9" s="67">
        <f>COUNTIF('Detailed Attendance'!DO10:DO10, "A")+COUNTIF('Detailed Attendance'!DW10:DW10, "A")+COUNTIF('Detailed Attendance'!EL10:EL10, "A")+COUNTIF('Detailed Attendance'!ET10:ET10, "A")+COUNTIF('Detailed Attendance'!FF10:FF10, "A")+COUNTIF('Detailed Attendance'!FV10:FV10, "A")+COUNTIF('Detailed Attendance'!GD10:GD10, "A")</f>
        <v/>
      </c>
      <c r="BH9" s="68">
        <f>IF((BF9+BG9)=0,"", BF9/(BF9+BG9))</f>
        <v/>
      </c>
      <c r="BI9" s="67">
        <f>AT9+AW9+AZ9+BC9+BF9</f>
        <v/>
      </c>
      <c r="BJ9" s="67">
        <f>AU9+AX9+BA9+BD9+BG9</f>
        <v/>
      </c>
      <c r="BK9" s="68">
        <f>IF((BI9+BJ9)=0,"", BI9/(BI9+BJ9))</f>
        <v/>
      </c>
      <c r="BL9" s="69">
        <f>COUNTIF('Detailed Attendance'!DG10:DG10, "P")+COUNTIF('Detailed Attendance'!ED10:ED10, "P")+COUNTIF('Detailed Attendance'!EX10:EX10, "P")+COUNTIF('Detailed Attendance'!FN10:FN10, "P")+COUNTIF('Detailed Attendance'!DX10:DX10, "P")+COUNTIF('Detailed Attendance'!EU10:EU10, "P")+COUNTIF('Detailed Attendance'!GE10:GE10, "P")+COUNTIF('Detailed Attendance'!DE10:DE10, "P")+COUNTIF('Detailed Attendance'!EB10:EB10, "P")+COUNTIF('Detailed Attendance'!GI10:GI10, "P")</f>
        <v/>
      </c>
      <c r="BM9" s="69">
        <f>COUNTIF('Detailed Attendance'!DG10:DG10, "A")+COUNTIF('Detailed Attendance'!ED10:ED10, "A")+COUNTIF('Detailed Attendance'!EX10:EX10, "A")+COUNTIF('Detailed Attendance'!FN10:FN10, "A")+COUNTIF('Detailed Attendance'!DX10:DX10, "A")+COUNTIF('Detailed Attendance'!EU10:EU10, "A")+COUNTIF('Detailed Attendance'!GE10:GE10, "A")+COUNTIF('Detailed Attendance'!DE10:DE10, "A")+COUNTIF('Detailed Attendance'!EB10:EB10, "A")+COUNTIF('Detailed Attendance'!GI10:GI10, "A")</f>
        <v/>
      </c>
      <c r="BN9" s="70">
        <f>IF((BL9+BM9)=0,"", BL9/(BL9+BM9))</f>
        <v/>
      </c>
      <c r="BO9" s="67">
        <f>D9+Y9+AT9</f>
        <v/>
      </c>
      <c r="BP9" s="67">
        <f>E9+Z9+AU9</f>
        <v/>
      </c>
      <c r="BQ9" s="68">
        <f>IF((BO9+BP9)=0,"", BO9/(BO9+BP9))</f>
        <v/>
      </c>
      <c r="BR9" s="67">
        <f>G9+AB9+AW9</f>
        <v/>
      </c>
      <c r="BS9" s="67">
        <f>H9+AC9+AX9</f>
        <v/>
      </c>
      <c r="BT9" s="68">
        <f>IF((BR9+BS9)=0,"", BR9/(BR9+BS9))</f>
        <v/>
      </c>
      <c r="BU9" s="67">
        <f>J9+AE9+AZ9</f>
        <v/>
      </c>
      <c r="BV9" s="67">
        <f>K9+AF9+BA9</f>
        <v/>
      </c>
      <c r="BW9" s="68">
        <f>IF((BU9+BV9)=0,"", BU9/(BU9+BV9))</f>
        <v/>
      </c>
      <c r="BX9" s="67">
        <f>M9+AH9+BC9</f>
        <v/>
      </c>
      <c r="BY9" s="67">
        <f>N9+AI9+BD9</f>
        <v/>
      </c>
      <c r="BZ9" s="68">
        <f>IF((BX9+BY9)=0,"", BX9/(BX9+BY9))</f>
        <v/>
      </c>
      <c r="CA9" s="67">
        <f>P9+AK9+BF9</f>
        <v/>
      </c>
      <c r="CB9" s="67">
        <f>Q9+AL9+BG9</f>
        <v/>
      </c>
      <c r="CC9" s="68">
        <f>IF((CA9+CB9)=0,"", CA9/(CA9+CB9))</f>
        <v/>
      </c>
      <c r="CD9" s="67">
        <f>S9+AN9+BI9</f>
        <v/>
      </c>
      <c r="CE9" s="67">
        <f>T9+AO9+BJ9</f>
        <v/>
      </c>
      <c r="CF9" s="68">
        <f>IF((CD9+CE9)=0,"", CD9/(CD9+CE9))</f>
        <v/>
      </c>
      <c r="CG9" s="69">
        <f>V9+AQ9+BL9</f>
        <v/>
      </c>
      <c r="CH9" s="69">
        <f>W9+AR9+BM9</f>
        <v/>
      </c>
      <c r="CI9" s="70">
        <f>IF((CG9+CH9)=0,"", CG9/(CG9+CH9))</f>
        <v/>
      </c>
      <c r="CJ9" s="67">
        <f>CD9+(CG9*2)</f>
        <v/>
      </c>
      <c r="CK9" s="67">
        <f>CE9+(CH9*2)</f>
        <v/>
      </c>
      <c r="CL9" s="68">
        <f>IF((CJ9+CK9)=0,"", CJ9/(CJ9+CK9))</f>
        <v/>
      </c>
      <c r="CM9" s="67" t="inlineStr">
        <is>
          <t>Batch 1</t>
        </is>
      </c>
    </row>
    <row r="10" ht="14.25" customHeight="1" s="34">
      <c r="A10" s="46" t="n">
        <v>8</v>
      </c>
      <c r="B10" s="46" t="inlineStr">
        <is>
          <t>325106410008</t>
        </is>
      </c>
      <c r="C10" s="46" t="inlineStr">
        <is>
          <t>SUBHASH DHULIPUDI</t>
        </is>
      </c>
      <c r="D10" s="63" t="n">
        <v>0</v>
      </c>
      <c r="E10" s="63" t="n">
        <v>0</v>
      </c>
      <c r="F10" s="64">
        <f>IF((D10+E10)=0,"", D10/(D10+E10))</f>
        <v/>
      </c>
      <c r="G10" s="63">
        <f>COUNTIF('Detailed Attendance'!I11:I11, "P")</f>
        <v/>
      </c>
      <c r="H10" s="63">
        <f>COUNTIF('Detailed Attendance'!I11:I11, "A")</f>
        <v/>
      </c>
      <c r="I10" s="64">
        <f>IF((G10+H10)=0,"", G10/(G10+H10))</f>
        <v/>
      </c>
      <c r="J10" s="63" t="n">
        <v>0</v>
      </c>
      <c r="K10" s="63" t="n">
        <v>0</v>
      </c>
      <c r="L10" s="64">
        <f>IF((J10+K10)=0,"", J10/(J10+K10))</f>
        <v/>
      </c>
      <c r="M10" s="63">
        <f>COUNTIF('Detailed Attendance'!D11:D11, "P")</f>
        <v/>
      </c>
      <c r="N10" s="63">
        <f>COUNTIF('Detailed Attendance'!D11:D11, "A")</f>
        <v/>
      </c>
      <c r="O10" s="64">
        <f>IF((M10+N10)=0,"", M10/(M10+N10))</f>
        <v/>
      </c>
      <c r="P10" s="63" t="n">
        <v>0</v>
      </c>
      <c r="Q10" s="63" t="n">
        <v>0</v>
      </c>
      <c r="R10" s="64">
        <f>IF((P10+Q10)=0,"", P10/(P10+Q10))</f>
        <v/>
      </c>
      <c r="S10" s="63">
        <f>D10+G10+J10+M10+P10</f>
        <v/>
      </c>
      <c r="T10" s="63">
        <f>E10+H10+K10+N10+Q10</f>
        <v/>
      </c>
      <c r="U10" s="64">
        <f>IF((S10+T10)=0,"", S10/(S10+T10))</f>
        <v/>
      </c>
      <c r="V10" s="65">
        <f>COUNTIF('Detailed Attendance'!E11:E11, "P")</f>
        <v/>
      </c>
      <c r="W10" s="65">
        <f>COUNTIF('Detailed Attendance'!E11:E11, "A")</f>
        <v/>
      </c>
      <c r="X10" s="66">
        <f>IF((V10+W10)=0,"", V10/(V10+W10))</f>
        <v/>
      </c>
      <c r="Y10" s="63">
        <f>COUNTIF('Detailed Attendance'!R11:R11, "P")+COUNTIF('Detailed Attendance'!X11:X11, "P")+COUNTIF('Detailed Attendance'!AL11:AL11, "P")+COUNTIF('Detailed Attendance'!BF11:BF11, "P")+COUNTIF('Detailed Attendance'!BL11:BL11, "P")+COUNTIF('Detailed Attendance'!BZ11:BZ11, "P")+COUNTIF('Detailed Attendance'!CI11:CI11, "P")+COUNTIF('Detailed Attendance'!CW11:CW11, "P")</f>
        <v/>
      </c>
      <c r="Z10" s="63">
        <f>COUNTIF('Detailed Attendance'!R11:R11, "A")+COUNTIF('Detailed Attendance'!X11:X11, "A")+COUNTIF('Detailed Attendance'!AL11:AL11, "A")+COUNTIF('Detailed Attendance'!BF11:BF11, "A")+COUNTIF('Detailed Attendance'!BL11:BL11, "A")+COUNTIF('Detailed Attendance'!BZ11:BZ11, "A")+COUNTIF('Detailed Attendance'!CI11:CI11, "A")+COUNTIF('Detailed Attendance'!CW11:CW11, "A")</f>
        <v/>
      </c>
      <c r="AA10" s="64">
        <f>IF((Y10+Z10)=0,"", Y10/(Y10+Z10))</f>
        <v/>
      </c>
      <c r="AB10" s="63">
        <f>COUNTIF('Detailed Attendance'!Q11:Q11, "P")+COUNTIF('Detailed Attendance'!AC11:AC11, "P")+COUNTIF('Detailed Attendance'!AK11:AK11, "P")+COUNTIF('Detailed Attendance'!AW11:AW11, "P")+COUNTIF('Detailed Attendance'!BE11:BE11, "P")+COUNTIF('Detailed Attendance'!BQ11:BQ11, "P")+COUNTIF('Detailed Attendance'!BY11:BY11, "P")+COUNTIF('Detailed Attendance'!CN11:CN11, "P")+COUNTIF('Detailed Attendance'!CV11:CV11, "P")</f>
        <v/>
      </c>
      <c r="AC10" s="63">
        <f>COUNTIF('Detailed Attendance'!Q11:Q11, "A")+COUNTIF('Detailed Attendance'!AC11:AC11, "A")+COUNTIF('Detailed Attendance'!AK11:AK11, "A")+COUNTIF('Detailed Attendance'!AW11:AW11, "A")+COUNTIF('Detailed Attendance'!BE11:BE11, "A")+COUNTIF('Detailed Attendance'!BQ11:BQ11, "A")+COUNTIF('Detailed Attendance'!BY11:BY11, "A")+COUNTIF('Detailed Attendance'!CN11:CN11, "A")+COUNTIF('Detailed Attendance'!CV11:CV11, "A")</f>
        <v/>
      </c>
      <c r="AD10" s="64">
        <f>IF((AB10+AC10)=0,"", AB10/(AB10+AC10))</f>
        <v/>
      </c>
      <c r="AE10" s="63">
        <f>COUNTIF('Detailed Attendance'!L11:L11, "P")+COUNTIF('Detailed Attendance'!P11:P11, "P")+COUNTIF('Detailed Attendance'!AF11:AF11, "P")+COUNTIF('Detailed Attendance'!AJ11:AJ11, "P")+COUNTIF('Detailed Attendance'!AZ11:AZ11, "P")+COUNTIF('Detailed Attendance'!BD11:BD11, "P")+COUNTIF('Detailed Attendance'!BT11:BT11, "P")+COUNTIF('Detailed Attendance'!BX11:BX11, "P")+COUNTIF('Detailed Attendance'!CQ11:CQ11, "P")+COUNTIF('Detailed Attendance'!CU11:CU11, "P")</f>
        <v/>
      </c>
      <c r="AF10" s="67">
        <f>COUNTIF('Detailed Attendance'!L11:L11, "A")+COUNTIF('Detailed Attendance'!P11:P11, "A")+COUNTIF('Detailed Attendance'!AF11:AF11, "A")+COUNTIF('Detailed Attendance'!AJ11:AJ11, "A")+COUNTIF('Detailed Attendance'!AZ11:AZ11, "A")+COUNTIF('Detailed Attendance'!BD11:BD11, "A")+COUNTIF('Detailed Attendance'!BT11:BT11, "A")+COUNTIF('Detailed Attendance'!BX11:BX11, "A")+COUNTIF('Detailed Attendance'!CQ11:CQ11, "A")+COUNTIF('Detailed Attendance'!CU11:CU11, "A")</f>
        <v/>
      </c>
      <c r="AG10" s="68">
        <f>IF((AE10+AF10)=0,"", AE10/(AE10+AF10))</f>
        <v/>
      </c>
      <c r="AH10" s="67">
        <f>COUNTIF('Detailed Attendance'!T11:T11, "P")+COUNTIF('Detailed Attendance'!AN11:AN11, "P")+COUNTIF('Detailed Attendance'!AR11:AR11, "P")+COUNTIF('Detailed Attendance'!BH11:BH11, "P")+COUNTIF('Detailed Attendance'!CB11:CB11, "P")+COUNTIF('Detailed Attendance'!CF11:CF11, "P")+COUNTIF('Detailed Attendance'!CY11:CY11, "P")</f>
        <v/>
      </c>
      <c r="AI10" s="67">
        <f>COUNTIF('Detailed Attendance'!T11:T11, "A")+COUNTIF('Detailed Attendance'!AN11:AN11, "A")+COUNTIF('Detailed Attendance'!AR11:AR11, "A")+COUNTIF('Detailed Attendance'!BH11:BH11, "A")+COUNTIF('Detailed Attendance'!CB11:CB11, "A")+COUNTIF('Detailed Attendance'!CF11:CF11, "A")+COUNTIF('Detailed Attendance'!CY11:CY11, "A")</f>
        <v/>
      </c>
      <c r="AJ10" s="68">
        <f>IF((AH10+AI10)=0,"", AH10/(AH10+AI10))</f>
        <v/>
      </c>
      <c r="AK10" s="67">
        <f>COUNTIF('Detailed Attendance'!M11:M11, "P")+COUNTIF('Detailed Attendance'!U11:U11, "P")+COUNTIF('Detailed Attendance'!AG11:AG11, "P")+COUNTIF('Detailed Attendance'!AO11:AO11, "P")+COUNTIF('Detailed Attendance'!BA11:BA11, "P")+COUNTIF('Detailed Attendance'!BI11:BI11, "P")+COUNTIF('Detailed Attendance'!BU11:BU11, "P")+COUNTIF('Detailed Attendance'!CC11:CC11, "P")+COUNTIF('Detailed Attendance'!CR11:CR11, "P")+COUNTIF('Detailed Attendance'!CZ11:CZ11, "P")</f>
        <v/>
      </c>
      <c r="AL10" s="67">
        <f>COUNTIF('Detailed Attendance'!M11:M11, "A")+COUNTIF('Detailed Attendance'!U11:U11, "A")+COUNTIF('Detailed Attendance'!AG11:AG11, "A")+COUNTIF('Detailed Attendance'!AO11:AO11, "A")+COUNTIF('Detailed Attendance'!BA11:BA11, "A")+COUNTIF('Detailed Attendance'!BI11:BI11, "A")+COUNTIF('Detailed Attendance'!BU11:BU11, "A")+COUNTIF('Detailed Attendance'!CC11:CC11, "A")+COUNTIF('Detailed Attendance'!CR11:CR11, "A")+COUNTIF('Detailed Attendance'!CZ11:CZ11, "A")</f>
        <v/>
      </c>
      <c r="AM10" s="68">
        <f>IF((AK10+AL10)=0,"", AK10/(AK10+AL10))</f>
        <v/>
      </c>
      <c r="AN10" s="67">
        <f>Y10+AB10+AE10+AH10+AK10</f>
        <v/>
      </c>
      <c r="AO10" s="67">
        <f>Z10+AC10+AF10+AI10+AL10</f>
        <v/>
      </c>
      <c r="AP10" s="68">
        <f>IF((AN10+AO10)=0,"", AN10/(AN10+AO10))</f>
        <v/>
      </c>
      <c r="AQ10" s="69">
        <f>COUNTIF('Detailed Attendance'!Y11:Y11, "P")+COUNTIF('Detailed Attendance'!AS11:AS11, "P")+COUNTIF('Detailed Attendance'!BM11:BM11, "P")+COUNTIF('Detailed Attendance'!CJ11:CJ11, "P")+COUNTIF('Detailed Attendance'!V11:V11, "P")+COUNTIF('Detailed Attendance'!AP11:AP11, "P")+COUNTIF('Detailed Attendance'!BJ11:BJ11, "P")+COUNTIF('Detailed Attendance'!CD11:CD11, "P")+COUNTIF('Detailed Attendance'!DA11:DA11, "P")+COUNTIF('Detailed Attendance'!CH11:CH11, "P")</f>
        <v/>
      </c>
      <c r="AR10" s="69">
        <f>COUNTIF('Detailed Attendance'!Y11:Y11, "A")+COUNTIF('Detailed Attendance'!AS11:AS11, "A")+COUNTIF('Detailed Attendance'!BM11:BM11, "A")+COUNTIF('Detailed Attendance'!CJ11:CJ11, "A")+COUNTIF('Detailed Attendance'!V11:V11, "A")+COUNTIF('Detailed Attendance'!AP11:AP11, "A")+COUNTIF('Detailed Attendance'!BJ11:BJ11, "A")+COUNTIF('Detailed Attendance'!CD11:CD11, "A")+COUNTIF('Detailed Attendance'!DA11:DA11, "A")+COUNTIF('Detailed Attendance'!CH11:CH11, "A")</f>
        <v/>
      </c>
      <c r="AS10" s="70">
        <f>IF((AQ10+AR10)=0,"", AQ10/(AQ10+AR10))</f>
        <v/>
      </c>
      <c r="AT10" s="67">
        <f>COUNTIF('Detailed Attendance'!DF11:DF11, "P")+COUNTIF('Detailed Attendance'!DT11:DT11, "P")+COUNTIF('Detailed Attendance'!EC11:EC11, "P")+COUNTIF('Detailed Attendance'!EQ11:EQ11, "P")+COUNTIF('Detailed Attendance'!EW11:EW11, "P")+COUNTIF('Detailed Attendance'!FK11:FK11, "P")+COUNTIF('Detailed Attendance'!FM11:FM11, "P")+COUNTIF('Detailed Attendance'!GA11:GA11, "P")</f>
        <v/>
      </c>
      <c r="AU10" s="67">
        <f>COUNTIF('Detailed Attendance'!DF11:DF11, "A")+COUNTIF('Detailed Attendance'!DT11:DT11, "A")+COUNTIF('Detailed Attendance'!EC11:EC11, "A")+COUNTIF('Detailed Attendance'!EQ11:EQ11, "A")+COUNTIF('Detailed Attendance'!EW11:EW11, "A")+COUNTIF('Detailed Attendance'!FK11:FK11, "A")+COUNTIF('Detailed Attendance'!FM11:FM11, "A")+COUNTIF('Detailed Attendance'!GA11:GA11, "A")</f>
        <v/>
      </c>
      <c r="AV10" s="68">
        <f>IF((AT10+AU10)=0,"", AT10/(AT10+AU10))</f>
        <v/>
      </c>
      <c r="AW10" s="67">
        <f>COUNTIF('Detailed Attendance'!DK11:DK11, "P")+COUNTIF('Detailed Attendance'!DS11:DS11, "P")+COUNTIF('Detailed Attendance'!EH11:EH11, "P")+COUNTIF('Detailed Attendance'!EP11:EP11, "P")+COUNTIF('Detailed Attendance'!FB11:FB11, "P")+COUNTIF('Detailed Attendance'!FJ11:FJ11, "P")+COUNTIF('Detailed Attendance'!FR11:FR11, "P")+COUNTIF('Detailed Attendance'!FZ11:FZ11, "P")</f>
        <v/>
      </c>
      <c r="AX10" s="67">
        <f>COUNTIF('Detailed Attendance'!DK11:DK11, "A")+COUNTIF('Detailed Attendance'!DS11:DS11, "A")+COUNTIF('Detailed Attendance'!EH11:EH11, "A")+COUNTIF('Detailed Attendance'!EP11:EP11, "A")+COUNTIF('Detailed Attendance'!FB11:FB11, "A")+COUNTIF('Detailed Attendance'!FJ11:FJ11, "A")+COUNTIF('Detailed Attendance'!FR11:FR11, "A")+COUNTIF('Detailed Attendance'!FZ11:FZ11, "A")</f>
        <v/>
      </c>
      <c r="AY10" s="68">
        <f>IF((AW10+AX10)=0,"", AW10/(AW10+AX10))</f>
        <v/>
      </c>
      <c r="AZ10" s="67">
        <f>COUNTIF('Detailed Attendance'!DN11:DN11, "P")+COUNTIF('Detailed Attendance'!DR11:DR11, "P")+COUNTIF('Detailed Attendance'!EK11:EK11, "P")+COUNTIF('Detailed Attendance'!EO11:EO11, "P")+COUNTIF('Detailed Attendance'!FE11:FE11, "P")+COUNTIF('Detailed Attendance'!FI11:FI11, "P")+COUNTIF('Detailed Attendance'!FU11:FU11, "P")+COUNTIF('Detailed Attendance'!FY11:FY11, "P")</f>
        <v/>
      </c>
      <c r="BA10" s="67">
        <f>COUNTIF('Detailed Attendance'!DN11:DN11, "A")+COUNTIF('Detailed Attendance'!DR11:DR11, "A")+COUNTIF('Detailed Attendance'!EK11:EK11, "A")+COUNTIF('Detailed Attendance'!EO11:EO11, "A")+COUNTIF('Detailed Attendance'!FE11:FE11, "A")+COUNTIF('Detailed Attendance'!FI11:FI11, "A")+COUNTIF('Detailed Attendance'!FU11:FU11, "A")+COUNTIF('Detailed Attendance'!FY11:FY11, "A")</f>
        <v/>
      </c>
      <c r="BB10" s="68">
        <f>IF((AZ10+BA10)=0,"", AZ10/(AZ10+BA10))</f>
        <v/>
      </c>
      <c r="BC10" s="67">
        <f>COUNTIF('Detailed Attendance'!DC11:DC11, "P")+COUNTIF('Detailed Attendance'!DV11:DV11, "P")+COUNTIF('Detailed Attendance'!DZ11:DZ11, "P")+COUNTIF('Detailed Attendance'!ES11:ES11, "P")+COUNTIF('Detailed Attendance'!GC11:GC11, "P")+COUNTIF('Detailed Attendance'!GG11:GG11, "P")</f>
        <v/>
      </c>
      <c r="BD10" s="67">
        <f>COUNTIF('Detailed Attendance'!DC11:DC11, "A")+COUNTIF('Detailed Attendance'!DV11:DV11, "A")+COUNTIF('Detailed Attendance'!DZ11:DZ11, "A")+COUNTIF('Detailed Attendance'!ES11:ES11, "A")+COUNTIF('Detailed Attendance'!GC11:GC11, "A")+COUNTIF('Detailed Attendance'!GG11:GG11, "A")</f>
        <v/>
      </c>
      <c r="BE10" s="68">
        <f>IF((BC10+BD10)=0,"", BC10/(BC10+BD10))</f>
        <v/>
      </c>
      <c r="BF10" s="67">
        <f>COUNTIF('Detailed Attendance'!DO11:DO11, "P")+COUNTIF('Detailed Attendance'!DW11:DW11, "P")+COUNTIF('Detailed Attendance'!EL11:EL11, "P")+COUNTIF('Detailed Attendance'!ET11:ET11, "P")+COUNTIF('Detailed Attendance'!FF11:FF11, "P")+COUNTIF('Detailed Attendance'!FV11:FV11, "P")+COUNTIF('Detailed Attendance'!GD11:GD11, "P")</f>
        <v/>
      </c>
      <c r="BG10" s="67">
        <f>COUNTIF('Detailed Attendance'!DO11:DO11, "A")+COUNTIF('Detailed Attendance'!DW11:DW11, "A")+COUNTIF('Detailed Attendance'!EL11:EL11, "A")+COUNTIF('Detailed Attendance'!ET11:ET11, "A")+COUNTIF('Detailed Attendance'!FF11:FF11, "A")+COUNTIF('Detailed Attendance'!FV11:FV11, "A")+COUNTIF('Detailed Attendance'!GD11:GD11, "A")</f>
        <v/>
      </c>
      <c r="BH10" s="68">
        <f>IF((BF10+BG10)=0,"", BF10/(BF10+BG10))</f>
        <v/>
      </c>
      <c r="BI10" s="67">
        <f>AT10+AW10+AZ10+BC10+BF10</f>
        <v/>
      </c>
      <c r="BJ10" s="67">
        <f>AU10+AX10+BA10+BD10+BG10</f>
        <v/>
      </c>
      <c r="BK10" s="68">
        <f>IF((BI10+BJ10)=0,"", BI10/(BI10+BJ10))</f>
        <v/>
      </c>
      <c r="BL10" s="69">
        <f>COUNTIF('Detailed Attendance'!DG11:DG11, "P")+COUNTIF('Detailed Attendance'!ED11:ED11, "P")+COUNTIF('Detailed Attendance'!EX11:EX11, "P")+COUNTIF('Detailed Attendance'!FN11:FN11, "P")+COUNTIF('Detailed Attendance'!DX11:DX11, "P")+COUNTIF('Detailed Attendance'!EU11:EU11, "P")+COUNTIF('Detailed Attendance'!GE11:GE11, "P")+COUNTIF('Detailed Attendance'!DE11:DE11, "P")+COUNTIF('Detailed Attendance'!EB11:EB11, "P")+COUNTIF('Detailed Attendance'!GI11:GI11, "P")</f>
        <v/>
      </c>
      <c r="BM10" s="69">
        <f>COUNTIF('Detailed Attendance'!DG11:DG11, "A")+COUNTIF('Detailed Attendance'!ED11:ED11, "A")+COUNTIF('Detailed Attendance'!EX11:EX11, "A")+COUNTIF('Detailed Attendance'!FN11:FN11, "A")+COUNTIF('Detailed Attendance'!DX11:DX11, "A")+COUNTIF('Detailed Attendance'!EU11:EU11, "A")+COUNTIF('Detailed Attendance'!GE11:GE11, "A")+COUNTIF('Detailed Attendance'!DE11:DE11, "A")+COUNTIF('Detailed Attendance'!EB11:EB11, "A")+COUNTIF('Detailed Attendance'!GI11:GI11, "A")</f>
        <v/>
      </c>
      <c r="BN10" s="70">
        <f>IF((BL10+BM10)=0,"", BL10/(BL10+BM10))</f>
        <v/>
      </c>
      <c r="BO10" s="67">
        <f>D10+Y10+AT10</f>
        <v/>
      </c>
      <c r="BP10" s="67">
        <f>E10+Z10+AU10</f>
        <v/>
      </c>
      <c r="BQ10" s="68">
        <f>IF((BO10+BP10)=0,"", BO10/(BO10+BP10))</f>
        <v/>
      </c>
      <c r="BR10" s="67">
        <f>G10+AB10+AW10</f>
        <v/>
      </c>
      <c r="BS10" s="67">
        <f>H10+AC10+AX10</f>
        <v/>
      </c>
      <c r="BT10" s="68">
        <f>IF((BR10+BS10)=0,"", BR10/(BR10+BS10))</f>
        <v/>
      </c>
      <c r="BU10" s="67">
        <f>J10+AE10+AZ10</f>
        <v/>
      </c>
      <c r="BV10" s="67">
        <f>K10+AF10+BA10</f>
        <v/>
      </c>
      <c r="BW10" s="68">
        <f>IF((BU10+BV10)=0,"", BU10/(BU10+BV10))</f>
        <v/>
      </c>
      <c r="BX10" s="67">
        <f>M10+AH10+BC10</f>
        <v/>
      </c>
      <c r="BY10" s="67">
        <f>N10+AI10+BD10</f>
        <v/>
      </c>
      <c r="BZ10" s="68">
        <f>IF((BX10+BY10)=0,"", BX10/(BX10+BY10))</f>
        <v/>
      </c>
      <c r="CA10" s="67">
        <f>P10+AK10+BF10</f>
        <v/>
      </c>
      <c r="CB10" s="67">
        <f>Q10+AL10+BG10</f>
        <v/>
      </c>
      <c r="CC10" s="68">
        <f>IF((CA10+CB10)=0,"", CA10/(CA10+CB10))</f>
        <v/>
      </c>
      <c r="CD10" s="67">
        <f>S10+AN10+BI10</f>
        <v/>
      </c>
      <c r="CE10" s="67">
        <f>T10+AO10+BJ10</f>
        <v/>
      </c>
      <c r="CF10" s="68">
        <f>IF((CD10+CE10)=0,"", CD10/(CD10+CE10))</f>
        <v/>
      </c>
      <c r="CG10" s="69">
        <f>V10+AQ10+BL10</f>
        <v/>
      </c>
      <c r="CH10" s="69">
        <f>W10+AR10+BM10</f>
        <v/>
      </c>
      <c r="CI10" s="70">
        <f>IF((CG10+CH10)=0,"", CG10/(CG10+CH10))</f>
        <v/>
      </c>
      <c r="CJ10" s="67">
        <f>CD10+(CG10*2)</f>
        <v/>
      </c>
      <c r="CK10" s="67">
        <f>CE10+(CH10*2)</f>
        <v/>
      </c>
      <c r="CL10" s="68">
        <f>IF((CJ10+CK10)=0,"", CJ10/(CJ10+CK10))</f>
        <v/>
      </c>
      <c r="CM10" s="67" t="inlineStr">
        <is>
          <t>Batch 1</t>
        </is>
      </c>
    </row>
    <row r="11" ht="14.25" customHeight="1" s="34">
      <c r="A11" s="46" t="n">
        <v>9</v>
      </c>
      <c r="B11" s="46" t="inlineStr">
        <is>
          <t>325106410009</t>
        </is>
      </c>
      <c r="C11" s="46" t="inlineStr">
        <is>
          <t>SRAVANI DUMMU</t>
        </is>
      </c>
      <c r="D11" s="63" t="n">
        <v>0</v>
      </c>
      <c r="E11" s="63" t="n">
        <v>0</v>
      </c>
      <c r="F11" s="64">
        <f>IF((D11+E11)=0,"", D11/(D11+E11))</f>
        <v/>
      </c>
      <c r="G11" s="63">
        <f>COUNTIF('Detailed Attendance'!I12:I12, "P")</f>
        <v/>
      </c>
      <c r="H11" s="63">
        <f>COUNTIF('Detailed Attendance'!I12:I12, "A")</f>
        <v/>
      </c>
      <c r="I11" s="64">
        <f>IF((G11+H11)=0,"", G11/(G11+H11))</f>
        <v/>
      </c>
      <c r="J11" s="63" t="n">
        <v>0</v>
      </c>
      <c r="K11" s="63" t="n">
        <v>0</v>
      </c>
      <c r="L11" s="64">
        <f>IF((J11+K11)=0,"", J11/(J11+K11))</f>
        <v/>
      </c>
      <c r="M11" s="63">
        <f>COUNTIF('Detailed Attendance'!D12:D12, "P")</f>
        <v/>
      </c>
      <c r="N11" s="63">
        <f>COUNTIF('Detailed Attendance'!D12:D12, "A")</f>
        <v/>
      </c>
      <c r="O11" s="64">
        <f>IF((M11+N11)=0,"", M11/(M11+N11))</f>
        <v/>
      </c>
      <c r="P11" s="63" t="n">
        <v>0</v>
      </c>
      <c r="Q11" s="63" t="n">
        <v>0</v>
      </c>
      <c r="R11" s="64">
        <f>IF((P11+Q11)=0,"", P11/(P11+Q11))</f>
        <v/>
      </c>
      <c r="S11" s="63">
        <f>D11+G11+J11+M11+P11</f>
        <v/>
      </c>
      <c r="T11" s="63">
        <f>E11+H11+K11+N11+Q11</f>
        <v/>
      </c>
      <c r="U11" s="64">
        <f>IF((S11+T11)=0,"", S11/(S11+T11))</f>
        <v/>
      </c>
      <c r="V11" s="65">
        <f>COUNTIF('Detailed Attendance'!E12:E12, "P")</f>
        <v/>
      </c>
      <c r="W11" s="65">
        <f>COUNTIF('Detailed Attendance'!E12:E12, "A")</f>
        <v/>
      </c>
      <c r="X11" s="66">
        <f>IF((V11+W11)=0,"", V11/(V11+W11))</f>
        <v/>
      </c>
      <c r="Y11" s="63">
        <f>COUNTIF('Detailed Attendance'!R12:R12, "P")+COUNTIF('Detailed Attendance'!X12:X12, "P")+COUNTIF('Detailed Attendance'!AL12:AL12, "P")+COUNTIF('Detailed Attendance'!BF12:BF12, "P")+COUNTIF('Detailed Attendance'!BL12:BL12, "P")+COUNTIF('Detailed Attendance'!BZ12:BZ12, "P")+COUNTIF('Detailed Attendance'!CI12:CI12, "P")+COUNTIF('Detailed Attendance'!CW12:CW12, "P")</f>
        <v/>
      </c>
      <c r="Z11" s="63">
        <f>COUNTIF('Detailed Attendance'!R12:R12, "A")+COUNTIF('Detailed Attendance'!X12:X12, "A")+COUNTIF('Detailed Attendance'!AL12:AL12, "A")+COUNTIF('Detailed Attendance'!BF12:BF12, "A")+COUNTIF('Detailed Attendance'!BL12:BL12, "A")+COUNTIF('Detailed Attendance'!BZ12:BZ12, "A")+COUNTIF('Detailed Attendance'!CI12:CI12, "A")+COUNTIF('Detailed Attendance'!CW12:CW12, "A")</f>
        <v/>
      </c>
      <c r="AA11" s="64">
        <f>IF((Y11+Z11)=0,"", Y11/(Y11+Z11))</f>
        <v/>
      </c>
      <c r="AB11" s="63">
        <f>COUNTIF('Detailed Attendance'!Q12:Q12, "P")+COUNTIF('Detailed Attendance'!AC12:AC12, "P")+COUNTIF('Detailed Attendance'!AK12:AK12, "P")+COUNTIF('Detailed Attendance'!AW12:AW12, "P")+COUNTIF('Detailed Attendance'!BE12:BE12, "P")+COUNTIF('Detailed Attendance'!BQ12:BQ12, "P")+COUNTIF('Detailed Attendance'!BY12:BY12, "P")+COUNTIF('Detailed Attendance'!CN12:CN12, "P")+COUNTIF('Detailed Attendance'!CV12:CV12, "P")</f>
        <v/>
      </c>
      <c r="AC11" s="63">
        <f>COUNTIF('Detailed Attendance'!Q12:Q12, "A")+COUNTIF('Detailed Attendance'!AC12:AC12, "A")+COUNTIF('Detailed Attendance'!AK12:AK12, "A")+COUNTIF('Detailed Attendance'!AW12:AW12, "A")+COUNTIF('Detailed Attendance'!BE12:BE12, "A")+COUNTIF('Detailed Attendance'!BQ12:BQ12, "A")+COUNTIF('Detailed Attendance'!BY12:BY12, "A")+COUNTIF('Detailed Attendance'!CN12:CN12, "A")+COUNTIF('Detailed Attendance'!CV12:CV12, "A")</f>
        <v/>
      </c>
      <c r="AD11" s="64">
        <f>IF((AB11+AC11)=0,"", AB11/(AB11+AC11))</f>
        <v/>
      </c>
      <c r="AE11" s="63">
        <f>COUNTIF('Detailed Attendance'!L12:L12, "P")+COUNTIF('Detailed Attendance'!P12:P12, "P")+COUNTIF('Detailed Attendance'!AF12:AF12, "P")+COUNTIF('Detailed Attendance'!AJ12:AJ12, "P")+COUNTIF('Detailed Attendance'!AZ12:AZ12, "P")+COUNTIF('Detailed Attendance'!BD12:BD12, "P")+COUNTIF('Detailed Attendance'!BT12:BT12, "P")+COUNTIF('Detailed Attendance'!BX12:BX12, "P")+COUNTIF('Detailed Attendance'!CQ12:CQ12, "P")+COUNTIF('Detailed Attendance'!CU12:CU12, "P")</f>
        <v/>
      </c>
      <c r="AF11" s="67">
        <f>COUNTIF('Detailed Attendance'!L12:L12, "A")+COUNTIF('Detailed Attendance'!P12:P12, "A")+COUNTIF('Detailed Attendance'!AF12:AF12, "A")+COUNTIF('Detailed Attendance'!AJ12:AJ12, "A")+COUNTIF('Detailed Attendance'!AZ12:AZ12, "A")+COUNTIF('Detailed Attendance'!BD12:BD12, "A")+COUNTIF('Detailed Attendance'!BT12:BT12, "A")+COUNTIF('Detailed Attendance'!BX12:BX12, "A")+COUNTIF('Detailed Attendance'!CQ12:CQ12, "A")+COUNTIF('Detailed Attendance'!CU12:CU12, "A")</f>
        <v/>
      </c>
      <c r="AG11" s="68">
        <f>IF((AE11+AF11)=0,"", AE11/(AE11+AF11))</f>
        <v/>
      </c>
      <c r="AH11" s="67">
        <f>COUNTIF('Detailed Attendance'!T12:T12, "P")+COUNTIF('Detailed Attendance'!AN12:AN12, "P")+COUNTIF('Detailed Attendance'!AR12:AR12, "P")+COUNTIF('Detailed Attendance'!BH12:BH12, "P")+COUNTIF('Detailed Attendance'!CB12:CB12, "P")+COUNTIF('Detailed Attendance'!CF12:CF12, "P")+COUNTIF('Detailed Attendance'!CY12:CY12, "P")</f>
        <v/>
      </c>
      <c r="AI11" s="67">
        <f>COUNTIF('Detailed Attendance'!T12:T12, "A")+COUNTIF('Detailed Attendance'!AN12:AN12, "A")+COUNTIF('Detailed Attendance'!AR12:AR12, "A")+COUNTIF('Detailed Attendance'!BH12:BH12, "A")+COUNTIF('Detailed Attendance'!CB12:CB12, "A")+COUNTIF('Detailed Attendance'!CF12:CF12, "A")+COUNTIF('Detailed Attendance'!CY12:CY12, "A")</f>
        <v/>
      </c>
      <c r="AJ11" s="68">
        <f>IF((AH11+AI11)=0,"", AH11/(AH11+AI11))</f>
        <v/>
      </c>
      <c r="AK11" s="67">
        <f>COUNTIF('Detailed Attendance'!M12:M12, "P")+COUNTIF('Detailed Attendance'!U12:U12, "P")+COUNTIF('Detailed Attendance'!AG12:AG12, "P")+COUNTIF('Detailed Attendance'!AO12:AO12, "P")+COUNTIF('Detailed Attendance'!BA12:BA12, "P")+COUNTIF('Detailed Attendance'!BI12:BI12, "P")+COUNTIF('Detailed Attendance'!BU12:BU12, "P")+COUNTIF('Detailed Attendance'!CC12:CC12, "P")+COUNTIF('Detailed Attendance'!CR12:CR12, "P")+COUNTIF('Detailed Attendance'!CZ12:CZ12, "P")</f>
        <v/>
      </c>
      <c r="AL11" s="67">
        <f>COUNTIF('Detailed Attendance'!M12:M12, "A")+COUNTIF('Detailed Attendance'!U12:U12, "A")+COUNTIF('Detailed Attendance'!AG12:AG12, "A")+COUNTIF('Detailed Attendance'!AO12:AO12, "A")+COUNTIF('Detailed Attendance'!BA12:BA12, "A")+COUNTIF('Detailed Attendance'!BI12:BI12, "A")+COUNTIF('Detailed Attendance'!BU12:BU12, "A")+COUNTIF('Detailed Attendance'!CC12:CC12, "A")+COUNTIF('Detailed Attendance'!CR12:CR12, "A")+COUNTIF('Detailed Attendance'!CZ12:CZ12, "A")</f>
        <v/>
      </c>
      <c r="AM11" s="68">
        <f>IF((AK11+AL11)=0,"", AK11/(AK11+AL11))</f>
        <v/>
      </c>
      <c r="AN11" s="67">
        <f>Y11+AB11+AE11+AH11+AK11</f>
        <v/>
      </c>
      <c r="AO11" s="67">
        <f>Z11+AC11+AF11+AI11+AL11</f>
        <v/>
      </c>
      <c r="AP11" s="68">
        <f>IF((AN11+AO11)=0,"", AN11/(AN11+AO11))</f>
        <v/>
      </c>
      <c r="AQ11" s="69">
        <f>COUNTIF('Detailed Attendance'!Y12:Y12, "P")+COUNTIF('Detailed Attendance'!AS12:AS12, "P")+COUNTIF('Detailed Attendance'!BM12:BM12, "P")+COUNTIF('Detailed Attendance'!CJ12:CJ12, "P")+COUNTIF('Detailed Attendance'!V12:V12, "P")+COUNTIF('Detailed Attendance'!AP12:AP12, "P")+COUNTIF('Detailed Attendance'!BJ12:BJ12, "P")+COUNTIF('Detailed Attendance'!CD12:CD12, "P")+COUNTIF('Detailed Attendance'!DA12:DA12, "P")+COUNTIF('Detailed Attendance'!CH12:CH12, "P")</f>
        <v/>
      </c>
      <c r="AR11" s="69">
        <f>COUNTIF('Detailed Attendance'!Y12:Y12, "A")+COUNTIF('Detailed Attendance'!AS12:AS12, "A")+COUNTIF('Detailed Attendance'!BM12:BM12, "A")+COUNTIF('Detailed Attendance'!CJ12:CJ12, "A")+COUNTIF('Detailed Attendance'!V12:V12, "A")+COUNTIF('Detailed Attendance'!AP12:AP12, "A")+COUNTIF('Detailed Attendance'!BJ12:BJ12, "A")+COUNTIF('Detailed Attendance'!CD12:CD12, "A")+COUNTIF('Detailed Attendance'!DA12:DA12, "A")+COUNTIF('Detailed Attendance'!CH12:CH12, "A")</f>
        <v/>
      </c>
      <c r="AS11" s="70">
        <f>IF((AQ11+AR11)=0,"", AQ11/(AQ11+AR11))</f>
        <v/>
      </c>
      <c r="AT11" s="67">
        <f>COUNTIF('Detailed Attendance'!DF12:DF12, "P")+COUNTIF('Detailed Attendance'!DT12:DT12, "P")+COUNTIF('Detailed Attendance'!EC12:EC12, "P")+COUNTIF('Detailed Attendance'!EQ12:EQ12, "P")+COUNTIF('Detailed Attendance'!EW12:EW12, "P")+COUNTIF('Detailed Attendance'!FK12:FK12, "P")+COUNTIF('Detailed Attendance'!FM12:FM12, "P")+COUNTIF('Detailed Attendance'!GA12:GA12, "P")</f>
        <v/>
      </c>
      <c r="AU11" s="67">
        <f>COUNTIF('Detailed Attendance'!DF12:DF12, "A")+COUNTIF('Detailed Attendance'!DT12:DT12, "A")+COUNTIF('Detailed Attendance'!EC12:EC12, "A")+COUNTIF('Detailed Attendance'!EQ12:EQ12, "A")+COUNTIF('Detailed Attendance'!EW12:EW12, "A")+COUNTIF('Detailed Attendance'!FK12:FK12, "A")+COUNTIF('Detailed Attendance'!FM12:FM12, "A")+COUNTIF('Detailed Attendance'!GA12:GA12, "A")</f>
        <v/>
      </c>
      <c r="AV11" s="68">
        <f>IF((AT11+AU11)=0,"", AT11/(AT11+AU11))</f>
        <v/>
      </c>
      <c r="AW11" s="67">
        <f>COUNTIF('Detailed Attendance'!DK12:DK12, "P")+COUNTIF('Detailed Attendance'!DS12:DS12, "P")+COUNTIF('Detailed Attendance'!EH12:EH12, "P")+COUNTIF('Detailed Attendance'!EP12:EP12, "P")+COUNTIF('Detailed Attendance'!FB12:FB12, "P")+COUNTIF('Detailed Attendance'!FJ12:FJ12, "P")+COUNTIF('Detailed Attendance'!FR12:FR12, "P")+COUNTIF('Detailed Attendance'!FZ12:FZ12, "P")</f>
        <v/>
      </c>
      <c r="AX11" s="67">
        <f>COUNTIF('Detailed Attendance'!DK12:DK12, "A")+COUNTIF('Detailed Attendance'!DS12:DS12, "A")+COUNTIF('Detailed Attendance'!EH12:EH12, "A")+COUNTIF('Detailed Attendance'!EP12:EP12, "A")+COUNTIF('Detailed Attendance'!FB12:FB12, "A")+COUNTIF('Detailed Attendance'!FJ12:FJ12, "A")+COUNTIF('Detailed Attendance'!FR12:FR12, "A")+COUNTIF('Detailed Attendance'!FZ12:FZ12, "A")</f>
        <v/>
      </c>
      <c r="AY11" s="68">
        <f>IF((AW11+AX11)=0,"", AW11/(AW11+AX11))</f>
        <v/>
      </c>
      <c r="AZ11" s="67">
        <f>COUNTIF('Detailed Attendance'!DN12:DN12, "P")+COUNTIF('Detailed Attendance'!DR12:DR12, "P")+COUNTIF('Detailed Attendance'!EK12:EK12, "P")+COUNTIF('Detailed Attendance'!EO12:EO12, "P")+COUNTIF('Detailed Attendance'!FE12:FE12, "P")+COUNTIF('Detailed Attendance'!FI12:FI12, "P")+COUNTIF('Detailed Attendance'!FU12:FU12, "P")+COUNTIF('Detailed Attendance'!FY12:FY12, "P")</f>
        <v/>
      </c>
      <c r="BA11" s="67">
        <f>COUNTIF('Detailed Attendance'!DN12:DN12, "A")+COUNTIF('Detailed Attendance'!DR12:DR12, "A")+COUNTIF('Detailed Attendance'!EK12:EK12, "A")+COUNTIF('Detailed Attendance'!EO12:EO12, "A")+COUNTIF('Detailed Attendance'!FE12:FE12, "A")+COUNTIF('Detailed Attendance'!FI12:FI12, "A")+COUNTIF('Detailed Attendance'!FU12:FU12, "A")+COUNTIF('Detailed Attendance'!FY12:FY12, "A")</f>
        <v/>
      </c>
      <c r="BB11" s="68">
        <f>IF((AZ11+BA11)=0,"", AZ11/(AZ11+BA11))</f>
        <v/>
      </c>
      <c r="BC11" s="67">
        <f>COUNTIF('Detailed Attendance'!DC12:DC12, "P")+COUNTIF('Detailed Attendance'!DV12:DV12, "P")+COUNTIF('Detailed Attendance'!DZ12:DZ12, "P")+COUNTIF('Detailed Attendance'!ES12:ES12, "P")+COUNTIF('Detailed Attendance'!GC12:GC12, "P")+COUNTIF('Detailed Attendance'!GG12:GG12, "P")</f>
        <v/>
      </c>
      <c r="BD11" s="67">
        <f>COUNTIF('Detailed Attendance'!DC12:DC12, "A")+COUNTIF('Detailed Attendance'!DV12:DV12, "A")+COUNTIF('Detailed Attendance'!DZ12:DZ12, "A")+COUNTIF('Detailed Attendance'!ES12:ES12, "A")+COUNTIF('Detailed Attendance'!GC12:GC12, "A")+COUNTIF('Detailed Attendance'!GG12:GG12, "A")</f>
        <v/>
      </c>
      <c r="BE11" s="68">
        <f>IF((BC11+BD11)=0,"", BC11/(BC11+BD11))</f>
        <v/>
      </c>
      <c r="BF11" s="67">
        <f>COUNTIF('Detailed Attendance'!DO12:DO12, "P")+COUNTIF('Detailed Attendance'!DW12:DW12, "P")+COUNTIF('Detailed Attendance'!EL12:EL12, "P")+COUNTIF('Detailed Attendance'!ET12:ET12, "P")+COUNTIF('Detailed Attendance'!FF12:FF12, "P")+COUNTIF('Detailed Attendance'!FV12:FV12, "P")+COUNTIF('Detailed Attendance'!GD12:GD12, "P")</f>
        <v/>
      </c>
      <c r="BG11" s="67">
        <f>COUNTIF('Detailed Attendance'!DO12:DO12, "A")+COUNTIF('Detailed Attendance'!DW12:DW12, "A")+COUNTIF('Detailed Attendance'!EL12:EL12, "A")+COUNTIF('Detailed Attendance'!ET12:ET12, "A")+COUNTIF('Detailed Attendance'!FF12:FF12, "A")+COUNTIF('Detailed Attendance'!FV12:FV12, "A")+COUNTIF('Detailed Attendance'!GD12:GD12, "A")</f>
        <v/>
      </c>
      <c r="BH11" s="68">
        <f>IF((BF11+BG11)=0,"", BF11/(BF11+BG11))</f>
        <v/>
      </c>
      <c r="BI11" s="67">
        <f>AT11+AW11+AZ11+BC11+BF11</f>
        <v/>
      </c>
      <c r="BJ11" s="67">
        <f>AU11+AX11+BA11+BD11+BG11</f>
        <v/>
      </c>
      <c r="BK11" s="68">
        <f>IF((BI11+BJ11)=0,"", BI11/(BI11+BJ11))</f>
        <v/>
      </c>
      <c r="BL11" s="69">
        <f>COUNTIF('Detailed Attendance'!DG12:DG12, "P")+COUNTIF('Detailed Attendance'!ED12:ED12, "P")+COUNTIF('Detailed Attendance'!EX12:EX12, "P")+COUNTIF('Detailed Attendance'!FN12:FN12, "P")+COUNTIF('Detailed Attendance'!DX12:DX12, "P")+COUNTIF('Detailed Attendance'!EU12:EU12, "P")+COUNTIF('Detailed Attendance'!GE12:GE12, "P")+COUNTIF('Detailed Attendance'!DE12:DE12, "P")+COUNTIF('Detailed Attendance'!EB12:EB12, "P")+COUNTIF('Detailed Attendance'!GI12:GI12, "P")</f>
        <v/>
      </c>
      <c r="BM11" s="69">
        <f>COUNTIF('Detailed Attendance'!DG12:DG12, "A")+COUNTIF('Detailed Attendance'!ED12:ED12, "A")+COUNTIF('Detailed Attendance'!EX12:EX12, "A")+COUNTIF('Detailed Attendance'!FN12:FN12, "A")+COUNTIF('Detailed Attendance'!DX12:DX12, "A")+COUNTIF('Detailed Attendance'!EU12:EU12, "A")+COUNTIF('Detailed Attendance'!GE12:GE12, "A")+COUNTIF('Detailed Attendance'!DE12:DE12, "A")+COUNTIF('Detailed Attendance'!EB12:EB12, "A")+COUNTIF('Detailed Attendance'!GI12:GI12, "A")</f>
        <v/>
      </c>
      <c r="BN11" s="70">
        <f>IF((BL11+BM11)=0,"", BL11/(BL11+BM11))</f>
        <v/>
      </c>
      <c r="BO11" s="67">
        <f>D11+Y11+AT11</f>
        <v/>
      </c>
      <c r="BP11" s="67">
        <f>E11+Z11+AU11</f>
        <v/>
      </c>
      <c r="BQ11" s="68">
        <f>IF((BO11+BP11)=0,"", BO11/(BO11+BP11))</f>
        <v/>
      </c>
      <c r="BR11" s="67">
        <f>G11+AB11+AW11</f>
        <v/>
      </c>
      <c r="BS11" s="67">
        <f>H11+AC11+AX11</f>
        <v/>
      </c>
      <c r="BT11" s="68">
        <f>IF((BR11+BS11)=0,"", BR11/(BR11+BS11))</f>
        <v/>
      </c>
      <c r="BU11" s="67">
        <f>J11+AE11+AZ11</f>
        <v/>
      </c>
      <c r="BV11" s="67">
        <f>K11+AF11+BA11</f>
        <v/>
      </c>
      <c r="BW11" s="68">
        <f>IF((BU11+BV11)=0,"", BU11/(BU11+BV11))</f>
        <v/>
      </c>
      <c r="BX11" s="67">
        <f>M11+AH11+BC11</f>
        <v/>
      </c>
      <c r="BY11" s="67">
        <f>N11+AI11+BD11</f>
        <v/>
      </c>
      <c r="BZ11" s="68">
        <f>IF((BX11+BY11)=0,"", BX11/(BX11+BY11))</f>
        <v/>
      </c>
      <c r="CA11" s="67">
        <f>P11+AK11+BF11</f>
        <v/>
      </c>
      <c r="CB11" s="67">
        <f>Q11+AL11+BG11</f>
        <v/>
      </c>
      <c r="CC11" s="68">
        <f>IF((CA11+CB11)=0,"", CA11/(CA11+CB11))</f>
        <v/>
      </c>
      <c r="CD11" s="67">
        <f>S11+AN11+BI11</f>
        <v/>
      </c>
      <c r="CE11" s="67">
        <f>T11+AO11+BJ11</f>
        <v/>
      </c>
      <c r="CF11" s="68">
        <f>IF((CD11+CE11)=0,"", CD11/(CD11+CE11))</f>
        <v/>
      </c>
      <c r="CG11" s="69">
        <f>V11+AQ11+BL11</f>
        <v/>
      </c>
      <c r="CH11" s="69">
        <f>W11+AR11+BM11</f>
        <v/>
      </c>
      <c r="CI11" s="70">
        <f>IF((CG11+CH11)=0,"", CG11/(CG11+CH11))</f>
        <v/>
      </c>
      <c r="CJ11" s="67">
        <f>CD11+(CG11*2)</f>
        <v/>
      </c>
      <c r="CK11" s="67">
        <f>CE11+(CH11*2)</f>
        <v/>
      </c>
      <c r="CL11" s="68">
        <f>IF((CJ11+CK11)=0,"", CJ11/(CJ11+CK11))</f>
        <v/>
      </c>
      <c r="CM11" s="67" t="inlineStr">
        <is>
          <t>Batch 1</t>
        </is>
      </c>
    </row>
    <row r="12" ht="14.25" customHeight="1" s="34">
      <c r="A12" s="46" t="n">
        <v>10</v>
      </c>
      <c r="B12" s="46" t="inlineStr">
        <is>
          <t>325106410010</t>
        </is>
      </c>
      <c r="C12" s="46" t="inlineStr">
        <is>
          <t>EESHAAN URLAM</t>
        </is>
      </c>
      <c r="D12" s="63" t="n">
        <v>0</v>
      </c>
      <c r="E12" s="63" t="n">
        <v>0</v>
      </c>
      <c r="F12" s="64">
        <f>IF((D12+E12)=0,"", D12/(D12+E12))</f>
        <v/>
      </c>
      <c r="G12" s="63">
        <f>COUNTIF('Detailed Attendance'!I13:I13, "P")</f>
        <v/>
      </c>
      <c r="H12" s="63">
        <f>COUNTIF('Detailed Attendance'!I13:I13, "A")</f>
        <v/>
      </c>
      <c r="I12" s="64">
        <f>IF((G12+H12)=0,"", G12/(G12+H12))</f>
        <v/>
      </c>
      <c r="J12" s="63" t="n">
        <v>0</v>
      </c>
      <c r="K12" s="63" t="n">
        <v>0</v>
      </c>
      <c r="L12" s="64">
        <f>IF((J12+K12)=0,"", J12/(J12+K12))</f>
        <v/>
      </c>
      <c r="M12" s="63">
        <f>COUNTIF('Detailed Attendance'!D13:D13, "P")</f>
        <v/>
      </c>
      <c r="N12" s="63">
        <f>COUNTIF('Detailed Attendance'!D13:D13, "A")</f>
        <v/>
      </c>
      <c r="O12" s="64">
        <f>IF((M12+N12)=0,"", M12/(M12+N12))</f>
        <v/>
      </c>
      <c r="P12" s="63" t="n">
        <v>0</v>
      </c>
      <c r="Q12" s="63" t="n">
        <v>0</v>
      </c>
      <c r="R12" s="64">
        <f>IF((P12+Q12)=0,"", P12/(P12+Q12))</f>
        <v/>
      </c>
      <c r="S12" s="63">
        <f>D12+G12+J12+M12+P12</f>
        <v/>
      </c>
      <c r="T12" s="63">
        <f>E12+H12+K12+N12+Q12</f>
        <v/>
      </c>
      <c r="U12" s="64">
        <f>IF((S12+T12)=0,"", S12/(S12+T12))</f>
        <v/>
      </c>
      <c r="V12" s="65">
        <f>COUNTIF('Detailed Attendance'!E13:E13, "P")</f>
        <v/>
      </c>
      <c r="W12" s="65">
        <f>COUNTIF('Detailed Attendance'!E13:E13, "A")</f>
        <v/>
      </c>
      <c r="X12" s="66">
        <f>IF((V12+W12)=0,"", V12/(V12+W12))</f>
        <v/>
      </c>
      <c r="Y12" s="63">
        <f>COUNTIF('Detailed Attendance'!R13:R13, "P")+COUNTIF('Detailed Attendance'!X13:X13, "P")+COUNTIF('Detailed Attendance'!AL13:AL13, "P")+COUNTIF('Detailed Attendance'!BF13:BF13, "P")+COUNTIF('Detailed Attendance'!BL13:BL13, "P")+COUNTIF('Detailed Attendance'!BZ13:BZ13, "P")+COUNTIF('Detailed Attendance'!CI13:CI13, "P")+COUNTIF('Detailed Attendance'!CW13:CW13, "P")</f>
        <v/>
      </c>
      <c r="Z12" s="63">
        <f>COUNTIF('Detailed Attendance'!R13:R13, "A")+COUNTIF('Detailed Attendance'!X13:X13, "A")+COUNTIF('Detailed Attendance'!AL13:AL13, "A")+COUNTIF('Detailed Attendance'!BF13:BF13, "A")+COUNTIF('Detailed Attendance'!BL13:BL13, "A")+COUNTIF('Detailed Attendance'!BZ13:BZ13, "A")+COUNTIF('Detailed Attendance'!CI13:CI13, "A")+COUNTIF('Detailed Attendance'!CW13:CW13, "A")</f>
        <v/>
      </c>
      <c r="AA12" s="64">
        <f>IF((Y12+Z12)=0,"", Y12/(Y12+Z12))</f>
        <v/>
      </c>
      <c r="AB12" s="63">
        <f>COUNTIF('Detailed Attendance'!Q13:Q13, "P")+COUNTIF('Detailed Attendance'!AC13:AC13, "P")+COUNTIF('Detailed Attendance'!AK13:AK13, "P")+COUNTIF('Detailed Attendance'!AW13:AW13, "P")+COUNTIF('Detailed Attendance'!BE13:BE13, "P")+COUNTIF('Detailed Attendance'!BQ13:BQ13, "P")+COUNTIF('Detailed Attendance'!BY13:BY13, "P")+COUNTIF('Detailed Attendance'!CN13:CN13, "P")+COUNTIF('Detailed Attendance'!CV13:CV13, "P")</f>
        <v/>
      </c>
      <c r="AC12" s="63">
        <f>COUNTIF('Detailed Attendance'!Q13:Q13, "A")+COUNTIF('Detailed Attendance'!AC13:AC13, "A")+COUNTIF('Detailed Attendance'!AK13:AK13, "A")+COUNTIF('Detailed Attendance'!AW13:AW13, "A")+COUNTIF('Detailed Attendance'!BE13:BE13, "A")+COUNTIF('Detailed Attendance'!BQ13:BQ13, "A")+COUNTIF('Detailed Attendance'!BY13:BY13, "A")+COUNTIF('Detailed Attendance'!CN13:CN13, "A")+COUNTIF('Detailed Attendance'!CV13:CV13, "A")</f>
        <v/>
      </c>
      <c r="AD12" s="64">
        <f>IF((AB12+AC12)=0,"", AB12/(AB12+AC12))</f>
        <v/>
      </c>
      <c r="AE12" s="63">
        <f>COUNTIF('Detailed Attendance'!L13:L13, "P")+COUNTIF('Detailed Attendance'!P13:P13, "P")+COUNTIF('Detailed Attendance'!AF13:AF13, "P")+COUNTIF('Detailed Attendance'!AJ13:AJ13, "P")+COUNTIF('Detailed Attendance'!AZ13:AZ13, "P")+COUNTIF('Detailed Attendance'!BD13:BD13, "P")+COUNTIF('Detailed Attendance'!BT13:BT13, "P")+COUNTIF('Detailed Attendance'!BX13:BX13, "P")+COUNTIF('Detailed Attendance'!CQ13:CQ13, "P")+COUNTIF('Detailed Attendance'!CU13:CU13, "P")</f>
        <v/>
      </c>
      <c r="AF12" s="67">
        <f>COUNTIF('Detailed Attendance'!L13:L13, "A")+COUNTIF('Detailed Attendance'!P13:P13, "A")+COUNTIF('Detailed Attendance'!AF13:AF13, "A")+COUNTIF('Detailed Attendance'!AJ13:AJ13, "A")+COUNTIF('Detailed Attendance'!AZ13:AZ13, "A")+COUNTIF('Detailed Attendance'!BD13:BD13, "A")+COUNTIF('Detailed Attendance'!BT13:BT13, "A")+COUNTIF('Detailed Attendance'!BX13:BX13, "A")+COUNTIF('Detailed Attendance'!CQ13:CQ13, "A")+COUNTIF('Detailed Attendance'!CU13:CU13, "A")</f>
        <v/>
      </c>
      <c r="AG12" s="68">
        <f>IF((AE12+AF12)=0,"", AE12/(AE12+AF12))</f>
        <v/>
      </c>
      <c r="AH12" s="67">
        <f>COUNTIF('Detailed Attendance'!T13:T13, "P")+COUNTIF('Detailed Attendance'!AN13:AN13, "P")+COUNTIF('Detailed Attendance'!AR13:AR13, "P")+COUNTIF('Detailed Attendance'!BH13:BH13, "P")+COUNTIF('Detailed Attendance'!CB13:CB13, "P")+COUNTIF('Detailed Attendance'!CF13:CF13, "P")+COUNTIF('Detailed Attendance'!CY13:CY13, "P")</f>
        <v/>
      </c>
      <c r="AI12" s="67">
        <f>COUNTIF('Detailed Attendance'!T13:T13, "A")+COUNTIF('Detailed Attendance'!AN13:AN13, "A")+COUNTIF('Detailed Attendance'!AR13:AR13, "A")+COUNTIF('Detailed Attendance'!BH13:BH13, "A")+COUNTIF('Detailed Attendance'!CB13:CB13, "A")+COUNTIF('Detailed Attendance'!CF13:CF13, "A")+COUNTIF('Detailed Attendance'!CY13:CY13, "A")</f>
        <v/>
      </c>
      <c r="AJ12" s="68">
        <f>IF((AH12+AI12)=0,"", AH12/(AH12+AI12))</f>
        <v/>
      </c>
      <c r="AK12" s="67">
        <f>COUNTIF('Detailed Attendance'!M13:M13, "P")+COUNTIF('Detailed Attendance'!U13:U13, "P")+COUNTIF('Detailed Attendance'!AG13:AG13, "P")+COUNTIF('Detailed Attendance'!AO13:AO13, "P")+COUNTIF('Detailed Attendance'!BA13:BA13, "P")+COUNTIF('Detailed Attendance'!BI13:BI13, "P")+COUNTIF('Detailed Attendance'!BU13:BU13, "P")+COUNTIF('Detailed Attendance'!CC13:CC13, "P")+COUNTIF('Detailed Attendance'!CR13:CR13, "P")+COUNTIF('Detailed Attendance'!CZ13:CZ13, "P")</f>
        <v/>
      </c>
      <c r="AL12" s="67">
        <f>COUNTIF('Detailed Attendance'!M13:M13, "A")+COUNTIF('Detailed Attendance'!U13:U13, "A")+COUNTIF('Detailed Attendance'!AG13:AG13, "A")+COUNTIF('Detailed Attendance'!AO13:AO13, "A")+COUNTIF('Detailed Attendance'!BA13:BA13, "A")+COUNTIF('Detailed Attendance'!BI13:BI13, "A")+COUNTIF('Detailed Attendance'!BU13:BU13, "A")+COUNTIF('Detailed Attendance'!CC13:CC13, "A")+COUNTIF('Detailed Attendance'!CR13:CR13, "A")+COUNTIF('Detailed Attendance'!CZ13:CZ13, "A")</f>
        <v/>
      </c>
      <c r="AM12" s="68">
        <f>IF((AK12+AL12)=0,"", AK12/(AK12+AL12))</f>
        <v/>
      </c>
      <c r="AN12" s="67">
        <f>Y12+AB12+AE12+AH12+AK12</f>
        <v/>
      </c>
      <c r="AO12" s="67">
        <f>Z12+AC12+AF12+AI12+AL12</f>
        <v/>
      </c>
      <c r="AP12" s="68">
        <f>IF((AN12+AO12)=0,"", AN12/(AN12+AO12))</f>
        <v/>
      </c>
      <c r="AQ12" s="69">
        <f>COUNTIF('Detailed Attendance'!Y13:Y13, "P")+COUNTIF('Detailed Attendance'!AS13:AS13, "P")+COUNTIF('Detailed Attendance'!BM13:BM13, "P")+COUNTIF('Detailed Attendance'!CJ13:CJ13, "P")+COUNTIF('Detailed Attendance'!V13:V13, "P")+COUNTIF('Detailed Attendance'!AP13:AP13, "P")+COUNTIF('Detailed Attendance'!BJ13:BJ13, "P")+COUNTIF('Detailed Attendance'!CD13:CD13, "P")+COUNTIF('Detailed Attendance'!DA13:DA13, "P")+COUNTIF('Detailed Attendance'!CH13:CH13, "P")</f>
        <v/>
      </c>
      <c r="AR12" s="69">
        <f>COUNTIF('Detailed Attendance'!Y13:Y13, "A")+COUNTIF('Detailed Attendance'!AS13:AS13, "A")+COUNTIF('Detailed Attendance'!BM13:BM13, "A")+COUNTIF('Detailed Attendance'!CJ13:CJ13, "A")+COUNTIF('Detailed Attendance'!V13:V13, "A")+COUNTIF('Detailed Attendance'!AP13:AP13, "A")+COUNTIF('Detailed Attendance'!BJ13:BJ13, "A")+COUNTIF('Detailed Attendance'!CD13:CD13, "A")+COUNTIF('Detailed Attendance'!DA13:DA13, "A")+COUNTIF('Detailed Attendance'!CH13:CH13, "A")</f>
        <v/>
      </c>
      <c r="AS12" s="70">
        <f>IF((AQ12+AR12)=0,"", AQ12/(AQ12+AR12))</f>
        <v/>
      </c>
      <c r="AT12" s="67">
        <f>COUNTIF('Detailed Attendance'!DF13:DF13, "P")+COUNTIF('Detailed Attendance'!DT13:DT13, "P")+COUNTIF('Detailed Attendance'!EC13:EC13, "P")+COUNTIF('Detailed Attendance'!EQ13:EQ13, "P")+COUNTIF('Detailed Attendance'!EW13:EW13, "P")+COUNTIF('Detailed Attendance'!FK13:FK13, "P")+COUNTIF('Detailed Attendance'!FM13:FM13, "P")+COUNTIF('Detailed Attendance'!GA13:GA13, "P")</f>
        <v/>
      </c>
      <c r="AU12" s="67">
        <f>COUNTIF('Detailed Attendance'!DF13:DF13, "A")+COUNTIF('Detailed Attendance'!DT13:DT13, "A")+COUNTIF('Detailed Attendance'!EC13:EC13, "A")+COUNTIF('Detailed Attendance'!EQ13:EQ13, "A")+COUNTIF('Detailed Attendance'!EW13:EW13, "A")+COUNTIF('Detailed Attendance'!FK13:FK13, "A")+COUNTIF('Detailed Attendance'!FM13:FM13, "A")+COUNTIF('Detailed Attendance'!GA13:GA13, "A")</f>
        <v/>
      </c>
      <c r="AV12" s="68">
        <f>IF((AT12+AU12)=0,"", AT12/(AT12+AU12))</f>
        <v/>
      </c>
      <c r="AW12" s="67">
        <f>COUNTIF('Detailed Attendance'!DK13:DK13, "P")+COUNTIF('Detailed Attendance'!DS13:DS13, "P")+COUNTIF('Detailed Attendance'!EH13:EH13, "P")+COUNTIF('Detailed Attendance'!EP13:EP13, "P")+COUNTIF('Detailed Attendance'!FB13:FB13, "P")+COUNTIF('Detailed Attendance'!FJ13:FJ13, "P")+COUNTIF('Detailed Attendance'!FR13:FR13, "P")+COUNTIF('Detailed Attendance'!FZ13:FZ13, "P")</f>
        <v/>
      </c>
      <c r="AX12" s="67">
        <f>COUNTIF('Detailed Attendance'!DK13:DK13, "A")+COUNTIF('Detailed Attendance'!DS13:DS13, "A")+COUNTIF('Detailed Attendance'!EH13:EH13, "A")+COUNTIF('Detailed Attendance'!EP13:EP13, "A")+COUNTIF('Detailed Attendance'!FB13:FB13, "A")+COUNTIF('Detailed Attendance'!FJ13:FJ13, "A")+COUNTIF('Detailed Attendance'!FR13:FR13, "A")+COUNTIF('Detailed Attendance'!FZ13:FZ13, "A")</f>
        <v/>
      </c>
      <c r="AY12" s="68">
        <f>IF((AW12+AX12)=0,"", AW12/(AW12+AX12))</f>
        <v/>
      </c>
      <c r="AZ12" s="67">
        <f>COUNTIF('Detailed Attendance'!DN13:DN13, "P")+COUNTIF('Detailed Attendance'!DR13:DR13, "P")+COUNTIF('Detailed Attendance'!EK13:EK13, "P")+COUNTIF('Detailed Attendance'!EO13:EO13, "P")+COUNTIF('Detailed Attendance'!FE13:FE13, "P")+COUNTIF('Detailed Attendance'!FI13:FI13, "P")+COUNTIF('Detailed Attendance'!FU13:FU13, "P")+COUNTIF('Detailed Attendance'!FY13:FY13, "P")</f>
        <v/>
      </c>
      <c r="BA12" s="67">
        <f>COUNTIF('Detailed Attendance'!DN13:DN13, "A")+COUNTIF('Detailed Attendance'!DR13:DR13, "A")+COUNTIF('Detailed Attendance'!EK13:EK13, "A")+COUNTIF('Detailed Attendance'!EO13:EO13, "A")+COUNTIF('Detailed Attendance'!FE13:FE13, "A")+COUNTIF('Detailed Attendance'!FI13:FI13, "A")+COUNTIF('Detailed Attendance'!FU13:FU13, "A")+COUNTIF('Detailed Attendance'!FY13:FY13, "A")</f>
        <v/>
      </c>
      <c r="BB12" s="68">
        <f>IF((AZ12+BA12)=0,"", AZ12/(AZ12+BA12))</f>
        <v/>
      </c>
      <c r="BC12" s="67">
        <f>COUNTIF('Detailed Attendance'!DC13:DC13, "P")+COUNTIF('Detailed Attendance'!DV13:DV13, "P")+COUNTIF('Detailed Attendance'!DZ13:DZ13, "P")+COUNTIF('Detailed Attendance'!ES13:ES13, "P")+COUNTIF('Detailed Attendance'!GC13:GC13, "P")+COUNTIF('Detailed Attendance'!GG13:GG13, "P")</f>
        <v/>
      </c>
      <c r="BD12" s="67">
        <f>COUNTIF('Detailed Attendance'!DC13:DC13, "A")+COUNTIF('Detailed Attendance'!DV13:DV13, "A")+COUNTIF('Detailed Attendance'!DZ13:DZ13, "A")+COUNTIF('Detailed Attendance'!ES13:ES13, "A")+COUNTIF('Detailed Attendance'!GC13:GC13, "A")+COUNTIF('Detailed Attendance'!GG13:GG13, "A")</f>
        <v/>
      </c>
      <c r="BE12" s="68">
        <f>IF((BC12+BD12)=0,"", BC12/(BC12+BD12))</f>
        <v/>
      </c>
      <c r="BF12" s="67">
        <f>COUNTIF('Detailed Attendance'!DO13:DO13, "P")+COUNTIF('Detailed Attendance'!DW13:DW13, "P")+COUNTIF('Detailed Attendance'!EL13:EL13, "P")+COUNTIF('Detailed Attendance'!ET13:ET13, "P")+COUNTIF('Detailed Attendance'!FF13:FF13, "P")+COUNTIF('Detailed Attendance'!FV13:FV13, "P")+COUNTIF('Detailed Attendance'!GD13:GD13, "P")</f>
        <v/>
      </c>
      <c r="BG12" s="67">
        <f>COUNTIF('Detailed Attendance'!DO13:DO13, "A")+COUNTIF('Detailed Attendance'!DW13:DW13, "A")+COUNTIF('Detailed Attendance'!EL13:EL13, "A")+COUNTIF('Detailed Attendance'!ET13:ET13, "A")+COUNTIF('Detailed Attendance'!FF13:FF13, "A")+COUNTIF('Detailed Attendance'!FV13:FV13, "A")+COUNTIF('Detailed Attendance'!GD13:GD13, "A")</f>
        <v/>
      </c>
      <c r="BH12" s="68">
        <f>IF((BF12+BG12)=0,"", BF12/(BF12+BG12))</f>
        <v/>
      </c>
      <c r="BI12" s="67">
        <f>AT12+AW12+AZ12+BC12+BF12</f>
        <v/>
      </c>
      <c r="BJ12" s="67">
        <f>AU12+AX12+BA12+BD12+BG12</f>
        <v/>
      </c>
      <c r="BK12" s="68">
        <f>IF((BI12+BJ12)=0,"", BI12/(BI12+BJ12))</f>
        <v/>
      </c>
      <c r="BL12" s="69">
        <f>COUNTIF('Detailed Attendance'!DG13:DG13, "P")+COUNTIF('Detailed Attendance'!ED13:ED13, "P")+COUNTIF('Detailed Attendance'!EX13:EX13, "P")+COUNTIF('Detailed Attendance'!FN13:FN13, "P")+COUNTIF('Detailed Attendance'!DX13:DX13, "P")+COUNTIF('Detailed Attendance'!EU13:EU13, "P")+COUNTIF('Detailed Attendance'!GE13:GE13, "P")+COUNTIF('Detailed Attendance'!DE13:DE13, "P")+COUNTIF('Detailed Attendance'!EB13:EB13, "P")+COUNTIF('Detailed Attendance'!GI13:GI13, "P")</f>
        <v/>
      </c>
      <c r="BM12" s="69">
        <f>COUNTIF('Detailed Attendance'!DG13:DG13, "A")+COUNTIF('Detailed Attendance'!ED13:ED13, "A")+COUNTIF('Detailed Attendance'!EX13:EX13, "A")+COUNTIF('Detailed Attendance'!FN13:FN13, "A")+COUNTIF('Detailed Attendance'!DX13:DX13, "A")+COUNTIF('Detailed Attendance'!EU13:EU13, "A")+COUNTIF('Detailed Attendance'!GE13:GE13, "A")+COUNTIF('Detailed Attendance'!DE13:DE13, "A")+COUNTIF('Detailed Attendance'!EB13:EB13, "A")+COUNTIF('Detailed Attendance'!GI13:GI13, "A")</f>
        <v/>
      </c>
      <c r="BN12" s="70">
        <f>IF((BL12+BM12)=0,"", BL12/(BL12+BM12))</f>
        <v/>
      </c>
      <c r="BO12" s="67">
        <f>D12+Y12+AT12</f>
        <v/>
      </c>
      <c r="BP12" s="67">
        <f>E12+Z12+AU12</f>
        <v/>
      </c>
      <c r="BQ12" s="68">
        <f>IF((BO12+BP12)=0,"", BO12/(BO12+BP12))</f>
        <v/>
      </c>
      <c r="BR12" s="67">
        <f>G12+AB12+AW12</f>
        <v/>
      </c>
      <c r="BS12" s="67">
        <f>H12+AC12+AX12</f>
        <v/>
      </c>
      <c r="BT12" s="68">
        <f>IF((BR12+BS12)=0,"", BR12/(BR12+BS12))</f>
        <v/>
      </c>
      <c r="BU12" s="67">
        <f>J12+AE12+AZ12</f>
        <v/>
      </c>
      <c r="BV12" s="67">
        <f>K12+AF12+BA12</f>
        <v/>
      </c>
      <c r="BW12" s="68">
        <f>IF((BU12+BV12)=0,"", BU12/(BU12+BV12))</f>
        <v/>
      </c>
      <c r="BX12" s="67">
        <f>M12+AH12+BC12</f>
        <v/>
      </c>
      <c r="BY12" s="67">
        <f>N12+AI12+BD12</f>
        <v/>
      </c>
      <c r="BZ12" s="68">
        <f>IF((BX12+BY12)=0,"", BX12/(BX12+BY12))</f>
        <v/>
      </c>
      <c r="CA12" s="67">
        <f>P12+AK12+BF12</f>
        <v/>
      </c>
      <c r="CB12" s="67">
        <f>Q12+AL12+BG12</f>
        <v/>
      </c>
      <c r="CC12" s="68">
        <f>IF((CA12+CB12)=0,"", CA12/(CA12+CB12))</f>
        <v/>
      </c>
      <c r="CD12" s="67">
        <f>S12+AN12+BI12</f>
        <v/>
      </c>
      <c r="CE12" s="67">
        <f>T12+AO12+BJ12</f>
        <v/>
      </c>
      <c r="CF12" s="68">
        <f>IF((CD12+CE12)=0,"", CD12/(CD12+CE12))</f>
        <v/>
      </c>
      <c r="CG12" s="69">
        <f>V12+AQ12+BL12</f>
        <v/>
      </c>
      <c r="CH12" s="69">
        <f>W12+AR12+BM12</f>
        <v/>
      </c>
      <c r="CI12" s="70">
        <f>IF((CG12+CH12)=0,"", CG12/(CG12+CH12))</f>
        <v/>
      </c>
      <c r="CJ12" s="67">
        <f>CD12+(CG12*2)</f>
        <v/>
      </c>
      <c r="CK12" s="67">
        <f>CE12+(CH12*2)</f>
        <v/>
      </c>
      <c r="CL12" s="68">
        <f>IF((CJ12+CK12)=0,"", CJ12/(CJ12+CK12))</f>
        <v/>
      </c>
      <c r="CM12" s="67" t="inlineStr">
        <is>
          <t>Batch 1</t>
        </is>
      </c>
    </row>
    <row r="13" ht="14.25" customHeight="1" s="34">
      <c r="A13" s="46" t="n">
        <v>11</v>
      </c>
      <c r="B13" s="46" t="inlineStr">
        <is>
          <t>325106410011</t>
        </is>
      </c>
      <c r="C13" s="46" t="inlineStr">
        <is>
          <t>KAILASH REDDY GADI</t>
        </is>
      </c>
      <c r="D13" s="63" t="n">
        <v>0</v>
      </c>
      <c r="E13" s="63" t="n">
        <v>0</v>
      </c>
      <c r="F13" s="64">
        <f>IF((D13+E13)=0,"", D13/(D13+E13))</f>
        <v/>
      </c>
      <c r="G13" s="63">
        <f>COUNTIF('Detailed Attendance'!I14:I14, "P")</f>
        <v/>
      </c>
      <c r="H13" s="63">
        <f>COUNTIF('Detailed Attendance'!I14:I14, "A")</f>
        <v/>
      </c>
      <c r="I13" s="64">
        <f>IF((G13+H13)=0,"", G13/(G13+H13))</f>
        <v/>
      </c>
      <c r="J13" s="63" t="n">
        <v>0</v>
      </c>
      <c r="K13" s="63" t="n">
        <v>0</v>
      </c>
      <c r="L13" s="64">
        <f>IF((J13+K13)=0,"", J13/(J13+K13))</f>
        <v/>
      </c>
      <c r="M13" s="63">
        <f>COUNTIF('Detailed Attendance'!D14:D14, "P")</f>
        <v/>
      </c>
      <c r="N13" s="63">
        <f>COUNTIF('Detailed Attendance'!D14:D14, "A")</f>
        <v/>
      </c>
      <c r="O13" s="64">
        <f>IF((M13+N13)=0,"", M13/(M13+N13))</f>
        <v/>
      </c>
      <c r="P13" s="63" t="n">
        <v>0</v>
      </c>
      <c r="Q13" s="63" t="n">
        <v>0</v>
      </c>
      <c r="R13" s="64">
        <f>IF((P13+Q13)=0,"", P13/(P13+Q13))</f>
        <v/>
      </c>
      <c r="S13" s="63">
        <f>D13+G13+J13+M13+P13</f>
        <v/>
      </c>
      <c r="T13" s="63">
        <f>E13+H13+K13+N13+Q13</f>
        <v/>
      </c>
      <c r="U13" s="64">
        <f>IF((S13+T13)=0,"", S13/(S13+T13))</f>
        <v/>
      </c>
      <c r="V13" s="65">
        <f>COUNTIF('Detailed Attendance'!E14:E14, "P")</f>
        <v/>
      </c>
      <c r="W13" s="65">
        <f>COUNTIF('Detailed Attendance'!E14:E14, "A")</f>
        <v/>
      </c>
      <c r="X13" s="66">
        <f>IF((V13+W13)=0,"", V13/(V13+W13))</f>
        <v/>
      </c>
      <c r="Y13" s="63">
        <f>COUNTIF('Detailed Attendance'!R14:R14, "P")+COUNTIF('Detailed Attendance'!X14:X14, "P")+COUNTIF('Detailed Attendance'!AL14:AL14, "P")+COUNTIF('Detailed Attendance'!BF14:BF14, "P")+COUNTIF('Detailed Attendance'!BL14:BL14, "P")+COUNTIF('Detailed Attendance'!BZ14:BZ14, "P")+COUNTIF('Detailed Attendance'!CI14:CI14, "P")+COUNTIF('Detailed Attendance'!CW14:CW14, "P")</f>
        <v/>
      </c>
      <c r="Z13" s="63">
        <f>COUNTIF('Detailed Attendance'!R14:R14, "A")+COUNTIF('Detailed Attendance'!X14:X14, "A")+COUNTIF('Detailed Attendance'!AL14:AL14, "A")+COUNTIF('Detailed Attendance'!BF14:BF14, "A")+COUNTIF('Detailed Attendance'!BL14:BL14, "A")+COUNTIF('Detailed Attendance'!BZ14:BZ14, "A")+COUNTIF('Detailed Attendance'!CI14:CI14, "A")+COUNTIF('Detailed Attendance'!CW14:CW14, "A")</f>
        <v/>
      </c>
      <c r="AA13" s="64">
        <f>IF((Y13+Z13)=0,"", Y13/(Y13+Z13))</f>
        <v/>
      </c>
      <c r="AB13" s="63">
        <f>COUNTIF('Detailed Attendance'!Q14:Q14, "P")+COUNTIF('Detailed Attendance'!AC14:AC14, "P")+COUNTIF('Detailed Attendance'!AK14:AK14, "P")+COUNTIF('Detailed Attendance'!AW14:AW14, "P")+COUNTIF('Detailed Attendance'!BE14:BE14, "P")+COUNTIF('Detailed Attendance'!BQ14:BQ14, "P")+COUNTIF('Detailed Attendance'!BY14:BY14, "P")+COUNTIF('Detailed Attendance'!CN14:CN14, "P")+COUNTIF('Detailed Attendance'!CV14:CV14, "P")</f>
        <v/>
      </c>
      <c r="AC13" s="63">
        <f>COUNTIF('Detailed Attendance'!Q14:Q14, "A")+COUNTIF('Detailed Attendance'!AC14:AC14, "A")+COUNTIF('Detailed Attendance'!AK14:AK14, "A")+COUNTIF('Detailed Attendance'!AW14:AW14, "A")+COUNTIF('Detailed Attendance'!BE14:BE14, "A")+COUNTIF('Detailed Attendance'!BQ14:BQ14, "A")+COUNTIF('Detailed Attendance'!BY14:BY14, "A")+COUNTIF('Detailed Attendance'!CN14:CN14, "A")+COUNTIF('Detailed Attendance'!CV14:CV14, "A")</f>
        <v/>
      </c>
      <c r="AD13" s="64">
        <f>IF((AB13+AC13)=0,"", AB13/(AB13+AC13))</f>
        <v/>
      </c>
      <c r="AE13" s="63">
        <f>COUNTIF('Detailed Attendance'!L14:L14, "P")+COUNTIF('Detailed Attendance'!P14:P14, "P")+COUNTIF('Detailed Attendance'!AF14:AF14, "P")+COUNTIF('Detailed Attendance'!AJ14:AJ14, "P")+COUNTIF('Detailed Attendance'!AZ14:AZ14, "P")+COUNTIF('Detailed Attendance'!BD14:BD14, "P")+COUNTIF('Detailed Attendance'!BT14:BT14, "P")+COUNTIF('Detailed Attendance'!BX14:BX14, "P")+COUNTIF('Detailed Attendance'!CQ14:CQ14, "P")+COUNTIF('Detailed Attendance'!CU14:CU14, "P")</f>
        <v/>
      </c>
      <c r="AF13" s="67">
        <f>COUNTIF('Detailed Attendance'!L14:L14, "A")+COUNTIF('Detailed Attendance'!P14:P14, "A")+COUNTIF('Detailed Attendance'!AF14:AF14, "A")+COUNTIF('Detailed Attendance'!AJ14:AJ14, "A")+COUNTIF('Detailed Attendance'!AZ14:AZ14, "A")+COUNTIF('Detailed Attendance'!BD14:BD14, "A")+COUNTIF('Detailed Attendance'!BT14:BT14, "A")+COUNTIF('Detailed Attendance'!BX14:BX14, "A")+COUNTIF('Detailed Attendance'!CQ14:CQ14, "A")+COUNTIF('Detailed Attendance'!CU14:CU14, "A")</f>
        <v/>
      </c>
      <c r="AG13" s="68">
        <f>IF((AE13+AF13)=0,"", AE13/(AE13+AF13))</f>
        <v/>
      </c>
      <c r="AH13" s="67">
        <f>COUNTIF('Detailed Attendance'!T14:T14, "P")+COUNTIF('Detailed Attendance'!AN14:AN14, "P")+COUNTIF('Detailed Attendance'!AR14:AR14, "P")+COUNTIF('Detailed Attendance'!BH14:BH14, "P")+COUNTIF('Detailed Attendance'!CB14:CB14, "P")+COUNTIF('Detailed Attendance'!CF14:CF14, "P")+COUNTIF('Detailed Attendance'!CY14:CY14, "P")</f>
        <v/>
      </c>
      <c r="AI13" s="67">
        <f>COUNTIF('Detailed Attendance'!T14:T14, "A")+COUNTIF('Detailed Attendance'!AN14:AN14, "A")+COUNTIF('Detailed Attendance'!AR14:AR14, "A")+COUNTIF('Detailed Attendance'!BH14:BH14, "A")+COUNTIF('Detailed Attendance'!CB14:CB14, "A")+COUNTIF('Detailed Attendance'!CF14:CF14, "A")+COUNTIF('Detailed Attendance'!CY14:CY14, "A")</f>
        <v/>
      </c>
      <c r="AJ13" s="68">
        <f>IF((AH13+AI13)=0,"", AH13/(AH13+AI13))</f>
        <v/>
      </c>
      <c r="AK13" s="67">
        <f>COUNTIF('Detailed Attendance'!M14:M14, "P")+COUNTIF('Detailed Attendance'!U14:U14, "P")+COUNTIF('Detailed Attendance'!AG14:AG14, "P")+COUNTIF('Detailed Attendance'!AO14:AO14, "P")+COUNTIF('Detailed Attendance'!BA14:BA14, "P")+COUNTIF('Detailed Attendance'!BI14:BI14, "P")+COUNTIF('Detailed Attendance'!BU14:BU14, "P")+COUNTIF('Detailed Attendance'!CC14:CC14, "P")+COUNTIF('Detailed Attendance'!CR14:CR14, "P")+COUNTIF('Detailed Attendance'!CZ14:CZ14, "P")</f>
        <v/>
      </c>
      <c r="AL13" s="67">
        <f>COUNTIF('Detailed Attendance'!M14:M14, "A")+COUNTIF('Detailed Attendance'!U14:U14, "A")+COUNTIF('Detailed Attendance'!AG14:AG14, "A")+COUNTIF('Detailed Attendance'!AO14:AO14, "A")+COUNTIF('Detailed Attendance'!BA14:BA14, "A")+COUNTIF('Detailed Attendance'!BI14:BI14, "A")+COUNTIF('Detailed Attendance'!BU14:BU14, "A")+COUNTIF('Detailed Attendance'!CC14:CC14, "A")+COUNTIF('Detailed Attendance'!CR14:CR14, "A")+COUNTIF('Detailed Attendance'!CZ14:CZ14, "A")</f>
        <v/>
      </c>
      <c r="AM13" s="68">
        <f>IF((AK13+AL13)=0,"", AK13/(AK13+AL13))</f>
        <v/>
      </c>
      <c r="AN13" s="67">
        <f>Y13+AB13+AE13+AH13+AK13</f>
        <v/>
      </c>
      <c r="AO13" s="67">
        <f>Z13+AC13+AF13+AI13+AL13</f>
        <v/>
      </c>
      <c r="AP13" s="68">
        <f>IF((AN13+AO13)=0,"", AN13/(AN13+AO13))</f>
        <v/>
      </c>
      <c r="AQ13" s="69">
        <f>COUNTIF('Detailed Attendance'!Y14:Y14, "P")+COUNTIF('Detailed Attendance'!AS14:AS14, "P")+COUNTIF('Detailed Attendance'!BM14:BM14, "P")+COUNTIF('Detailed Attendance'!CJ14:CJ14, "P")+COUNTIF('Detailed Attendance'!V14:V14, "P")+COUNTIF('Detailed Attendance'!AP14:AP14, "P")+COUNTIF('Detailed Attendance'!BJ14:BJ14, "P")+COUNTIF('Detailed Attendance'!CD14:CD14, "P")+COUNTIF('Detailed Attendance'!DA14:DA14, "P")+COUNTIF('Detailed Attendance'!CH14:CH14, "P")</f>
        <v/>
      </c>
      <c r="AR13" s="69">
        <f>COUNTIF('Detailed Attendance'!Y14:Y14, "A")+COUNTIF('Detailed Attendance'!AS14:AS14, "A")+COUNTIF('Detailed Attendance'!BM14:BM14, "A")+COUNTIF('Detailed Attendance'!CJ14:CJ14, "A")+COUNTIF('Detailed Attendance'!V14:V14, "A")+COUNTIF('Detailed Attendance'!AP14:AP14, "A")+COUNTIF('Detailed Attendance'!BJ14:BJ14, "A")+COUNTIF('Detailed Attendance'!CD14:CD14, "A")+COUNTIF('Detailed Attendance'!DA14:DA14, "A")+COUNTIF('Detailed Attendance'!CH14:CH14, "A")</f>
        <v/>
      </c>
      <c r="AS13" s="70">
        <f>IF((AQ13+AR13)=0,"", AQ13/(AQ13+AR13))</f>
        <v/>
      </c>
      <c r="AT13" s="67">
        <f>COUNTIF('Detailed Attendance'!DF14:DF14, "P")+COUNTIF('Detailed Attendance'!DT14:DT14, "P")+COUNTIF('Detailed Attendance'!EC14:EC14, "P")+COUNTIF('Detailed Attendance'!EQ14:EQ14, "P")+COUNTIF('Detailed Attendance'!EW14:EW14, "P")+COUNTIF('Detailed Attendance'!FK14:FK14, "P")+COUNTIF('Detailed Attendance'!FM14:FM14, "P")+COUNTIF('Detailed Attendance'!GA14:GA14, "P")</f>
        <v/>
      </c>
      <c r="AU13" s="67">
        <f>COUNTIF('Detailed Attendance'!DF14:DF14, "A")+COUNTIF('Detailed Attendance'!DT14:DT14, "A")+COUNTIF('Detailed Attendance'!EC14:EC14, "A")+COUNTIF('Detailed Attendance'!EQ14:EQ14, "A")+COUNTIF('Detailed Attendance'!EW14:EW14, "A")+COUNTIF('Detailed Attendance'!FK14:FK14, "A")+COUNTIF('Detailed Attendance'!FM14:FM14, "A")+COUNTIF('Detailed Attendance'!GA14:GA14, "A")</f>
        <v/>
      </c>
      <c r="AV13" s="68">
        <f>IF((AT13+AU13)=0,"", AT13/(AT13+AU13))</f>
        <v/>
      </c>
      <c r="AW13" s="67">
        <f>COUNTIF('Detailed Attendance'!DK14:DK14, "P")+COUNTIF('Detailed Attendance'!DS14:DS14, "P")+COUNTIF('Detailed Attendance'!EH14:EH14, "P")+COUNTIF('Detailed Attendance'!EP14:EP14, "P")+COUNTIF('Detailed Attendance'!FB14:FB14, "P")+COUNTIF('Detailed Attendance'!FJ14:FJ14, "P")+COUNTIF('Detailed Attendance'!FR14:FR14, "P")+COUNTIF('Detailed Attendance'!FZ14:FZ14, "P")</f>
        <v/>
      </c>
      <c r="AX13" s="67">
        <f>COUNTIF('Detailed Attendance'!DK14:DK14, "A")+COUNTIF('Detailed Attendance'!DS14:DS14, "A")+COUNTIF('Detailed Attendance'!EH14:EH14, "A")+COUNTIF('Detailed Attendance'!EP14:EP14, "A")+COUNTIF('Detailed Attendance'!FB14:FB14, "A")+COUNTIF('Detailed Attendance'!FJ14:FJ14, "A")+COUNTIF('Detailed Attendance'!FR14:FR14, "A")+COUNTIF('Detailed Attendance'!FZ14:FZ14, "A")</f>
        <v/>
      </c>
      <c r="AY13" s="68">
        <f>IF((AW13+AX13)=0,"", AW13/(AW13+AX13))</f>
        <v/>
      </c>
      <c r="AZ13" s="67">
        <f>COUNTIF('Detailed Attendance'!DN14:DN14, "P")+COUNTIF('Detailed Attendance'!DR14:DR14, "P")+COUNTIF('Detailed Attendance'!EK14:EK14, "P")+COUNTIF('Detailed Attendance'!EO14:EO14, "P")+COUNTIF('Detailed Attendance'!FE14:FE14, "P")+COUNTIF('Detailed Attendance'!FI14:FI14, "P")+COUNTIF('Detailed Attendance'!FU14:FU14, "P")+COUNTIF('Detailed Attendance'!FY14:FY14, "P")</f>
        <v/>
      </c>
      <c r="BA13" s="67">
        <f>COUNTIF('Detailed Attendance'!DN14:DN14, "A")+COUNTIF('Detailed Attendance'!DR14:DR14, "A")+COUNTIF('Detailed Attendance'!EK14:EK14, "A")+COUNTIF('Detailed Attendance'!EO14:EO14, "A")+COUNTIF('Detailed Attendance'!FE14:FE14, "A")+COUNTIF('Detailed Attendance'!FI14:FI14, "A")+COUNTIF('Detailed Attendance'!FU14:FU14, "A")+COUNTIF('Detailed Attendance'!FY14:FY14, "A")</f>
        <v/>
      </c>
      <c r="BB13" s="68">
        <f>IF((AZ13+BA13)=0,"", AZ13/(AZ13+BA13))</f>
        <v/>
      </c>
      <c r="BC13" s="67">
        <f>COUNTIF('Detailed Attendance'!DC14:DC14, "P")+COUNTIF('Detailed Attendance'!DV14:DV14, "P")+COUNTIF('Detailed Attendance'!DZ14:DZ14, "P")+COUNTIF('Detailed Attendance'!ES14:ES14, "P")+COUNTIF('Detailed Attendance'!GC14:GC14, "P")+COUNTIF('Detailed Attendance'!GG14:GG14, "P")</f>
        <v/>
      </c>
      <c r="BD13" s="67">
        <f>COUNTIF('Detailed Attendance'!DC14:DC14, "A")+COUNTIF('Detailed Attendance'!DV14:DV14, "A")+COUNTIF('Detailed Attendance'!DZ14:DZ14, "A")+COUNTIF('Detailed Attendance'!ES14:ES14, "A")+COUNTIF('Detailed Attendance'!GC14:GC14, "A")+COUNTIF('Detailed Attendance'!GG14:GG14, "A")</f>
        <v/>
      </c>
      <c r="BE13" s="68">
        <f>IF((BC13+BD13)=0,"", BC13/(BC13+BD13))</f>
        <v/>
      </c>
      <c r="BF13" s="67">
        <f>COUNTIF('Detailed Attendance'!DO14:DO14, "P")+COUNTIF('Detailed Attendance'!DW14:DW14, "P")+COUNTIF('Detailed Attendance'!EL14:EL14, "P")+COUNTIF('Detailed Attendance'!ET14:ET14, "P")+COUNTIF('Detailed Attendance'!FF14:FF14, "P")+COUNTIF('Detailed Attendance'!FV14:FV14, "P")+COUNTIF('Detailed Attendance'!GD14:GD14, "P")</f>
        <v/>
      </c>
      <c r="BG13" s="67">
        <f>COUNTIF('Detailed Attendance'!DO14:DO14, "A")+COUNTIF('Detailed Attendance'!DW14:DW14, "A")+COUNTIF('Detailed Attendance'!EL14:EL14, "A")+COUNTIF('Detailed Attendance'!ET14:ET14, "A")+COUNTIF('Detailed Attendance'!FF14:FF14, "A")+COUNTIF('Detailed Attendance'!FV14:FV14, "A")+COUNTIF('Detailed Attendance'!GD14:GD14, "A")</f>
        <v/>
      </c>
      <c r="BH13" s="68">
        <f>IF((BF13+BG13)=0,"", BF13/(BF13+BG13))</f>
        <v/>
      </c>
      <c r="BI13" s="67">
        <f>AT13+AW13+AZ13+BC13+BF13</f>
        <v/>
      </c>
      <c r="BJ13" s="67">
        <f>AU13+AX13+BA13+BD13+BG13</f>
        <v/>
      </c>
      <c r="BK13" s="68">
        <f>IF((BI13+BJ13)=0,"", BI13/(BI13+BJ13))</f>
        <v/>
      </c>
      <c r="BL13" s="69">
        <f>COUNTIF('Detailed Attendance'!DG14:DG14, "P")+COUNTIF('Detailed Attendance'!ED14:ED14, "P")+COUNTIF('Detailed Attendance'!EX14:EX14, "P")+COUNTIF('Detailed Attendance'!FN14:FN14, "P")+COUNTIF('Detailed Attendance'!DX14:DX14, "P")+COUNTIF('Detailed Attendance'!EU14:EU14, "P")+COUNTIF('Detailed Attendance'!GE14:GE14, "P")+COUNTIF('Detailed Attendance'!DE14:DE14, "P")+COUNTIF('Detailed Attendance'!EB14:EB14, "P")+COUNTIF('Detailed Attendance'!GI14:GI14, "P")</f>
        <v/>
      </c>
      <c r="BM13" s="69">
        <f>COUNTIF('Detailed Attendance'!DG14:DG14, "A")+COUNTIF('Detailed Attendance'!ED14:ED14, "A")+COUNTIF('Detailed Attendance'!EX14:EX14, "A")+COUNTIF('Detailed Attendance'!FN14:FN14, "A")+COUNTIF('Detailed Attendance'!DX14:DX14, "A")+COUNTIF('Detailed Attendance'!EU14:EU14, "A")+COUNTIF('Detailed Attendance'!GE14:GE14, "A")+COUNTIF('Detailed Attendance'!DE14:DE14, "A")+COUNTIF('Detailed Attendance'!EB14:EB14, "A")+COUNTIF('Detailed Attendance'!GI14:GI14, "A")</f>
        <v/>
      </c>
      <c r="BN13" s="70">
        <f>IF((BL13+BM13)=0,"", BL13/(BL13+BM13))</f>
        <v/>
      </c>
      <c r="BO13" s="67">
        <f>D13+Y13+AT13</f>
        <v/>
      </c>
      <c r="BP13" s="67">
        <f>E13+Z13+AU13</f>
        <v/>
      </c>
      <c r="BQ13" s="68">
        <f>IF((BO13+BP13)=0,"", BO13/(BO13+BP13))</f>
        <v/>
      </c>
      <c r="BR13" s="67">
        <f>G13+AB13+AW13</f>
        <v/>
      </c>
      <c r="BS13" s="67">
        <f>H13+AC13+AX13</f>
        <v/>
      </c>
      <c r="BT13" s="68">
        <f>IF((BR13+BS13)=0,"", BR13/(BR13+BS13))</f>
        <v/>
      </c>
      <c r="BU13" s="67">
        <f>J13+AE13+AZ13</f>
        <v/>
      </c>
      <c r="BV13" s="67">
        <f>K13+AF13+BA13</f>
        <v/>
      </c>
      <c r="BW13" s="68">
        <f>IF((BU13+BV13)=0,"", BU13/(BU13+BV13))</f>
        <v/>
      </c>
      <c r="BX13" s="67">
        <f>M13+AH13+BC13</f>
        <v/>
      </c>
      <c r="BY13" s="67">
        <f>N13+AI13+BD13</f>
        <v/>
      </c>
      <c r="BZ13" s="68">
        <f>IF((BX13+BY13)=0,"", BX13/(BX13+BY13))</f>
        <v/>
      </c>
      <c r="CA13" s="67">
        <f>P13+AK13+BF13</f>
        <v/>
      </c>
      <c r="CB13" s="67">
        <f>Q13+AL13+BG13</f>
        <v/>
      </c>
      <c r="CC13" s="68">
        <f>IF((CA13+CB13)=0,"", CA13/(CA13+CB13))</f>
        <v/>
      </c>
      <c r="CD13" s="67">
        <f>S13+AN13+BI13</f>
        <v/>
      </c>
      <c r="CE13" s="67">
        <f>T13+AO13+BJ13</f>
        <v/>
      </c>
      <c r="CF13" s="68">
        <f>IF((CD13+CE13)=0,"", CD13/(CD13+CE13))</f>
        <v/>
      </c>
      <c r="CG13" s="69">
        <f>V13+AQ13+BL13</f>
        <v/>
      </c>
      <c r="CH13" s="69">
        <f>W13+AR13+BM13</f>
        <v/>
      </c>
      <c r="CI13" s="70">
        <f>IF((CG13+CH13)=0,"", CG13/(CG13+CH13))</f>
        <v/>
      </c>
      <c r="CJ13" s="67">
        <f>CD13+(CG13*2)</f>
        <v/>
      </c>
      <c r="CK13" s="67">
        <f>CE13+(CH13*2)</f>
        <v/>
      </c>
      <c r="CL13" s="68">
        <f>IF((CJ13+CK13)=0,"", CJ13/(CJ13+CK13))</f>
        <v/>
      </c>
      <c r="CM13" s="67" t="inlineStr">
        <is>
          <t>Batch 1</t>
        </is>
      </c>
    </row>
    <row r="14" ht="14.25" customHeight="1" s="34">
      <c r="A14" s="46" t="n">
        <v>12</v>
      </c>
      <c r="B14" s="46" t="inlineStr">
        <is>
          <t>325106410012</t>
        </is>
      </c>
      <c r="C14" s="46" t="inlineStr">
        <is>
          <t>DEEPIKA GANTA</t>
        </is>
      </c>
      <c r="D14" s="63" t="n">
        <v>0</v>
      </c>
      <c r="E14" s="63" t="n">
        <v>0</v>
      </c>
      <c r="F14" s="64">
        <f>IF((D14+E14)=0,"", D14/(D14+E14))</f>
        <v/>
      </c>
      <c r="G14" s="63">
        <f>COUNTIF('Detailed Attendance'!I15:I15, "P")</f>
        <v/>
      </c>
      <c r="H14" s="63">
        <f>COUNTIF('Detailed Attendance'!I15:I15, "A")</f>
        <v/>
      </c>
      <c r="I14" s="64">
        <f>IF((G14+H14)=0,"", G14/(G14+H14))</f>
        <v/>
      </c>
      <c r="J14" s="63" t="n">
        <v>0</v>
      </c>
      <c r="K14" s="63" t="n">
        <v>0</v>
      </c>
      <c r="L14" s="64">
        <f>IF((J14+K14)=0,"", J14/(J14+K14))</f>
        <v/>
      </c>
      <c r="M14" s="63">
        <f>COUNTIF('Detailed Attendance'!D15:D15, "P")</f>
        <v/>
      </c>
      <c r="N14" s="63">
        <f>COUNTIF('Detailed Attendance'!D15:D15, "A")</f>
        <v/>
      </c>
      <c r="O14" s="64">
        <f>IF((M14+N14)=0,"", M14/(M14+N14))</f>
        <v/>
      </c>
      <c r="P14" s="63" t="n">
        <v>0</v>
      </c>
      <c r="Q14" s="63" t="n">
        <v>0</v>
      </c>
      <c r="R14" s="64">
        <f>IF((P14+Q14)=0,"", P14/(P14+Q14))</f>
        <v/>
      </c>
      <c r="S14" s="63">
        <f>D14+G14+J14+M14+P14</f>
        <v/>
      </c>
      <c r="T14" s="63">
        <f>E14+H14+K14+N14+Q14</f>
        <v/>
      </c>
      <c r="U14" s="64">
        <f>IF((S14+T14)=0,"", S14/(S14+T14))</f>
        <v/>
      </c>
      <c r="V14" s="65">
        <f>COUNTIF('Detailed Attendance'!E15:E15, "P")</f>
        <v/>
      </c>
      <c r="W14" s="65">
        <f>COUNTIF('Detailed Attendance'!E15:E15, "A")</f>
        <v/>
      </c>
      <c r="X14" s="66">
        <f>IF((V14+W14)=0,"", V14/(V14+W14))</f>
        <v/>
      </c>
      <c r="Y14" s="63">
        <f>COUNTIF('Detailed Attendance'!R15:R15, "P")+COUNTIF('Detailed Attendance'!X15:X15, "P")+COUNTIF('Detailed Attendance'!AL15:AL15, "P")+COUNTIF('Detailed Attendance'!BF15:BF15, "P")+COUNTIF('Detailed Attendance'!BL15:BL15, "P")+COUNTIF('Detailed Attendance'!BZ15:BZ15, "P")+COUNTIF('Detailed Attendance'!CI15:CI15, "P")+COUNTIF('Detailed Attendance'!CW15:CW15, "P")</f>
        <v/>
      </c>
      <c r="Z14" s="63">
        <f>COUNTIF('Detailed Attendance'!R15:R15, "A")+COUNTIF('Detailed Attendance'!X15:X15, "A")+COUNTIF('Detailed Attendance'!AL15:AL15, "A")+COUNTIF('Detailed Attendance'!BF15:BF15, "A")+COUNTIF('Detailed Attendance'!BL15:BL15, "A")+COUNTIF('Detailed Attendance'!BZ15:BZ15, "A")+COUNTIF('Detailed Attendance'!CI15:CI15, "A")+COUNTIF('Detailed Attendance'!CW15:CW15, "A")</f>
        <v/>
      </c>
      <c r="AA14" s="64">
        <f>IF((Y14+Z14)=0,"", Y14/(Y14+Z14))</f>
        <v/>
      </c>
      <c r="AB14" s="63">
        <f>COUNTIF('Detailed Attendance'!Q15:Q15, "P")+COUNTIF('Detailed Attendance'!AC15:AC15, "P")+COUNTIF('Detailed Attendance'!AK15:AK15, "P")+COUNTIF('Detailed Attendance'!AW15:AW15, "P")+COUNTIF('Detailed Attendance'!BE15:BE15, "P")+COUNTIF('Detailed Attendance'!BQ15:BQ15, "P")+COUNTIF('Detailed Attendance'!BY15:BY15, "P")+COUNTIF('Detailed Attendance'!CN15:CN15, "P")+COUNTIF('Detailed Attendance'!CV15:CV15, "P")</f>
        <v/>
      </c>
      <c r="AC14" s="63">
        <f>COUNTIF('Detailed Attendance'!Q15:Q15, "A")+COUNTIF('Detailed Attendance'!AC15:AC15, "A")+COUNTIF('Detailed Attendance'!AK15:AK15, "A")+COUNTIF('Detailed Attendance'!AW15:AW15, "A")+COUNTIF('Detailed Attendance'!BE15:BE15, "A")+COUNTIF('Detailed Attendance'!BQ15:BQ15, "A")+COUNTIF('Detailed Attendance'!BY15:BY15, "A")+COUNTIF('Detailed Attendance'!CN15:CN15, "A")+COUNTIF('Detailed Attendance'!CV15:CV15, "A")</f>
        <v/>
      </c>
      <c r="AD14" s="64">
        <f>IF((AB14+AC14)=0,"", AB14/(AB14+AC14))</f>
        <v/>
      </c>
      <c r="AE14" s="63">
        <f>COUNTIF('Detailed Attendance'!L15:L15, "P")+COUNTIF('Detailed Attendance'!P15:P15, "P")+COUNTIF('Detailed Attendance'!AF15:AF15, "P")+COUNTIF('Detailed Attendance'!AJ15:AJ15, "P")+COUNTIF('Detailed Attendance'!AZ15:AZ15, "P")+COUNTIF('Detailed Attendance'!BD15:BD15, "P")+COUNTIF('Detailed Attendance'!BT15:BT15, "P")+COUNTIF('Detailed Attendance'!BX15:BX15, "P")+COUNTIF('Detailed Attendance'!CQ15:CQ15, "P")+COUNTIF('Detailed Attendance'!CU15:CU15, "P")</f>
        <v/>
      </c>
      <c r="AF14" s="67">
        <f>COUNTIF('Detailed Attendance'!L15:L15, "A")+COUNTIF('Detailed Attendance'!P15:P15, "A")+COUNTIF('Detailed Attendance'!AF15:AF15, "A")+COUNTIF('Detailed Attendance'!AJ15:AJ15, "A")+COUNTIF('Detailed Attendance'!AZ15:AZ15, "A")+COUNTIF('Detailed Attendance'!BD15:BD15, "A")+COUNTIF('Detailed Attendance'!BT15:BT15, "A")+COUNTIF('Detailed Attendance'!BX15:BX15, "A")+COUNTIF('Detailed Attendance'!CQ15:CQ15, "A")+COUNTIF('Detailed Attendance'!CU15:CU15, "A")</f>
        <v/>
      </c>
      <c r="AG14" s="68">
        <f>IF((AE14+AF14)=0,"", AE14/(AE14+AF14))</f>
        <v/>
      </c>
      <c r="AH14" s="67">
        <f>COUNTIF('Detailed Attendance'!T15:T15, "P")+COUNTIF('Detailed Attendance'!AN15:AN15, "P")+COUNTIF('Detailed Attendance'!AR15:AR15, "P")+COUNTIF('Detailed Attendance'!BH15:BH15, "P")+COUNTIF('Detailed Attendance'!CB15:CB15, "P")+COUNTIF('Detailed Attendance'!CF15:CF15, "P")+COUNTIF('Detailed Attendance'!CY15:CY15, "P")</f>
        <v/>
      </c>
      <c r="AI14" s="67">
        <f>COUNTIF('Detailed Attendance'!T15:T15, "A")+COUNTIF('Detailed Attendance'!AN15:AN15, "A")+COUNTIF('Detailed Attendance'!AR15:AR15, "A")+COUNTIF('Detailed Attendance'!BH15:BH15, "A")+COUNTIF('Detailed Attendance'!CB15:CB15, "A")+COUNTIF('Detailed Attendance'!CF15:CF15, "A")+COUNTIF('Detailed Attendance'!CY15:CY15, "A")</f>
        <v/>
      </c>
      <c r="AJ14" s="68">
        <f>IF((AH14+AI14)=0,"", AH14/(AH14+AI14))</f>
        <v/>
      </c>
      <c r="AK14" s="67">
        <f>COUNTIF('Detailed Attendance'!M15:M15, "P")+COUNTIF('Detailed Attendance'!U15:U15, "P")+COUNTIF('Detailed Attendance'!AG15:AG15, "P")+COUNTIF('Detailed Attendance'!AO15:AO15, "P")+COUNTIF('Detailed Attendance'!BA15:BA15, "P")+COUNTIF('Detailed Attendance'!BI15:BI15, "P")+COUNTIF('Detailed Attendance'!BU15:BU15, "P")+COUNTIF('Detailed Attendance'!CC15:CC15, "P")+COUNTIF('Detailed Attendance'!CR15:CR15, "P")+COUNTIF('Detailed Attendance'!CZ15:CZ15, "P")</f>
        <v/>
      </c>
      <c r="AL14" s="67">
        <f>COUNTIF('Detailed Attendance'!M15:M15, "A")+COUNTIF('Detailed Attendance'!U15:U15, "A")+COUNTIF('Detailed Attendance'!AG15:AG15, "A")+COUNTIF('Detailed Attendance'!AO15:AO15, "A")+COUNTIF('Detailed Attendance'!BA15:BA15, "A")+COUNTIF('Detailed Attendance'!BI15:BI15, "A")+COUNTIF('Detailed Attendance'!BU15:BU15, "A")+COUNTIF('Detailed Attendance'!CC15:CC15, "A")+COUNTIF('Detailed Attendance'!CR15:CR15, "A")+COUNTIF('Detailed Attendance'!CZ15:CZ15, "A")</f>
        <v/>
      </c>
      <c r="AM14" s="68">
        <f>IF((AK14+AL14)=0,"", AK14/(AK14+AL14))</f>
        <v/>
      </c>
      <c r="AN14" s="67">
        <f>Y14+AB14+AE14+AH14+AK14</f>
        <v/>
      </c>
      <c r="AO14" s="67">
        <f>Z14+AC14+AF14+AI14+AL14</f>
        <v/>
      </c>
      <c r="AP14" s="68">
        <f>IF((AN14+AO14)=0,"", AN14/(AN14+AO14))</f>
        <v/>
      </c>
      <c r="AQ14" s="69">
        <f>COUNTIF('Detailed Attendance'!Y15:Y15, "P")+COUNTIF('Detailed Attendance'!AS15:AS15, "P")+COUNTIF('Detailed Attendance'!BM15:BM15, "P")+COUNTIF('Detailed Attendance'!CJ15:CJ15, "P")+COUNTIF('Detailed Attendance'!V15:V15, "P")+COUNTIF('Detailed Attendance'!AP15:AP15, "P")+COUNTIF('Detailed Attendance'!BJ15:BJ15, "P")+COUNTIF('Detailed Attendance'!CD15:CD15, "P")+COUNTIF('Detailed Attendance'!DA15:DA15, "P")+COUNTIF('Detailed Attendance'!CH15:CH15, "P")</f>
        <v/>
      </c>
      <c r="AR14" s="69">
        <f>COUNTIF('Detailed Attendance'!Y15:Y15, "A")+COUNTIF('Detailed Attendance'!AS15:AS15, "A")+COUNTIF('Detailed Attendance'!BM15:BM15, "A")+COUNTIF('Detailed Attendance'!CJ15:CJ15, "A")+COUNTIF('Detailed Attendance'!V15:V15, "A")+COUNTIF('Detailed Attendance'!AP15:AP15, "A")+COUNTIF('Detailed Attendance'!BJ15:BJ15, "A")+COUNTIF('Detailed Attendance'!CD15:CD15, "A")+COUNTIF('Detailed Attendance'!DA15:DA15, "A")+COUNTIF('Detailed Attendance'!CH15:CH15, "A")</f>
        <v/>
      </c>
      <c r="AS14" s="70">
        <f>IF((AQ14+AR14)=0,"", AQ14/(AQ14+AR14))</f>
        <v/>
      </c>
      <c r="AT14" s="67">
        <f>COUNTIF('Detailed Attendance'!DF15:DF15, "P")+COUNTIF('Detailed Attendance'!DT15:DT15, "P")+COUNTIF('Detailed Attendance'!EC15:EC15, "P")+COUNTIF('Detailed Attendance'!EQ15:EQ15, "P")+COUNTIF('Detailed Attendance'!EW15:EW15, "P")+COUNTIF('Detailed Attendance'!FK15:FK15, "P")+COUNTIF('Detailed Attendance'!FM15:FM15, "P")+COUNTIF('Detailed Attendance'!GA15:GA15, "P")</f>
        <v/>
      </c>
      <c r="AU14" s="67">
        <f>COUNTIF('Detailed Attendance'!DF15:DF15, "A")+COUNTIF('Detailed Attendance'!DT15:DT15, "A")+COUNTIF('Detailed Attendance'!EC15:EC15, "A")+COUNTIF('Detailed Attendance'!EQ15:EQ15, "A")+COUNTIF('Detailed Attendance'!EW15:EW15, "A")+COUNTIF('Detailed Attendance'!FK15:FK15, "A")+COUNTIF('Detailed Attendance'!FM15:FM15, "A")+COUNTIF('Detailed Attendance'!GA15:GA15, "A")</f>
        <v/>
      </c>
      <c r="AV14" s="68">
        <f>IF((AT14+AU14)=0,"", AT14/(AT14+AU14))</f>
        <v/>
      </c>
      <c r="AW14" s="67">
        <f>COUNTIF('Detailed Attendance'!DK15:DK15, "P")+COUNTIF('Detailed Attendance'!DS15:DS15, "P")+COUNTIF('Detailed Attendance'!EH15:EH15, "P")+COUNTIF('Detailed Attendance'!EP15:EP15, "P")+COUNTIF('Detailed Attendance'!FB15:FB15, "P")+COUNTIF('Detailed Attendance'!FJ15:FJ15, "P")+COUNTIF('Detailed Attendance'!FR15:FR15, "P")+COUNTIF('Detailed Attendance'!FZ15:FZ15, "P")</f>
        <v/>
      </c>
      <c r="AX14" s="67">
        <f>COUNTIF('Detailed Attendance'!DK15:DK15, "A")+COUNTIF('Detailed Attendance'!DS15:DS15, "A")+COUNTIF('Detailed Attendance'!EH15:EH15, "A")+COUNTIF('Detailed Attendance'!EP15:EP15, "A")+COUNTIF('Detailed Attendance'!FB15:FB15, "A")+COUNTIF('Detailed Attendance'!FJ15:FJ15, "A")+COUNTIF('Detailed Attendance'!FR15:FR15, "A")+COUNTIF('Detailed Attendance'!FZ15:FZ15, "A")</f>
        <v/>
      </c>
      <c r="AY14" s="68">
        <f>IF((AW14+AX14)=0,"", AW14/(AW14+AX14))</f>
        <v/>
      </c>
      <c r="AZ14" s="67">
        <f>COUNTIF('Detailed Attendance'!DN15:DN15, "P")+COUNTIF('Detailed Attendance'!DR15:DR15, "P")+COUNTIF('Detailed Attendance'!EK15:EK15, "P")+COUNTIF('Detailed Attendance'!EO15:EO15, "P")+COUNTIF('Detailed Attendance'!FE15:FE15, "P")+COUNTIF('Detailed Attendance'!FI15:FI15, "P")+COUNTIF('Detailed Attendance'!FU15:FU15, "P")+COUNTIF('Detailed Attendance'!FY15:FY15, "P")</f>
        <v/>
      </c>
      <c r="BA14" s="67">
        <f>COUNTIF('Detailed Attendance'!DN15:DN15, "A")+COUNTIF('Detailed Attendance'!DR15:DR15, "A")+COUNTIF('Detailed Attendance'!EK15:EK15, "A")+COUNTIF('Detailed Attendance'!EO15:EO15, "A")+COUNTIF('Detailed Attendance'!FE15:FE15, "A")+COUNTIF('Detailed Attendance'!FI15:FI15, "A")+COUNTIF('Detailed Attendance'!FU15:FU15, "A")+COUNTIF('Detailed Attendance'!FY15:FY15, "A")</f>
        <v/>
      </c>
      <c r="BB14" s="68">
        <f>IF((AZ14+BA14)=0,"", AZ14/(AZ14+BA14))</f>
        <v/>
      </c>
      <c r="BC14" s="67">
        <f>COUNTIF('Detailed Attendance'!DC15:DC15, "P")+COUNTIF('Detailed Attendance'!DV15:DV15, "P")+COUNTIF('Detailed Attendance'!DZ15:DZ15, "P")+COUNTIF('Detailed Attendance'!ES15:ES15, "P")+COUNTIF('Detailed Attendance'!GC15:GC15, "P")+COUNTIF('Detailed Attendance'!GG15:GG15, "P")</f>
        <v/>
      </c>
      <c r="BD14" s="67">
        <f>COUNTIF('Detailed Attendance'!DC15:DC15, "A")+COUNTIF('Detailed Attendance'!DV15:DV15, "A")+COUNTIF('Detailed Attendance'!DZ15:DZ15, "A")+COUNTIF('Detailed Attendance'!ES15:ES15, "A")+COUNTIF('Detailed Attendance'!GC15:GC15, "A")+COUNTIF('Detailed Attendance'!GG15:GG15, "A")</f>
        <v/>
      </c>
      <c r="BE14" s="68">
        <f>IF((BC14+BD14)=0,"", BC14/(BC14+BD14))</f>
        <v/>
      </c>
      <c r="BF14" s="67">
        <f>COUNTIF('Detailed Attendance'!DO15:DO15, "P")+COUNTIF('Detailed Attendance'!DW15:DW15, "P")+COUNTIF('Detailed Attendance'!EL15:EL15, "P")+COUNTIF('Detailed Attendance'!ET15:ET15, "P")+COUNTIF('Detailed Attendance'!FF15:FF15, "P")+COUNTIF('Detailed Attendance'!FV15:FV15, "P")+COUNTIF('Detailed Attendance'!GD15:GD15, "P")</f>
        <v/>
      </c>
      <c r="BG14" s="67">
        <f>COUNTIF('Detailed Attendance'!DO15:DO15, "A")+COUNTIF('Detailed Attendance'!DW15:DW15, "A")+COUNTIF('Detailed Attendance'!EL15:EL15, "A")+COUNTIF('Detailed Attendance'!ET15:ET15, "A")+COUNTIF('Detailed Attendance'!FF15:FF15, "A")+COUNTIF('Detailed Attendance'!FV15:FV15, "A")+COUNTIF('Detailed Attendance'!GD15:GD15, "A")</f>
        <v/>
      </c>
      <c r="BH14" s="68">
        <f>IF((BF14+BG14)=0,"", BF14/(BF14+BG14))</f>
        <v/>
      </c>
      <c r="BI14" s="67">
        <f>AT14+AW14+AZ14+BC14+BF14</f>
        <v/>
      </c>
      <c r="BJ14" s="67">
        <f>AU14+AX14+BA14+BD14+BG14</f>
        <v/>
      </c>
      <c r="BK14" s="68">
        <f>IF((BI14+BJ14)=0,"", BI14/(BI14+BJ14))</f>
        <v/>
      </c>
      <c r="BL14" s="69">
        <f>COUNTIF('Detailed Attendance'!DG15:DG15, "P")+COUNTIF('Detailed Attendance'!ED15:ED15, "P")+COUNTIF('Detailed Attendance'!EX15:EX15, "P")+COUNTIF('Detailed Attendance'!FN15:FN15, "P")+COUNTIF('Detailed Attendance'!DX15:DX15, "P")+COUNTIF('Detailed Attendance'!EU15:EU15, "P")+COUNTIF('Detailed Attendance'!GE15:GE15, "P")+COUNTIF('Detailed Attendance'!DE15:DE15, "P")+COUNTIF('Detailed Attendance'!EB15:EB15, "P")+COUNTIF('Detailed Attendance'!GI15:GI15, "P")</f>
        <v/>
      </c>
      <c r="BM14" s="69">
        <f>COUNTIF('Detailed Attendance'!DG15:DG15, "A")+COUNTIF('Detailed Attendance'!ED15:ED15, "A")+COUNTIF('Detailed Attendance'!EX15:EX15, "A")+COUNTIF('Detailed Attendance'!FN15:FN15, "A")+COUNTIF('Detailed Attendance'!DX15:DX15, "A")+COUNTIF('Detailed Attendance'!EU15:EU15, "A")+COUNTIF('Detailed Attendance'!GE15:GE15, "A")+COUNTIF('Detailed Attendance'!DE15:DE15, "A")+COUNTIF('Detailed Attendance'!EB15:EB15, "A")+COUNTIF('Detailed Attendance'!GI15:GI15, "A")</f>
        <v/>
      </c>
      <c r="BN14" s="70">
        <f>IF((BL14+BM14)=0,"", BL14/(BL14+BM14))</f>
        <v/>
      </c>
      <c r="BO14" s="67">
        <f>D14+Y14+AT14</f>
        <v/>
      </c>
      <c r="BP14" s="67">
        <f>E14+Z14+AU14</f>
        <v/>
      </c>
      <c r="BQ14" s="68">
        <f>IF((BO14+BP14)=0,"", BO14/(BO14+BP14))</f>
        <v/>
      </c>
      <c r="BR14" s="67">
        <f>G14+AB14+AW14</f>
        <v/>
      </c>
      <c r="BS14" s="67">
        <f>H14+AC14+AX14</f>
        <v/>
      </c>
      <c r="BT14" s="68">
        <f>IF((BR14+BS14)=0,"", BR14/(BR14+BS14))</f>
        <v/>
      </c>
      <c r="BU14" s="67">
        <f>J14+AE14+AZ14</f>
        <v/>
      </c>
      <c r="BV14" s="67">
        <f>K14+AF14+BA14</f>
        <v/>
      </c>
      <c r="BW14" s="68">
        <f>IF((BU14+BV14)=0,"", BU14/(BU14+BV14))</f>
        <v/>
      </c>
      <c r="BX14" s="67">
        <f>M14+AH14+BC14</f>
        <v/>
      </c>
      <c r="BY14" s="67">
        <f>N14+AI14+BD14</f>
        <v/>
      </c>
      <c r="BZ14" s="68">
        <f>IF((BX14+BY14)=0,"", BX14/(BX14+BY14))</f>
        <v/>
      </c>
      <c r="CA14" s="67">
        <f>P14+AK14+BF14</f>
        <v/>
      </c>
      <c r="CB14" s="67">
        <f>Q14+AL14+BG14</f>
        <v/>
      </c>
      <c r="CC14" s="68">
        <f>IF((CA14+CB14)=0,"", CA14/(CA14+CB14))</f>
        <v/>
      </c>
      <c r="CD14" s="67">
        <f>S14+AN14+BI14</f>
        <v/>
      </c>
      <c r="CE14" s="67">
        <f>T14+AO14+BJ14</f>
        <v/>
      </c>
      <c r="CF14" s="68">
        <f>IF((CD14+CE14)=0,"", CD14/(CD14+CE14))</f>
        <v/>
      </c>
      <c r="CG14" s="69">
        <f>V14+AQ14+BL14</f>
        <v/>
      </c>
      <c r="CH14" s="69">
        <f>W14+AR14+BM14</f>
        <v/>
      </c>
      <c r="CI14" s="70">
        <f>IF((CG14+CH14)=0,"", CG14/(CG14+CH14))</f>
        <v/>
      </c>
      <c r="CJ14" s="67">
        <f>CD14+(CG14*2)</f>
        <v/>
      </c>
      <c r="CK14" s="67">
        <f>CE14+(CH14*2)</f>
        <v/>
      </c>
      <c r="CL14" s="68">
        <f>IF((CJ14+CK14)=0,"", CJ14/(CJ14+CK14))</f>
        <v/>
      </c>
      <c r="CM14" s="67" t="inlineStr">
        <is>
          <t>Batch 1</t>
        </is>
      </c>
    </row>
    <row r="15" ht="14.25" customHeight="1" s="34">
      <c r="A15" s="46" t="n">
        <v>13</v>
      </c>
      <c r="B15" s="46" t="inlineStr">
        <is>
          <t>325106410013</t>
        </is>
      </c>
      <c r="C15" s="46" t="inlineStr">
        <is>
          <t>HIMAVANTHKUMAR GUTTA</t>
        </is>
      </c>
      <c r="D15" s="63" t="n">
        <v>0</v>
      </c>
      <c r="E15" s="63" t="n">
        <v>0</v>
      </c>
      <c r="F15" s="64">
        <f>IF((D15+E15)=0,"", D15/(D15+E15))</f>
        <v/>
      </c>
      <c r="G15" s="63">
        <f>COUNTIF('Detailed Attendance'!I16:I16, "P")</f>
        <v/>
      </c>
      <c r="H15" s="63">
        <f>COUNTIF('Detailed Attendance'!I16:I16, "A")</f>
        <v/>
      </c>
      <c r="I15" s="64">
        <f>IF((G15+H15)=0,"", G15/(G15+H15))</f>
        <v/>
      </c>
      <c r="J15" s="63" t="n">
        <v>0</v>
      </c>
      <c r="K15" s="63" t="n">
        <v>0</v>
      </c>
      <c r="L15" s="64">
        <f>IF((J15+K15)=0,"", J15/(J15+K15))</f>
        <v/>
      </c>
      <c r="M15" s="63">
        <f>COUNTIF('Detailed Attendance'!D16:D16, "P")</f>
        <v/>
      </c>
      <c r="N15" s="63">
        <f>COUNTIF('Detailed Attendance'!D16:D16, "A")</f>
        <v/>
      </c>
      <c r="O15" s="64">
        <f>IF((M15+N15)=0,"", M15/(M15+N15))</f>
        <v/>
      </c>
      <c r="P15" s="63" t="n">
        <v>0</v>
      </c>
      <c r="Q15" s="63" t="n">
        <v>0</v>
      </c>
      <c r="R15" s="64">
        <f>IF((P15+Q15)=0,"", P15/(P15+Q15))</f>
        <v/>
      </c>
      <c r="S15" s="63">
        <f>D15+G15+J15+M15+P15</f>
        <v/>
      </c>
      <c r="T15" s="63">
        <f>E15+H15+K15+N15+Q15</f>
        <v/>
      </c>
      <c r="U15" s="64">
        <f>IF((S15+T15)=0,"", S15/(S15+T15))</f>
        <v/>
      </c>
      <c r="V15" s="65">
        <f>COUNTIF('Detailed Attendance'!E16:E16, "P")</f>
        <v/>
      </c>
      <c r="W15" s="65">
        <f>COUNTIF('Detailed Attendance'!E16:E16, "A")</f>
        <v/>
      </c>
      <c r="X15" s="66">
        <f>IF((V15+W15)=0,"", V15/(V15+W15))</f>
        <v/>
      </c>
      <c r="Y15" s="63">
        <f>COUNTIF('Detailed Attendance'!R16:R16, "P")+COUNTIF('Detailed Attendance'!X16:X16, "P")+COUNTIF('Detailed Attendance'!AL16:AL16, "P")+COUNTIF('Detailed Attendance'!BF16:BF16, "P")+COUNTIF('Detailed Attendance'!BL16:BL16, "P")+COUNTIF('Detailed Attendance'!BZ16:BZ16, "P")+COUNTIF('Detailed Attendance'!CI16:CI16, "P")+COUNTIF('Detailed Attendance'!CW16:CW16, "P")</f>
        <v/>
      </c>
      <c r="Z15" s="63">
        <f>COUNTIF('Detailed Attendance'!R16:R16, "A")+COUNTIF('Detailed Attendance'!X16:X16, "A")+COUNTIF('Detailed Attendance'!AL16:AL16, "A")+COUNTIF('Detailed Attendance'!BF16:BF16, "A")+COUNTIF('Detailed Attendance'!BL16:BL16, "A")+COUNTIF('Detailed Attendance'!BZ16:BZ16, "A")+COUNTIF('Detailed Attendance'!CI16:CI16, "A")+COUNTIF('Detailed Attendance'!CW16:CW16, "A")</f>
        <v/>
      </c>
      <c r="AA15" s="64">
        <f>IF((Y15+Z15)=0,"", Y15/(Y15+Z15))</f>
        <v/>
      </c>
      <c r="AB15" s="63">
        <f>COUNTIF('Detailed Attendance'!Q16:Q16, "P")+COUNTIF('Detailed Attendance'!AC16:AC16, "P")+COUNTIF('Detailed Attendance'!AK16:AK16, "P")+COUNTIF('Detailed Attendance'!AW16:AW16, "P")+COUNTIF('Detailed Attendance'!BE16:BE16, "P")+COUNTIF('Detailed Attendance'!BQ16:BQ16, "P")+COUNTIF('Detailed Attendance'!BY16:BY16, "P")+COUNTIF('Detailed Attendance'!CN16:CN16, "P")+COUNTIF('Detailed Attendance'!CV16:CV16, "P")</f>
        <v/>
      </c>
      <c r="AC15" s="63">
        <f>COUNTIF('Detailed Attendance'!Q16:Q16, "A")+COUNTIF('Detailed Attendance'!AC16:AC16, "A")+COUNTIF('Detailed Attendance'!AK16:AK16, "A")+COUNTIF('Detailed Attendance'!AW16:AW16, "A")+COUNTIF('Detailed Attendance'!BE16:BE16, "A")+COUNTIF('Detailed Attendance'!BQ16:BQ16, "A")+COUNTIF('Detailed Attendance'!BY16:BY16, "A")+COUNTIF('Detailed Attendance'!CN16:CN16, "A")+COUNTIF('Detailed Attendance'!CV16:CV16, "A")</f>
        <v/>
      </c>
      <c r="AD15" s="64">
        <f>IF((AB15+AC15)=0,"", AB15/(AB15+AC15))</f>
        <v/>
      </c>
      <c r="AE15" s="63">
        <f>COUNTIF('Detailed Attendance'!L16:L16, "P")+COUNTIF('Detailed Attendance'!P16:P16, "P")+COUNTIF('Detailed Attendance'!AF16:AF16, "P")+COUNTIF('Detailed Attendance'!AJ16:AJ16, "P")+COUNTIF('Detailed Attendance'!AZ16:AZ16, "P")+COUNTIF('Detailed Attendance'!BD16:BD16, "P")+COUNTIF('Detailed Attendance'!BT16:BT16, "P")+COUNTIF('Detailed Attendance'!BX16:BX16, "P")+COUNTIF('Detailed Attendance'!CQ16:CQ16, "P")+COUNTIF('Detailed Attendance'!CU16:CU16, "P")</f>
        <v/>
      </c>
      <c r="AF15" s="67">
        <f>COUNTIF('Detailed Attendance'!L16:L16, "A")+COUNTIF('Detailed Attendance'!P16:P16, "A")+COUNTIF('Detailed Attendance'!AF16:AF16, "A")+COUNTIF('Detailed Attendance'!AJ16:AJ16, "A")+COUNTIF('Detailed Attendance'!AZ16:AZ16, "A")+COUNTIF('Detailed Attendance'!BD16:BD16, "A")+COUNTIF('Detailed Attendance'!BT16:BT16, "A")+COUNTIF('Detailed Attendance'!BX16:BX16, "A")+COUNTIF('Detailed Attendance'!CQ16:CQ16, "A")+COUNTIF('Detailed Attendance'!CU16:CU16, "A")</f>
        <v/>
      </c>
      <c r="AG15" s="68">
        <f>IF((AE15+AF15)=0,"", AE15/(AE15+AF15))</f>
        <v/>
      </c>
      <c r="AH15" s="67">
        <f>COUNTIF('Detailed Attendance'!T16:T16, "P")+COUNTIF('Detailed Attendance'!AN16:AN16, "P")+COUNTIF('Detailed Attendance'!AR16:AR16, "P")+COUNTIF('Detailed Attendance'!BH16:BH16, "P")+COUNTIF('Detailed Attendance'!CB16:CB16, "P")+COUNTIF('Detailed Attendance'!CF16:CF16, "P")+COUNTIF('Detailed Attendance'!CY16:CY16, "P")</f>
        <v/>
      </c>
      <c r="AI15" s="67">
        <f>COUNTIF('Detailed Attendance'!T16:T16, "A")+COUNTIF('Detailed Attendance'!AN16:AN16, "A")+COUNTIF('Detailed Attendance'!AR16:AR16, "A")+COUNTIF('Detailed Attendance'!BH16:BH16, "A")+COUNTIF('Detailed Attendance'!CB16:CB16, "A")+COUNTIF('Detailed Attendance'!CF16:CF16, "A")+COUNTIF('Detailed Attendance'!CY16:CY16, "A")</f>
        <v/>
      </c>
      <c r="AJ15" s="68">
        <f>IF((AH15+AI15)=0,"", AH15/(AH15+AI15))</f>
        <v/>
      </c>
      <c r="AK15" s="67">
        <f>COUNTIF('Detailed Attendance'!M16:M16, "P")+COUNTIF('Detailed Attendance'!U16:U16, "P")+COUNTIF('Detailed Attendance'!AG16:AG16, "P")+COUNTIF('Detailed Attendance'!AO16:AO16, "P")+COUNTIF('Detailed Attendance'!BA16:BA16, "P")+COUNTIF('Detailed Attendance'!BI16:BI16, "P")+COUNTIF('Detailed Attendance'!BU16:BU16, "P")+COUNTIF('Detailed Attendance'!CC16:CC16, "P")+COUNTIF('Detailed Attendance'!CR16:CR16, "P")+COUNTIF('Detailed Attendance'!CZ16:CZ16, "P")</f>
        <v/>
      </c>
      <c r="AL15" s="67">
        <f>COUNTIF('Detailed Attendance'!M16:M16, "A")+COUNTIF('Detailed Attendance'!U16:U16, "A")+COUNTIF('Detailed Attendance'!AG16:AG16, "A")+COUNTIF('Detailed Attendance'!AO16:AO16, "A")+COUNTIF('Detailed Attendance'!BA16:BA16, "A")+COUNTIF('Detailed Attendance'!BI16:BI16, "A")+COUNTIF('Detailed Attendance'!BU16:BU16, "A")+COUNTIF('Detailed Attendance'!CC16:CC16, "A")+COUNTIF('Detailed Attendance'!CR16:CR16, "A")+COUNTIF('Detailed Attendance'!CZ16:CZ16, "A")</f>
        <v/>
      </c>
      <c r="AM15" s="68">
        <f>IF((AK15+AL15)=0,"", AK15/(AK15+AL15))</f>
        <v/>
      </c>
      <c r="AN15" s="67">
        <f>Y15+AB15+AE15+AH15+AK15</f>
        <v/>
      </c>
      <c r="AO15" s="67">
        <f>Z15+AC15+AF15+AI15+AL15</f>
        <v/>
      </c>
      <c r="AP15" s="68">
        <f>IF((AN15+AO15)=0,"", AN15/(AN15+AO15))</f>
        <v/>
      </c>
      <c r="AQ15" s="69">
        <f>COUNTIF('Detailed Attendance'!Y16:Y16, "P")+COUNTIF('Detailed Attendance'!AS16:AS16, "P")+COUNTIF('Detailed Attendance'!BM16:BM16, "P")+COUNTIF('Detailed Attendance'!CJ16:CJ16, "P")+COUNTIF('Detailed Attendance'!V16:V16, "P")+COUNTIF('Detailed Attendance'!AP16:AP16, "P")+COUNTIF('Detailed Attendance'!BJ16:BJ16, "P")+COUNTIF('Detailed Attendance'!CD16:CD16, "P")+COUNTIF('Detailed Attendance'!DA16:DA16, "P")+COUNTIF('Detailed Attendance'!CH16:CH16, "P")</f>
        <v/>
      </c>
      <c r="AR15" s="69">
        <f>COUNTIF('Detailed Attendance'!Y16:Y16, "A")+COUNTIF('Detailed Attendance'!AS16:AS16, "A")+COUNTIF('Detailed Attendance'!BM16:BM16, "A")+COUNTIF('Detailed Attendance'!CJ16:CJ16, "A")+COUNTIF('Detailed Attendance'!V16:V16, "A")+COUNTIF('Detailed Attendance'!AP16:AP16, "A")+COUNTIF('Detailed Attendance'!BJ16:BJ16, "A")+COUNTIF('Detailed Attendance'!CD16:CD16, "A")+COUNTIF('Detailed Attendance'!DA16:DA16, "A")+COUNTIF('Detailed Attendance'!CH16:CH16, "A")</f>
        <v/>
      </c>
      <c r="AS15" s="70">
        <f>IF((AQ15+AR15)=0,"", AQ15/(AQ15+AR15))</f>
        <v/>
      </c>
      <c r="AT15" s="67">
        <f>COUNTIF('Detailed Attendance'!DF16:DF16, "P")+COUNTIF('Detailed Attendance'!DT16:DT16, "P")+COUNTIF('Detailed Attendance'!EC16:EC16, "P")+COUNTIF('Detailed Attendance'!EQ16:EQ16, "P")+COUNTIF('Detailed Attendance'!EW16:EW16, "P")+COUNTIF('Detailed Attendance'!FK16:FK16, "P")+COUNTIF('Detailed Attendance'!FM16:FM16, "P")+COUNTIF('Detailed Attendance'!GA16:GA16, "P")</f>
        <v/>
      </c>
      <c r="AU15" s="67">
        <f>COUNTIF('Detailed Attendance'!DF16:DF16, "A")+COUNTIF('Detailed Attendance'!DT16:DT16, "A")+COUNTIF('Detailed Attendance'!EC16:EC16, "A")+COUNTIF('Detailed Attendance'!EQ16:EQ16, "A")+COUNTIF('Detailed Attendance'!EW16:EW16, "A")+COUNTIF('Detailed Attendance'!FK16:FK16, "A")+COUNTIF('Detailed Attendance'!FM16:FM16, "A")+COUNTIF('Detailed Attendance'!GA16:GA16, "A")</f>
        <v/>
      </c>
      <c r="AV15" s="68">
        <f>IF((AT15+AU15)=0,"", AT15/(AT15+AU15))</f>
        <v/>
      </c>
      <c r="AW15" s="67">
        <f>COUNTIF('Detailed Attendance'!DK16:DK16, "P")+COUNTIF('Detailed Attendance'!DS16:DS16, "P")+COUNTIF('Detailed Attendance'!EH16:EH16, "P")+COUNTIF('Detailed Attendance'!EP16:EP16, "P")+COUNTIF('Detailed Attendance'!FB16:FB16, "P")+COUNTIF('Detailed Attendance'!FJ16:FJ16, "P")+COUNTIF('Detailed Attendance'!FR16:FR16, "P")+COUNTIF('Detailed Attendance'!FZ16:FZ16, "P")</f>
        <v/>
      </c>
      <c r="AX15" s="67">
        <f>COUNTIF('Detailed Attendance'!DK16:DK16, "A")+COUNTIF('Detailed Attendance'!DS16:DS16, "A")+COUNTIF('Detailed Attendance'!EH16:EH16, "A")+COUNTIF('Detailed Attendance'!EP16:EP16, "A")+COUNTIF('Detailed Attendance'!FB16:FB16, "A")+COUNTIF('Detailed Attendance'!FJ16:FJ16, "A")+COUNTIF('Detailed Attendance'!FR16:FR16, "A")+COUNTIF('Detailed Attendance'!FZ16:FZ16, "A")</f>
        <v/>
      </c>
      <c r="AY15" s="68">
        <f>IF((AW15+AX15)=0,"", AW15/(AW15+AX15))</f>
        <v/>
      </c>
      <c r="AZ15" s="67">
        <f>COUNTIF('Detailed Attendance'!DN16:DN16, "P")+COUNTIF('Detailed Attendance'!DR16:DR16, "P")+COUNTIF('Detailed Attendance'!EK16:EK16, "P")+COUNTIF('Detailed Attendance'!EO16:EO16, "P")+COUNTIF('Detailed Attendance'!FE16:FE16, "P")+COUNTIF('Detailed Attendance'!FI16:FI16, "P")+COUNTIF('Detailed Attendance'!FU16:FU16, "P")+COUNTIF('Detailed Attendance'!FY16:FY16, "P")</f>
        <v/>
      </c>
      <c r="BA15" s="67">
        <f>COUNTIF('Detailed Attendance'!DN16:DN16, "A")+COUNTIF('Detailed Attendance'!DR16:DR16, "A")+COUNTIF('Detailed Attendance'!EK16:EK16, "A")+COUNTIF('Detailed Attendance'!EO16:EO16, "A")+COUNTIF('Detailed Attendance'!FE16:FE16, "A")+COUNTIF('Detailed Attendance'!FI16:FI16, "A")+COUNTIF('Detailed Attendance'!FU16:FU16, "A")+COUNTIF('Detailed Attendance'!FY16:FY16, "A")</f>
        <v/>
      </c>
      <c r="BB15" s="68">
        <f>IF((AZ15+BA15)=0,"", AZ15/(AZ15+BA15))</f>
        <v/>
      </c>
      <c r="BC15" s="67">
        <f>COUNTIF('Detailed Attendance'!DC16:DC16, "P")+COUNTIF('Detailed Attendance'!DV16:DV16, "P")+COUNTIF('Detailed Attendance'!DZ16:DZ16, "P")+COUNTIF('Detailed Attendance'!ES16:ES16, "P")+COUNTIF('Detailed Attendance'!GC16:GC16, "P")+COUNTIF('Detailed Attendance'!GG16:GG16, "P")</f>
        <v/>
      </c>
      <c r="BD15" s="67">
        <f>COUNTIF('Detailed Attendance'!DC16:DC16, "A")+COUNTIF('Detailed Attendance'!DV16:DV16, "A")+COUNTIF('Detailed Attendance'!DZ16:DZ16, "A")+COUNTIF('Detailed Attendance'!ES16:ES16, "A")+COUNTIF('Detailed Attendance'!GC16:GC16, "A")+COUNTIF('Detailed Attendance'!GG16:GG16, "A")</f>
        <v/>
      </c>
      <c r="BE15" s="68">
        <f>IF((BC15+BD15)=0,"", BC15/(BC15+BD15))</f>
        <v/>
      </c>
      <c r="BF15" s="67">
        <f>COUNTIF('Detailed Attendance'!DO16:DO16, "P")+COUNTIF('Detailed Attendance'!DW16:DW16, "P")+COUNTIF('Detailed Attendance'!EL16:EL16, "P")+COUNTIF('Detailed Attendance'!ET16:ET16, "P")+COUNTIF('Detailed Attendance'!FF16:FF16, "P")+COUNTIF('Detailed Attendance'!FV16:FV16, "P")+COUNTIF('Detailed Attendance'!GD16:GD16, "P")</f>
        <v/>
      </c>
      <c r="BG15" s="67">
        <f>COUNTIF('Detailed Attendance'!DO16:DO16, "A")+COUNTIF('Detailed Attendance'!DW16:DW16, "A")+COUNTIF('Detailed Attendance'!EL16:EL16, "A")+COUNTIF('Detailed Attendance'!ET16:ET16, "A")+COUNTIF('Detailed Attendance'!FF16:FF16, "A")+COUNTIF('Detailed Attendance'!FV16:FV16, "A")+COUNTIF('Detailed Attendance'!GD16:GD16, "A")</f>
        <v/>
      </c>
      <c r="BH15" s="68">
        <f>IF((BF15+BG15)=0,"", BF15/(BF15+BG15))</f>
        <v/>
      </c>
      <c r="BI15" s="67">
        <f>AT15+AW15+AZ15+BC15+BF15</f>
        <v/>
      </c>
      <c r="BJ15" s="67">
        <f>AU15+AX15+BA15+BD15+BG15</f>
        <v/>
      </c>
      <c r="BK15" s="68">
        <f>IF((BI15+BJ15)=0,"", BI15/(BI15+BJ15))</f>
        <v/>
      </c>
      <c r="BL15" s="69">
        <f>COUNTIF('Detailed Attendance'!DG16:DG16, "P")+COUNTIF('Detailed Attendance'!ED16:ED16, "P")+COUNTIF('Detailed Attendance'!EX16:EX16, "P")+COUNTIF('Detailed Attendance'!FN16:FN16, "P")+COUNTIF('Detailed Attendance'!DX16:DX16, "P")+COUNTIF('Detailed Attendance'!EU16:EU16, "P")+COUNTIF('Detailed Attendance'!GE16:GE16, "P")+COUNTIF('Detailed Attendance'!DE16:DE16, "P")+COUNTIF('Detailed Attendance'!EB16:EB16, "P")+COUNTIF('Detailed Attendance'!GI16:GI16, "P")</f>
        <v/>
      </c>
      <c r="BM15" s="69">
        <f>COUNTIF('Detailed Attendance'!DG16:DG16, "A")+COUNTIF('Detailed Attendance'!ED16:ED16, "A")+COUNTIF('Detailed Attendance'!EX16:EX16, "A")+COUNTIF('Detailed Attendance'!FN16:FN16, "A")+COUNTIF('Detailed Attendance'!DX16:DX16, "A")+COUNTIF('Detailed Attendance'!EU16:EU16, "A")+COUNTIF('Detailed Attendance'!GE16:GE16, "A")+COUNTIF('Detailed Attendance'!DE16:DE16, "A")+COUNTIF('Detailed Attendance'!EB16:EB16, "A")+COUNTIF('Detailed Attendance'!GI16:GI16, "A")</f>
        <v/>
      </c>
      <c r="BN15" s="70">
        <f>IF((BL15+BM15)=0,"", BL15/(BL15+BM15))</f>
        <v/>
      </c>
      <c r="BO15" s="67">
        <f>D15+Y15+AT15</f>
        <v/>
      </c>
      <c r="BP15" s="67">
        <f>E15+Z15+AU15</f>
        <v/>
      </c>
      <c r="BQ15" s="68">
        <f>IF((BO15+BP15)=0,"", BO15/(BO15+BP15))</f>
        <v/>
      </c>
      <c r="BR15" s="67">
        <f>G15+AB15+AW15</f>
        <v/>
      </c>
      <c r="BS15" s="67">
        <f>H15+AC15+AX15</f>
        <v/>
      </c>
      <c r="BT15" s="68">
        <f>IF((BR15+BS15)=0,"", BR15/(BR15+BS15))</f>
        <v/>
      </c>
      <c r="BU15" s="67">
        <f>J15+AE15+AZ15</f>
        <v/>
      </c>
      <c r="BV15" s="67">
        <f>K15+AF15+BA15</f>
        <v/>
      </c>
      <c r="BW15" s="68">
        <f>IF((BU15+BV15)=0,"", BU15/(BU15+BV15))</f>
        <v/>
      </c>
      <c r="BX15" s="67">
        <f>M15+AH15+BC15</f>
        <v/>
      </c>
      <c r="BY15" s="67">
        <f>N15+AI15+BD15</f>
        <v/>
      </c>
      <c r="BZ15" s="68">
        <f>IF((BX15+BY15)=0,"", BX15/(BX15+BY15))</f>
        <v/>
      </c>
      <c r="CA15" s="67">
        <f>P15+AK15+BF15</f>
        <v/>
      </c>
      <c r="CB15" s="67">
        <f>Q15+AL15+BG15</f>
        <v/>
      </c>
      <c r="CC15" s="68">
        <f>IF((CA15+CB15)=0,"", CA15/(CA15+CB15))</f>
        <v/>
      </c>
      <c r="CD15" s="67">
        <f>S15+AN15+BI15</f>
        <v/>
      </c>
      <c r="CE15" s="67">
        <f>T15+AO15+BJ15</f>
        <v/>
      </c>
      <c r="CF15" s="68">
        <f>IF((CD15+CE15)=0,"", CD15/(CD15+CE15))</f>
        <v/>
      </c>
      <c r="CG15" s="69">
        <f>V15+AQ15+BL15</f>
        <v/>
      </c>
      <c r="CH15" s="69">
        <f>W15+AR15+BM15</f>
        <v/>
      </c>
      <c r="CI15" s="70">
        <f>IF((CG15+CH15)=0,"", CG15/(CG15+CH15))</f>
        <v/>
      </c>
      <c r="CJ15" s="67">
        <f>CD15+(CG15*2)</f>
        <v/>
      </c>
      <c r="CK15" s="67">
        <f>CE15+(CH15*2)</f>
        <v/>
      </c>
      <c r="CL15" s="68">
        <f>IF((CJ15+CK15)=0,"", CJ15/(CJ15+CK15))</f>
        <v/>
      </c>
      <c r="CM15" s="67" t="inlineStr">
        <is>
          <t>Batch 1</t>
        </is>
      </c>
    </row>
    <row r="16" ht="14.25" customHeight="1" s="34">
      <c r="A16" s="46" t="n">
        <v>14</v>
      </c>
      <c r="B16" s="46" t="inlineStr">
        <is>
          <t>325106410014</t>
        </is>
      </c>
      <c r="C16" s="46" t="inlineStr">
        <is>
          <t>SNEHITHA REDDY JEERU</t>
        </is>
      </c>
      <c r="D16" s="63" t="n">
        <v>0</v>
      </c>
      <c r="E16" s="63" t="n">
        <v>0</v>
      </c>
      <c r="F16" s="64">
        <f>IF((D16+E16)=0,"", D16/(D16+E16))</f>
        <v/>
      </c>
      <c r="G16" s="63">
        <f>COUNTIF('Detailed Attendance'!I17:I17, "P")</f>
        <v/>
      </c>
      <c r="H16" s="63">
        <f>COUNTIF('Detailed Attendance'!I17:I17, "A")</f>
        <v/>
      </c>
      <c r="I16" s="64">
        <f>IF((G16+H16)=0,"", G16/(G16+H16))</f>
        <v/>
      </c>
      <c r="J16" s="63" t="n">
        <v>0</v>
      </c>
      <c r="K16" s="63" t="n">
        <v>0</v>
      </c>
      <c r="L16" s="64">
        <f>IF((J16+K16)=0,"", J16/(J16+K16))</f>
        <v/>
      </c>
      <c r="M16" s="63">
        <f>COUNTIF('Detailed Attendance'!D17:D17, "P")</f>
        <v/>
      </c>
      <c r="N16" s="63">
        <f>COUNTIF('Detailed Attendance'!D17:D17, "A")</f>
        <v/>
      </c>
      <c r="O16" s="64">
        <f>IF((M16+N16)=0,"", M16/(M16+N16))</f>
        <v/>
      </c>
      <c r="P16" s="63" t="n">
        <v>0</v>
      </c>
      <c r="Q16" s="63" t="n">
        <v>0</v>
      </c>
      <c r="R16" s="64">
        <f>IF((P16+Q16)=0,"", P16/(P16+Q16))</f>
        <v/>
      </c>
      <c r="S16" s="63">
        <f>D16+G16+J16+M16+P16</f>
        <v/>
      </c>
      <c r="T16" s="63">
        <f>E16+H16+K16+N16+Q16</f>
        <v/>
      </c>
      <c r="U16" s="64">
        <f>IF((S16+T16)=0,"", S16/(S16+T16))</f>
        <v/>
      </c>
      <c r="V16" s="65">
        <f>COUNTIF('Detailed Attendance'!E17:E17, "P")</f>
        <v/>
      </c>
      <c r="W16" s="65">
        <f>COUNTIF('Detailed Attendance'!E17:E17, "A")</f>
        <v/>
      </c>
      <c r="X16" s="66">
        <f>IF((V16+W16)=0,"", V16/(V16+W16))</f>
        <v/>
      </c>
      <c r="Y16" s="63">
        <f>COUNTIF('Detailed Attendance'!R17:R17, "P")+COUNTIF('Detailed Attendance'!X17:X17, "P")+COUNTIF('Detailed Attendance'!AL17:AL17, "P")+COUNTIF('Detailed Attendance'!BF17:BF17, "P")+COUNTIF('Detailed Attendance'!BL17:BL17, "P")+COUNTIF('Detailed Attendance'!BZ17:BZ17, "P")+COUNTIF('Detailed Attendance'!CI17:CI17, "P")+COUNTIF('Detailed Attendance'!CW17:CW17, "P")</f>
        <v/>
      </c>
      <c r="Z16" s="63">
        <f>COUNTIF('Detailed Attendance'!R17:R17, "A")+COUNTIF('Detailed Attendance'!X17:X17, "A")+COUNTIF('Detailed Attendance'!AL17:AL17, "A")+COUNTIF('Detailed Attendance'!BF17:BF17, "A")+COUNTIF('Detailed Attendance'!BL17:BL17, "A")+COUNTIF('Detailed Attendance'!BZ17:BZ17, "A")+COUNTIF('Detailed Attendance'!CI17:CI17, "A")+COUNTIF('Detailed Attendance'!CW17:CW17, "A")</f>
        <v/>
      </c>
      <c r="AA16" s="64">
        <f>IF((Y16+Z16)=0,"", Y16/(Y16+Z16))</f>
        <v/>
      </c>
      <c r="AB16" s="63">
        <f>COUNTIF('Detailed Attendance'!Q17:Q17, "P")+COUNTIF('Detailed Attendance'!AC17:AC17, "P")+COUNTIF('Detailed Attendance'!AK17:AK17, "P")+COUNTIF('Detailed Attendance'!AW17:AW17, "P")+COUNTIF('Detailed Attendance'!BE17:BE17, "P")+COUNTIF('Detailed Attendance'!BQ17:BQ17, "P")+COUNTIF('Detailed Attendance'!BY17:BY17, "P")+COUNTIF('Detailed Attendance'!CN17:CN17, "P")+COUNTIF('Detailed Attendance'!CV17:CV17, "P")</f>
        <v/>
      </c>
      <c r="AC16" s="63">
        <f>COUNTIF('Detailed Attendance'!Q17:Q17, "A")+COUNTIF('Detailed Attendance'!AC17:AC17, "A")+COUNTIF('Detailed Attendance'!AK17:AK17, "A")+COUNTIF('Detailed Attendance'!AW17:AW17, "A")+COUNTIF('Detailed Attendance'!BE17:BE17, "A")+COUNTIF('Detailed Attendance'!BQ17:BQ17, "A")+COUNTIF('Detailed Attendance'!BY17:BY17, "A")+COUNTIF('Detailed Attendance'!CN17:CN17, "A")+COUNTIF('Detailed Attendance'!CV17:CV17, "A")</f>
        <v/>
      </c>
      <c r="AD16" s="64">
        <f>IF((AB16+AC16)=0,"", AB16/(AB16+AC16))</f>
        <v/>
      </c>
      <c r="AE16" s="63">
        <f>COUNTIF('Detailed Attendance'!L17:L17, "P")+COUNTIF('Detailed Attendance'!P17:P17, "P")+COUNTIF('Detailed Attendance'!AF17:AF17, "P")+COUNTIF('Detailed Attendance'!AJ17:AJ17, "P")+COUNTIF('Detailed Attendance'!AZ17:AZ17, "P")+COUNTIF('Detailed Attendance'!BD17:BD17, "P")+COUNTIF('Detailed Attendance'!BT17:BT17, "P")+COUNTIF('Detailed Attendance'!BX17:BX17, "P")+COUNTIF('Detailed Attendance'!CQ17:CQ17, "P")+COUNTIF('Detailed Attendance'!CU17:CU17, "P")</f>
        <v/>
      </c>
      <c r="AF16" s="67">
        <f>COUNTIF('Detailed Attendance'!L17:L17, "A")+COUNTIF('Detailed Attendance'!P17:P17, "A")+COUNTIF('Detailed Attendance'!AF17:AF17, "A")+COUNTIF('Detailed Attendance'!AJ17:AJ17, "A")+COUNTIF('Detailed Attendance'!AZ17:AZ17, "A")+COUNTIF('Detailed Attendance'!BD17:BD17, "A")+COUNTIF('Detailed Attendance'!BT17:BT17, "A")+COUNTIF('Detailed Attendance'!BX17:BX17, "A")+COUNTIF('Detailed Attendance'!CQ17:CQ17, "A")+COUNTIF('Detailed Attendance'!CU17:CU17, "A")</f>
        <v/>
      </c>
      <c r="AG16" s="68">
        <f>IF((AE16+AF16)=0,"", AE16/(AE16+AF16))</f>
        <v/>
      </c>
      <c r="AH16" s="67">
        <f>COUNTIF('Detailed Attendance'!T17:T17, "P")+COUNTIF('Detailed Attendance'!AN17:AN17, "P")+COUNTIF('Detailed Attendance'!AR17:AR17, "P")+COUNTIF('Detailed Attendance'!BH17:BH17, "P")+COUNTIF('Detailed Attendance'!CB17:CB17, "P")+COUNTIF('Detailed Attendance'!CF17:CF17, "P")+COUNTIF('Detailed Attendance'!CY17:CY17, "P")</f>
        <v/>
      </c>
      <c r="AI16" s="67">
        <f>COUNTIF('Detailed Attendance'!T17:T17, "A")+COUNTIF('Detailed Attendance'!AN17:AN17, "A")+COUNTIF('Detailed Attendance'!AR17:AR17, "A")+COUNTIF('Detailed Attendance'!BH17:BH17, "A")+COUNTIF('Detailed Attendance'!CB17:CB17, "A")+COUNTIF('Detailed Attendance'!CF17:CF17, "A")+COUNTIF('Detailed Attendance'!CY17:CY17, "A")</f>
        <v/>
      </c>
      <c r="AJ16" s="68">
        <f>IF((AH16+AI16)=0,"", AH16/(AH16+AI16))</f>
        <v/>
      </c>
      <c r="AK16" s="67">
        <f>COUNTIF('Detailed Attendance'!M17:M17, "P")+COUNTIF('Detailed Attendance'!U17:U17, "P")+COUNTIF('Detailed Attendance'!AG17:AG17, "P")+COUNTIF('Detailed Attendance'!AO17:AO17, "P")+COUNTIF('Detailed Attendance'!BA17:BA17, "P")+COUNTIF('Detailed Attendance'!BI17:BI17, "P")+COUNTIF('Detailed Attendance'!BU17:BU17, "P")+COUNTIF('Detailed Attendance'!CC17:CC17, "P")+COUNTIF('Detailed Attendance'!CR17:CR17, "P")+COUNTIF('Detailed Attendance'!CZ17:CZ17, "P")</f>
        <v/>
      </c>
      <c r="AL16" s="67">
        <f>COUNTIF('Detailed Attendance'!M17:M17, "A")+COUNTIF('Detailed Attendance'!U17:U17, "A")+COUNTIF('Detailed Attendance'!AG17:AG17, "A")+COUNTIF('Detailed Attendance'!AO17:AO17, "A")+COUNTIF('Detailed Attendance'!BA17:BA17, "A")+COUNTIF('Detailed Attendance'!BI17:BI17, "A")+COUNTIF('Detailed Attendance'!BU17:BU17, "A")+COUNTIF('Detailed Attendance'!CC17:CC17, "A")+COUNTIF('Detailed Attendance'!CR17:CR17, "A")+COUNTIF('Detailed Attendance'!CZ17:CZ17, "A")</f>
        <v/>
      </c>
      <c r="AM16" s="68">
        <f>IF((AK16+AL16)=0,"", AK16/(AK16+AL16))</f>
        <v/>
      </c>
      <c r="AN16" s="67">
        <f>Y16+AB16+AE16+AH16+AK16</f>
        <v/>
      </c>
      <c r="AO16" s="67">
        <f>Z16+AC16+AF16+AI16+AL16</f>
        <v/>
      </c>
      <c r="AP16" s="68">
        <f>IF((AN16+AO16)=0,"", AN16/(AN16+AO16))</f>
        <v/>
      </c>
      <c r="AQ16" s="69">
        <f>COUNTIF('Detailed Attendance'!Y17:Y17, "P")+COUNTIF('Detailed Attendance'!AS17:AS17, "P")+COUNTIF('Detailed Attendance'!BM17:BM17, "P")+COUNTIF('Detailed Attendance'!CJ17:CJ17, "P")+COUNTIF('Detailed Attendance'!V17:V17, "P")+COUNTIF('Detailed Attendance'!AP17:AP17, "P")+COUNTIF('Detailed Attendance'!BJ17:BJ17, "P")+COUNTIF('Detailed Attendance'!CD17:CD17, "P")+COUNTIF('Detailed Attendance'!DA17:DA17, "P")+COUNTIF('Detailed Attendance'!CH17:CH17, "P")</f>
        <v/>
      </c>
      <c r="AR16" s="69">
        <f>COUNTIF('Detailed Attendance'!Y17:Y17, "A")+COUNTIF('Detailed Attendance'!AS17:AS17, "A")+COUNTIF('Detailed Attendance'!BM17:BM17, "A")+COUNTIF('Detailed Attendance'!CJ17:CJ17, "A")+COUNTIF('Detailed Attendance'!V17:V17, "A")+COUNTIF('Detailed Attendance'!AP17:AP17, "A")+COUNTIF('Detailed Attendance'!BJ17:BJ17, "A")+COUNTIF('Detailed Attendance'!CD17:CD17, "A")+COUNTIF('Detailed Attendance'!DA17:DA17, "A")+COUNTIF('Detailed Attendance'!CH17:CH17, "A")</f>
        <v/>
      </c>
      <c r="AS16" s="70">
        <f>IF((AQ16+AR16)=0,"", AQ16/(AQ16+AR16))</f>
        <v/>
      </c>
      <c r="AT16" s="67">
        <f>COUNTIF('Detailed Attendance'!DF17:DF17, "P")+COUNTIF('Detailed Attendance'!DT17:DT17, "P")+COUNTIF('Detailed Attendance'!EC17:EC17, "P")+COUNTIF('Detailed Attendance'!EQ17:EQ17, "P")+COUNTIF('Detailed Attendance'!EW17:EW17, "P")+COUNTIF('Detailed Attendance'!FK17:FK17, "P")+COUNTIF('Detailed Attendance'!FM17:FM17, "P")+COUNTIF('Detailed Attendance'!GA17:GA17, "P")</f>
        <v/>
      </c>
      <c r="AU16" s="67">
        <f>COUNTIF('Detailed Attendance'!DF17:DF17, "A")+COUNTIF('Detailed Attendance'!DT17:DT17, "A")+COUNTIF('Detailed Attendance'!EC17:EC17, "A")+COUNTIF('Detailed Attendance'!EQ17:EQ17, "A")+COUNTIF('Detailed Attendance'!EW17:EW17, "A")+COUNTIF('Detailed Attendance'!FK17:FK17, "A")+COUNTIF('Detailed Attendance'!FM17:FM17, "A")+COUNTIF('Detailed Attendance'!GA17:GA17, "A")</f>
        <v/>
      </c>
      <c r="AV16" s="68">
        <f>IF((AT16+AU16)=0,"", AT16/(AT16+AU16))</f>
        <v/>
      </c>
      <c r="AW16" s="67">
        <f>COUNTIF('Detailed Attendance'!DK17:DK17, "P")+COUNTIF('Detailed Attendance'!DS17:DS17, "P")+COUNTIF('Detailed Attendance'!EH17:EH17, "P")+COUNTIF('Detailed Attendance'!EP17:EP17, "P")+COUNTIF('Detailed Attendance'!FB17:FB17, "P")+COUNTIF('Detailed Attendance'!FJ17:FJ17, "P")+COUNTIF('Detailed Attendance'!FR17:FR17, "P")+COUNTIF('Detailed Attendance'!FZ17:FZ17, "P")</f>
        <v/>
      </c>
      <c r="AX16" s="67">
        <f>COUNTIF('Detailed Attendance'!DK17:DK17, "A")+COUNTIF('Detailed Attendance'!DS17:DS17, "A")+COUNTIF('Detailed Attendance'!EH17:EH17, "A")+COUNTIF('Detailed Attendance'!EP17:EP17, "A")+COUNTIF('Detailed Attendance'!FB17:FB17, "A")+COUNTIF('Detailed Attendance'!FJ17:FJ17, "A")+COUNTIF('Detailed Attendance'!FR17:FR17, "A")+COUNTIF('Detailed Attendance'!FZ17:FZ17, "A")</f>
        <v/>
      </c>
      <c r="AY16" s="68">
        <f>IF((AW16+AX16)=0,"", AW16/(AW16+AX16))</f>
        <v/>
      </c>
      <c r="AZ16" s="67">
        <f>COUNTIF('Detailed Attendance'!DN17:DN17, "P")+COUNTIF('Detailed Attendance'!DR17:DR17, "P")+COUNTIF('Detailed Attendance'!EK17:EK17, "P")+COUNTIF('Detailed Attendance'!EO17:EO17, "P")+COUNTIF('Detailed Attendance'!FE17:FE17, "P")+COUNTIF('Detailed Attendance'!FI17:FI17, "P")+COUNTIF('Detailed Attendance'!FU17:FU17, "P")+COUNTIF('Detailed Attendance'!FY17:FY17, "P")</f>
        <v/>
      </c>
      <c r="BA16" s="67">
        <f>COUNTIF('Detailed Attendance'!DN17:DN17, "A")+COUNTIF('Detailed Attendance'!DR17:DR17, "A")+COUNTIF('Detailed Attendance'!EK17:EK17, "A")+COUNTIF('Detailed Attendance'!EO17:EO17, "A")+COUNTIF('Detailed Attendance'!FE17:FE17, "A")+COUNTIF('Detailed Attendance'!FI17:FI17, "A")+COUNTIF('Detailed Attendance'!FU17:FU17, "A")+COUNTIF('Detailed Attendance'!FY17:FY17, "A")</f>
        <v/>
      </c>
      <c r="BB16" s="68">
        <f>IF((AZ16+BA16)=0,"", AZ16/(AZ16+BA16))</f>
        <v/>
      </c>
      <c r="BC16" s="67">
        <f>COUNTIF('Detailed Attendance'!DC17:DC17, "P")+COUNTIF('Detailed Attendance'!DV17:DV17, "P")+COUNTIF('Detailed Attendance'!DZ17:DZ17, "P")+COUNTIF('Detailed Attendance'!ES17:ES17, "P")+COUNTIF('Detailed Attendance'!GC17:GC17, "P")+COUNTIF('Detailed Attendance'!GG17:GG17, "P")</f>
        <v/>
      </c>
      <c r="BD16" s="67">
        <f>COUNTIF('Detailed Attendance'!DC17:DC17, "A")+COUNTIF('Detailed Attendance'!DV17:DV17, "A")+COUNTIF('Detailed Attendance'!DZ17:DZ17, "A")+COUNTIF('Detailed Attendance'!ES17:ES17, "A")+COUNTIF('Detailed Attendance'!GC17:GC17, "A")+COUNTIF('Detailed Attendance'!GG17:GG17, "A")</f>
        <v/>
      </c>
      <c r="BE16" s="68">
        <f>IF((BC16+BD16)=0,"", BC16/(BC16+BD16))</f>
        <v/>
      </c>
      <c r="BF16" s="67">
        <f>COUNTIF('Detailed Attendance'!DO17:DO17, "P")+COUNTIF('Detailed Attendance'!DW17:DW17, "P")+COUNTIF('Detailed Attendance'!EL17:EL17, "P")+COUNTIF('Detailed Attendance'!ET17:ET17, "P")+COUNTIF('Detailed Attendance'!FF17:FF17, "P")+COUNTIF('Detailed Attendance'!FV17:FV17, "P")+COUNTIF('Detailed Attendance'!GD17:GD17, "P")</f>
        <v/>
      </c>
      <c r="BG16" s="67">
        <f>COUNTIF('Detailed Attendance'!DO17:DO17, "A")+COUNTIF('Detailed Attendance'!DW17:DW17, "A")+COUNTIF('Detailed Attendance'!EL17:EL17, "A")+COUNTIF('Detailed Attendance'!ET17:ET17, "A")+COUNTIF('Detailed Attendance'!FF17:FF17, "A")+COUNTIF('Detailed Attendance'!FV17:FV17, "A")+COUNTIF('Detailed Attendance'!GD17:GD17, "A")</f>
        <v/>
      </c>
      <c r="BH16" s="68">
        <f>IF((BF16+BG16)=0,"", BF16/(BF16+BG16))</f>
        <v/>
      </c>
      <c r="BI16" s="67">
        <f>AT16+AW16+AZ16+BC16+BF16</f>
        <v/>
      </c>
      <c r="BJ16" s="67">
        <f>AU16+AX16+BA16+BD16+BG16</f>
        <v/>
      </c>
      <c r="BK16" s="68">
        <f>IF((BI16+BJ16)=0,"", BI16/(BI16+BJ16))</f>
        <v/>
      </c>
      <c r="BL16" s="69">
        <f>COUNTIF('Detailed Attendance'!DG17:DG17, "P")+COUNTIF('Detailed Attendance'!ED17:ED17, "P")+COUNTIF('Detailed Attendance'!EX17:EX17, "P")+COUNTIF('Detailed Attendance'!FN17:FN17, "P")+COUNTIF('Detailed Attendance'!DX17:DX17, "P")+COUNTIF('Detailed Attendance'!EU17:EU17, "P")+COUNTIF('Detailed Attendance'!GE17:GE17, "P")+COUNTIF('Detailed Attendance'!DE17:DE17, "P")+COUNTIF('Detailed Attendance'!EB17:EB17, "P")+COUNTIF('Detailed Attendance'!GI17:GI17, "P")</f>
        <v/>
      </c>
      <c r="BM16" s="69">
        <f>COUNTIF('Detailed Attendance'!DG17:DG17, "A")+COUNTIF('Detailed Attendance'!ED17:ED17, "A")+COUNTIF('Detailed Attendance'!EX17:EX17, "A")+COUNTIF('Detailed Attendance'!FN17:FN17, "A")+COUNTIF('Detailed Attendance'!DX17:DX17, "A")+COUNTIF('Detailed Attendance'!EU17:EU17, "A")+COUNTIF('Detailed Attendance'!GE17:GE17, "A")+COUNTIF('Detailed Attendance'!DE17:DE17, "A")+COUNTIF('Detailed Attendance'!EB17:EB17, "A")+COUNTIF('Detailed Attendance'!GI17:GI17, "A")</f>
        <v/>
      </c>
      <c r="BN16" s="70">
        <f>IF((BL16+BM16)=0,"", BL16/(BL16+BM16))</f>
        <v/>
      </c>
      <c r="BO16" s="67">
        <f>D16+Y16+AT16</f>
        <v/>
      </c>
      <c r="BP16" s="67">
        <f>E16+Z16+AU16</f>
        <v/>
      </c>
      <c r="BQ16" s="68">
        <f>IF((BO16+BP16)=0,"", BO16/(BO16+BP16))</f>
        <v/>
      </c>
      <c r="BR16" s="67">
        <f>G16+AB16+AW16</f>
        <v/>
      </c>
      <c r="BS16" s="67">
        <f>H16+AC16+AX16</f>
        <v/>
      </c>
      <c r="BT16" s="68">
        <f>IF((BR16+BS16)=0,"", BR16/(BR16+BS16))</f>
        <v/>
      </c>
      <c r="BU16" s="67">
        <f>J16+AE16+AZ16</f>
        <v/>
      </c>
      <c r="BV16" s="67">
        <f>K16+AF16+BA16</f>
        <v/>
      </c>
      <c r="BW16" s="68">
        <f>IF((BU16+BV16)=0,"", BU16/(BU16+BV16))</f>
        <v/>
      </c>
      <c r="BX16" s="67">
        <f>M16+AH16+BC16</f>
        <v/>
      </c>
      <c r="BY16" s="67">
        <f>N16+AI16+BD16</f>
        <v/>
      </c>
      <c r="BZ16" s="68">
        <f>IF((BX16+BY16)=0,"", BX16/(BX16+BY16))</f>
        <v/>
      </c>
      <c r="CA16" s="67">
        <f>P16+AK16+BF16</f>
        <v/>
      </c>
      <c r="CB16" s="67">
        <f>Q16+AL16+BG16</f>
        <v/>
      </c>
      <c r="CC16" s="68">
        <f>IF((CA16+CB16)=0,"", CA16/(CA16+CB16))</f>
        <v/>
      </c>
      <c r="CD16" s="67">
        <f>S16+AN16+BI16</f>
        <v/>
      </c>
      <c r="CE16" s="67">
        <f>T16+AO16+BJ16</f>
        <v/>
      </c>
      <c r="CF16" s="68">
        <f>IF((CD16+CE16)=0,"", CD16/(CD16+CE16))</f>
        <v/>
      </c>
      <c r="CG16" s="69">
        <f>V16+AQ16+BL16</f>
        <v/>
      </c>
      <c r="CH16" s="69">
        <f>W16+AR16+BM16</f>
        <v/>
      </c>
      <c r="CI16" s="70">
        <f>IF((CG16+CH16)=0,"", CG16/(CG16+CH16))</f>
        <v/>
      </c>
      <c r="CJ16" s="67">
        <f>CD16+(CG16*2)</f>
        <v/>
      </c>
      <c r="CK16" s="67">
        <f>CE16+(CH16*2)</f>
        <v/>
      </c>
      <c r="CL16" s="68">
        <f>IF((CJ16+CK16)=0,"", CJ16/(CJ16+CK16))</f>
        <v/>
      </c>
      <c r="CM16" s="67" t="inlineStr">
        <is>
          <t>Batch 1</t>
        </is>
      </c>
    </row>
    <row r="17" ht="14.25" customHeight="1" s="34">
      <c r="A17" s="46" t="n">
        <v>15</v>
      </c>
      <c r="B17" s="46" t="inlineStr">
        <is>
          <t>325106410015</t>
        </is>
      </c>
      <c r="C17" s="46" t="inlineStr">
        <is>
          <t>NEERAJ KUMAR JUTTADA</t>
        </is>
      </c>
      <c r="D17" s="63" t="n">
        <v>0</v>
      </c>
      <c r="E17" s="63" t="n">
        <v>0</v>
      </c>
      <c r="F17" s="64">
        <f>IF((D17+E17)=0,"", D17/(D17+E17))</f>
        <v/>
      </c>
      <c r="G17" s="63">
        <f>COUNTIF('Detailed Attendance'!I18:I18, "P")</f>
        <v/>
      </c>
      <c r="H17" s="63">
        <f>COUNTIF('Detailed Attendance'!I18:I18, "A")</f>
        <v/>
      </c>
      <c r="I17" s="64">
        <f>IF((G17+H17)=0,"", G17/(G17+H17))</f>
        <v/>
      </c>
      <c r="J17" s="63" t="n">
        <v>0</v>
      </c>
      <c r="K17" s="63" t="n">
        <v>0</v>
      </c>
      <c r="L17" s="64">
        <f>IF((J17+K17)=0,"", J17/(J17+K17))</f>
        <v/>
      </c>
      <c r="M17" s="63">
        <f>COUNTIF('Detailed Attendance'!D18:D18, "P")</f>
        <v/>
      </c>
      <c r="N17" s="63">
        <f>COUNTIF('Detailed Attendance'!D18:D18, "A")</f>
        <v/>
      </c>
      <c r="O17" s="64">
        <f>IF((M17+N17)=0,"", M17/(M17+N17))</f>
        <v/>
      </c>
      <c r="P17" s="63" t="n">
        <v>0</v>
      </c>
      <c r="Q17" s="63" t="n">
        <v>0</v>
      </c>
      <c r="R17" s="64">
        <f>IF((P17+Q17)=0,"", P17/(P17+Q17))</f>
        <v/>
      </c>
      <c r="S17" s="63">
        <f>D17+G17+J17+M17+P17</f>
        <v/>
      </c>
      <c r="T17" s="63">
        <f>E17+H17+K17+N17+Q17</f>
        <v/>
      </c>
      <c r="U17" s="64">
        <f>IF((S17+T17)=0,"", S17/(S17+T17))</f>
        <v/>
      </c>
      <c r="V17" s="65">
        <f>COUNTIF('Detailed Attendance'!E18:E18, "P")</f>
        <v/>
      </c>
      <c r="W17" s="65">
        <f>COUNTIF('Detailed Attendance'!E18:E18, "A")</f>
        <v/>
      </c>
      <c r="X17" s="66">
        <f>IF((V17+W17)=0,"", V17/(V17+W17))</f>
        <v/>
      </c>
      <c r="Y17" s="63">
        <f>COUNTIF('Detailed Attendance'!R18:R18, "P")+COUNTIF('Detailed Attendance'!X18:X18, "P")+COUNTIF('Detailed Attendance'!AL18:AL18, "P")+COUNTIF('Detailed Attendance'!BF18:BF18, "P")+COUNTIF('Detailed Attendance'!BL18:BL18, "P")+COUNTIF('Detailed Attendance'!BZ18:BZ18, "P")+COUNTIF('Detailed Attendance'!CI18:CI18, "P")+COUNTIF('Detailed Attendance'!CW18:CW18, "P")</f>
        <v/>
      </c>
      <c r="Z17" s="63">
        <f>COUNTIF('Detailed Attendance'!R18:R18, "A")+COUNTIF('Detailed Attendance'!X18:X18, "A")+COUNTIF('Detailed Attendance'!AL18:AL18, "A")+COUNTIF('Detailed Attendance'!BF18:BF18, "A")+COUNTIF('Detailed Attendance'!BL18:BL18, "A")+COUNTIF('Detailed Attendance'!BZ18:BZ18, "A")+COUNTIF('Detailed Attendance'!CI18:CI18, "A")+COUNTIF('Detailed Attendance'!CW18:CW18, "A")</f>
        <v/>
      </c>
      <c r="AA17" s="64">
        <f>IF((Y17+Z17)=0,"", Y17/(Y17+Z17))</f>
        <v/>
      </c>
      <c r="AB17" s="63">
        <f>COUNTIF('Detailed Attendance'!Q18:Q18, "P")+COUNTIF('Detailed Attendance'!AC18:AC18, "P")+COUNTIF('Detailed Attendance'!AK18:AK18, "P")+COUNTIF('Detailed Attendance'!AW18:AW18, "P")+COUNTIF('Detailed Attendance'!BE18:BE18, "P")+COUNTIF('Detailed Attendance'!BQ18:BQ18, "P")+COUNTIF('Detailed Attendance'!BY18:BY18, "P")+COUNTIF('Detailed Attendance'!CN18:CN18, "P")+COUNTIF('Detailed Attendance'!CV18:CV18, "P")</f>
        <v/>
      </c>
      <c r="AC17" s="63">
        <f>COUNTIF('Detailed Attendance'!Q18:Q18, "A")+COUNTIF('Detailed Attendance'!AC18:AC18, "A")+COUNTIF('Detailed Attendance'!AK18:AK18, "A")+COUNTIF('Detailed Attendance'!AW18:AW18, "A")+COUNTIF('Detailed Attendance'!BE18:BE18, "A")+COUNTIF('Detailed Attendance'!BQ18:BQ18, "A")+COUNTIF('Detailed Attendance'!BY18:BY18, "A")+COUNTIF('Detailed Attendance'!CN18:CN18, "A")+COUNTIF('Detailed Attendance'!CV18:CV18, "A")</f>
        <v/>
      </c>
      <c r="AD17" s="64">
        <f>IF((AB17+AC17)=0,"", AB17/(AB17+AC17))</f>
        <v/>
      </c>
      <c r="AE17" s="63">
        <f>COUNTIF('Detailed Attendance'!L18:L18, "P")+COUNTIF('Detailed Attendance'!P18:P18, "P")+COUNTIF('Detailed Attendance'!AF18:AF18, "P")+COUNTIF('Detailed Attendance'!AJ18:AJ18, "P")+COUNTIF('Detailed Attendance'!AZ18:AZ18, "P")+COUNTIF('Detailed Attendance'!BD18:BD18, "P")+COUNTIF('Detailed Attendance'!BT18:BT18, "P")+COUNTIF('Detailed Attendance'!BX18:BX18, "P")+COUNTIF('Detailed Attendance'!CQ18:CQ18, "P")+COUNTIF('Detailed Attendance'!CU18:CU18, "P")</f>
        <v/>
      </c>
      <c r="AF17" s="67">
        <f>COUNTIF('Detailed Attendance'!L18:L18, "A")+COUNTIF('Detailed Attendance'!P18:P18, "A")+COUNTIF('Detailed Attendance'!AF18:AF18, "A")+COUNTIF('Detailed Attendance'!AJ18:AJ18, "A")+COUNTIF('Detailed Attendance'!AZ18:AZ18, "A")+COUNTIF('Detailed Attendance'!BD18:BD18, "A")+COUNTIF('Detailed Attendance'!BT18:BT18, "A")+COUNTIF('Detailed Attendance'!BX18:BX18, "A")+COUNTIF('Detailed Attendance'!CQ18:CQ18, "A")+COUNTIF('Detailed Attendance'!CU18:CU18, "A")</f>
        <v/>
      </c>
      <c r="AG17" s="68">
        <f>IF((AE17+AF17)=0,"", AE17/(AE17+AF17))</f>
        <v/>
      </c>
      <c r="AH17" s="67">
        <f>COUNTIF('Detailed Attendance'!T18:T18, "P")+COUNTIF('Detailed Attendance'!AN18:AN18, "P")+COUNTIF('Detailed Attendance'!AR18:AR18, "P")+COUNTIF('Detailed Attendance'!BH18:BH18, "P")+COUNTIF('Detailed Attendance'!CB18:CB18, "P")+COUNTIF('Detailed Attendance'!CF18:CF18, "P")+COUNTIF('Detailed Attendance'!CY18:CY18, "P")</f>
        <v/>
      </c>
      <c r="AI17" s="67">
        <f>COUNTIF('Detailed Attendance'!T18:T18, "A")+COUNTIF('Detailed Attendance'!AN18:AN18, "A")+COUNTIF('Detailed Attendance'!AR18:AR18, "A")+COUNTIF('Detailed Attendance'!BH18:BH18, "A")+COUNTIF('Detailed Attendance'!CB18:CB18, "A")+COUNTIF('Detailed Attendance'!CF18:CF18, "A")+COUNTIF('Detailed Attendance'!CY18:CY18, "A")</f>
        <v/>
      </c>
      <c r="AJ17" s="68">
        <f>IF((AH17+AI17)=0,"", AH17/(AH17+AI17))</f>
        <v/>
      </c>
      <c r="AK17" s="67">
        <f>COUNTIF('Detailed Attendance'!M18:M18, "P")+COUNTIF('Detailed Attendance'!U18:U18, "P")+COUNTIF('Detailed Attendance'!AG18:AG18, "P")+COUNTIF('Detailed Attendance'!AO18:AO18, "P")+COUNTIF('Detailed Attendance'!BA18:BA18, "P")+COUNTIF('Detailed Attendance'!BI18:BI18, "P")+COUNTIF('Detailed Attendance'!BU18:BU18, "P")+COUNTIF('Detailed Attendance'!CC18:CC18, "P")+COUNTIF('Detailed Attendance'!CR18:CR18, "P")+COUNTIF('Detailed Attendance'!CZ18:CZ18, "P")</f>
        <v/>
      </c>
      <c r="AL17" s="67">
        <f>COUNTIF('Detailed Attendance'!M18:M18, "A")+COUNTIF('Detailed Attendance'!U18:U18, "A")+COUNTIF('Detailed Attendance'!AG18:AG18, "A")+COUNTIF('Detailed Attendance'!AO18:AO18, "A")+COUNTIF('Detailed Attendance'!BA18:BA18, "A")+COUNTIF('Detailed Attendance'!BI18:BI18, "A")+COUNTIF('Detailed Attendance'!BU18:BU18, "A")+COUNTIF('Detailed Attendance'!CC18:CC18, "A")+COUNTIF('Detailed Attendance'!CR18:CR18, "A")+COUNTIF('Detailed Attendance'!CZ18:CZ18, "A")</f>
        <v/>
      </c>
      <c r="AM17" s="68">
        <f>IF((AK17+AL17)=0,"", AK17/(AK17+AL17))</f>
        <v/>
      </c>
      <c r="AN17" s="67">
        <f>Y17+AB17+AE17+AH17+AK17</f>
        <v/>
      </c>
      <c r="AO17" s="67">
        <f>Z17+AC17+AF17+AI17+AL17</f>
        <v/>
      </c>
      <c r="AP17" s="68">
        <f>IF((AN17+AO17)=0,"", AN17/(AN17+AO17))</f>
        <v/>
      </c>
      <c r="AQ17" s="69">
        <f>COUNTIF('Detailed Attendance'!Y18:Y18, "P")+COUNTIF('Detailed Attendance'!AS18:AS18, "P")+COUNTIF('Detailed Attendance'!BM18:BM18, "P")+COUNTIF('Detailed Attendance'!CJ18:CJ18, "P")+COUNTIF('Detailed Attendance'!V18:V18, "P")+COUNTIF('Detailed Attendance'!AP18:AP18, "P")+COUNTIF('Detailed Attendance'!BJ18:BJ18, "P")+COUNTIF('Detailed Attendance'!CD18:CD18, "P")+COUNTIF('Detailed Attendance'!DA18:DA18, "P")+COUNTIF('Detailed Attendance'!CH18:CH18, "P")</f>
        <v/>
      </c>
      <c r="AR17" s="69">
        <f>COUNTIF('Detailed Attendance'!Y18:Y18, "A")+COUNTIF('Detailed Attendance'!AS18:AS18, "A")+COUNTIF('Detailed Attendance'!BM18:BM18, "A")+COUNTIF('Detailed Attendance'!CJ18:CJ18, "A")+COUNTIF('Detailed Attendance'!V18:V18, "A")+COUNTIF('Detailed Attendance'!AP18:AP18, "A")+COUNTIF('Detailed Attendance'!BJ18:BJ18, "A")+COUNTIF('Detailed Attendance'!CD18:CD18, "A")+COUNTIF('Detailed Attendance'!DA18:DA18, "A")+COUNTIF('Detailed Attendance'!CH18:CH18, "A")</f>
        <v/>
      </c>
      <c r="AS17" s="70">
        <f>IF((AQ17+AR17)=0,"", AQ17/(AQ17+AR17))</f>
        <v/>
      </c>
      <c r="AT17" s="67">
        <f>COUNTIF('Detailed Attendance'!DF18:DF18, "P")+COUNTIF('Detailed Attendance'!DT18:DT18, "P")+COUNTIF('Detailed Attendance'!EC18:EC18, "P")+COUNTIF('Detailed Attendance'!EQ18:EQ18, "P")+COUNTIF('Detailed Attendance'!EW18:EW18, "P")+COUNTIF('Detailed Attendance'!FK18:FK18, "P")+COUNTIF('Detailed Attendance'!FM18:FM18, "P")+COUNTIF('Detailed Attendance'!GA18:GA18, "P")</f>
        <v/>
      </c>
      <c r="AU17" s="67">
        <f>COUNTIF('Detailed Attendance'!DF18:DF18, "A")+COUNTIF('Detailed Attendance'!DT18:DT18, "A")+COUNTIF('Detailed Attendance'!EC18:EC18, "A")+COUNTIF('Detailed Attendance'!EQ18:EQ18, "A")+COUNTIF('Detailed Attendance'!EW18:EW18, "A")+COUNTIF('Detailed Attendance'!FK18:FK18, "A")+COUNTIF('Detailed Attendance'!FM18:FM18, "A")+COUNTIF('Detailed Attendance'!GA18:GA18, "A")</f>
        <v/>
      </c>
      <c r="AV17" s="68">
        <f>IF((AT17+AU17)=0,"", AT17/(AT17+AU17))</f>
        <v/>
      </c>
      <c r="AW17" s="67">
        <f>COUNTIF('Detailed Attendance'!DK18:DK18, "P")+COUNTIF('Detailed Attendance'!DS18:DS18, "P")+COUNTIF('Detailed Attendance'!EH18:EH18, "P")+COUNTIF('Detailed Attendance'!EP18:EP18, "P")+COUNTIF('Detailed Attendance'!FB18:FB18, "P")+COUNTIF('Detailed Attendance'!FJ18:FJ18, "P")+COUNTIF('Detailed Attendance'!FR18:FR18, "P")+COUNTIF('Detailed Attendance'!FZ18:FZ18, "P")</f>
        <v/>
      </c>
      <c r="AX17" s="67">
        <f>COUNTIF('Detailed Attendance'!DK18:DK18, "A")+COUNTIF('Detailed Attendance'!DS18:DS18, "A")+COUNTIF('Detailed Attendance'!EH18:EH18, "A")+COUNTIF('Detailed Attendance'!EP18:EP18, "A")+COUNTIF('Detailed Attendance'!FB18:FB18, "A")+COUNTIF('Detailed Attendance'!FJ18:FJ18, "A")+COUNTIF('Detailed Attendance'!FR18:FR18, "A")+COUNTIF('Detailed Attendance'!FZ18:FZ18, "A")</f>
        <v/>
      </c>
      <c r="AY17" s="68">
        <f>IF((AW17+AX17)=0,"", AW17/(AW17+AX17))</f>
        <v/>
      </c>
      <c r="AZ17" s="67">
        <f>COUNTIF('Detailed Attendance'!DN18:DN18, "P")+COUNTIF('Detailed Attendance'!DR18:DR18, "P")+COUNTIF('Detailed Attendance'!EK18:EK18, "P")+COUNTIF('Detailed Attendance'!EO18:EO18, "P")+COUNTIF('Detailed Attendance'!FE18:FE18, "P")+COUNTIF('Detailed Attendance'!FI18:FI18, "P")+COUNTIF('Detailed Attendance'!FU18:FU18, "P")+COUNTIF('Detailed Attendance'!FY18:FY18, "P")</f>
        <v/>
      </c>
      <c r="BA17" s="67">
        <f>COUNTIF('Detailed Attendance'!DN18:DN18, "A")+COUNTIF('Detailed Attendance'!DR18:DR18, "A")+COUNTIF('Detailed Attendance'!EK18:EK18, "A")+COUNTIF('Detailed Attendance'!EO18:EO18, "A")+COUNTIF('Detailed Attendance'!FE18:FE18, "A")+COUNTIF('Detailed Attendance'!FI18:FI18, "A")+COUNTIF('Detailed Attendance'!FU18:FU18, "A")+COUNTIF('Detailed Attendance'!FY18:FY18, "A")</f>
        <v/>
      </c>
      <c r="BB17" s="68">
        <f>IF((AZ17+BA17)=0,"", AZ17/(AZ17+BA17))</f>
        <v/>
      </c>
      <c r="BC17" s="67">
        <f>COUNTIF('Detailed Attendance'!DC18:DC18, "P")+COUNTIF('Detailed Attendance'!DV18:DV18, "P")+COUNTIF('Detailed Attendance'!DZ18:DZ18, "P")+COUNTIF('Detailed Attendance'!ES18:ES18, "P")+COUNTIF('Detailed Attendance'!GC18:GC18, "P")+COUNTIF('Detailed Attendance'!GG18:GG18, "P")</f>
        <v/>
      </c>
      <c r="BD17" s="67">
        <f>COUNTIF('Detailed Attendance'!DC18:DC18, "A")+COUNTIF('Detailed Attendance'!DV18:DV18, "A")+COUNTIF('Detailed Attendance'!DZ18:DZ18, "A")+COUNTIF('Detailed Attendance'!ES18:ES18, "A")+COUNTIF('Detailed Attendance'!GC18:GC18, "A")+COUNTIF('Detailed Attendance'!GG18:GG18, "A")</f>
        <v/>
      </c>
      <c r="BE17" s="68">
        <f>IF((BC17+BD17)=0,"", BC17/(BC17+BD17))</f>
        <v/>
      </c>
      <c r="BF17" s="67">
        <f>COUNTIF('Detailed Attendance'!DO18:DO18, "P")+COUNTIF('Detailed Attendance'!DW18:DW18, "P")+COUNTIF('Detailed Attendance'!EL18:EL18, "P")+COUNTIF('Detailed Attendance'!ET18:ET18, "P")+COUNTIF('Detailed Attendance'!FF18:FF18, "P")+COUNTIF('Detailed Attendance'!FV18:FV18, "P")+COUNTIF('Detailed Attendance'!GD18:GD18, "P")</f>
        <v/>
      </c>
      <c r="BG17" s="67">
        <f>COUNTIF('Detailed Attendance'!DO18:DO18, "A")+COUNTIF('Detailed Attendance'!DW18:DW18, "A")+COUNTIF('Detailed Attendance'!EL18:EL18, "A")+COUNTIF('Detailed Attendance'!ET18:ET18, "A")+COUNTIF('Detailed Attendance'!FF18:FF18, "A")+COUNTIF('Detailed Attendance'!FV18:FV18, "A")+COUNTIF('Detailed Attendance'!GD18:GD18, "A")</f>
        <v/>
      </c>
      <c r="BH17" s="68">
        <f>IF((BF17+BG17)=0,"", BF17/(BF17+BG17))</f>
        <v/>
      </c>
      <c r="BI17" s="67">
        <f>AT17+AW17+AZ17+BC17+BF17</f>
        <v/>
      </c>
      <c r="BJ17" s="67">
        <f>AU17+AX17+BA17+BD17+BG17</f>
        <v/>
      </c>
      <c r="BK17" s="68">
        <f>IF((BI17+BJ17)=0,"", BI17/(BI17+BJ17))</f>
        <v/>
      </c>
      <c r="BL17" s="69">
        <f>COUNTIF('Detailed Attendance'!DG18:DG18, "P")+COUNTIF('Detailed Attendance'!ED18:ED18, "P")+COUNTIF('Detailed Attendance'!EX18:EX18, "P")+COUNTIF('Detailed Attendance'!FN18:FN18, "P")+COUNTIF('Detailed Attendance'!DX18:DX18, "P")+COUNTIF('Detailed Attendance'!EU18:EU18, "P")+COUNTIF('Detailed Attendance'!GE18:GE18, "P")+COUNTIF('Detailed Attendance'!DE18:DE18, "P")+COUNTIF('Detailed Attendance'!EB18:EB18, "P")+COUNTIF('Detailed Attendance'!GI18:GI18, "P")</f>
        <v/>
      </c>
      <c r="BM17" s="69">
        <f>COUNTIF('Detailed Attendance'!DG18:DG18, "A")+COUNTIF('Detailed Attendance'!ED18:ED18, "A")+COUNTIF('Detailed Attendance'!EX18:EX18, "A")+COUNTIF('Detailed Attendance'!FN18:FN18, "A")+COUNTIF('Detailed Attendance'!DX18:DX18, "A")+COUNTIF('Detailed Attendance'!EU18:EU18, "A")+COUNTIF('Detailed Attendance'!GE18:GE18, "A")+COUNTIF('Detailed Attendance'!DE18:DE18, "A")+COUNTIF('Detailed Attendance'!EB18:EB18, "A")+COUNTIF('Detailed Attendance'!GI18:GI18, "A")</f>
        <v/>
      </c>
      <c r="BN17" s="70">
        <f>IF((BL17+BM17)=0,"", BL17/(BL17+BM17))</f>
        <v/>
      </c>
      <c r="BO17" s="67">
        <f>D17+Y17+AT17</f>
        <v/>
      </c>
      <c r="BP17" s="67">
        <f>E17+Z17+AU17</f>
        <v/>
      </c>
      <c r="BQ17" s="68">
        <f>IF((BO17+BP17)=0,"", BO17/(BO17+BP17))</f>
        <v/>
      </c>
      <c r="BR17" s="67">
        <f>G17+AB17+AW17</f>
        <v/>
      </c>
      <c r="BS17" s="67">
        <f>H17+AC17+AX17</f>
        <v/>
      </c>
      <c r="BT17" s="68">
        <f>IF((BR17+BS17)=0,"", BR17/(BR17+BS17))</f>
        <v/>
      </c>
      <c r="BU17" s="67">
        <f>J17+AE17+AZ17</f>
        <v/>
      </c>
      <c r="BV17" s="67">
        <f>K17+AF17+BA17</f>
        <v/>
      </c>
      <c r="BW17" s="68">
        <f>IF((BU17+BV17)=0,"", BU17/(BU17+BV17))</f>
        <v/>
      </c>
      <c r="BX17" s="67">
        <f>M17+AH17+BC17</f>
        <v/>
      </c>
      <c r="BY17" s="67">
        <f>N17+AI17+BD17</f>
        <v/>
      </c>
      <c r="BZ17" s="68">
        <f>IF((BX17+BY17)=0,"", BX17/(BX17+BY17))</f>
        <v/>
      </c>
      <c r="CA17" s="67">
        <f>P17+AK17+BF17</f>
        <v/>
      </c>
      <c r="CB17" s="67">
        <f>Q17+AL17+BG17</f>
        <v/>
      </c>
      <c r="CC17" s="68">
        <f>IF((CA17+CB17)=0,"", CA17/(CA17+CB17))</f>
        <v/>
      </c>
      <c r="CD17" s="67">
        <f>S17+AN17+BI17</f>
        <v/>
      </c>
      <c r="CE17" s="67">
        <f>T17+AO17+BJ17</f>
        <v/>
      </c>
      <c r="CF17" s="68">
        <f>IF((CD17+CE17)=0,"", CD17/(CD17+CE17))</f>
        <v/>
      </c>
      <c r="CG17" s="69">
        <f>V17+AQ17+BL17</f>
        <v/>
      </c>
      <c r="CH17" s="69">
        <f>W17+AR17+BM17</f>
        <v/>
      </c>
      <c r="CI17" s="70">
        <f>IF((CG17+CH17)=0,"", CG17/(CG17+CH17))</f>
        <v/>
      </c>
      <c r="CJ17" s="67">
        <f>CD17+(CG17*2)</f>
        <v/>
      </c>
      <c r="CK17" s="67">
        <f>CE17+(CH17*2)</f>
        <v/>
      </c>
      <c r="CL17" s="68">
        <f>IF((CJ17+CK17)=0,"", CJ17/(CJ17+CK17))</f>
        <v/>
      </c>
      <c r="CM17" s="67" t="inlineStr">
        <is>
          <t>Batch 1</t>
        </is>
      </c>
    </row>
    <row r="18" ht="14.25" customHeight="1" s="34">
      <c r="A18" s="46" t="n">
        <v>16</v>
      </c>
      <c r="B18" s="46" t="inlineStr">
        <is>
          <t>325106410016</t>
        </is>
      </c>
      <c r="C18" s="46" t="inlineStr">
        <is>
          <t>CHANDRIKA KADALI</t>
        </is>
      </c>
      <c r="D18" s="63" t="n">
        <v>0</v>
      </c>
      <c r="E18" s="63" t="n">
        <v>0</v>
      </c>
      <c r="F18" s="64">
        <f>IF((D18+E18)=0,"", D18/(D18+E18))</f>
        <v/>
      </c>
      <c r="G18" s="63">
        <f>COUNTIF('Detailed Attendance'!I19:I19, "P")</f>
        <v/>
      </c>
      <c r="H18" s="63">
        <f>COUNTIF('Detailed Attendance'!I19:I19, "A")</f>
        <v/>
      </c>
      <c r="I18" s="64">
        <f>IF((G18+H18)=0,"", G18/(G18+H18))</f>
        <v/>
      </c>
      <c r="J18" s="63" t="n">
        <v>0</v>
      </c>
      <c r="K18" s="63" t="n">
        <v>0</v>
      </c>
      <c r="L18" s="64">
        <f>IF((J18+K18)=0,"", J18/(J18+K18))</f>
        <v/>
      </c>
      <c r="M18" s="63">
        <f>COUNTIF('Detailed Attendance'!D19:D19, "P")</f>
        <v/>
      </c>
      <c r="N18" s="63">
        <f>COUNTIF('Detailed Attendance'!D19:D19, "A")</f>
        <v/>
      </c>
      <c r="O18" s="64">
        <f>IF((M18+N18)=0,"", M18/(M18+N18))</f>
        <v/>
      </c>
      <c r="P18" s="63" t="n">
        <v>0</v>
      </c>
      <c r="Q18" s="63" t="n">
        <v>0</v>
      </c>
      <c r="R18" s="64">
        <f>IF((P18+Q18)=0,"", P18/(P18+Q18))</f>
        <v/>
      </c>
      <c r="S18" s="63">
        <f>D18+G18+J18+M18+P18</f>
        <v/>
      </c>
      <c r="T18" s="63">
        <f>E18+H18+K18+N18+Q18</f>
        <v/>
      </c>
      <c r="U18" s="64">
        <f>IF((S18+T18)=0,"", S18/(S18+T18))</f>
        <v/>
      </c>
      <c r="V18" s="65">
        <f>COUNTIF('Detailed Attendance'!E19:E19, "P")</f>
        <v/>
      </c>
      <c r="W18" s="65">
        <f>COUNTIF('Detailed Attendance'!E19:E19, "A")</f>
        <v/>
      </c>
      <c r="X18" s="66">
        <f>IF((V18+W18)=0,"", V18/(V18+W18))</f>
        <v/>
      </c>
      <c r="Y18" s="63">
        <f>COUNTIF('Detailed Attendance'!R19:R19, "P")+COUNTIF('Detailed Attendance'!X19:X19, "P")+COUNTIF('Detailed Attendance'!AL19:AL19, "P")+COUNTIF('Detailed Attendance'!BF19:BF19, "P")+COUNTIF('Detailed Attendance'!BL19:BL19, "P")+COUNTIF('Detailed Attendance'!BZ19:BZ19, "P")+COUNTIF('Detailed Attendance'!CI19:CI19, "P")+COUNTIF('Detailed Attendance'!CW19:CW19, "P")</f>
        <v/>
      </c>
      <c r="Z18" s="63">
        <f>COUNTIF('Detailed Attendance'!R19:R19, "A")+COUNTIF('Detailed Attendance'!X19:X19, "A")+COUNTIF('Detailed Attendance'!AL19:AL19, "A")+COUNTIF('Detailed Attendance'!BF19:BF19, "A")+COUNTIF('Detailed Attendance'!BL19:BL19, "A")+COUNTIF('Detailed Attendance'!BZ19:BZ19, "A")+COUNTIF('Detailed Attendance'!CI19:CI19, "A")+COUNTIF('Detailed Attendance'!CW19:CW19, "A")</f>
        <v/>
      </c>
      <c r="AA18" s="64">
        <f>IF((Y18+Z18)=0,"", Y18/(Y18+Z18))</f>
        <v/>
      </c>
      <c r="AB18" s="63">
        <f>COUNTIF('Detailed Attendance'!Q19:Q19, "P")+COUNTIF('Detailed Attendance'!AC19:AC19, "P")+COUNTIF('Detailed Attendance'!AK19:AK19, "P")+COUNTIF('Detailed Attendance'!AW19:AW19, "P")+COUNTIF('Detailed Attendance'!BE19:BE19, "P")+COUNTIF('Detailed Attendance'!BQ19:BQ19, "P")+COUNTIF('Detailed Attendance'!BY19:BY19, "P")+COUNTIF('Detailed Attendance'!CN19:CN19, "P")+COUNTIF('Detailed Attendance'!CV19:CV19, "P")</f>
        <v/>
      </c>
      <c r="AC18" s="63">
        <f>COUNTIF('Detailed Attendance'!Q19:Q19, "A")+COUNTIF('Detailed Attendance'!AC19:AC19, "A")+COUNTIF('Detailed Attendance'!AK19:AK19, "A")+COUNTIF('Detailed Attendance'!AW19:AW19, "A")+COUNTIF('Detailed Attendance'!BE19:BE19, "A")+COUNTIF('Detailed Attendance'!BQ19:BQ19, "A")+COUNTIF('Detailed Attendance'!BY19:BY19, "A")+COUNTIF('Detailed Attendance'!CN19:CN19, "A")+COUNTIF('Detailed Attendance'!CV19:CV19, "A")</f>
        <v/>
      </c>
      <c r="AD18" s="64">
        <f>IF((AB18+AC18)=0,"", AB18/(AB18+AC18))</f>
        <v/>
      </c>
      <c r="AE18" s="63">
        <f>COUNTIF('Detailed Attendance'!L19:L19, "P")+COUNTIF('Detailed Attendance'!P19:P19, "P")+COUNTIF('Detailed Attendance'!AF19:AF19, "P")+COUNTIF('Detailed Attendance'!AJ19:AJ19, "P")+COUNTIF('Detailed Attendance'!AZ19:AZ19, "P")+COUNTIF('Detailed Attendance'!BD19:BD19, "P")+COUNTIF('Detailed Attendance'!BT19:BT19, "P")+COUNTIF('Detailed Attendance'!BX19:BX19, "P")+COUNTIF('Detailed Attendance'!CQ19:CQ19, "P")+COUNTIF('Detailed Attendance'!CU19:CU19, "P")</f>
        <v/>
      </c>
      <c r="AF18" s="67">
        <f>COUNTIF('Detailed Attendance'!L19:L19, "A")+COUNTIF('Detailed Attendance'!P19:P19, "A")+COUNTIF('Detailed Attendance'!AF19:AF19, "A")+COUNTIF('Detailed Attendance'!AJ19:AJ19, "A")+COUNTIF('Detailed Attendance'!AZ19:AZ19, "A")+COUNTIF('Detailed Attendance'!BD19:BD19, "A")+COUNTIF('Detailed Attendance'!BT19:BT19, "A")+COUNTIF('Detailed Attendance'!BX19:BX19, "A")+COUNTIF('Detailed Attendance'!CQ19:CQ19, "A")+COUNTIF('Detailed Attendance'!CU19:CU19, "A")</f>
        <v/>
      </c>
      <c r="AG18" s="68">
        <f>IF((AE18+AF18)=0,"", AE18/(AE18+AF18))</f>
        <v/>
      </c>
      <c r="AH18" s="67">
        <f>COUNTIF('Detailed Attendance'!T19:T19, "P")+COUNTIF('Detailed Attendance'!AN19:AN19, "P")+COUNTIF('Detailed Attendance'!AR19:AR19, "P")+COUNTIF('Detailed Attendance'!BH19:BH19, "P")+COUNTIF('Detailed Attendance'!CB19:CB19, "P")+COUNTIF('Detailed Attendance'!CF19:CF19, "P")+COUNTIF('Detailed Attendance'!CY19:CY19, "P")</f>
        <v/>
      </c>
      <c r="AI18" s="67">
        <f>COUNTIF('Detailed Attendance'!T19:T19, "A")+COUNTIF('Detailed Attendance'!AN19:AN19, "A")+COUNTIF('Detailed Attendance'!AR19:AR19, "A")+COUNTIF('Detailed Attendance'!BH19:BH19, "A")+COUNTIF('Detailed Attendance'!CB19:CB19, "A")+COUNTIF('Detailed Attendance'!CF19:CF19, "A")+COUNTIF('Detailed Attendance'!CY19:CY19, "A")</f>
        <v/>
      </c>
      <c r="AJ18" s="68">
        <f>IF((AH18+AI18)=0,"", AH18/(AH18+AI18))</f>
        <v/>
      </c>
      <c r="AK18" s="67">
        <f>COUNTIF('Detailed Attendance'!M19:M19, "P")+COUNTIF('Detailed Attendance'!U19:U19, "P")+COUNTIF('Detailed Attendance'!AG19:AG19, "P")+COUNTIF('Detailed Attendance'!AO19:AO19, "P")+COUNTIF('Detailed Attendance'!BA19:BA19, "P")+COUNTIF('Detailed Attendance'!BI19:BI19, "P")+COUNTIF('Detailed Attendance'!BU19:BU19, "P")+COUNTIF('Detailed Attendance'!CC19:CC19, "P")+COUNTIF('Detailed Attendance'!CR19:CR19, "P")+COUNTIF('Detailed Attendance'!CZ19:CZ19, "P")</f>
        <v/>
      </c>
      <c r="AL18" s="67">
        <f>COUNTIF('Detailed Attendance'!M19:M19, "A")+COUNTIF('Detailed Attendance'!U19:U19, "A")+COUNTIF('Detailed Attendance'!AG19:AG19, "A")+COUNTIF('Detailed Attendance'!AO19:AO19, "A")+COUNTIF('Detailed Attendance'!BA19:BA19, "A")+COUNTIF('Detailed Attendance'!BI19:BI19, "A")+COUNTIF('Detailed Attendance'!BU19:BU19, "A")+COUNTIF('Detailed Attendance'!CC19:CC19, "A")+COUNTIF('Detailed Attendance'!CR19:CR19, "A")+COUNTIF('Detailed Attendance'!CZ19:CZ19, "A")</f>
        <v/>
      </c>
      <c r="AM18" s="68">
        <f>IF((AK18+AL18)=0,"", AK18/(AK18+AL18))</f>
        <v/>
      </c>
      <c r="AN18" s="67">
        <f>Y18+AB18+AE18+AH18+AK18</f>
        <v/>
      </c>
      <c r="AO18" s="67">
        <f>Z18+AC18+AF18+AI18+AL18</f>
        <v/>
      </c>
      <c r="AP18" s="68">
        <f>IF((AN18+AO18)=0,"", AN18/(AN18+AO18))</f>
        <v/>
      </c>
      <c r="AQ18" s="69">
        <f>COUNTIF('Detailed Attendance'!Y19:Y19, "P")+COUNTIF('Detailed Attendance'!AS19:AS19, "P")+COUNTIF('Detailed Attendance'!BM19:BM19, "P")+COUNTIF('Detailed Attendance'!CJ19:CJ19, "P")+COUNTIF('Detailed Attendance'!V19:V19, "P")+COUNTIF('Detailed Attendance'!AP19:AP19, "P")+COUNTIF('Detailed Attendance'!BJ19:BJ19, "P")+COUNTIF('Detailed Attendance'!CD19:CD19, "P")+COUNTIF('Detailed Attendance'!DA19:DA19, "P")+COUNTIF('Detailed Attendance'!CH19:CH19, "P")</f>
        <v/>
      </c>
      <c r="AR18" s="69">
        <f>COUNTIF('Detailed Attendance'!Y19:Y19, "A")+COUNTIF('Detailed Attendance'!AS19:AS19, "A")+COUNTIF('Detailed Attendance'!BM19:BM19, "A")+COUNTIF('Detailed Attendance'!CJ19:CJ19, "A")+COUNTIF('Detailed Attendance'!V19:V19, "A")+COUNTIF('Detailed Attendance'!AP19:AP19, "A")+COUNTIF('Detailed Attendance'!BJ19:BJ19, "A")+COUNTIF('Detailed Attendance'!CD19:CD19, "A")+COUNTIF('Detailed Attendance'!DA19:DA19, "A")+COUNTIF('Detailed Attendance'!CH19:CH19, "A")</f>
        <v/>
      </c>
      <c r="AS18" s="70">
        <f>IF((AQ18+AR18)=0,"", AQ18/(AQ18+AR18))</f>
        <v/>
      </c>
      <c r="AT18" s="67">
        <f>COUNTIF('Detailed Attendance'!DF19:DF19, "P")+COUNTIF('Detailed Attendance'!DT19:DT19, "P")+COUNTIF('Detailed Attendance'!EC19:EC19, "P")+COUNTIF('Detailed Attendance'!EQ19:EQ19, "P")+COUNTIF('Detailed Attendance'!EW19:EW19, "P")+COUNTIF('Detailed Attendance'!FK19:FK19, "P")+COUNTIF('Detailed Attendance'!FM19:FM19, "P")+COUNTIF('Detailed Attendance'!GA19:GA19, "P")</f>
        <v/>
      </c>
      <c r="AU18" s="67">
        <f>COUNTIF('Detailed Attendance'!DF19:DF19, "A")+COUNTIF('Detailed Attendance'!DT19:DT19, "A")+COUNTIF('Detailed Attendance'!EC19:EC19, "A")+COUNTIF('Detailed Attendance'!EQ19:EQ19, "A")+COUNTIF('Detailed Attendance'!EW19:EW19, "A")+COUNTIF('Detailed Attendance'!FK19:FK19, "A")+COUNTIF('Detailed Attendance'!FM19:FM19, "A")+COUNTIF('Detailed Attendance'!GA19:GA19, "A")</f>
        <v/>
      </c>
      <c r="AV18" s="68">
        <f>IF((AT18+AU18)=0,"", AT18/(AT18+AU18))</f>
        <v/>
      </c>
      <c r="AW18" s="67">
        <f>COUNTIF('Detailed Attendance'!DK19:DK19, "P")+COUNTIF('Detailed Attendance'!DS19:DS19, "P")+COUNTIF('Detailed Attendance'!EH19:EH19, "P")+COUNTIF('Detailed Attendance'!EP19:EP19, "P")+COUNTIF('Detailed Attendance'!FB19:FB19, "P")+COUNTIF('Detailed Attendance'!FJ19:FJ19, "P")+COUNTIF('Detailed Attendance'!FR19:FR19, "P")+COUNTIF('Detailed Attendance'!FZ19:FZ19, "P")</f>
        <v/>
      </c>
      <c r="AX18" s="67">
        <f>COUNTIF('Detailed Attendance'!DK19:DK19, "A")+COUNTIF('Detailed Attendance'!DS19:DS19, "A")+COUNTIF('Detailed Attendance'!EH19:EH19, "A")+COUNTIF('Detailed Attendance'!EP19:EP19, "A")+COUNTIF('Detailed Attendance'!FB19:FB19, "A")+COUNTIF('Detailed Attendance'!FJ19:FJ19, "A")+COUNTIF('Detailed Attendance'!FR19:FR19, "A")+COUNTIF('Detailed Attendance'!FZ19:FZ19, "A")</f>
        <v/>
      </c>
      <c r="AY18" s="68">
        <f>IF((AW18+AX18)=0,"", AW18/(AW18+AX18))</f>
        <v/>
      </c>
      <c r="AZ18" s="67">
        <f>COUNTIF('Detailed Attendance'!DN19:DN19, "P")+COUNTIF('Detailed Attendance'!DR19:DR19, "P")+COUNTIF('Detailed Attendance'!EK19:EK19, "P")+COUNTIF('Detailed Attendance'!EO19:EO19, "P")+COUNTIF('Detailed Attendance'!FE19:FE19, "P")+COUNTIF('Detailed Attendance'!FI19:FI19, "P")+COUNTIF('Detailed Attendance'!FU19:FU19, "P")+COUNTIF('Detailed Attendance'!FY19:FY19, "P")</f>
        <v/>
      </c>
      <c r="BA18" s="67">
        <f>COUNTIF('Detailed Attendance'!DN19:DN19, "A")+COUNTIF('Detailed Attendance'!DR19:DR19, "A")+COUNTIF('Detailed Attendance'!EK19:EK19, "A")+COUNTIF('Detailed Attendance'!EO19:EO19, "A")+COUNTIF('Detailed Attendance'!FE19:FE19, "A")+COUNTIF('Detailed Attendance'!FI19:FI19, "A")+COUNTIF('Detailed Attendance'!FU19:FU19, "A")+COUNTIF('Detailed Attendance'!FY19:FY19, "A")</f>
        <v/>
      </c>
      <c r="BB18" s="68">
        <f>IF((AZ18+BA18)=0,"", AZ18/(AZ18+BA18))</f>
        <v/>
      </c>
      <c r="BC18" s="67">
        <f>COUNTIF('Detailed Attendance'!DC19:DC19, "P")+COUNTIF('Detailed Attendance'!DV19:DV19, "P")+COUNTIF('Detailed Attendance'!DZ19:DZ19, "P")+COUNTIF('Detailed Attendance'!ES19:ES19, "P")+COUNTIF('Detailed Attendance'!GC19:GC19, "P")+COUNTIF('Detailed Attendance'!GG19:GG19, "P")</f>
        <v/>
      </c>
      <c r="BD18" s="67">
        <f>COUNTIF('Detailed Attendance'!DC19:DC19, "A")+COUNTIF('Detailed Attendance'!DV19:DV19, "A")+COUNTIF('Detailed Attendance'!DZ19:DZ19, "A")+COUNTIF('Detailed Attendance'!ES19:ES19, "A")+COUNTIF('Detailed Attendance'!GC19:GC19, "A")+COUNTIF('Detailed Attendance'!GG19:GG19, "A")</f>
        <v/>
      </c>
      <c r="BE18" s="68">
        <f>IF((BC18+BD18)=0,"", BC18/(BC18+BD18))</f>
        <v/>
      </c>
      <c r="BF18" s="67">
        <f>COUNTIF('Detailed Attendance'!DO19:DO19, "P")+COUNTIF('Detailed Attendance'!DW19:DW19, "P")+COUNTIF('Detailed Attendance'!EL19:EL19, "P")+COUNTIF('Detailed Attendance'!ET19:ET19, "P")+COUNTIF('Detailed Attendance'!FF19:FF19, "P")+COUNTIF('Detailed Attendance'!FV19:FV19, "P")+COUNTIF('Detailed Attendance'!GD19:GD19, "P")</f>
        <v/>
      </c>
      <c r="BG18" s="67">
        <f>COUNTIF('Detailed Attendance'!DO19:DO19, "A")+COUNTIF('Detailed Attendance'!DW19:DW19, "A")+COUNTIF('Detailed Attendance'!EL19:EL19, "A")+COUNTIF('Detailed Attendance'!ET19:ET19, "A")+COUNTIF('Detailed Attendance'!FF19:FF19, "A")+COUNTIF('Detailed Attendance'!FV19:FV19, "A")+COUNTIF('Detailed Attendance'!GD19:GD19, "A")</f>
        <v/>
      </c>
      <c r="BH18" s="68">
        <f>IF((BF18+BG18)=0,"", BF18/(BF18+BG18))</f>
        <v/>
      </c>
      <c r="BI18" s="67">
        <f>AT18+AW18+AZ18+BC18+BF18</f>
        <v/>
      </c>
      <c r="BJ18" s="67">
        <f>AU18+AX18+BA18+BD18+BG18</f>
        <v/>
      </c>
      <c r="BK18" s="68">
        <f>IF((BI18+BJ18)=0,"", BI18/(BI18+BJ18))</f>
        <v/>
      </c>
      <c r="BL18" s="69">
        <f>COUNTIF('Detailed Attendance'!DG19:DG19, "P")+COUNTIF('Detailed Attendance'!ED19:ED19, "P")+COUNTIF('Detailed Attendance'!EX19:EX19, "P")+COUNTIF('Detailed Attendance'!FN19:FN19, "P")+COUNTIF('Detailed Attendance'!DX19:DX19, "P")+COUNTIF('Detailed Attendance'!EU19:EU19, "P")+COUNTIF('Detailed Attendance'!GE19:GE19, "P")+COUNTIF('Detailed Attendance'!DE19:DE19, "P")+COUNTIF('Detailed Attendance'!EB19:EB19, "P")+COUNTIF('Detailed Attendance'!GI19:GI19, "P")</f>
        <v/>
      </c>
      <c r="BM18" s="69">
        <f>COUNTIF('Detailed Attendance'!DG19:DG19, "A")+COUNTIF('Detailed Attendance'!ED19:ED19, "A")+COUNTIF('Detailed Attendance'!EX19:EX19, "A")+COUNTIF('Detailed Attendance'!FN19:FN19, "A")+COUNTIF('Detailed Attendance'!DX19:DX19, "A")+COUNTIF('Detailed Attendance'!EU19:EU19, "A")+COUNTIF('Detailed Attendance'!GE19:GE19, "A")+COUNTIF('Detailed Attendance'!DE19:DE19, "A")+COUNTIF('Detailed Attendance'!EB19:EB19, "A")+COUNTIF('Detailed Attendance'!GI19:GI19, "A")</f>
        <v/>
      </c>
      <c r="BN18" s="70">
        <f>IF((BL18+BM18)=0,"", BL18/(BL18+BM18))</f>
        <v/>
      </c>
      <c r="BO18" s="67">
        <f>D18+Y18+AT18</f>
        <v/>
      </c>
      <c r="BP18" s="67">
        <f>E18+Z18+AU18</f>
        <v/>
      </c>
      <c r="BQ18" s="68">
        <f>IF((BO18+BP18)=0,"", BO18/(BO18+BP18))</f>
        <v/>
      </c>
      <c r="BR18" s="67">
        <f>G18+AB18+AW18</f>
        <v/>
      </c>
      <c r="BS18" s="67">
        <f>H18+AC18+AX18</f>
        <v/>
      </c>
      <c r="BT18" s="68">
        <f>IF((BR18+BS18)=0,"", BR18/(BR18+BS18))</f>
        <v/>
      </c>
      <c r="BU18" s="67">
        <f>J18+AE18+AZ18</f>
        <v/>
      </c>
      <c r="BV18" s="67">
        <f>K18+AF18+BA18</f>
        <v/>
      </c>
      <c r="BW18" s="68">
        <f>IF((BU18+BV18)=0,"", BU18/(BU18+BV18))</f>
        <v/>
      </c>
      <c r="BX18" s="67">
        <f>M18+AH18+BC18</f>
        <v/>
      </c>
      <c r="BY18" s="67">
        <f>N18+AI18+BD18</f>
        <v/>
      </c>
      <c r="BZ18" s="68">
        <f>IF((BX18+BY18)=0,"", BX18/(BX18+BY18))</f>
        <v/>
      </c>
      <c r="CA18" s="67">
        <f>P18+AK18+BF18</f>
        <v/>
      </c>
      <c r="CB18" s="67">
        <f>Q18+AL18+BG18</f>
        <v/>
      </c>
      <c r="CC18" s="68">
        <f>IF((CA18+CB18)=0,"", CA18/(CA18+CB18))</f>
        <v/>
      </c>
      <c r="CD18" s="67">
        <f>S18+AN18+BI18</f>
        <v/>
      </c>
      <c r="CE18" s="67">
        <f>T18+AO18+BJ18</f>
        <v/>
      </c>
      <c r="CF18" s="68">
        <f>IF((CD18+CE18)=0,"", CD18/(CD18+CE18))</f>
        <v/>
      </c>
      <c r="CG18" s="69">
        <f>V18+AQ18+BL18</f>
        <v/>
      </c>
      <c r="CH18" s="69">
        <f>W18+AR18+BM18</f>
        <v/>
      </c>
      <c r="CI18" s="70">
        <f>IF((CG18+CH18)=0,"", CG18/(CG18+CH18))</f>
        <v/>
      </c>
      <c r="CJ18" s="67">
        <f>CD18+(CG18*2)</f>
        <v/>
      </c>
      <c r="CK18" s="67">
        <f>CE18+(CH18*2)</f>
        <v/>
      </c>
      <c r="CL18" s="68">
        <f>IF((CJ18+CK18)=0,"", CJ18/(CJ18+CK18))</f>
        <v/>
      </c>
      <c r="CM18" s="67" t="inlineStr">
        <is>
          <t>Batch 1</t>
        </is>
      </c>
    </row>
    <row r="19" ht="14.25" customHeight="1" s="34">
      <c r="A19" s="46" t="n">
        <v>17</v>
      </c>
      <c r="B19" s="46" t="inlineStr">
        <is>
          <t>325106410017</t>
        </is>
      </c>
      <c r="C19" s="46" t="inlineStr">
        <is>
          <t>GYANESHWARI KALLAPILLI</t>
        </is>
      </c>
      <c r="D19" s="63" t="n">
        <v>0</v>
      </c>
      <c r="E19" s="63" t="n">
        <v>0</v>
      </c>
      <c r="F19" s="64">
        <f>IF((D19+E19)=0,"", D19/(D19+E19))</f>
        <v/>
      </c>
      <c r="G19" s="63">
        <f>COUNTIF('Detailed Attendance'!I20:I20, "P")</f>
        <v/>
      </c>
      <c r="H19" s="63">
        <f>COUNTIF('Detailed Attendance'!I20:I20, "A")</f>
        <v/>
      </c>
      <c r="I19" s="64">
        <f>IF((G19+H19)=0,"", G19/(G19+H19))</f>
        <v/>
      </c>
      <c r="J19" s="63" t="n">
        <v>0</v>
      </c>
      <c r="K19" s="63" t="n">
        <v>0</v>
      </c>
      <c r="L19" s="64">
        <f>IF((J19+K19)=0,"", J19/(J19+K19))</f>
        <v/>
      </c>
      <c r="M19" s="63">
        <f>COUNTIF('Detailed Attendance'!D20:D20, "P")</f>
        <v/>
      </c>
      <c r="N19" s="63">
        <f>COUNTIF('Detailed Attendance'!D20:D20, "A")</f>
        <v/>
      </c>
      <c r="O19" s="64">
        <f>IF((M19+N19)=0,"", M19/(M19+N19))</f>
        <v/>
      </c>
      <c r="P19" s="63" t="n">
        <v>0</v>
      </c>
      <c r="Q19" s="63" t="n">
        <v>0</v>
      </c>
      <c r="R19" s="64">
        <f>IF((P19+Q19)=0,"", P19/(P19+Q19))</f>
        <v/>
      </c>
      <c r="S19" s="63">
        <f>D19+G19+J19+M19+P19</f>
        <v/>
      </c>
      <c r="T19" s="63">
        <f>E19+H19+K19+N19+Q19</f>
        <v/>
      </c>
      <c r="U19" s="64">
        <f>IF((S19+T19)=0,"", S19/(S19+T19))</f>
        <v/>
      </c>
      <c r="V19" s="65">
        <f>COUNTIF('Detailed Attendance'!E20:E20, "P")</f>
        <v/>
      </c>
      <c r="W19" s="65">
        <f>COUNTIF('Detailed Attendance'!E20:E20, "A")</f>
        <v/>
      </c>
      <c r="X19" s="66">
        <f>IF((V19+W19)=0,"", V19/(V19+W19))</f>
        <v/>
      </c>
      <c r="Y19" s="63">
        <f>COUNTIF('Detailed Attendance'!R20:R20, "P")+COUNTIF('Detailed Attendance'!X20:X20, "P")+COUNTIF('Detailed Attendance'!AL20:AL20, "P")+COUNTIF('Detailed Attendance'!BF20:BF20, "P")+COUNTIF('Detailed Attendance'!BL20:BL20, "P")+COUNTIF('Detailed Attendance'!BZ20:BZ20, "P")+COUNTIF('Detailed Attendance'!CI20:CI20, "P")+COUNTIF('Detailed Attendance'!CW20:CW20, "P")</f>
        <v/>
      </c>
      <c r="Z19" s="63">
        <f>COUNTIF('Detailed Attendance'!R20:R20, "A")+COUNTIF('Detailed Attendance'!X20:X20, "A")+COUNTIF('Detailed Attendance'!AL20:AL20, "A")+COUNTIF('Detailed Attendance'!BF20:BF20, "A")+COUNTIF('Detailed Attendance'!BL20:BL20, "A")+COUNTIF('Detailed Attendance'!BZ20:BZ20, "A")+COUNTIF('Detailed Attendance'!CI20:CI20, "A")+COUNTIF('Detailed Attendance'!CW20:CW20, "A")</f>
        <v/>
      </c>
      <c r="AA19" s="64">
        <f>IF((Y19+Z19)=0,"", Y19/(Y19+Z19))</f>
        <v/>
      </c>
      <c r="AB19" s="63">
        <f>COUNTIF('Detailed Attendance'!Q20:Q20, "P")+COUNTIF('Detailed Attendance'!AC20:AC20, "P")+COUNTIF('Detailed Attendance'!AK20:AK20, "P")+COUNTIF('Detailed Attendance'!AW20:AW20, "P")+COUNTIF('Detailed Attendance'!BE20:BE20, "P")+COUNTIF('Detailed Attendance'!BQ20:BQ20, "P")+COUNTIF('Detailed Attendance'!BY20:BY20, "P")+COUNTIF('Detailed Attendance'!CN20:CN20, "P")+COUNTIF('Detailed Attendance'!CV20:CV20, "P")</f>
        <v/>
      </c>
      <c r="AC19" s="63">
        <f>COUNTIF('Detailed Attendance'!Q20:Q20, "A")+COUNTIF('Detailed Attendance'!AC20:AC20, "A")+COUNTIF('Detailed Attendance'!AK20:AK20, "A")+COUNTIF('Detailed Attendance'!AW20:AW20, "A")+COUNTIF('Detailed Attendance'!BE20:BE20, "A")+COUNTIF('Detailed Attendance'!BQ20:BQ20, "A")+COUNTIF('Detailed Attendance'!BY20:BY20, "A")+COUNTIF('Detailed Attendance'!CN20:CN20, "A")+COUNTIF('Detailed Attendance'!CV20:CV20, "A")</f>
        <v/>
      </c>
      <c r="AD19" s="64">
        <f>IF((AB19+AC19)=0,"", AB19/(AB19+AC19))</f>
        <v/>
      </c>
      <c r="AE19" s="63">
        <f>COUNTIF('Detailed Attendance'!L20:L20, "P")+COUNTIF('Detailed Attendance'!P20:P20, "P")+COUNTIF('Detailed Attendance'!AF20:AF20, "P")+COUNTIF('Detailed Attendance'!AJ20:AJ20, "P")+COUNTIF('Detailed Attendance'!AZ20:AZ20, "P")+COUNTIF('Detailed Attendance'!BD20:BD20, "P")+COUNTIF('Detailed Attendance'!BT20:BT20, "P")+COUNTIF('Detailed Attendance'!BX20:BX20, "P")+COUNTIF('Detailed Attendance'!CQ20:CQ20, "P")+COUNTIF('Detailed Attendance'!CU20:CU20, "P")</f>
        <v/>
      </c>
      <c r="AF19" s="67">
        <f>COUNTIF('Detailed Attendance'!L20:L20, "A")+COUNTIF('Detailed Attendance'!P20:P20, "A")+COUNTIF('Detailed Attendance'!AF20:AF20, "A")+COUNTIF('Detailed Attendance'!AJ20:AJ20, "A")+COUNTIF('Detailed Attendance'!AZ20:AZ20, "A")+COUNTIF('Detailed Attendance'!BD20:BD20, "A")+COUNTIF('Detailed Attendance'!BT20:BT20, "A")+COUNTIF('Detailed Attendance'!BX20:BX20, "A")+COUNTIF('Detailed Attendance'!CQ20:CQ20, "A")+COUNTIF('Detailed Attendance'!CU20:CU20, "A")</f>
        <v/>
      </c>
      <c r="AG19" s="68">
        <f>IF((AE19+AF19)=0,"", AE19/(AE19+AF19))</f>
        <v/>
      </c>
      <c r="AH19" s="67">
        <f>COUNTIF('Detailed Attendance'!T20:T20, "P")+COUNTIF('Detailed Attendance'!AN20:AN20, "P")+COUNTIF('Detailed Attendance'!AR20:AR20, "P")+COUNTIF('Detailed Attendance'!BH20:BH20, "P")+COUNTIF('Detailed Attendance'!CB20:CB20, "P")+COUNTIF('Detailed Attendance'!CF20:CF20, "P")+COUNTIF('Detailed Attendance'!CY20:CY20, "P")</f>
        <v/>
      </c>
      <c r="AI19" s="67">
        <f>COUNTIF('Detailed Attendance'!T20:T20, "A")+COUNTIF('Detailed Attendance'!AN20:AN20, "A")+COUNTIF('Detailed Attendance'!AR20:AR20, "A")+COUNTIF('Detailed Attendance'!BH20:BH20, "A")+COUNTIF('Detailed Attendance'!CB20:CB20, "A")+COUNTIF('Detailed Attendance'!CF20:CF20, "A")+COUNTIF('Detailed Attendance'!CY20:CY20, "A")</f>
        <v/>
      </c>
      <c r="AJ19" s="68">
        <f>IF((AH19+AI19)=0,"", AH19/(AH19+AI19))</f>
        <v/>
      </c>
      <c r="AK19" s="67">
        <f>COUNTIF('Detailed Attendance'!M20:M20, "P")+COUNTIF('Detailed Attendance'!U20:U20, "P")+COUNTIF('Detailed Attendance'!AG20:AG20, "P")+COUNTIF('Detailed Attendance'!AO20:AO20, "P")+COUNTIF('Detailed Attendance'!BA20:BA20, "P")+COUNTIF('Detailed Attendance'!BI20:BI20, "P")+COUNTIF('Detailed Attendance'!BU20:BU20, "P")+COUNTIF('Detailed Attendance'!CC20:CC20, "P")+COUNTIF('Detailed Attendance'!CR20:CR20, "P")+COUNTIF('Detailed Attendance'!CZ20:CZ20, "P")</f>
        <v/>
      </c>
      <c r="AL19" s="67">
        <f>COUNTIF('Detailed Attendance'!M20:M20, "A")+COUNTIF('Detailed Attendance'!U20:U20, "A")+COUNTIF('Detailed Attendance'!AG20:AG20, "A")+COUNTIF('Detailed Attendance'!AO20:AO20, "A")+COUNTIF('Detailed Attendance'!BA20:BA20, "A")+COUNTIF('Detailed Attendance'!BI20:BI20, "A")+COUNTIF('Detailed Attendance'!BU20:BU20, "A")+COUNTIF('Detailed Attendance'!CC20:CC20, "A")+COUNTIF('Detailed Attendance'!CR20:CR20, "A")+COUNTIF('Detailed Attendance'!CZ20:CZ20, "A")</f>
        <v/>
      </c>
      <c r="AM19" s="68">
        <f>IF((AK19+AL19)=0,"", AK19/(AK19+AL19))</f>
        <v/>
      </c>
      <c r="AN19" s="67">
        <f>Y19+AB19+AE19+AH19+AK19</f>
        <v/>
      </c>
      <c r="AO19" s="67">
        <f>Z19+AC19+AF19+AI19+AL19</f>
        <v/>
      </c>
      <c r="AP19" s="68">
        <f>IF((AN19+AO19)=0,"", AN19/(AN19+AO19))</f>
        <v/>
      </c>
      <c r="AQ19" s="69">
        <f>COUNTIF('Detailed Attendance'!Y20:Y20, "P")+COUNTIF('Detailed Attendance'!AS20:AS20, "P")+COUNTIF('Detailed Attendance'!BM20:BM20, "P")+COUNTIF('Detailed Attendance'!CJ20:CJ20, "P")+COUNTIF('Detailed Attendance'!V20:V20, "P")+COUNTIF('Detailed Attendance'!AP20:AP20, "P")+COUNTIF('Detailed Attendance'!BJ20:BJ20, "P")+COUNTIF('Detailed Attendance'!CD20:CD20, "P")+COUNTIF('Detailed Attendance'!DA20:DA20, "P")+COUNTIF('Detailed Attendance'!CH20:CH20, "P")</f>
        <v/>
      </c>
      <c r="AR19" s="69">
        <f>COUNTIF('Detailed Attendance'!Y20:Y20, "A")+COUNTIF('Detailed Attendance'!AS20:AS20, "A")+COUNTIF('Detailed Attendance'!BM20:BM20, "A")+COUNTIF('Detailed Attendance'!CJ20:CJ20, "A")+COUNTIF('Detailed Attendance'!V20:V20, "A")+COUNTIF('Detailed Attendance'!AP20:AP20, "A")+COUNTIF('Detailed Attendance'!BJ20:BJ20, "A")+COUNTIF('Detailed Attendance'!CD20:CD20, "A")+COUNTIF('Detailed Attendance'!DA20:DA20, "A")+COUNTIF('Detailed Attendance'!CH20:CH20, "A")</f>
        <v/>
      </c>
      <c r="AS19" s="70">
        <f>IF((AQ19+AR19)=0,"", AQ19/(AQ19+AR19))</f>
        <v/>
      </c>
      <c r="AT19" s="67">
        <f>COUNTIF('Detailed Attendance'!DF20:DF20, "P")+COUNTIF('Detailed Attendance'!DT20:DT20, "P")+COUNTIF('Detailed Attendance'!EC20:EC20, "P")+COUNTIF('Detailed Attendance'!EQ20:EQ20, "P")+COUNTIF('Detailed Attendance'!EW20:EW20, "P")+COUNTIF('Detailed Attendance'!FK20:FK20, "P")+COUNTIF('Detailed Attendance'!FM20:FM20, "P")+COUNTIF('Detailed Attendance'!GA20:GA20, "P")</f>
        <v/>
      </c>
      <c r="AU19" s="67">
        <f>COUNTIF('Detailed Attendance'!DF20:DF20, "A")+COUNTIF('Detailed Attendance'!DT20:DT20, "A")+COUNTIF('Detailed Attendance'!EC20:EC20, "A")+COUNTIF('Detailed Attendance'!EQ20:EQ20, "A")+COUNTIF('Detailed Attendance'!EW20:EW20, "A")+COUNTIF('Detailed Attendance'!FK20:FK20, "A")+COUNTIF('Detailed Attendance'!FM20:FM20, "A")+COUNTIF('Detailed Attendance'!GA20:GA20, "A")</f>
        <v/>
      </c>
      <c r="AV19" s="68">
        <f>IF((AT19+AU19)=0,"", AT19/(AT19+AU19))</f>
        <v/>
      </c>
      <c r="AW19" s="67">
        <f>COUNTIF('Detailed Attendance'!DK20:DK20, "P")+COUNTIF('Detailed Attendance'!DS20:DS20, "P")+COUNTIF('Detailed Attendance'!EH20:EH20, "P")+COUNTIF('Detailed Attendance'!EP20:EP20, "P")+COUNTIF('Detailed Attendance'!FB20:FB20, "P")+COUNTIF('Detailed Attendance'!FJ20:FJ20, "P")+COUNTIF('Detailed Attendance'!FR20:FR20, "P")+COUNTIF('Detailed Attendance'!FZ20:FZ20, "P")</f>
        <v/>
      </c>
      <c r="AX19" s="67">
        <f>COUNTIF('Detailed Attendance'!DK20:DK20, "A")+COUNTIF('Detailed Attendance'!DS20:DS20, "A")+COUNTIF('Detailed Attendance'!EH20:EH20, "A")+COUNTIF('Detailed Attendance'!EP20:EP20, "A")+COUNTIF('Detailed Attendance'!FB20:FB20, "A")+COUNTIF('Detailed Attendance'!FJ20:FJ20, "A")+COUNTIF('Detailed Attendance'!FR20:FR20, "A")+COUNTIF('Detailed Attendance'!FZ20:FZ20, "A")</f>
        <v/>
      </c>
      <c r="AY19" s="68">
        <f>IF((AW19+AX19)=0,"", AW19/(AW19+AX19))</f>
        <v/>
      </c>
      <c r="AZ19" s="67">
        <f>COUNTIF('Detailed Attendance'!DN20:DN20, "P")+COUNTIF('Detailed Attendance'!DR20:DR20, "P")+COUNTIF('Detailed Attendance'!EK20:EK20, "P")+COUNTIF('Detailed Attendance'!EO20:EO20, "P")+COUNTIF('Detailed Attendance'!FE20:FE20, "P")+COUNTIF('Detailed Attendance'!FI20:FI20, "P")+COUNTIF('Detailed Attendance'!FU20:FU20, "P")+COUNTIF('Detailed Attendance'!FY20:FY20, "P")</f>
        <v/>
      </c>
      <c r="BA19" s="67">
        <f>COUNTIF('Detailed Attendance'!DN20:DN20, "A")+COUNTIF('Detailed Attendance'!DR20:DR20, "A")+COUNTIF('Detailed Attendance'!EK20:EK20, "A")+COUNTIF('Detailed Attendance'!EO20:EO20, "A")+COUNTIF('Detailed Attendance'!FE20:FE20, "A")+COUNTIF('Detailed Attendance'!FI20:FI20, "A")+COUNTIF('Detailed Attendance'!FU20:FU20, "A")+COUNTIF('Detailed Attendance'!FY20:FY20, "A")</f>
        <v/>
      </c>
      <c r="BB19" s="68">
        <f>IF((AZ19+BA19)=0,"", AZ19/(AZ19+BA19))</f>
        <v/>
      </c>
      <c r="BC19" s="67">
        <f>COUNTIF('Detailed Attendance'!DC20:DC20, "P")+COUNTIF('Detailed Attendance'!DV20:DV20, "P")+COUNTIF('Detailed Attendance'!DZ20:DZ20, "P")+COUNTIF('Detailed Attendance'!ES20:ES20, "P")+COUNTIF('Detailed Attendance'!GC20:GC20, "P")+COUNTIF('Detailed Attendance'!GG20:GG20, "P")</f>
        <v/>
      </c>
      <c r="BD19" s="67">
        <f>COUNTIF('Detailed Attendance'!DC20:DC20, "A")+COUNTIF('Detailed Attendance'!DV20:DV20, "A")+COUNTIF('Detailed Attendance'!DZ20:DZ20, "A")+COUNTIF('Detailed Attendance'!ES20:ES20, "A")+COUNTIF('Detailed Attendance'!GC20:GC20, "A")+COUNTIF('Detailed Attendance'!GG20:GG20, "A")</f>
        <v/>
      </c>
      <c r="BE19" s="68">
        <f>IF((BC19+BD19)=0,"", BC19/(BC19+BD19))</f>
        <v/>
      </c>
      <c r="BF19" s="67">
        <f>COUNTIF('Detailed Attendance'!DO20:DO20, "P")+COUNTIF('Detailed Attendance'!DW20:DW20, "P")+COUNTIF('Detailed Attendance'!EL20:EL20, "P")+COUNTIF('Detailed Attendance'!ET20:ET20, "P")+COUNTIF('Detailed Attendance'!FF20:FF20, "P")+COUNTIF('Detailed Attendance'!FV20:FV20, "P")+COUNTIF('Detailed Attendance'!GD20:GD20, "P")</f>
        <v/>
      </c>
      <c r="BG19" s="67">
        <f>COUNTIF('Detailed Attendance'!DO20:DO20, "A")+COUNTIF('Detailed Attendance'!DW20:DW20, "A")+COUNTIF('Detailed Attendance'!EL20:EL20, "A")+COUNTIF('Detailed Attendance'!ET20:ET20, "A")+COUNTIF('Detailed Attendance'!FF20:FF20, "A")+COUNTIF('Detailed Attendance'!FV20:FV20, "A")+COUNTIF('Detailed Attendance'!GD20:GD20, "A")</f>
        <v/>
      </c>
      <c r="BH19" s="68">
        <f>IF((BF19+BG19)=0,"", BF19/(BF19+BG19))</f>
        <v/>
      </c>
      <c r="BI19" s="67">
        <f>AT19+AW19+AZ19+BC19+BF19</f>
        <v/>
      </c>
      <c r="BJ19" s="67">
        <f>AU19+AX19+BA19+BD19+BG19</f>
        <v/>
      </c>
      <c r="BK19" s="68">
        <f>IF((BI19+BJ19)=0,"", BI19/(BI19+BJ19))</f>
        <v/>
      </c>
      <c r="BL19" s="69">
        <f>COUNTIF('Detailed Attendance'!DG20:DG20, "P")+COUNTIF('Detailed Attendance'!ED20:ED20, "P")+COUNTIF('Detailed Attendance'!EX20:EX20, "P")+COUNTIF('Detailed Attendance'!FN20:FN20, "P")+COUNTIF('Detailed Attendance'!DX20:DX20, "P")+COUNTIF('Detailed Attendance'!EU20:EU20, "P")+COUNTIF('Detailed Attendance'!GE20:GE20, "P")+COUNTIF('Detailed Attendance'!DE20:DE20, "P")+COUNTIF('Detailed Attendance'!EB20:EB20, "P")+COUNTIF('Detailed Attendance'!GI20:GI20, "P")</f>
        <v/>
      </c>
      <c r="BM19" s="69">
        <f>COUNTIF('Detailed Attendance'!DG20:DG20, "A")+COUNTIF('Detailed Attendance'!ED20:ED20, "A")+COUNTIF('Detailed Attendance'!EX20:EX20, "A")+COUNTIF('Detailed Attendance'!FN20:FN20, "A")+COUNTIF('Detailed Attendance'!DX20:DX20, "A")+COUNTIF('Detailed Attendance'!EU20:EU20, "A")+COUNTIF('Detailed Attendance'!GE20:GE20, "A")+COUNTIF('Detailed Attendance'!DE20:DE20, "A")+COUNTIF('Detailed Attendance'!EB20:EB20, "A")+COUNTIF('Detailed Attendance'!GI20:GI20, "A")</f>
        <v/>
      </c>
      <c r="BN19" s="70">
        <f>IF((BL19+BM19)=0,"", BL19/(BL19+BM19))</f>
        <v/>
      </c>
      <c r="BO19" s="67">
        <f>D19+Y19+AT19</f>
        <v/>
      </c>
      <c r="BP19" s="67">
        <f>E19+Z19+AU19</f>
        <v/>
      </c>
      <c r="BQ19" s="68">
        <f>IF((BO19+BP19)=0,"", BO19/(BO19+BP19))</f>
        <v/>
      </c>
      <c r="BR19" s="67">
        <f>G19+AB19+AW19</f>
        <v/>
      </c>
      <c r="BS19" s="67">
        <f>H19+AC19+AX19</f>
        <v/>
      </c>
      <c r="BT19" s="68">
        <f>IF((BR19+BS19)=0,"", BR19/(BR19+BS19))</f>
        <v/>
      </c>
      <c r="BU19" s="67">
        <f>J19+AE19+AZ19</f>
        <v/>
      </c>
      <c r="BV19" s="67">
        <f>K19+AF19+BA19</f>
        <v/>
      </c>
      <c r="BW19" s="68">
        <f>IF((BU19+BV19)=0,"", BU19/(BU19+BV19))</f>
        <v/>
      </c>
      <c r="BX19" s="67">
        <f>M19+AH19+BC19</f>
        <v/>
      </c>
      <c r="BY19" s="67">
        <f>N19+AI19+BD19</f>
        <v/>
      </c>
      <c r="BZ19" s="68">
        <f>IF((BX19+BY19)=0,"", BX19/(BX19+BY19))</f>
        <v/>
      </c>
      <c r="CA19" s="67">
        <f>P19+AK19+BF19</f>
        <v/>
      </c>
      <c r="CB19" s="67">
        <f>Q19+AL19+BG19</f>
        <v/>
      </c>
      <c r="CC19" s="68">
        <f>IF((CA19+CB19)=0,"", CA19/(CA19+CB19))</f>
        <v/>
      </c>
      <c r="CD19" s="67">
        <f>S19+AN19+BI19</f>
        <v/>
      </c>
      <c r="CE19" s="67">
        <f>T19+AO19+BJ19</f>
        <v/>
      </c>
      <c r="CF19" s="68">
        <f>IF((CD19+CE19)=0,"", CD19/(CD19+CE19))</f>
        <v/>
      </c>
      <c r="CG19" s="69">
        <f>V19+AQ19+BL19</f>
        <v/>
      </c>
      <c r="CH19" s="69">
        <f>W19+AR19+BM19</f>
        <v/>
      </c>
      <c r="CI19" s="70">
        <f>IF((CG19+CH19)=0,"", CG19/(CG19+CH19))</f>
        <v/>
      </c>
      <c r="CJ19" s="67">
        <f>CD19+(CG19*2)</f>
        <v/>
      </c>
      <c r="CK19" s="67">
        <f>CE19+(CH19*2)</f>
        <v/>
      </c>
      <c r="CL19" s="68">
        <f>IF((CJ19+CK19)=0,"", CJ19/(CJ19+CK19))</f>
        <v/>
      </c>
      <c r="CM19" s="67" t="inlineStr">
        <is>
          <t>Batch 1</t>
        </is>
      </c>
    </row>
    <row r="20" ht="14.25" customHeight="1" s="34">
      <c r="A20" s="46" t="n">
        <v>18</v>
      </c>
      <c r="B20" s="46" t="inlineStr">
        <is>
          <t>325106410018</t>
        </is>
      </c>
      <c r="C20" s="46" t="inlineStr">
        <is>
          <t>BHARGAV KRISHNA KANDREGULA</t>
        </is>
      </c>
      <c r="D20" s="63" t="n">
        <v>0</v>
      </c>
      <c r="E20" s="63" t="n">
        <v>0</v>
      </c>
      <c r="F20" s="64">
        <f>IF((D20+E20)=0,"", D20/(D20+E20))</f>
        <v/>
      </c>
      <c r="G20" s="63">
        <f>COUNTIF('Detailed Attendance'!I21:I21, "P")</f>
        <v/>
      </c>
      <c r="H20" s="63">
        <f>COUNTIF('Detailed Attendance'!I21:I21, "A")</f>
        <v/>
      </c>
      <c r="I20" s="64">
        <f>IF((G20+H20)=0,"", G20/(G20+H20))</f>
        <v/>
      </c>
      <c r="J20" s="63" t="n">
        <v>0</v>
      </c>
      <c r="K20" s="63" t="n">
        <v>0</v>
      </c>
      <c r="L20" s="64">
        <f>IF((J20+K20)=0,"", J20/(J20+K20))</f>
        <v/>
      </c>
      <c r="M20" s="63">
        <f>COUNTIF('Detailed Attendance'!D21:D21, "P")</f>
        <v/>
      </c>
      <c r="N20" s="63">
        <f>COUNTIF('Detailed Attendance'!D21:D21, "A")</f>
        <v/>
      </c>
      <c r="O20" s="64">
        <f>IF((M20+N20)=0,"", M20/(M20+N20))</f>
        <v/>
      </c>
      <c r="P20" s="63" t="n">
        <v>0</v>
      </c>
      <c r="Q20" s="63" t="n">
        <v>0</v>
      </c>
      <c r="R20" s="64">
        <f>IF((P20+Q20)=0,"", P20/(P20+Q20))</f>
        <v/>
      </c>
      <c r="S20" s="63">
        <f>D20+G20+J20+M20+P20</f>
        <v/>
      </c>
      <c r="T20" s="63">
        <f>E20+H20+K20+N20+Q20</f>
        <v/>
      </c>
      <c r="U20" s="64">
        <f>IF((S20+T20)=0,"", S20/(S20+T20))</f>
        <v/>
      </c>
      <c r="V20" s="65">
        <f>COUNTIF('Detailed Attendance'!E21:E21, "P")</f>
        <v/>
      </c>
      <c r="W20" s="65">
        <f>COUNTIF('Detailed Attendance'!E21:E21, "A")</f>
        <v/>
      </c>
      <c r="X20" s="66">
        <f>IF((V20+W20)=0,"", V20/(V20+W20))</f>
        <v/>
      </c>
      <c r="Y20" s="63">
        <f>COUNTIF('Detailed Attendance'!R21:R21, "P")+COUNTIF('Detailed Attendance'!X21:X21, "P")+COUNTIF('Detailed Attendance'!AL21:AL21, "P")+COUNTIF('Detailed Attendance'!BF21:BF21, "P")+COUNTIF('Detailed Attendance'!BL21:BL21, "P")+COUNTIF('Detailed Attendance'!BZ21:BZ21, "P")+COUNTIF('Detailed Attendance'!CI21:CI21, "P")+COUNTIF('Detailed Attendance'!CW21:CW21, "P")</f>
        <v/>
      </c>
      <c r="Z20" s="63">
        <f>COUNTIF('Detailed Attendance'!R21:R21, "A")+COUNTIF('Detailed Attendance'!X21:X21, "A")+COUNTIF('Detailed Attendance'!AL21:AL21, "A")+COUNTIF('Detailed Attendance'!BF21:BF21, "A")+COUNTIF('Detailed Attendance'!BL21:BL21, "A")+COUNTIF('Detailed Attendance'!BZ21:BZ21, "A")+COUNTIF('Detailed Attendance'!CI21:CI21, "A")+COUNTIF('Detailed Attendance'!CW21:CW21, "A")</f>
        <v/>
      </c>
      <c r="AA20" s="64">
        <f>IF((Y20+Z20)=0,"", Y20/(Y20+Z20))</f>
        <v/>
      </c>
      <c r="AB20" s="63">
        <f>COUNTIF('Detailed Attendance'!Q21:Q21, "P")+COUNTIF('Detailed Attendance'!AC21:AC21, "P")+COUNTIF('Detailed Attendance'!AK21:AK21, "P")+COUNTIF('Detailed Attendance'!AW21:AW21, "P")+COUNTIF('Detailed Attendance'!BE21:BE21, "P")+COUNTIF('Detailed Attendance'!BQ21:BQ21, "P")+COUNTIF('Detailed Attendance'!BY21:BY21, "P")+COUNTIF('Detailed Attendance'!CN21:CN21, "P")+COUNTIF('Detailed Attendance'!CV21:CV21, "P")</f>
        <v/>
      </c>
      <c r="AC20" s="63">
        <f>COUNTIF('Detailed Attendance'!Q21:Q21, "A")+COUNTIF('Detailed Attendance'!AC21:AC21, "A")+COUNTIF('Detailed Attendance'!AK21:AK21, "A")+COUNTIF('Detailed Attendance'!AW21:AW21, "A")+COUNTIF('Detailed Attendance'!BE21:BE21, "A")+COUNTIF('Detailed Attendance'!BQ21:BQ21, "A")+COUNTIF('Detailed Attendance'!BY21:BY21, "A")+COUNTIF('Detailed Attendance'!CN21:CN21, "A")+COUNTIF('Detailed Attendance'!CV21:CV21, "A")</f>
        <v/>
      </c>
      <c r="AD20" s="64">
        <f>IF((AB20+AC20)=0,"", AB20/(AB20+AC20))</f>
        <v/>
      </c>
      <c r="AE20" s="63">
        <f>COUNTIF('Detailed Attendance'!L21:L21, "P")+COUNTIF('Detailed Attendance'!P21:P21, "P")+COUNTIF('Detailed Attendance'!AF21:AF21, "P")+COUNTIF('Detailed Attendance'!AJ21:AJ21, "P")+COUNTIF('Detailed Attendance'!AZ21:AZ21, "P")+COUNTIF('Detailed Attendance'!BD21:BD21, "P")+COUNTIF('Detailed Attendance'!BT21:BT21, "P")+COUNTIF('Detailed Attendance'!BX21:BX21, "P")+COUNTIF('Detailed Attendance'!CQ21:CQ21, "P")+COUNTIF('Detailed Attendance'!CU21:CU21, "P")</f>
        <v/>
      </c>
      <c r="AF20" s="67">
        <f>COUNTIF('Detailed Attendance'!L21:L21, "A")+COUNTIF('Detailed Attendance'!P21:P21, "A")+COUNTIF('Detailed Attendance'!AF21:AF21, "A")+COUNTIF('Detailed Attendance'!AJ21:AJ21, "A")+COUNTIF('Detailed Attendance'!AZ21:AZ21, "A")+COUNTIF('Detailed Attendance'!BD21:BD21, "A")+COUNTIF('Detailed Attendance'!BT21:BT21, "A")+COUNTIF('Detailed Attendance'!BX21:BX21, "A")+COUNTIF('Detailed Attendance'!CQ21:CQ21, "A")+COUNTIF('Detailed Attendance'!CU21:CU21, "A")</f>
        <v/>
      </c>
      <c r="AG20" s="68">
        <f>IF((AE20+AF20)=0,"", AE20/(AE20+AF20))</f>
        <v/>
      </c>
      <c r="AH20" s="67">
        <f>COUNTIF('Detailed Attendance'!T21:T21, "P")+COUNTIF('Detailed Attendance'!AN21:AN21, "P")+COUNTIF('Detailed Attendance'!AR21:AR21, "P")+COUNTIF('Detailed Attendance'!BH21:BH21, "P")+COUNTIF('Detailed Attendance'!CB21:CB21, "P")+COUNTIF('Detailed Attendance'!CF21:CF21, "P")+COUNTIF('Detailed Attendance'!CY21:CY21, "P")</f>
        <v/>
      </c>
      <c r="AI20" s="67">
        <f>COUNTIF('Detailed Attendance'!T21:T21, "A")+COUNTIF('Detailed Attendance'!AN21:AN21, "A")+COUNTIF('Detailed Attendance'!AR21:AR21, "A")+COUNTIF('Detailed Attendance'!BH21:BH21, "A")+COUNTIF('Detailed Attendance'!CB21:CB21, "A")+COUNTIF('Detailed Attendance'!CF21:CF21, "A")+COUNTIF('Detailed Attendance'!CY21:CY21, "A")</f>
        <v/>
      </c>
      <c r="AJ20" s="68">
        <f>IF((AH20+AI20)=0,"", AH20/(AH20+AI20))</f>
        <v/>
      </c>
      <c r="AK20" s="67">
        <f>COUNTIF('Detailed Attendance'!M21:M21, "P")+COUNTIF('Detailed Attendance'!U21:U21, "P")+COUNTIF('Detailed Attendance'!AG21:AG21, "P")+COUNTIF('Detailed Attendance'!AO21:AO21, "P")+COUNTIF('Detailed Attendance'!BA21:BA21, "P")+COUNTIF('Detailed Attendance'!BI21:BI21, "P")+COUNTIF('Detailed Attendance'!BU21:BU21, "P")+COUNTIF('Detailed Attendance'!CC21:CC21, "P")+COUNTIF('Detailed Attendance'!CR21:CR21, "P")+COUNTIF('Detailed Attendance'!CZ21:CZ21, "P")</f>
        <v/>
      </c>
      <c r="AL20" s="67">
        <f>COUNTIF('Detailed Attendance'!M21:M21, "A")+COUNTIF('Detailed Attendance'!U21:U21, "A")+COUNTIF('Detailed Attendance'!AG21:AG21, "A")+COUNTIF('Detailed Attendance'!AO21:AO21, "A")+COUNTIF('Detailed Attendance'!BA21:BA21, "A")+COUNTIF('Detailed Attendance'!BI21:BI21, "A")+COUNTIF('Detailed Attendance'!BU21:BU21, "A")+COUNTIF('Detailed Attendance'!CC21:CC21, "A")+COUNTIF('Detailed Attendance'!CR21:CR21, "A")+COUNTIF('Detailed Attendance'!CZ21:CZ21, "A")</f>
        <v/>
      </c>
      <c r="AM20" s="68">
        <f>IF((AK20+AL20)=0,"", AK20/(AK20+AL20))</f>
        <v/>
      </c>
      <c r="AN20" s="67">
        <f>Y20+AB20+AE20+AH20+AK20</f>
        <v/>
      </c>
      <c r="AO20" s="67">
        <f>Z20+AC20+AF20+AI20+AL20</f>
        <v/>
      </c>
      <c r="AP20" s="68">
        <f>IF((AN20+AO20)=0,"", AN20/(AN20+AO20))</f>
        <v/>
      </c>
      <c r="AQ20" s="69">
        <f>COUNTIF('Detailed Attendance'!Y21:Y21, "P")+COUNTIF('Detailed Attendance'!AS21:AS21, "P")+COUNTIF('Detailed Attendance'!BM21:BM21, "P")+COUNTIF('Detailed Attendance'!CJ21:CJ21, "P")+COUNTIF('Detailed Attendance'!V21:V21, "P")+COUNTIF('Detailed Attendance'!AP21:AP21, "P")+COUNTIF('Detailed Attendance'!BJ21:BJ21, "P")+COUNTIF('Detailed Attendance'!CD21:CD21, "P")+COUNTIF('Detailed Attendance'!DA21:DA21, "P")+COUNTIF('Detailed Attendance'!CH21:CH21, "P")</f>
        <v/>
      </c>
      <c r="AR20" s="69">
        <f>COUNTIF('Detailed Attendance'!Y21:Y21, "A")+COUNTIF('Detailed Attendance'!AS21:AS21, "A")+COUNTIF('Detailed Attendance'!BM21:BM21, "A")+COUNTIF('Detailed Attendance'!CJ21:CJ21, "A")+COUNTIF('Detailed Attendance'!V21:V21, "A")+COUNTIF('Detailed Attendance'!AP21:AP21, "A")+COUNTIF('Detailed Attendance'!BJ21:BJ21, "A")+COUNTIF('Detailed Attendance'!CD21:CD21, "A")+COUNTIF('Detailed Attendance'!DA21:DA21, "A")+COUNTIF('Detailed Attendance'!CH21:CH21, "A")</f>
        <v/>
      </c>
      <c r="AS20" s="70">
        <f>IF((AQ20+AR20)=0,"", AQ20/(AQ20+AR20))</f>
        <v/>
      </c>
      <c r="AT20" s="67">
        <f>COUNTIF('Detailed Attendance'!DF21:DF21, "P")+COUNTIF('Detailed Attendance'!DT21:DT21, "P")+COUNTIF('Detailed Attendance'!EC21:EC21, "P")+COUNTIF('Detailed Attendance'!EQ21:EQ21, "P")+COUNTIF('Detailed Attendance'!EW21:EW21, "P")+COUNTIF('Detailed Attendance'!FK21:FK21, "P")+COUNTIF('Detailed Attendance'!FM21:FM21, "P")+COUNTIF('Detailed Attendance'!GA21:GA21, "P")</f>
        <v/>
      </c>
      <c r="AU20" s="67">
        <f>COUNTIF('Detailed Attendance'!DF21:DF21, "A")+COUNTIF('Detailed Attendance'!DT21:DT21, "A")+COUNTIF('Detailed Attendance'!EC21:EC21, "A")+COUNTIF('Detailed Attendance'!EQ21:EQ21, "A")+COUNTIF('Detailed Attendance'!EW21:EW21, "A")+COUNTIF('Detailed Attendance'!FK21:FK21, "A")+COUNTIF('Detailed Attendance'!FM21:FM21, "A")+COUNTIF('Detailed Attendance'!GA21:GA21, "A")</f>
        <v/>
      </c>
      <c r="AV20" s="68">
        <f>IF((AT20+AU20)=0,"", AT20/(AT20+AU20))</f>
        <v/>
      </c>
      <c r="AW20" s="67">
        <f>COUNTIF('Detailed Attendance'!DK21:DK21, "P")+COUNTIF('Detailed Attendance'!DS21:DS21, "P")+COUNTIF('Detailed Attendance'!EH21:EH21, "P")+COUNTIF('Detailed Attendance'!EP21:EP21, "P")+COUNTIF('Detailed Attendance'!FB21:FB21, "P")+COUNTIF('Detailed Attendance'!FJ21:FJ21, "P")+COUNTIF('Detailed Attendance'!FR21:FR21, "P")+COUNTIF('Detailed Attendance'!FZ21:FZ21, "P")</f>
        <v/>
      </c>
      <c r="AX20" s="67">
        <f>COUNTIF('Detailed Attendance'!DK21:DK21, "A")+COUNTIF('Detailed Attendance'!DS21:DS21, "A")+COUNTIF('Detailed Attendance'!EH21:EH21, "A")+COUNTIF('Detailed Attendance'!EP21:EP21, "A")+COUNTIF('Detailed Attendance'!FB21:FB21, "A")+COUNTIF('Detailed Attendance'!FJ21:FJ21, "A")+COUNTIF('Detailed Attendance'!FR21:FR21, "A")+COUNTIF('Detailed Attendance'!FZ21:FZ21, "A")</f>
        <v/>
      </c>
      <c r="AY20" s="68">
        <f>IF((AW20+AX20)=0,"", AW20/(AW20+AX20))</f>
        <v/>
      </c>
      <c r="AZ20" s="67">
        <f>COUNTIF('Detailed Attendance'!DN21:DN21, "P")+COUNTIF('Detailed Attendance'!DR21:DR21, "P")+COUNTIF('Detailed Attendance'!EK21:EK21, "P")+COUNTIF('Detailed Attendance'!EO21:EO21, "P")+COUNTIF('Detailed Attendance'!FE21:FE21, "P")+COUNTIF('Detailed Attendance'!FI21:FI21, "P")+COUNTIF('Detailed Attendance'!FU21:FU21, "P")+COUNTIF('Detailed Attendance'!FY21:FY21, "P")</f>
        <v/>
      </c>
      <c r="BA20" s="67">
        <f>COUNTIF('Detailed Attendance'!DN21:DN21, "A")+COUNTIF('Detailed Attendance'!DR21:DR21, "A")+COUNTIF('Detailed Attendance'!EK21:EK21, "A")+COUNTIF('Detailed Attendance'!EO21:EO21, "A")+COUNTIF('Detailed Attendance'!FE21:FE21, "A")+COUNTIF('Detailed Attendance'!FI21:FI21, "A")+COUNTIF('Detailed Attendance'!FU21:FU21, "A")+COUNTIF('Detailed Attendance'!FY21:FY21, "A")</f>
        <v/>
      </c>
      <c r="BB20" s="68">
        <f>IF((AZ20+BA20)=0,"", AZ20/(AZ20+BA20))</f>
        <v/>
      </c>
      <c r="BC20" s="67">
        <f>COUNTIF('Detailed Attendance'!DC21:DC21, "P")+COUNTIF('Detailed Attendance'!DV21:DV21, "P")+COUNTIF('Detailed Attendance'!DZ21:DZ21, "P")+COUNTIF('Detailed Attendance'!ES21:ES21, "P")+COUNTIF('Detailed Attendance'!GC21:GC21, "P")+COUNTIF('Detailed Attendance'!GG21:GG21, "P")</f>
        <v/>
      </c>
      <c r="BD20" s="67">
        <f>COUNTIF('Detailed Attendance'!DC21:DC21, "A")+COUNTIF('Detailed Attendance'!DV21:DV21, "A")+COUNTIF('Detailed Attendance'!DZ21:DZ21, "A")+COUNTIF('Detailed Attendance'!ES21:ES21, "A")+COUNTIF('Detailed Attendance'!GC21:GC21, "A")+COUNTIF('Detailed Attendance'!GG21:GG21, "A")</f>
        <v/>
      </c>
      <c r="BE20" s="68">
        <f>IF((BC20+BD20)=0,"", BC20/(BC20+BD20))</f>
        <v/>
      </c>
      <c r="BF20" s="67">
        <f>COUNTIF('Detailed Attendance'!DO21:DO21, "P")+COUNTIF('Detailed Attendance'!DW21:DW21, "P")+COUNTIF('Detailed Attendance'!EL21:EL21, "P")+COUNTIF('Detailed Attendance'!ET21:ET21, "P")+COUNTIF('Detailed Attendance'!FF21:FF21, "P")+COUNTIF('Detailed Attendance'!FV21:FV21, "P")+COUNTIF('Detailed Attendance'!GD21:GD21, "P")</f>
        <v/>
      </c>
      <c r="BG20" s="67">
        <f>COUNTIF('Detailed Attendance'!DO21:DO21, "A")+COUNTIF('Detailed Attendance'!DW21:DW21, "A")+COUNTIF('Detailed Attendance'!EL21:EL21, "A")+COUNTIF('Detailed Attendance'!ET21:ET21, "A")+COUNTIF('Detailed Attendance'!FF21:FF21, "A")+COUNTIF('Detailed Attendance'!FV21:FV21, "A")+COUNTIF('Detailed Attendance'!GD21:GD21, "A")</f>
        <v/>
      </c>
      <c r="BH20" s="68">
        <f>IF((BF20+BG20)=0,"", BF20/(BF20+BG20))</f>
        <v/>
      </c>
      <c r="BI20" s="67">
        <f>AT20+AW20+AZ20+BC20+BF20</f>
        <v/>
      </c>
      <c r="BJ20" s="67">
        <f>AU20+AX20+BA20+BD20+BG20</f>
        <v/>
      </c>
      <c r="BK20" s="68">
        <f>IF((BI20+BJ20)=0,"", BI20/(BI20+BJ20))</f>
        <v/>
      </c>
      <c r="BL20" s="69">
        <f>COUNTIF('Detailed Attendance'!DG21:DG21, "P")+COUNTIF('Detailed Attendance'!ED21:ED21, "P")+COUNTIF('Detailed Attendance'!EX21:EX21, "P")+COUNTIF('Detailed Attendance'!FN21:FN21, "P")+COUNTIF('Detailed Attendance'!DX21:DX21, "P")+COUNTIF('Detailed Attendance'!EU21:EU21, "P")+COUNTIF('Detailed Attendance'!GE21:GE21, "P")+COUNTIF('Detailed Attendance'!DE21:DE21, "P")+COUNTIF('Detailed Attendance'!EB21:EB21, "P")+COUNTIF('Detailed Attendance'!GI21:GI21, "P")</f>
        <v/>
      </c>
      <c r="BM20" s="69">
        <f>COUNTIF('Detailed Attendance'!DG21:DG21, "A")+COUNTIF('Detailed Attendance'!ED21:ED21, "A")+COUNTIF('Detailed Attendance'!EX21:EX21, "A")+COUNTIF('Detailed Attendance'!FN21:FN21, "A")+COUNTIF('Detailed Attendance'!DX21:DX21, "A")+COUNTIF('Detailed Attendance'!EU21:EU21, "A")+COUNTIF('Detailed Attendance'!GE21:GE21, "A")+COUNTIF('Detailed Attendance'!DE21:DE21, "A")+COUNTIF('Detailed Attendance'!EB21:EB21, "A")+COUNTIF('Detailed Attendance'!GI21:GI21, "A")</f>
        <v/>
      </c>
      <c r="BN20" s="70">
        <f>IF((BL20+BM20)=0,"", BL20/(BL20+BM20))</f>
        <v/>
      </c>
      <c r="BO20" s="67">
        <f>D20+Y20+AT20</f>
        <v/>
      </c>
      <c r="BP20" s="67">
        <f>E20+Z20+AU20</f>
        <v/>
      </c>
      <c r="BQ20" s="68">
        <f>IF((BO20+BP20)=0,"", BO20/(BO20+BP20))</f>
        <v/>
      </c>
      <c r="BR20" s="67">
        <f>G20+AB20+AW20</f>
        <v/>
      </c>
      <c r="BS20" s="67">
        <f>H20+AC20+AX20</f>
        <v/>
      </c>
      <c r="BT20" s="68">
        <f>IF((BR20+BS20)=0,"", BR20/(BR20+BS20))</f>
        <v/>
      </c>
      <c r="BU20" s="67">
        <f>J20+AE20+AZ20</f>
        <v/>
      </c>
      <c r="BV20" s="67">
        <f>K20+AF20+BA20</f>
        <v/>
      </c>
      <c r="BW20" s="68">
        <f>IF((BU20+BV20)=0,"", BU20/(BU20+BV20))</f>
        <v/>
      </c>
      <c r="BX20" s="67">
        <f>M20+AH20+BC20</f>
        <v/>
      </c>
      <c r="BY20" s="67">
        <f>N20+AI20+BD20</f>
        <v/>
      </c>
      <c r="BZ20" s="68">
        <f>IF((BX20+BY20)=0,"", BX20/(BX20+BY20))</f>
        <v/>
      </c>
      <c r="CA20" s="67">
        <f>P20+AK20+BF20</f>
        <v/>
      </c>
      <c r="CB20" s="67">
        <f>Q20+AL20+BG20</f>
        <v/>
      </c>
      <c r="CC20" s="68">
        <f>IF((CA20+CB20)=0,"", CA20/(CA20+CB20))</f>
        <v/>
      </c>
      <c r="CD20" s="67">
        <f>S20+AN20+BI20</f>
        <v/>
      </c>
      <c r="CE20" s="67">
        <f>T20+AO20+BJ20</f>
        <v/>
      </c>
      <c r="CF20" s="68">
        <f>IF((CD20+CE20)=0,"", CD20/(CD20+CE20))</f>
        <v/>
      </c>
      <c r="CG20" s="69">
        <f>V20+AQ20+BL20</f>
        <v/>
      </c>
      <c r="CH20" s="69">
        <f>W20+AR20+BM20</f>
        <v/>
      </c>
      <c r="CI20" s="70">
        <f>IF((CG20+CH20)=0,"", CG20/(CG20+CH20))</f>
        <v/>
      </c>
      <c r="CJ20" s="67">
        <f>CD20+(CG20*2)</f>
        <v/>
      </c>
      <c r="CK20" s="67">
        <f>CE20+(CH20*2)</f>
        <v/>
      </c>
      <c r="CL20" s="68">
        <f>IF((CJ20+CK20)=0,"", CJ20/(CJ20+CK20))</f>
        <v/>
      </c>
      <c r="CM20" s="67" t="inlineStr">
        <is>
          <t>Batch 1</t>
        </is>
      </c>
    </row>
    <row r="21" ht="14.25" customHeight="1" s="34">
      <c r="A21" s="46" t="n">
        <v>19</v>
      </c>
      <c r="B21" s="46" t="inlineStr">
        <is>
          <t>325106410019</t>
        </is>
      </c>
      <c r="C21" s="46" t="inlineStr">
        <is>
          <t>MUSTHAKHEEM KATTUBADI</t>
        </is>
      </c>
      <c r="D21" s="63" t="n">
        <v>0</v>
      </c>
      <c r="E21" s="63" t="n">
        <v>0</v>
      </c>
      <c r="F21" s="64">
        <f>IF((D21+E21)=0,"", D21/(D21+E21))</f>
        <v/>
      </c>
      <c r="G21" s="63">
        <f>COUNTIF('Detailed Attendance'!I22:I22, "P")</f>
        <v/>
      </c>
      <c r="H21" s="63">
        <f>COUNTIF('Detailed Attendance'!I22:I22, "A")</f>
        <v/>
      </c>
      <c r="I21" s="64">
        <f>IF((G21+H21)=0,"", G21/(G21+H21))</f>
        <v/>
      </c>
      <c r="J21" s="63" t="n">
        <v>0</v>
      </c>
      <c r="K21" s="63" t="n">
        <v>0</v>
      </c>
      <c r="L21" s="64">
        <f>IF((J21+K21)=0,"", J21/(J21+K21))</f>
        <v/>
      </c>
      <c r="M21" s="63">
        <f>COUNTIF('Detailed Attendance'!D22:D22, "P")</f>
        <v/>
      </c>
      <c r="N21" s="63">
        <f>COUNTIF('Detailed Attendance'!D22:D22, "A")</f>
        <v/>
      </c>
      <c r="O21" s="64">
        <f>IF((M21+N21)=0,"", M21/(M21+N21))</f>
        <v/>
      </c>
      <c r="P21" s="63" t="n">
        <v>0</v>
      </c>
      <c r="Q21" s="63" t="n">
        <v>0</v>
      </c>
      <c r="R21" s="64">
        <f>IF((P21+Q21)=0,"", P21/(P21+Q21))</f>
        <v/>
      </c>
      <c r="S21" s="63">
        <f>D21+G21+J21+M21+P21</f>
        <v/>
      </c>
      <c r="T21" s="63">
        <f>E21+H21+K21+N21+Q21</f>
        <v/>
      </c>
      <c r="U21" s="64">
        <f>IF((S21+T21)=0,"", S21/(S21+T21))</f>
        <v/>
      </c>
      <c r="V21" s="65">
        <f>COUNTIF('Detailed Attendance'!E22:E22, "P")</f>
        <v/>
      </c>
      <c r="W21" s="65">
        <f>COUNTIF('Detailed Attendance'!E22:E22, "A")</f>
        <v/>
      </c>
      <c r="X21" s="66">
        <f>IF((V21+W21)=0,"", V21/(V21+W21))</f>
        <v/>
      </c>
      <c r="Y21" s="63">
        <f>COUNTIF('Detailed Attendance'!R22:R22, "P")+COUNTIF('Detailed Attendance'!X22:X22, "P")+COUNTIF('Detailed Attendance'!AL22:AL22, "P")+COUNTIF('Detailed Attendance'!BF22:BF22, "P")+COUNTIF('Detailed Attendance'!BL22:BL22, "P")+COUNTIF('Detailed Attendance'!BZ22:BZ22, "P")+COUNTIF('Detailed Attendance'!CI22:CI22, "P")+COUNTIF('Detailed Attendance'!CW22:CW22, "P")</f>
        <v/>
      </c>
      <c r="Z21" s="63">
        <f>COUNTIF('Detailed Attendance'!R22:R22, "A")+COUNTIF('Detailed Attendance'!X22:X22, "A")+COUNTIF('Detailed Attendance'!AL22:AL22, "A")+COUNTIF('Detailed Attendance'!BF22:BF22, "A")+COUNTIF('Detailed Attendance'!BL22:BL22, "A")+COUNTIF('Detailed Attendance'!BZ22:BZ22, "A")+COUNTIF('Detailed Attendance'!CI22:CI22, "A")+COUNTIF('Detailed Attendance'!CW22:CW22, "A")</f>
        <v/>
      </c>
      <c r="AA21" s="64">
        <f>IF((Y21+Z21)=0,"", Y21/(Y21+Z21))</f>
        <v/>
      </c>
      <c r="AB21" s="63">
        <f>COUNTIF('Detailed Attendance'!Q22:Q22, "P")+COUNTIF('Detailed Attendance'!AC22:AC22, "P")+COUNTIF('Detailed Attendance'!AK22:AK22, "P")+COUNTIF('Detailed Attendance'!AW22:AW22, "P")+COUNTIF('Detailed Attendance'!BE22:BE22, "P")+COUNTIF('Detailed Attendance'!BQ22:BQ22, "P")+COUNTIF('Detailed Attendance'!BY22:BY22, "P")+COUNTIF('Detailed Attendance'!CN22:CN22, "P")+COUNTIF('Detailed Attendance'!CV22:CV22, "P")</f>
        <v/>
      </c>
      <c r="AC21" s="63">
        <f>COUNTIF('Detailed Attendance'!Q22:Q22, "A")+COUNTIF('Detailed Attendance'!AC22:AC22, "A")+COUNTIF('Detailed Attendance'!AK22:AK22, "A")+COUNTIF('Detailed Attendance'!AW22:AW22, "A")+COUNTIF('Detailed Attendance'!BE22:BE22, "A")+COUNTIF('Detailed Attendance'!BQ22:BQ22, "A")+COUNTIF('Detailed Attendance'!BY22:BY22, "A")+COUNTIF('Detailed Attendance'!CN22:CN22, "A")+COUNTIF('Detailed Attendance'!CV22:CV22, "A")</f>
        <v/>
      </c>
      <c r="AD21" s="64">
        <f>IF((AB21+AC21)=0,"", AB21/(AB21+AC21))</f>
        <v/>
      </c>
      <c r="AE21" s="63">
        <f>COUNTIF('Detailed Attendance'!L22:L22, "P")+COUNTIF('Detailed Attendance'!P22:P22, "P")+COUNTIF('Detailed Attendance'!AF22:AF22, "P")+COUNTIF('Detailed Attendance'!AJ22:AJ22, "P")+COUNTIF('Detailed Attendance'!AZ22:AZ22, "P")+COUNTIF('Detailed Attendance'!BD22:BD22, "P")+COUNTIF('Detailed Attendance'!BT22:BT22, "P")+COUNTIF('Detailed Attendance'!BX22:BX22, "P")+COUNTIF('Detailed Attendance'!CQ22:CQ22, "P")+COUNTIF('Detailed Attendance'!CU22:CU22, "P")</f>
        <v/>
      </c>
      <c r="AF21" s="67">
        <f>COUNTIF('Detailed Attendance'!L22:L22, "A")+COUNTIF('Detailed Attendance'!P22:P22, "A")+COUNTIF('Detailed Attendance'!AF22:AF22, "A")+COUNTIF('Detailed Attendance'!AJ22:AJ22, "A")+COUNTIF('Detailed Attendance'!AZ22:AZ22, "A")+COUNTIF('Detailed Attendance'!BD22:BD22, "A")+COUNTIF('Detailed Attendance'!BT22:BT22, "A")+COUNTIF('Detailed Attendance'!BX22:BX22, "A")+COUNTIF('Detailed Attendance'!CQ22:CQ22, "A")+COUNTIF('Detailed Attendance'!CU22:CU22, "A")</f>
        <v/>
      </c>
      <c r="AG21" s="68">
        <f>IF((AE21+AF21)=0,"", AE21/(AE21+AF21))</f>
        <v/>
      </c>
      <c r="AH21" s="67">
        <f>COUNTIF('Detailed Attendance'!T22:T22, "P")+COUNTIF('Detailed Attendance'!AN22:AN22, "P")+COUNTIF('Detailed Attendance'!AR22:AR22, "P")+COUNTIF('Detailed Attendance'!BH22:BH22, "P")+COUNTIF('Detailed Attendance'!CB22:CB22, "P")+COUNTIF('Detailed Attendance'!CF22:CF22, "P")+COUNTIF('Detailed Attendance'!CY22:CY22, "P")</f>
        <v/>
      </c>
      <c r="AI21" s="67">
        <f>COUNTIF('Detailed Attendance'!T22:T22, "A")+COUNTIF('Detailed Attendance'!AN22:AN22, "A")+COUNTIF('Detailed Attendance'!AR22:AR22, "A")+COUNTIF('Detailed Attendance'!BH22:BH22, "A")+COUNTIF('Detailed Attendance'!CB22:CB22, "A")+COUNTIF('Detailed Attendance'!CF22:CF22, "A")+COUNTIF('Detailed Attendance'!CY22:CY22, "A")</f>
        <v/>
      </c>
      <c r="AJ21" s="68">
        <f>IF((AH21+AI21)=0,"", AH21/(AH21+AI21))</f>
        <v/>
      </c>
      <c r="AK21" s="67">
        <f>COUNTIF('Detailed Attendance'!M22:M22, "P")+COUNTIF('Detailed Attendance'!U22:U22, "P")+COUNTIF('Detailed Attendance'!AG22:AG22, "P")+COUNTIF('Detailed Attendance'!AO22:AO22, "P")+COUNTIF('Detailed Attendance'!BA22:BA22, "P")+COUNTIF('Detailed Attendance'!BI22:BI22, "P")+COUNTIF('Detailed Attendance'!BU22:BU22, "P")+COUNTIF('Detailed Attendance'!CC22:CC22, "P")+COUNTIF('Detailed Attendance'!CR22:CR22, "P")+COUNTIF('Detailed Attendance'!CZ22:CZ22, "P")</f>
        <v/>
      </c>
      <c r="AL21" s="67">
        <f>COUNTIF('Detailed Attendance'!M22:M22, "A")+COUNTIF('Detailed Attendance'!U22:U22, "A")+COUNTIF('Detailed Attendance'!AG22:AG22, "A")+COUNTIF('Detailed Attendance'!AO22:AO22, "A")+COUNTIF('Detailed Attendance'!BA22:BA22, "A")+COUNTIF('Detailed Attendance'!BI22:BI22, "A")+COUNTIF('Detailed Attendance'!BU22:BU22, "A")+COUNTIF('Detailed Attendance'!CC22:CC22, "A")+COUNTIF('Detailed Attendance'!CR22:CR22, "A")+COUNTIF('Detailed Attendance'!CZ22:CZ22, "A")</f>
        <v/>
      </c>
      <c r="AM21" s="68">
        <f>IF((AK21+AL21)=0,"", AK21/(AK21+AL21))</f>
        <v/>
      </c>
      <c r="AN21" s="67">
        <f>Y21+AB21+AE21+AH21+AK21</f>
        <v/>
      </c>
      <c r="AO21" s="67">
        <f>Z21+AC21+AF21+AI21+AL21</f>
        <v/>
      </c>
      <c r="AP21" s="68">
        <f>IF((AN21+AO21)=0,"", AN21/(AN21+AO21))</f>
        <v/>
      </c>
      <c r="AQ21" s="69">
        <f>COUNTIF('Detailed Attendance'!Y22:Y22, "P")+COUNTIF('Detailed Attendance'!AS22:AS22, "P")+COUNTIF('Detailed Attendance'!BM22:BM22, "P")+COUNTIF('Detailed Attendance'!CJ22:CJ22, "P")+COUNTIF('Detailed Attendance'!V22:V22, "P")+COUNTIF('Detailed Attendance'!AP22:AP22, "P")+COUNTIF('Detailed Attendance'!BJ22:BJ22, "P")+COUNTIF('Detailed Attendance'!CD22:CD22, "P")+COUNTIF('Detailed Attendance'!DA22:DA22, "P")+COUNTIF('Detailed Attendance'!CH22:CH22, "P")</f>
        <v/>
      </c>
      <c r="AR21" s="69">
        <f>COUNTIF('Detailed Attendance'!Y22:Y22, "A")+COUNTIF('Detailed Attendance'!AS22:AS22, "A")+COUNTIF('Detailed Attendance'!BM22:BM22, "A")+COUNTIF('Detailed Attendance'!CJ22:CJ22, "A")+COUNTIF('Detailed Attendance'!V22:V22, "A")+COUNTIF('Detailed Attendance'!AP22:AP22, "A")+COUNTIF('Detailed Attendance'!BJ22:BJ22, "A")+COUNTIF('Detailed Attendance'!CD22:CD22, "A")+COUNTIF('Detailed Attendance'!DA22:DA22, "A")+COUNTIF('Detailed Attendance'!CH22:CH22, "A")</f>
        <v/>
      </c>
      <c r="AS21" s="70">
        <f>IF((AQ21+AR21)=0,"", AQ21/(AQ21+AR21))</f>
        <v/>
      </c>
      <c r="AT21" s="67">
        <f>COUNTIF('Detailed Attendance'!DF22:DF22, "P")+COUNTIF('Detailed Attendance'!DT22:DT22, "P")+COUNTIF('Detailed Attendance'!EC22:EC22, "P")+COUNTIF('Detailed Attendance'!EQ22:EQ22, "P")+COUNTIF('Detailed Attendance'!EW22:EW22, "P")+COUNTIF('Detailed Attendance'!FK22:FK22, "P")+COUNTIF('Detailed Attendance'!FM22:FM22, "P")+COUNTIF('Detailed Attendance'!GA22:GA22, "P")</f>
        <v/>
      </c>
      <c r="AU21" s="67">
        <f>COUNTIF('Detailed Attendance'!DF22:DF22, "A")+COUNTIF('Detailed Attendance'!DT22:DT22, "A")+COUNTIF('Detailed Attendance'!EC22:EC22, "A")+COUNTIF('Detailed Attendance'!EQ22:EQ22, "A")+COUNTIF('Detailed Attendance'!EW22:EW22, "A")+COUNTIF('Detailed Attendance'!FK22:FK22, "A")+COUNTIF('Detailed Attendance'!FM22:FM22, "A")+COUNTIF('Detailed Attendance'!GA22:GA22, "A")</f>
        <v/>
      </c>
      <c r="AV21" s="68">
        <f>IF((AT21+AU21)=0,"", AT21/(AT21+AU21))</f>
        <v/>
      </c>
      <c r="AW21" s="67">
        <f>COUNTIF('Detailed Attendance'!DK22:DK22, "P")+COUNTIF('Detailed Attendance'!DS22:DS22, "P")+COUNTIF('Detailed Attendance'!EH22:EH22, "P")+COUNTIF('Detailed Attendance'!EP22:EP22, "P")+COUNTIF('Detailed Attendance'!FB22:FB22, "P")+COUNTIF('Detailed Attendance'!FJ22:FJ22, "P")+COUNTIF('Detailed Attendance'!FR22:FR22, "P")+COUNTIF('Detailed Attendance'!FZ22:FZ22, "P")</f>
        <v/>
      </c>
      <c r="AX21" s="67">
        <f>COUNTIF('Detailed Attendance'!DK22:DK22, "A")+COUNTIF('Detailed Attendance'!DS22:DS22, "A")+COUNTIF('Detailed Attendance'!EH22:EH22, "A")+COUNTIF('Detailed Attendance'!EP22:EP22, "A")+COUNTIF('Detailed Attendance'!FB22:FB22, "A")+COUNTIF('Detailed Attendance'!FJ22:FJ22, "A")+COUNTIF('Detailed Attendance'!FR22:FR22, "A")+COUNTIF('Detailed Attendance'!FZ22:FZ22, "A")</f>
        <v/>
      </c>
      <c r="AY21" s="68">
        <f>IF((AW21+AX21)=0,"", AW21/(AW21+AX21))</f>
        <v/>
      </c>
      <c r="AZ21" s="67">
        <f>COUNTIF('Detailed Attendance'!DN22:DN22, "P")+COUNTIF('Detailed Attendance'!DR22:DR22, "P")+COUNTIF('Detailed Attendance'!EK22:EK22, "P")+COUNTIF('Detailed Attendance'!EO22:EO22, "P")+COUNTIF('Detailed Attendance'!FE22:FE22, "P")+COUNTIF('Detailed Attendance'!FI22:FI22, "P")+COUNTIF('Detailed Attendance'!FU22:FU22, "P")+COUNTIF('Detailed Attendance'!FY22:FY22, "P")</f>
        <v/>
      </c>
      <c r="BA21" s="67">
        <f>COUNTIF('Detailed Attendance'!DN22:DN22, "A")+COUNTIF('Detailed Attendance'!DR22:DR22, "A")+COUNTIF('Detailed Attendance'!EK22:EK22, "A")+COUNTIF('Detailed Attendance'!EO22:EO22, "A")+COUNTIF('Detailed Attendance'!FE22:FE22, "A")+COUNTIF('Detailed Attendance'!FI22:FI22, "A")+COUNTIF('Detailed Attendance'!FU22:FU22, "A")+COUNTIF('Detailed Attendance'!FY22:FY22, "A")</f>
        <v/>
      </c>
      <c r="BB21" s="68">
        <f>IF((AZ21+BA21)=0,"", AZ21/(AZ21+BA21))</f>
        <v/>
      </c>
      <c r="BC21" s="67">
        <f>COUNTIF('Detailed Attendance'!DC22:DC22, "P")+COUNTIF('Detailed Attendance'!DV22:DV22, "P")+COUNTIF('Detailed Attendance'!DZ22:DZ22, "P")+COUNTIF('Detailed Attendance'!ES22:ES22, "P")+COUNTIF('Detailed Attendance'!GC22:GC22, "P")+COUNTIF('Detailed Attendance'!GG22:GG22, "P")</f>
        <v/>
      </c>
      <c r="BD21" s="67">
        <f>COUNTIF('Detailed Attendance'!DC22:DC22, "A")+COUNTIF('Detailed Attendance'!DV22:DV22, "A")+COUNTIF('Detailed Attendance'!DZ22:DZ22, "A")+COUNTIF('Detailed Attendance'!ES22:ES22, "A")+COUNTIF('Detailed Attendance'!GC22:GC22, "A")+COUNTIF('Detailed Attendance'!GG22:GG22, "A")</f>
        <v/>
      </c>
      <c r="BE21" s="68">
        <f>IF((BC21+BD21)=0,"", BC21/(BC21+BD21))</f>
        <v/>
      </c>
      <c r="BF21" s="67">
        <f>COUNTIF('Detailed Attendance'!DO22:DO22, "P")+COUNTIF('Detailed Attendance'!DW22:DW22, "P")+COUNTIF('Detailed Attendance'!EL22:EL22, "P")+COUNTIF('Detailed Attendance'!ET22:ET22, "P")+COUNTIF('Detailed Attendance'!FF22:FF22, "P")+COUNTIF('Detailed Attendance'!FV22:FV22, "P")+COUNTIF('Detailed Attendance'!GD22:GD22, "P")</f>
        <v/>
      </c>
      <c r="BG21" s="67">
        <f>COUNTIF('Detailed Attendance'!DO22:DO22, "A")+COUNTIF('Detailed Attendance'!DW22:DW22, "A")+COUNTIF('Detailed Attendance'!EL22:EL22, "A")+COUNTIF('Detailed Attendance'!ET22:ET22, "A")+COUNTIF('Detailed Attendance'!FF22:FF22, "A")+COUNTIF('Detailed Attendance'!FV22:FV22, "A")+COUNTIF('Detailed Attendance'!GD22:GD22, "A")</f>
        <v/>
      </c>
      <c r="BH21" s="68">
        <f>IF((BF21+BG21)=0,"", BF21/(BF21+BG21))</f>
        <v/>
      </c>
      <c r="BI21" s="67">
        <f>AT21+AW21+AZ21+BC21+BF21</f>
        <v/>
      </c>
      <c r="BJ21" s="67">
        <f>AU21+AX21+BA21+BD21+BG21</f>
        <v/>
      </c>
      <c r="BK21" s="68">
        <f>IF((BI21+BJ21)=0,"", BI21/(BI21+BJ21))</f>
        <v/>
      </c>
      <c r="BL21" s="69">
        <f>COUNTIF('Detailed Attendance'!DG22:DG22, "P")+COUNTIF('Detailed Attendance'!ED22:ED22, "P")+COUNTIF('Detailed Attendance'!EX22:EX22, "P")+COUNTIF('Detailed Attendance'!FN22:FN22, "P")+COUNTIF('Detailed Attendance'!DX22:DX22, "P")+COUNTIF('Detailed Attendance'!EU22:EU22, "P")+COUNTIF('Detailed Attendance'!GE22:GE22, "P")+COUNTIF('Detailed Attendance'!DE22:DE22, "P")+COUNTIF('Detailed Attendance'!EB22:EB22, "P")+COUNTIF('Detailed Attendance'!GI22:GI22, "P")</f>
        <v/>
      </c>
      <c r="BM21" s="69">
        <f>COUNTIF('Detailed Attendance'!DG22:DG22, "A")+COUNTIF('Detailed Attendance'!ED22:ED22, "A")+COUNTIF('Detailed Attendance'!EX22:EX22, "A")+COUNTIF('Detailed Attendance'!FN22:FN22, "A")+COUNTIF('Detailed Attendance'!DX22:DX22, "A")+COUNTIF('Detailed Attendance'!EU22:EU22, "A")+COUNTIF('Detailed Attendance'!GE22:GE22, "A")+COUNTIF('Detailed Attendance'!DE22:DE22, "A")+COUNTIF('Detailed Attendance'!EB22:EB22, "A")+COUNTIF('Detailed Attendance'!GI22:GI22, "A")</f>
        <v/>
      </c>
      <c r="BN21" s="70">
        <f>IF((BL21+BM21)=0,"", BL21/(BL21+BM21))</f>
        <v/>
      </c>
      <c r="BO21" s="67">
        <f>D21+Y21+AT21</f>
        <v/>
      </c>
      <c r="BP21" s="67">
        <f>E21+Z21+AU21</f>
        <v/>
      </c>
      <c r="BQ21" s="68">
        <f>IF((BO21+BP21)=0,"", BO21/(BO21+BP21))</f>
        <v/>
      </c>
      <c r="BR21" s="67">
        <f>G21+AB21+AW21</f>
        <v/>
      </c>
      <c r="BS21" s="67">
        <f>H21+AC21+AX21</f>
        <v/>
      </c>
      <c r="BT21" s="68">
        <f>IF((BR21+BS21)=0,"", BR21/(BR21+BS21))</f>
        <v/>
      </c>
      <c r="BU21" s="67">
        <f>J21+AE21+AZ21</f>
        <v/>
      </c>
      <c r="BV21" s="67">
        <f>K21+AF21+BA21</f>
        <v/>
      </c>
      <c r="BW21" s="68">
        <f>IF((BU21+BV21)=0,"", BU21/(BU21+BV21))</f>
        <v/>
      </c>
      <c r="BX21" s="67">
        <f>M21+AH21+BC21</f>
        <v/>
      </c>
      <c r="BY21" s="67">
        <f>N21+AI21+BD21</f>
        <v/>
      </c>
      <c r="BZ21" s="68">
        <f>IF((BX21+BY21)=0,"", BX21/(BX21+BY21))</f>
        <v/>
      </c>
      <c r="CA21" s="67">
        <f>P21+AK21+BF21</f>
        <v/>
      </c>
      <c r="CB21" s="67">
        <f>Q21+AL21+BG21</f>
        <v/>
      </c>
      <c r="CC21" s="68">
        <f>IF((CA21+CB21)=0,"", CA21/(CA21+CB21))</f>
        <v/>
      </c>
      <c r="CD21" s="67">
        <f>S21+AN21+BI21</f>
        <v/>
      </c>
      <c r="CE21" s="67">
        <f>T21+AO21+BJ21</f>
        <v/>
      </c>
      <c r="CF21" s="68">
        <f>IF((CD21+CE21)=0,"", CD21/(CD21+CE21))</f>
        <v/>
      </c>
      <c r="CG21" s="69">
        <f>V21+AQ21+BL21</f>
        <v/>
      </c>
      <c r="CH21" s="69">
        <f>W21+AR21+BM21</f>
        <v/>
      </c>
      <c r="CI21" s="70">
        <f>IF((CG21+CH21)=0,"", CG21/(CG21+CH21))</f>
        <v/>
      </c>
      <c r="CJ21" s="67">
        <f>CD21+(CG21*2)</f>
        <v/>
      </c>
      <c r="CK21" s="67">
        <f>CE21+(CH21*2)</f>
        <v/>
      </c>
      <c r="CL21" s="68">
        <f>IF((CJ21+CK21)=0,"", CJ21/(CJ21+CK21))</f>
        <v/>
      </c>
      <c r="CM21" s="67" t="inlineStr">
        <is>
          <t>Batch 1</t>
        </is>
      </c>
    </row>
    <row r="22" ht="14.25" customHeight="1" s="34">
      <c r="A22" s="46" t="n">
        <v>20</v>
      </c>
      <c r="B22" s="46" t="inlineStr">
        <is>
          <t>325106410020</t>
        </is>
      </c>
      <c r="C22" s="46" t="inlineStr">
        <is>
          <t>HEMA VENKATA SAI RAM CHARAN KOMMURU</t>
        </is>
      </c>
      <c r="D22" s="63" t="n">
        <v>0</v>
      </c>
      <c r="E22" s="63" t="n">
        <v>0</v>
      </c>
      <c r="F22" s="64">
        <f>IF((D22+E22)=0,"", D22/(D22+E22))</f>
        <v/>
      </c>
      <c r="G22" s="63">
        <f>COUNTIF('Detailed Attendance'!I23:I23, "P")</f>
        <v/>
      </c>
      <c r="H22" s="63">
        <f>COUNTIF('Detailed Attendance'!I23:I23, "A")</f>
        <v/>
      </c>
      <c r="I22" s="64">
        <f>IF((G22+H22)=0,"", G22/(G22+H22))</f>
        <v/>
      </c>
      <c r="J22" s="63" t="n">
        <v>0</v>
      </c>
      <c r="K22" s="63" t="n">
        <v>0</v>
      </c>
      <c r="L22" s="64">
        <f>IF((J22+K22)=0,"", J22/(J22+K22))</f>
        <v/>
      </c>
      <c r="M22" s="63">
        <f>COUNTIF('Detailed Attendance'!D23:D23, "P")</f>
        <v/>
      </c>
      <c r="N22" s="63">
        <f>COUNTIF('Detailed Attendance'!D23:D23, "A")</f>
        <v/>
      </c>
      <c r="O22" s="64">
        <f>IF((M22+N22)=0,"", M22/(M22+N22))</f>
        <v/>
      </c>
      <c r="P22" s="63" t="n">
        <v>0</v>
      </c>
      <c r="Q22" s="63" t="n">
        <v>0</v>
      </c>
      <c r="R22" s="64">
        <f>IF((P22+Q22)=0,"", P22/(P22+Q22))</f>
        <v/>
      </c>
      <c r="S22" s="63">
        <f>D22+G22+J22+M22+P22</f>
        <v/>
      </c>
      <c r="T22" s="63">
        <f>E22+H22+K22+N22+Q22</f>
        <v/>
      </c>
      <c r="U22" s="64">
        <f>IF((S22+T22)=0,"", S22/(S22+T22))</f>
        <v/>
      </c>
      <c r="V22" s="65">
        <f>COUNTIF('Detailed Attendance'!E23:E23, "P")</f>
        <v/>
      </c>
      <c r="W22" s="65">
        <f>COUNTIF('Detailed Attendance'!E23:E23, "A")</f>
        <v/>
      </c>
      <c r="X22" s="66">
        <f>IF((V22+W22)=0,"", V22/(V22+W22))</f>
        <v/>
      </c>
      <c r="Y22" s="63">
        <f>COUNTIF('Detailed Attendance'!R23:R23, "P")+COUNTIF('Detailed Attendance'!X23:X23, "P")+COUNTIF('Detailed Attendance'!AL23:AL23, "P")+COUNTIF('Detailed Attendance'!BF23:BF23, "P")+COUNTIF('Detailed Attendance'!BL23:BL23, "P")+COUNTIF('Detailed Attendance'!BZ23:BZ23, "P")+COUNTIF('Detailed Attendance'!CI23:CI23, "P")+COUNTIF('Detailed Attendance'!CW23:CW23, "P")</f>
        <v/>
      </c>
      <c r="Z22" s="63">
        <f>COUNTIF('Detailed Attendance'!R23:R23, "A")+COUNTIF('Detailed Attendance'!X23:X23, "A")+COUNTIF('Detailed Attendance'!AL23:AL23, "A")+COUNTIF('Detailed Attendance'!BF23:BF23, "A")+COUNTIF('Detailed Attendance'!BL23:BL23, "A")+COUNTIF('Detailed Attendance'!BZ23:BZ23, "A")+COUNTIF('Detailed Attendance'!CI23:CI23, "A")+COUNTIF('Detailed Attendance'!CW23:CW23, "A")</f>
        <v/>
      </c>
      <c r="AA22" s="64">
        <f>IF((Y22+Z22)=0,"", Y22/(Y22+Z22))</f>
        <v/>
      </c>
      <c r="AB22" s="63">
        <f>COUNTIF('Detailed Attendance'!Q23:Q23, "P")+COUNTIF('Detailed Attendance'!AC23:AC23, "P")+COUNTIF('Detailed Attendance'!AK23:AK23, "P")+COUNTIF('Detailed Attendance'!AW23:AW23, "P")+COUNTIF('Detailed Attendance'!BE23:BE23, "P")+COUNTIF('Detailed Attendance'!BQ23:BQ23, "P")+COUNTIF('Detailed Attendance'!BY23:BY23, "P")+COUNTIF('Detailed Attendance'!CN23:CN23, "P")+COUNTIF('Detailed Attendance'!CV23:CV23, "P")</f>
        <v/>
      </c>
      <c r="AC22" s="63">
        <f>COUNTIF('Detailed Attendance'!Q23:Q23, "A")+COUNTIF('Detailed Attendance'!AC23:AC23, "A")+COUNTIF('Detailed Attendance'!AK23:AK23, "A")+COUNTIF('Detailed Attendance'!AW23:AW23, "A")+COUNTIF('Detailed Attendance'!BE23:BE23, "A")+COUNTIF('Detailed Attendance'!BQ23:BQ23, "A")+COUNTIF('Detailed Attendance'!BY23:BY23, "A")+COUNTIF('Detailed Attendance'!CN23:CN23, "A")+COUNTIF('Detailed Attendance'!CV23:CV23, "A")</f>
        <v/>
      </c>
      <c r="AD22" s="64">
        <f>IF((AB22+AC22)=0,"", AB22/(AB22+AC22))</f>
        <v/>
      </c>
      <c r="AE22" s="63">
        <f>COUNTIF('Detailed Attendance'!L23:L23, "P")+COUNTIF('Detailed Attendance'!P23:P23, "P")+COUNTIF('Detailed Attendance'!AF23:AF23, "P")+COUNTIF('Detailed Attendance'!AJ23:AJ23, "P")+COUNTIF('Detailed Attendance'!AZ23:AZ23, "P")+COUNTIF('Detailed Attendance'!BD23:BD23, "P")+COUNTIF('Detailed Attendance'!BT23:BT23, "P")+COUNTIF('Detailed Attendance'!BX23:BX23, "P")+COUNTIF('Detailed Attendance'!CQ23:CQ23, "P")+COUNTIF('Detailed Attendance'!CU23:CU23, "P")</f>
        <v/>
      </c>
      <c r="AF22" s="67">
        <f>COUNTIF('Detailed Attendance'!L23:L23, "A")+COUNTIF('Detailed Attendance'!P23:P23, "A")+COUNTIF('Detailed Attendance'!AF23:AF23, "A")+COUNTIF('Detailed Attendance'!AJ23:AJ23, "A")+COUNTIF('Detailed Attendance'!AZ23:AZ23, "A")+COUNTIF('Detailed Attendance'!BD23:BD23, "A")+COUNTIF('Detailed Attendance'!BT23:BT23, "A")+COUNTIF('Detailed Attendance'!BX23:BX23, "A")+COUNTIF('Detailed Attendance'!CQ23:CQ23, "A")+COUNTIF('Detailed Attendance'!CU23:CU23, "A")</f>
        <v/>
      </c>
      <c r="AG22" s="68">
        <f>IF((AE22+AF22)=0,"", AE22/(AE22+AF22))</f>
        <v/>
      </c>
      <c r="AH22" s="67">
        <f>COUNTIF('Detailed Attendance'!T23:T23, "P")+COUNTIF('Detailed Attendance'!AN23:AN23, "P")+COUNTIF('Detailed Attendance'!AR23:AR23, "P")+COUNTIF('Detailed Attendance'!BH23:BH23, "P")+COUNTIF('Detailed Attendance'!CB23:CB23, "P")+COUNTIF('Detailed Attendance'!CF23:CF23, "P")+COUNTIF('Detailed Attendance'!CY23:CY23, "P")</f>
        <v/>
      </c>
      <c r="AI22" s="67">
        <f>COUNTIF('Detailed Attendance'!T23:T23, "A")+COUNTIF('Detailed Attendance'!AN23:AN23, "A")+COUNTIF('Detailed Attendance'!AR23:AR23, "A")+COUNTIF('Detailed Attendance'!BH23:BH23, "A")+COUNTIF('Detailed Attendance'!CB23:CB23, "A")+COUNTIF('Detailed Attendance'!CF23:CF23, "A")+COUNTIF('Detailed Attendance'!CY23:CY23, "A")</f>
        <v/>
      </c>
      <c r="AJ22" s="68">
        <f>IF((AH22+AI22)=0,"", AH22/(AH22+AI22))</f>
        <v/>
      </c>
      <c r="AK22" s="67">
        <f>COUNTIF('Detailed Attendance'!M23:M23, "P")+COUNTIF('Detailed Attendance'!U23:U23, "P")+COUNTIF('Detailed Attendance'!AG23:AG23, "P")+COUNTIF('Detailed Attendance'!AO23:AO23, "P")+COUNTIF('Detailed Attendance'!BA23:BA23, "P")+COUNTIF('Detailed Attendance'!BI23:BI23, "P")+COUNTIF('Detailed Attendance'!BU23:BU23, "P")+COUNTIF('Detailed Attendance'!CC23:CC23, "P")+COUNTIF('Detailed Attendance'!CR23:CR23, "P")+COUNTIF('Detailed Attendance'!CZ23:CZ23, "P")</f>
        <v/>
      </c>
      <c r="AL22" s="67">
        <f>COUNTIF('Detailed Attendance'!M23:M23, "A")+COUNTIF('Detailed Attendance'!U23:U23, "A")+COUNTIF('Detailed Attendance'!AG23:AG23, "A")+COUNTIF('Detailed Attendance'!AO23:AO23, "A")+COUNTIF('Detailed Attendance'!BA23:BA23, "A")+COUNTIF('Detailed Attendance'!BI23:BI23, "A")+COUNTIF('Detailed Attendance'!BU23:BU23, "A")+COUNTIF('Detailed Attendance'!CC23:CC23, "A")+COUNTIF('Detailed Attendance'!CR23:CR23, "A")+COUNTIF('Detailed Attendance'!CZ23:CZ23, "A")</f>
        <v/>
      </c>
      <c r="AM22" s="68">
        <f>IF((AK22+AL22)=0,"", AK22/(AK22+AL22))</f>
        <v/>
      </c>
      <c r="AN22" s="67">
        <f>Y22+AB22+AE22+AH22+AK22</f>
        <v/>
      </c>
      <c r="AO22" s="67">
        <f>Z22+AC22+AF22+AI22+AL22</f>
        <v/>
      </c>
      <c r="AP22" s="68">
        <f>IF((AN22+AO22)=0,"", AN22/(AN22+AO22))</f>
        <v/>
      </c>
      <c r="AQ22" s="69">
        <f>COUNTIF('Detailed Attendance'!Y23:Y23, "P")+COUNTIF('Detailed Attendance'!AS23:AS23, "P")+COUNTIF('Detailed Attendance'!BM23:BM23, "P")+COUNTIF('Detailed Attendance'!CJ23:CJ23, "P")+COUNTIF('Detailed Attendance'!V23:V23, "P")+COUNTIF('Detailed Attendance'!AP23:AP23, "P")+COUNTIF('Detailed Attendance'!BJ23:BJ23, "P")+COUNTIF('Detailed Attendance'!CD23:CD23, "P")+COUNTIF('Detailed Attendance'!DA23:DA23, "P")+COUNTIF('Detailed Attendance'!CH23:CH23, "P")</f>
        <v/>
      </c>
      <c r="AR22" s="69">
        <f>COUNTIF('Detailed Attendance'!Y23:Y23, "A")+COUNTIF('Detailed Attendance'!AS23:AS23, "A")+COUNTIF('Detailed Attendance'!BM23:BM23, "A")+COUNTIF('Detailed Attendance'!CJ23:CJ23, "A")+COUNTIF('Detailed Attendance'!V23:V23, "A")+COUNTIF('Detailed Attendance'!AP23:AP23, "A")+COUNTIF('Detailed Attendance'!BJ23:BJ23, "A")+COUNTIF('Detailed Attendance'!CD23:CD23, "A")+COUNTIF('Detailed Attendance'!DA23:DA23, "A")+COUNTIF('Detailed Attendance'!CH23:CH23, "A")</f>
        <v/>
      </c>
      <c r="AS22" s="70">
        <f>IF((AQ22+AR22)=0,"", AQ22/(AQ22+AR22))</f>
        <v/>
      </c>
      <c r="AT22" s="67">
        <f>COUNTIF('Detailed Attendance'!DF23:DF23, "P")+COUNTIF('Detailed Attendance'!DT23:DT23, "P")+COUNTIF('Detailed Attendance'!EC23:EC23, "P")+COUNTIF('Detailed Attendance'!EQ23:EQ23, "P")+COUNTIF('Detailed Attendance'!EW23:EW23, "P")+COUNTIF('Detailed Attendance'!FK23:FK23, "P")+COUNTIF('Detailed Attendance'!FM23:FM23, "P")+COUNTIF('Detailed Attendance'!GA23:GA23, "P")</f>
        <v/>
      </c>
      <c r="AU22" s="67">
        <f>COUNTIF('Detailed Attendance'!DF23:DF23, "A")+COUNTIF('Detailed Attendance'!DT23:DT23, "A")+COUNTIF('Detailed Attendance'!EC23:EC23, "A")+COUNTIF('Detailed Attendance'!EQ23:EQ23, "A")+COUNTIF('Detailed Attendance'!EW23:EW23, "A")+COUNTIF('Detailed Attendance'!FK23:FK23, "A")+COUNTIF('Detailed Attendance'!FM23:FM23, "A")+COUNTIF('Detailed Attendance'!GA23:GA23, "A")</f>
        <v/>
      </c>
      <c r="AV22" s="68">
        <f>IF((AT22+AU22)=0,"", AT22/(AT22+AU22))</f>
        <v/>
      </c>
      <c r="AW22" s="67">
        <f>COUNTIF('Detailed Attendance'!DK23:DK23, "P")+COUNTIF('Detailed Attendance'!DS23:DS23, "P")+COUNTIF('Detailed Attendance'!EH23:EH23, "P")+COUNTIF('Detailed Attendance'!EP23:EP23, "P")+COUNTIF('Detailed Attendance'!FB23:FB23, "P")+COUNTIF('Detailed Attendance'!FJ23:FJ23, "P")+COUNTIF('Detailed Attendance'!FR23:FR23, "P")+COUNTIF('Detailed Attendance'!FZ23:FZ23, "P")</f>
        <v/>
      </c>
      <c r="AX22" s="67">
        <f>COUNTIF('Detailed Attendance'!DK23:DK23, "A")+COUNTIF('Detailed Attendance'!DS23:DS23, "A")+COUNTIF('Detailed Attendance'!EH23:EH23, "A")+COUNTIF('Detailed Attendance'!EP23:EP23, "A")+COUNTIF('Detailed Attendance'!FB23:FB23, "A")+COUNTIF('Detailed Attendance'!FJ23:FJ23, "A")+COUNTIF('Detailed Attendance'!FR23:FR23, "A")+COUNTIF('Detailed Attendance'!FZ23:FZ23, "A")</f>
        <v/>
      </c>
      <c r="AY22" s="68">
        <f>IF((AW22+AX22)=0,"", AW22/(AW22+AX22))</f>
        <v/>
      </c>
      <c r="AZ22" s="67">
        <f>COUNTIF('Detailed Attendance'!DN23:DN23, "P")+COUNTIF('Detailed Attendance'!DR23:DR23, "P")+COUNTIF('Detailed Attendance'!EK23:EK23, "P")+COUNTIF('Detailed Attendance'!EO23:EO23, "P")+COUNTIF('Detailed Attendance'!FE23:FE23, "P")+COUNTIF('Detailed Attendance'!FI23:FI23, "P")+COUNTIF('Detailed Attendance'!FU23:FU23, "P")+COUNTIF('Detailed Attendance'!FY23:FY23, "P")</f>
        <v/>
      </c>
      <c r="BA22" s="67">
        <f>COUNTIF('Detailed Attendance'!DN23:DN23, "A")+COUNTIF('Detailed Attendance'!DR23:DR23, "A")+COUNTIF('Detailed Attendance'!EK23:EK23, "A")+COUNTIF('Detailed Attendance'!EO23:EO23, "A")+COUNTIF('Detailed Attendance'!FE23:FE23, "A")+COUNTIF('Detailed Attendance'!FI23:FI23, "A")+COUNTIF('Detailed Attendance'!FU23:FU23, "A")+COUNTIF('Detailed Attendance'!FY23:FY23, "A")</f>
        <v/>
      </c>
      <c r="BB22" s="68">
        <f>IF((AZ22+BA22)=0,"", AZ22/(AZ22+BA22))</f>
        <v/>
      </c>
      <c r="BC22" s="67">
        <f>COUNTIF('Detailed Attendance'!DC23:DC23, "P")+COUNTIF('Detailed Attendance'!DV23:DV23, "P")+COUNTIF('Detailed Attendance'!DZ23:DZ23, "P")+COUNTIF('Detailed Attendance'!ES23:ES23, "P")+COUNTIF('Detailed Attendance'!GC23:GC23, "P")+COUNTIF('Detailed Attendance'!GG23:GG23, "P")</f>
        <v/>
      </c>
      <c r="BD22" s="67">
        <f>COUNTIF('Detailed Attendance'!DC23:DC23, "A")+COUNTIF('Detailed Attendance'!DV23:DV23, "A")+COUNTIF('Detailed Attendance'!DZ23:DZ23, "A")+COUNTIF('Detailed Attendance'!ES23:ES23, "A")+COUNTIF('Detailed Attendance'!GC23:GC23, "A")+COUNTIF('Detailed Attendance'!GG23:GG23, "A")</f>
        <v/>
      </c>
      <c r="BE22" s="68">
        <f>IF((BC22+BD22)=0,"", BC22/(BC22+BD22))</f>
        <v/>
      </c>
      <c r="BF22" s="67">
        <f>COUNTIF('Detailed Attendance'!DO23:DO23, "P")+COUNTIF('Detailed Attendance'!DW23:DW23, "P")+COUNTIF('Detailed Attendance'!EL23:EL23, "P")+COUNTIF('Detailed Attendance'!ET23:ET23, "P")+COUNTIF('Detailed Attendance'!FF23:FF23, "P")+COUNTIF('Detailed Attendance'!FV23:FV23, "P")+COUNTIF('Detailed Attendance'!GD23:GD23, "P")</f>
        <v/>
      </c>
      <c r="BG22" s="67">
        <f>COUNTIF('Detailed Attendance'!DO23:DO23, "A")+COUNTIF('Detailed Attendance'!DW23:DW23, "A")+COUNTIF('Detailed Attendance'!EL23:EL23, "A")+COUNTIF('Detailed Attendance'!ET23:ET23, "A")+COUNTIF('Detailed Attendance'!FF23:FF23, "A")+COUNTIF('Detailed Attendance'!FV23:FV23, "A")+COUNTIF('Detailed Attendance'!GD23:GD23, "A")</f>
        <v/>
      </c>
      <c r="BH22" s="68">
        <f>IF((BF22+BG22)=0,"", BF22/(BF22+BG22))</f>
        <v/>
      </c>
      <c r="BI22" s="67">
        <f>AT22+AW22+AZ22+BC22+BF22</f>
        <v/>
      </c>
      <c r="BJ22" s="67">
        <f>AU22+AX22+BA22+BD22+BG22</f>
        <v/>
      </c>
      <c r="BK22" s="68">
        <f>IF((BI22+BJ22)=0,"", BI22/(BI22+BJ22))</f>
        <v/>
      </c>
      <c r="BL22" s="69">
        <f>COUNTIF('Detailed Attendance'!DG23:DG23, "P")+COUNTIF('Detailed Attendance'!ED23:ED23, "P")+COUNTIF('Detailed Attendance'!EX23:EX23, "P")+COUNTIF('Detailed Attendance'!FN23:FN23, "P")+COUNTIF('Detailed Attendance'!DX23:DX23, "P")+COUNTIF('Detailed Attendance'!EU23:EU23, "P")+COUNTIF('Detailed Attendance'!GE23:GE23, "P")+COUNTIF('Detailed Attendance'!DE23:DE23, "P")+COUNTIF('Detailed Attendance'!EB23:EB23, "P")+COUNTIF('Detailed Attendance'!GI23:GI23, "P")</f>
        <v/>
      </c>
      <c r="BM22" s="69">
        <f>COUNTIF('Detailed Attendance'!DG23:DG23, "A")+COUNTIF('Detailed Attendance'!ED23:ED23, "A")+COUNTIF('Detailed Attendance'!EX23:EX23, "A")+COUNTIF('Detailed Attendance'!FN23:FN23, "A")+COUNTIF('Detailed Attendance'!DX23:DX23, "A")+COUNTIF('Detailed Attendance'!EU23:EU23, "A")+COUNTIF('Detailed Attendance'!GE23:GE23, "A")+COUNTIF('Detailed Attendance'!DE23:DE23, "A")+COUNTIF('Detailed Attendance'!EB23:EB23, "A")+COUNTIF('Detailed Attendance'!GI23:GI23, "A")</f>
        <v/>
      </c>
      <c r="BN22" s="70">
        <f>IF((BL22+BM22)=0,"", BL22/(BL22+BM22))</f>
        <v/>
      </c>
      <c r="BO22" s="67">
        <f>D22+Y22+AT22</f>
        <v/>
      </c>
      <c r="BP22" s="67">
        <f>E22+Z22+AU22</f>
        <v/>
      </c>
      <c r="BQ22" s="68">
        <f>IF((BO22+BP22)=0,"", BO22/(BO22+BP22))</f>
        <v/>
      </c>
      <c r="BR22" s="67">
        <f>G22+AB22+AW22</f>
        <v/>
      </c>
      <c r="BS22" s="67">
        <f>H22+AC22+AX22</f>
        <v/>
      </c>
      <c r="BT22" s="68">
        <f>IF((BR22+BS22)=0,"", BR22/(BR22+BS22))</f>
        <v/>
      </c>
      <c r="BU22" s="67">
        <f>J22+AE22+AZ22</f>
        <v/>
      </c>
      <c r="BV22" s="67">
        <f>K22+AF22+BA22</f>
        <v/>
      </c>
      <c r="BW22" s="68">
        <f>IF((BU22+BV22)=0,"", BU22/(BU22+BV22))</f>
        <v/>
      </c>
      <c r="BX22" s="67">
        <f>M22+AH22+BC22</f>
        <v/>
      </c>
      <c r="BY22" s="67">
        <f>N22+AI22+BD22</f>
        <v/>
      </c>
      <c r="BZ22" s="68">
        <f>IF((BX22+BY22)=0,"", BX22/(BX22+BY22))</f>
        <v/>
      </c>
      <c r="CA22" s="67">
        <f>P22+AK22+BF22</f>
        <v/>
      </c>
      <c r="CB22" s="67">
        <f>Q22+AL22+BG22</f>
        <v/>
      </c>
      <c r="CC22" s="68">
        <f>IF((CA22+CB22)=0,"", CA22/(CA22+CB22))</f>
        <v/>
      </c>
      <c r="CD22" s="67">
        <f>S22+AN22+BI22</f>
        <v/>
      </c>
      <c r="CE22" s="67">
        <f>T22+AO22+BJ22</f>
        <v/>
      </c>
      <c r="CF22" s="68">
        <f>IF((CD22+CE22)=0,"", CD22/(CD22+CE22))</f>
        <v/>
      </c>
      <c r="CG22" s="69">
        <f>V22+AQ22+BL22</f>
        <v/>
      </c>
      <c r="CH22" s="69">
        <f>W22+AR22+BM22</f>
        <v/>
      </c>
      <c r="CI22" s="70">
        <f>IF((CG22+CH22)=0,"", CG22/(CG22+CH22))</f>
        <v/>
      </c>
      <c r="CJ22" s="67">
        <f>CD22+(CG22*2)</f>
        <v/>
      </c>
      <c r="CK22" s="67">
        <f>CE22+(CH22*2)</f>
        <v/>
      </c>
      <c r="CL22" s="68">
        <f>IF((CJ22+CK22)=0,"", CJ22/(CJ22+CK22))</f>
        <v/>
      </c>
      <c r="CM22" s="67" t="inlineStr">
        <is>
          <t>Batch 1</t>
        </is>
      </c>
    </row>
    <row r="23" ht="14.25" customHeight="1" s="34">
      <c r="A23" s="46" t="n">
        <v>21</v>
      </c>
      <c r="B23" s="46" t="inlineStr">
        <is>
          <t>325106410021</t>
        </is>
      </c>
      <c r="C23" s="46" t="inlineStr">
        <is>
          <t>MUKESH VENKATA SURYA LOGISA</t>
        </is>
      </c>
      <c r="D23" s="63" t="n">
        <v>0</v>
      </c>
      <c r="E23" s="63" t="n">
        <v>0</v>
      </c>
      <c r="F23" s="64">
        <f>IF((D23+E23)=0,"", D23/(D23+E23))</f>
        <v/>
      </c>
      <c r="G23" s="63">
        <f>COUNTIF('Detailed Attendance'!I24:I24, "P")</f>
        <v/>
      </c>
      <c r="H23" s="63">
        <f>COUNTIF('Detailed Attendance'!I24:I24, "A")</f>
        <v/>
      </c>
      <c r="I23" s="64">
        <f>IF((G23+H23)=0,"", G23/(G23+H23))</f>
        <v/>
      </c>
      <c r="J23" s="63" t="n">
        <v>0</v>
      </c>
      <c r="K23" s="63" t="n">
        <v>0</v>
      </c>
      <c r="L23" s="64">
        <f>IF((J23+K23)=0,"", J23/(J23+K23))</f>
        <v/>
      </c>
      <c r="M23" s="63">
        <f>COUNTIF('Detailed Attendance'!D24:D24, "P")</f>
        <v/>
      </c>
      <c r="N23" s="63">
        <f>COUNTIF('Detailed Attendance'!D24:D24, "A")</f>
        <v/>
      </c>
      <c r="O23" s="64">
        <f>IF((M23+N23)=0,"", M23/(M23+N23))</f>
        <v/>
      </c>
      <c r="P23" s="63" t="n">
        <v>0</v>
      </c>
      <c r="Q23" s="63" t="n">
        <v>0</v>
      </c>
      <c r="R23" s="64">
        <f>IF((P23+Q23)=0,"", P23/(P23+Q23))</f>
        <v/>
      </c>
      <c r="S23" s="63">
        <f>D23+G23+J23+M23+P23</f>
        <v/>
      </c>
      <c r="T23" s="63">
        <f>E23+H23+K23+N23+Q23</f>
        <v/>
      </c>
      <c r="U23" s="64">
        <f>IF((S23+T23)=0,"", S23/(S23+T23))</f>
        <v/>
      </c>
      <c r="V23" s="65">
        <f>COUNTIF('Detailed Attendance'!E24:E24, "P")</f>
        <v/>
      </c>
      <c r="W23" s="65">
        <f>COUNTIF('Detailed Attendance'!E24:E24, "A")</f>
        <v/>
      </c>
      <c r="X23" s="66">
        <f>IF((V23+W23)=0,"", V23/(V23+W23))</f>
        <v/>
      </c>
      <c r="Y23" s="63">
        <f>COUNTIF('Detailed Attendance'!R24:R24, "P")+COUNTIF('Detailed Attendance'!X24:X24, "P")+COUNTIF('Detailed Attendance'!AL24:AL24, "P")+COUNTIF('Detailed Attendance'!BF24:BF24, "P")+COUNTIF('Detailed Attendance'!BL24:BL24, "P")+COUNTIF('Detailed Attendance'!BZ24:BZ24, "P")+COUNTIF('Detailed Attendance'!CI24:CI24, "P")+COUNTIF('Detailed Attendance'!CW24:CW24, "P")</f>
        <v/>
      </c>
      <c r="Z23" s="63">
        <f>COUNTIF('Detailed Attendance'!R24:R24, "A")+COUNTIF('Detailed Attendance'!X24:X24, "A")+COUNTIF('Detailed Attendance'!AL24:AL24, "A")+COUNTIF('Detailed Attendance'!BF24:BF24, "A")+COUNTIF('Detailed Attendance'!BL24:BL24, "A")+COUNTIF('Detailed Attendance'!BZ24:BZ24, "A")+COUNTIF('Detailed Attendance'!CI24:CI24, "A")+COUNTIF('Detailed Attendance'!CW24:CW24, "A")</f>
        <v/>
      </c>
      <c r="AA23" s="64">
        <f>IF((Y23+Z23)=0,"", Y23/(Y23+Z23))</f>
        <v/>
      </c>
      <c r="AB23" s="63">
        <f>COUNTIF('Detailed Attendance'!Q24:Q24, "P")+COUNTIF('Detailed Attendance'!AC24:AC24, "P")+COUNTIF('Detailed Attendance'!AK24:AK24, "P")+COUNTIF('Detailed Attendance'!AW24:AW24, "P")+COUNTIF('Detailed Attendance'!BE24:BE24, "P")+COUNTIF('Detailed Attendance'!BQ24:BQ24, "P")+COUNTIF('Detailed Attendance'!BY24:BY24, "P")+COUNTIF('Detailed Attendance'!CN24:CN24, "P")+COUNTIF('Detailed Attendance'!CV24:CV24, "P")</f>
        <v/>
      </c>
      <c r="AC23" s="63">
        <f>COUNTIF('Detailed Attendance'!Q24:Q24, "A")+COUNTIF('Detailed Attendance'!AC24:AC24, "A")+COUNTIF('Detailed Attendance'!AK24:AK24, "A")+COUNTIF('Detailed Attendance'!AW24:AW24, "A")+COUNTIF('Detailed Attendance'!BE24:BE24, "A")+COUNTIF('Detailed Attendance'!BQ24:BQ24, "A")+COUNTIF('Detailed Attendance'!BY24:BY24, "A")+COUNTIF('Detailed Attendance'!CN24:CN24, "A")+COUNTIF('Detailed Attendance'!CV24:CV24, "A")</f>
        <v/>
      </c>
      <c r="AD23" s="64">
        <f>IF((AB23+AC23)=0,"", AB23/(AB23+AC23))</f>
        <v/>
      </c>
      <c r="AE23" s="63">
        <f>COUNTIF('Detailed Attendance'!L24:L24, "P")+COUNTIF('Detailed Attendance'!P24:P24, "P")+COUNTIF('Detailed Attendance'!AF24:AF24, "P")+COUNTIF('Detailed Attendance'!AJ24:AJ24, "P")+COUNTIF('Detailed Attendance'!AZ24:AZ24, "P")+COUNTIF('Detailed Attendance'!BD24:BD24, "P")+COUNTIF('Detailed Attendance'!BT24:BT24, "P")+COUNTIF('Detailed Attendance'!BX24:BX24, "P")+COUNTIF('Detailed Attendance'!CQ24:CQ24, "P")+COUNTIF('Detailed Attendance'!CU24:CU24, "P")</f>
        <v/>
      </c>
      <c r="AF23" s="67">
        <f>COUNTIF('Detailed Attendance'!L24:L24, "A")+COUNTIF('Detailed Attendance'!P24:P24, "A")+COUNTIF('Detailed Attendance'!AF24:AF24, "A")+COUNTIF('Detailed Attendance'!AJ24:AJ24, "A")+COUNTIF('Detailed Attendance'!AZ24:AZ24, "A")+COUNTIF('Detailed Attendance'!BD24:BD24, "A")+COUNTIF('Detailed Attendance'!BT24:BT24, "A")+COUNTIF('Detailed Attendance'!BX24:BX24, "A")+COUNTIF('Detailed Attendance'!CQ24:CQ24, "A")+COUNTIF('Detailed Attendance'!CU24:CU24, "A")</f>
        <v/>
      </c>
      <c r="AG23" s="68">
        <f>IF((AE23+AF23)=0,"", AE23/(AE23+AF23))</f>
        <v/>
      </c>
      <c r="AH23" s="67">
        <f>COUNTIF('Detailed Attendance'!T24:T24, "P")+COUNTIF('Detailed Attendance'!AN24:AN24, "P")+COUNTIF('Detailed Attendance'!AR24:AR24, "P")+COUNTIF('Detailed Attendance'!BH24:BH24, "P")+COUNTIF('Detailed Attendance'!CB24:CB24, "P")+COUNTIF('Detailed Attendance'!CF24:CF24, "P")+COUNTIF('Detailed Attendance'!CY24:CY24, "P")</f>
        <v/>
      </c>
      <c r="AI23" s="67">
        <f>COUNTIF('Detailed Attendance'!T24:T24, "A")+COUNTIF('Detailed Attendance'!AN24:AN24, "A")+COUNTIF('Detailed Attendance'!AR24:AR24, "A")+COUNTIF('Detailed Attendance'!BH24:BH24, "A")+COUNTIF('Detailed Attendance'!CB24:CB24, "A")+COUNTIF('Detailed Attendance'!CF24:CF24, "A")+COUNTIF('Detailed Attendance'!CY24:CY24, "A")</f>
        <v/>
      </c>
      <c r="AJ23" s="68">
        <f>IF((AH23+AI23)=0,"", AH23/(AH23+AI23))</f>
        <v/>
      </c>
      <c r="AK23" s="67">
        <f>COUNTIF('Detailed Attendance'!M24:M24, "P")+COUNTIF('Detailed Attendance'!U24:U24, "P")+COUNTIF('Detailed Attendance'!AG24:AG24, "P")+COUNTIF('Detailed Attendance'!AO24:AO24, "P")+COUNTIF('Detailed Attendance'!BA24:BA24, "P")+COUNTIF('Detailed Attendance'!BI24:BI24, "P")+COUNTIF('Detailed Attendance'!BU24:BU24, "P")+COUNTIF('Detailed Attendance'!CC24:CC24, "P")+COUNTIF('Detailed Attendance'!CR24:CR24, "P")+COUNTIF('Detailed Attendance'!CZ24:CZ24, "P")</f>
        <v/>
      </c>
      <c r="AL23" s="67">
        <f>COUNTIF('Detailed Attendance'!M24:M24, "A")+COUNTIF('Detailed Attendance'!U24:U24, "A")+COUNTIF('Detailed Attendance'!AG24:AG24, "A")+COUNTIF('Detailed Attendance'!AO24:AO24, "A")+COUNTIF('Detailed Attendance'!BA24:BA24, "A")+COUNTIF('Detailed Attendance'!BI24:BI24, "A")+COUNTIF('Detailed Attendance'!BU24:BU24, "A")+COUNTIF('Detailed Attendance'!CC24:CC24, "A")+COUNTIF('Detailed Attendance'!CR24:CR24, "A")+COUNTIF('Detailed Attendance'!CZ24:CZ24, "A")</f>
        <v/>
      </c>
      <c r="AM23" s="68">
        <f>IF((AK23+AL23)=0,"", AK23/(AK23+AL23))</f>
        <v/>
      </c>
      <c r="AN23" s="67">
        <f>Y23+AB23+AE23+AH23+AK23</f>
        <v/>
      </c>
      <c r="AO23" s="67">
        <f>Z23+AC23+AF23+AI23+AL23</f>
        <v/>
      </c>
      <c r="AP23" s="68">
        <f>IF((AN23+AO23)=0,"", AN23/(AN23+AO23))</f>
        <v/>
      </c>
      <c r="AQ23" s="69">
        <f>COUNTIF('Detailed Attendance'!Y24:Y24, "P")+COUNTIF('Detailed Attendance'!AS24:AS24, "P")+COUNTIF('Detailed Attendance'!BM24:BM24, "P")+COUNTIF('Detailed Attendance'!CJ24:CJ24, "P")+COUNTIF('Detailed Attendance'!V24:V24, "P")+COUNTIF('Detailed Attendance'!AP24:AP24, "P")+COUNTIF('Detailed Attendance'!BJ24:BJ24, "P")+COUNTIF('Detailed Attendance'!CD24:CD24, "P")+COUNTIF('Detailed Attendance'!DA24:DA24, "P")+COUNTIF('Detailed Attendance'!CH24:CH24, "P")</f>
        <v/>
      </c>
      <c r="AR23" s="69">
        <f>COUNTIF('Detailed Attendance'!Y24:Y24, "A")+COUNTIF('Detailed Attendance'!AS24:AS24, "A")+COUNTIF('Detailed Attendance'!BM24:BM24, "A")+COUNTIF('Detailed Attendance'!CJ24:CJ24, "A")+COUNTIF('Detailed Attendance'!V24:V24, "A")+COUNTIF('Detailed Attendance'!AP24:AP24, "A")+COUNTIF('Detailed Attendance'!BJ24:BJ24, "A")+COUNTIF('Detailed Attendance'!CD24:CD24, "A")+COUNTIF('Detailed Attendance'!DA24:DA24, "A")+COUNTIF('Detailed Attendance'!CH24:CH24, "A")</f>
        <v/>
      </c>
      <c r="AS23" s="70">
        <f>IF((AQ23+AR23)=0,"", AQ23/(AQ23+AR23))</f>
        <v/>
      </c>
      <c r="AT23" s="67">
        <f>COUNTIF('Detailed Attendance'!DF24:DF24, "P")+COUNTIF('Detailed Attendance'!DT24:DT24, "P")+COUNTIF('Detailed Attendance'!EC24:EC24, "P")+COUNTIF('Detailed Attendance'!EQ24:EQ24, "P")+COUNTIF('Detailed Attendance'!EW24:EW24, "P")+COUNTIF('Detailed Attendance'!FK24:FK24, "P")+COUNTIF('Detailed Attendance'!FM24:FM24, "P")+COUNTIF('Detailed Attendance'!GA24:GA24, "P")</f>
        <v/>
      </c>
      <c r="AU23" s="67">
        <f>COUNTIF('Detailed Attendance'!DF24:DF24, "A")+COUNTIF('Detailed Attendance'!DT24:DT24, "A")+COUNTIF('Detailed Attendance'!EC24:EC24, "A")+COUNTIF('Detailed Attendance'!EQ24:EQ24, "A")+COUNTIF('Detailed Attendance'!EW24:EW24, "A")+COUNTIF('Detailed Attendance'!FK24:FK24, "A")+COUNTIF('Detailed Attendance'!FM24:FM24, "A")+COUNTIF('Detailed Attendance'!GA24:GA24, "A")</f>
        <v/>
      </c>
      <c r="AV23" s="68">
        <f>IF((AT23+AU23)=0,"", AT23/(AT23+AU23))</f>
        <v/>
      </c>
      <c r="AW23" s="67">
        <f>COUNTIF('Detailed Attendance'!DK24:DK24, "P")+COUNTIF('Detailed Attendance'!DS24:DS24, "P")+COUNTIF('Detailed Attendance'!EH24:EH24, "P")+COUNTIF('Detailed Attendance'!EP24:EP24, "P")+COUNTIF('Detailed Attendance'!FB24:FB24, "P")+COUNTIF('Detailed Attendance'!FJ24:FJ24, "P")+COUNTIF('Detailed Attendance'!FR24:FR24, "P")+COUNTIF('Detailed Attendance'!FZ24:FZ24, "P")</f>
        <v/>
      </c>
      <c r="AX23" s="67">
        <f>COUNTIF('Detailed Attendance'!DK24:DK24, "A")+COUNTIF('Detailed Attendance'!DS24:DS24, "A")+COUNTIF('Detailed Attendance'!EH24:EH24, "A")+COUNTIF('Detailed Attendance'!EP24:EP24, "A")+COUNTIF('Detailed Attendance'!FB24:FB24, "A")+COUNTIF('Detailed Attendance'!FJ24:FJ24, "A")+COUNTIF('Detailed Attendance'!FR24:FR24, "A")+COUNTIF('Detailed Attendance'!FZ24:FZ24, "A")</f>
        <v/>
      </c>
      <c r="AY23" s="68">
        <f>IF((AW23+AX23)=0,"", AW23/(AW23+AX23))</f>
        <v/>
      </c>
      <c r="AZ23" s="67">
        <f>COUNTIF('Detailed Attendance'!DN24:DN24, "P")+COUNTIF('Detailed Attendance'!DR24:DR24, "P")+COUNTIF('Detailed Attendance'!EK24:EK24, "P")+COUNTIF('Detailed Attendance'!EO24:EO24, "P")+COUNTIF('Detailed Attendance'!FE24:FE24, "P")+COUNTIF('Detailed Attendance'!FI24:FI24, "P")+COUNTIF('Detailed Attendance'!FU24:FU24, "P")+COUNTIF('Detailed Attendance'!FY24:FY24, "P")</f>
        <v/>
      </c>
      <c r="BA23" s="67">
        <f>COUNTIF('Detailed Attendance'!DN24:DN24, "A")+COUNTIF('Detailed Attendance'!DR24:DR24, "A")+COUNTIF('Detailed Attendance'!EK24:EK24, "A")+COUNTIF('Detailed Attendance'!EO24:EO24, "A")+COUNTIF('Detailed Attendance'!FE24:FE24, "A")+COUNTIF('Detailed Attendance'!FI24:FI24, "A")+COUNTIF('Detailed Attendance'!FU24:FU24, "A")+COUNTIF('Detailed Attendance'!FY24:FY24, "A")</f>
        <v/>
      </c>
      <c r="BB23" s="68">
        <f>IF((AZ23+BA23)=0,"", AZ23/(AZ23+BA23))</f>
        <v/>
      </c>
      <c r="BC23" s="67">
        <f>COUNTIF('Detailed Attendance'!DC24:DC24, "P")+COUNTIF('Detailed Attendance'!DV24:DV24, "P")+COUNTIF('Detailed Attendance'!DZ24:DZ24, "P")+COUNTIF('Detailed Attendance'!ES24:ES24, "P")+COUNTIF('Detailed Attendance'!GC24:GC24, "P")+COUNTIF('Detailed Attendance'!GG24:GG24, "P")</f>
        <v/>
      </c>
      <c r="BD23" s="67">
        <f>COUNTIF('Detailed Attendance'!DC24:DC24, "A")+COUNTIF('Detailed Attendance'!DV24:DV24, "A")+COUNTIF('Detailed Attendance'!DZ24:DZ24, "A")+COUNTIF('Detailed Attendance'!ES24:ES24, "A")+COUNTIF('Detailed Attendance'!GC24:GC24, "A")+COUNTIF('Detailed Attendance'!GG24:GG24, "A")</f>
        <v/>
      </c>
      <c r="BE23" s="68">
        <f>IF((BC23+BD23)=0,"", BC23/(BC23+BD23))</f>
        <v/>
      </c>
      <c r="BF23" s="67">
        <f>COUNTIF('Detailed Attendance'!DO24:DO24, "P")+COUNTIF('Detailed Attendance'!DW24:DW24, "P")+COUNTIF('Detailed Attendance'!EL24:EL24, "P")+COUNTIF('Detailed Attendance'!ET24:ET24, "P")+COUNTIF('Detailed Attendance'!FF24:FF24, "P")+COUNTIF('Detailed Attendance'!FV24:FV24, "P")+COUNTIF('Detailed Attendance'!GD24:GD24, "P")</f>
        <v/>
      </c>
      <c r="BG23" s="67">
        <f>COUNTIF('Detailed Attendance'!DO24:DO24, "A")+COUNTIF('Detailed Attendance'!DW24:DW24, "A")+COUNTIF('Detailed Attendance'!EL24:EL24, "A")+COUNTIF('Detailed Attendance'!ET24:ET24, "A")+COUNTIF('Detailed Attendance'!FF24:FF24, "A")+COUNTIF('Detailed Attendance'!FV24:FV24, "A")+COUNTIF('Detailed Attendance'!GD24:GD24, "A")</f>
        <v/>
      </c>
      <c r="BH23" s="68">
        <f>IF((BF23+BG23)=0,"", BF23/(BF23+BG23))</f>
        <v/>
      </c>
      <c r="BI23" s="67">
        <f>AT23+AW23+AZ23+BC23+BF23</f>
        <v/>
      </c>
      <c r="BJ23" s="67">
        <f>AU23+AX23+BA23+BD23+BG23</f>
        <v/>
      </c>
      <c r="BK23" s="68">
        <f>IF((BI23+BJ23)=0,"", BI23/(BI23+BJ23))</f>
        <v/>
      </c>
      <c r="BL23" s="69">
        <f>COUNTIF('Detailed Attendance'!DG24:DG24, "P")+COUNTIF('Detailed Attendance'!ED24:ED24, "P")+COUNTIF('Detailed Attendance'!EX24:EX24, "P")+COUNTIF('Detailed Attendance'!FN24:FN24, "P")+COUNTIF('Detailed Attendance'!DX24:DX24, "P")+COUNTIF('Detailed Attendance'!EU24:EU24, "P")+COUNTIF('Detailed Attendance'!GE24:GE24, "P")+COUNTIF('Detailed Attendance'!DE24:DE24, "P")+COUNTIF('Detailed Attendance'!EB24:EB24, "P")+COUNTIF('Detailed Attendance'!GI24:GI24, "P")</f>
        <v/>
      </c>
      <c r="BM23" s="69">
        <f>COUNTIF('Detailed Attendance'!DG24:DG24, "A")+COUNTIF('Detailed Attendance'!ED24:ED24, "A")+COUNTIF('Detailed Attendance'!EX24:EX24, "A")+COUNTIF('Detailed Attendance'!FN24:FN24, "A")+COUNTIF('Detailed Attendance'!DX24:DX24, "A")+COUNTIF('Detailed Attendance'!EU24:EU24, "A")+COUNTIF('Detailed Attendance'!GE24:GE24, "A")+COUNTIF('Detailed Attendance'!DE24:DE24, "A")+COUNTIF('Detailed Attendance'!EB24:EB24, "A")+COUNTIF('Detailed Attendance'!GI24:GI24, "A")</f>
        <v/>
      </c>
      <c r="BN23" s="70">
        <f>IF((BL23+BM23)=0,"", BL23/(BL23+BM23))</f>
        <v/>
      </c>
      <c r="BO23" s="67">
        <f>D23+Y23+AT23</f>
        <v/>
      </c>
      <c r="BP23" s="67">
        <f>E23+Z23+AU23</f>
        <v/>
      </c>
      <c r="BQ23" s="68">
        <f>IF((BO23+BP23)=0,"", BO23/(BO23+BP23))</f>
        <v/>
      </c>
      <c r="BR23" s="67">
        <f>G23+AB23+AW23</f>
        <v/>
      </c>
      <c r="BS23" s="67">
        <f>H23+AC23+AX23</f>
        <v/>
      </c>
      <c r="BT23" s="68">
        <f>IF((BR23+BS23)=0,"", BR23/(BR23+BS23))</f>
        <v/>
      </c>
      <c r="BU23" s="67">
        <f>J23+AE23+AZ23</f>
        <v/>
      </c>
      <c r="BV23" s="67">
        <f>K23+AF23+BA23</f>
        <v/>
      </c>
      <c r="BW23" s="68">
        <f>IF((BU23+BV23)=0,"", BU23/(BU23+BV23))</f>
        <v/>
      </c>
      <c r="BX23" s="67">
        <f>M23+AH23+BC23</f>
        <v/>
      </c>
      <c r="BY23" s="67">
        <f>N23+AI23+BD23</f>
        <v/>
      </c>
      <c r="BZ23" s="68">
        <f>IF((BX23+BY23)=0,"", BX23/(BX23+BY23))</f>
        <v/>
      </c>
      <c r="CA23" s="67">
        <f>P23+AK23+BF23</f>
        <v/>
      </c>
      <c r="CB23" s="67">
        <f>Q23+AL23+BG23</f>
        <v/>
      </c>
      <c r="CC23" s="68">
        <f>IF((CA23+CB23)=0,"", CA23/(CA23+CB23))</f>
        <v/>
      </c>
      <c r="CD23" s="67">
        <f>S23+AN23+BI23</f>
        <v/>
      </c>
      <c r="CE23" s="67">
        <f>T23+AO23+BJ23</f>
        <v/>
      </c>
      <c r="CF23" s="68">
        <f>IF((CD23+CE23)=0,"", CD23/(CD23+CE23))</f>
        <v/>
      </c>
      <c r="CG23" s="69">
        <f>V23+AQ23+BL23</f>
        <v/>
      </c>
      <c r="CH23" s="69">
        <f>W23+AR23+BM23</f>
        <v/>
      </c>
      <c r="CI23" s="70">
        <f>IF((CG23+CH23)=0,"", CG23/(CG23+CH23))</f>
        <v/>
      </c>
      <c r="CJ23" s="67">
        <f>CD23+(CG23*2)</f>
        <v/>
      </c>
      <c r="CK23" s="67">
        <f>CE23+(CH23*2)</f>
        <v/>
      </c>
      <c r="CL23" s="68">
        <f>IF((CJ23+CK23)=0,"", CJ23/(CJ23+CK23))</f>
        <v/>
      </c>
      <c r="CM23" s="67" t="inlineStr">
        <is>
          <t>Batch 1</t>
        </is>
      </c>
    </row>
    <row r="24" ht="14.25" customHeight="1" s="34">
      <c r="A24" s="46" t="n">
        <v>22</v>
      </c>
      <c r="B24" s="46" t="inlineStr">
        <is>
          <t>325106410022</t>
        </is>
      </c>
      <c r="C24" s="46" t="inlineStr">
        <is>
          <t>RAJESH MAJJI</t>
        </is>
      </c>
      <c r="D24" s="63" t="n">
        <v>0</v>
      </c>
      <c r="E24" s="63" t="n">
        <v>0</v>
      </c>
      <c r="F24" s="64">
        <f>IF((D24+E24)=0,"", D24/(D24+E24))</f>
        <v/>
      </c>
      <c r="G24" s="63">
        <f>COUNTIF('Detailed Attendance'!I25:I25, "P")</f>
        <v/>
      </c>
      <c r="H24" s="63">
        <f>COUNTIF('Detailed Attendance'!I25:I25, "A")</f>
        <v/>
      </c>
      <c r="I24" s="64">
        <f>IF((G24+H24)=0,"", G24/(G24+H24))</f>
        <v/>
      </c>
      <c r="J24" s="63" t="n">
        <v>0</v>
      </c>
      <c r="K24" s="63" t="n">
        <v>0</v>
      </c>
      <c r="L24" s="64">
        <f>IF((J24+K24)=0,"", J24/(J24+K24))</f>
        <v/>
      </c>
      <c r="M24" s="63">
        <f>COUNTIF('Detailed Attendance'!D25:D25, "P")</f>
        <v/>
      </c>
      <c r="N24" s="63">
        <f>COUNTIF('Detailed Attendance'!D25:D25, "A")</f>
        <v/>
      </c>
      <c r="O24" s="64">
        <f>IF((M24+N24)=0,"", M24/(M24+N24))</f>
        <v/>
      </c>
      <c r="P24" s="63" t="n">
        <v>0</v>
      </c>
      <c r="Q24" s="63" t="n">
        <v>0</v>
      </c>
      <c r="R24" s="64">
        <f>IF((P24+Q24)=0,"", P24/(P24+Q24))</f>
        <v/>
      </c>
      <c r="S24" s="63">
        <f>D24+G24+J24+M24+P24</f>
        <v/>
      </c>
      <c r="T24" s="63">
        <f>E24+H24+K24+N24+Q24</f>
        <v/>
      </c>
      <c r="U24" s="64">
        <f>IF((S24+T24)=0,"", S24/(S24+T24))</f>
        <v/>
      </c>
      <c r="V24" s="65">
        <f>COUNTIF('Detailed Attendance'!E25:E25, "P")</f>
        <v/>
      </c>
      <c r="W24" s="65">
        <f>COUNTIF('Detailed Attendance'!E25:E25, "A")</f>
        <v/>
      </c>
      <c r="X24" s="66">
        <f>IF((V24+W24)=0,"", V24/(V24+W24))</f>
        <v/>
      </c>
      <c r="Y24" s="63">
        <f>COUNTIF('Detailed Attendance'!R25:R25, "P")+COUNTIF('Detailed Attendance'!X25:X25, "P")+COUNTIF('Detailed Attendance'!AL25:AL25, "P")+COUNTIF('Detailed Attendance'!BF25:BF25, "P")+COUNTIF('Detailed Attendance'!BL25:BL25, "P")+COUNTIF('Detailed Attendance'!BZ25:BZ25, "P")+COUNTIF('Detailed Attendance'!CI25:CI25, "P")+COUNTIF('Detailed Attendance'!CW25:CW25, "P")</f>
        <v/>
      </c>
      <c r="Z24" s="63">
        <f>COUNTIF('Detailed Attendance'!R25:R25, "A")+COUNTIF('Detailed Attendance'!X25:X25, "A")+COUNTIF('Detailed Attendance'!AL25:AL25, "A")+COUNTIF('Detailed Attendance'!BF25:BF25, "A")+COUNTIF('Detailed Attendance'!BL25:BL25, "A")+COUNTIF('Detailed Attendance'!BZ25:BZ25, "A")+COUNTIF('Detailed Attendance'!CI25:CI25, "A")+COUNTIF('Detailed Attendance'!CW25:CW25, "A")</f>
        <v/>
      </c>
      <c r="AA24" s="64">
        <f>IF((Y24+Z24)=0,"", Y24/(Y24+Z24))</f>
        <v/>
      </c>
      <c r="AB24" s="63">
        <f>COUNTIF('Detailed Attendance'!Q25:Q25, "P")+COUNTIF('Detailed Attendance'!AC25:AC25, "P")+COUNTIF('Detailed Attendance'!AK25:AK25, "P")+COUNTIF('Detailed Attendance'!AW25:AW25, "P")+COUNTIF('Detailed Attendance'!BE25:BE25, "P")+COUNTIF('Detailed Attendance'!BQ25:BQ25, "P")+COUNTIF('Detailed Attendance'!BY25:BY25, "P")+COUNTIF('Detailed Attendance'!CN25:CN25, "P")+COUNTIF('Detailed Attendance'!CV25:CV25, "P")</f>
        <v/>
      </c>
      <c r="AC24" s="63">
        <f>COUNTIF('Detailed Attendance'!Q25:Q25, "A")+COUNTIF('Detailed Attendance'!AC25:AC25, "A")+COUNTIF('Detailed Attendance'!AK25:AK25, "A")+COUNTIF('Detailed Attendance'!AW25:AW25, "A")+COUNTIF('Detailed Attendance'!BE25:BE25, "A")+COUNTIF('Detailed Attendance'!BQ25:BQ25, "A")+COUNTIF('Detailed Attendance'!BY25:BY25, "A")+COUNTIF('Detailed Attendance'!CN25:CN25, "A")+COUNTIF('Detailed Attendance'!CV25:CV25, "A")</f>
        <v/>
      </c>
      <c r="AD24" s="64">
        <f>IF((AB24+AC24)=0,"", AB24/(AB24+AC24))</f>
        <v/>
      </c>
      <c r="AE24" s="63">
        <f>COUNTIF('Detailed Attendance'!L25:L25, "P")+COUNTIF('Detailed Attendance'!P25:P25, "P")+COUNTIF('Detailed Attendance'!AF25:AF25, "P")+COUNTIF('Detailed Attendance'!AJ25:AJ25, "P")+COUNTIF('Detailed Attendance'!AZ25:AZ25, "P")+COUNTIF('Detailed Attendance'!BD25:BD25, "P")+COUNTIF('Detailed Attendance'!BT25:BT25, "P")+COUNTIF('Detailed Attendance'!BX25:BX25, "P")+COUNTIF('Detailed Attendance'!CQ25:CQ25, "P")+COUNTIF('Detailed Attendance'!CU25:CU25, "P")</f>
        <v/>
      </c>
      <c r="AF24" s="67">
        <f>COUNTIF('Detailed Attendance'!L25:L25, "A")+COUNTIF('Detailed Attendance'!P25:P25, "A")+COUNTIF('Detailed Attendance'!AF25:AF25, "A")+COUNTIF('Detailed Attendance'!AJ25:AJ25, "A")+COUNTIF('Detailed Attendance'!AZ25:AZ25, "A")+COUNTIF('Detailed Attendance'!BD25:BD25, "A")+COUNTIF('Detailed Attendance'!BT25:BT25, "A")+COUNTIF('Detailed Attendance'!BX25:BX25, "A")+COUNTIF('Detailed Attendance'!CQ25:CQ25, "A")+COUNTIF('Detailed Attendance'!CU25:CU25, "A")</f>
        <v/>
      </c>
      <c r="AG24" s="68">
        <f>IF((AE24+AF24)=0,"", AE24/(AE24+AF24))</f>
        <v/>
      </c>
      <c r="AH24" s="67">
        <f>COUNTIF('Detailed Attendance'!T25:T25, "P")+COUNTIF('Detailed Attendance'!AN25:AN25, "P")+COUNTIF('Detailed Attendance'!AR25:AR25, "P")+COUNTIF('Detailed Attendance'!BH25:BH25, "P")+COUNTIF('Detailed Attendance'!CB25:CB25, "P")+COUNTIF('Detailed Attendance'!CF25:CF25, "P")+COUNTIF('Detailed Attendance'!CY25:CY25, "P")</f>
        <v/>
      </c>
      <c r="AI24" s="67">
        <f>COUNTIF('Detailed Attendance'!T25:T25, "A")+COUNTIF('Detailed Attendance'!AN25:AN25, "A")+COUNTIF('Detailed Attendance'!AR25:AR25, "A")+COUNTIF('Detailed Attendance'!BH25:BH25, "A")+COUNTIF('Detailed Attendance'!CB25:CB25, "A")+COUNTIF('Detailed Attendance'!CF25:CF25, "A")+COUNTIF('Detailed Attendance'!CY25:CY25, "A")</f>
        <v/>
      </c>
      <c r="AJ24" s="68">
        <f>IF((AH24+AI24)=0,"", AH24/(AH24+AI24))</f>
        <v/>
      </c>
      <c r="AK24" s="67">
        <f>COUNTIF('Detailed Attendance'!M25:M25, "P")+COUNTIF('Detailed Attendance'!U25:U25, "P")+COUNTIF('Detailed Attendance'!AG25:AG25, "P")+COUNTIF('Detailed Attendance'!AO25:AO25, "P")+COUNTIF('Detailed Attendance'!BA25:BA25, "P")+COUNTIF('Detailed Attendance'!BI25:BI25, "P")+COUNTIF('Detailed Attendance'!BU25:BU25, "P")+COUNTIF('Detailed Attendance'!CC25:CC25, "P")+COUNTIF('Detailed Attendance'!CR25:CR25, "P")+COUNTIF('Detailed Attendance'!CZ25:CZ25, "P")</f>
        <v/>
      </c>
      <c r="AL24" s="67">
        <f>COUNTIF('Detailed Attendance'!M25:M25, "A")+COUNTIF('Detailed Attendance'!U25:U25, "A")+COUNTIF('Detailed Attendance'!AG25:AG25, "A")+COUNTIF('Detailed Attendance'!AO25:AO25, "A")+COUNTIF('Detailed Attendance'!BA25:BA25, "A")+COUNTIF('Detailed Attendance'!BI25:BI25, "A")+COUNTIF('Detailed Attendance'!BU25:BU25, "A")+COUNTIF('Detailed Attendance'!CC25:CC25, "A")+COUNTIF('Detailed Attendance'!CR25:CR25, "A")+COUNTIF('Detailed Attendance'!CZ25:CZ25, "A")</f>
        <v/>
      </c>
      <c r="AM24" s="68">
        <f>IF((AK24+AL24)=0,"", AK24/(AK24+AL24))</f>
        <v/>
      </c>
      <c r="AN24" s="67">
        <f>Y24+AB24+AE24+AH24+AK24</f>
        <v/>
      </c>
      <c r="AO24" s="67">
        <f>Z24+AC24+AF24+AI24+AL24</f>
        <v/>
      </c>
      <c r="AP24" s="68">
        <f>IF((AN24+AO24)=0,"", AN24/(AN24+AO24))</f>
        <v/>
      </c>
      <c r="AQ24" s="69">
        <f>COUNTIF('Detailed Attendance'!Y25:Y25, "P")+COUNTIF('Detailed Attendance'!AS25:AS25, "P")+COUNTIF('Detailed Attendance'!BM25:BM25, "P")+COUNTIF('Detailed Attendance'!CJ25:CJ25, "P")+COUNTIF('Detailed Attendance'!V25:V25, "P")+COUNTIF('Detailed Attendance'!AP25:AP25, "P")+COUNTIF('Detailed Attendance'!BJ25:BJ25, "P")+COUNTIF('Detailed Attendance'!CD25:CD25, "P")+COUNTIF('Detailed Attendance'!DA25:DA25, "P")+COUNTIF('Detailed Attendance'!CH25:CH25, "P")</f>
        <v/>
      </c>
      <c r="AR24" s="69">
        <f>COUNTIF('Detailed Attendance'!Y25:Y25, "A")+COUNTIF('Detailed Attendance'!AS25:AS25, "A")+COUNTIF('Detailed Attendance'!BM25:BM25, "A")+COUNTIF('Detailed Attendance'!CJ25:CJ25, "A")+COUNTIF('Detailed Attendance'!V25:V25, "A")+COUNTIF('Detailed Attendance'!AP25:AP25, "A")+COUNTIF('Detailed Attendance'!BJ25:BJ25, "A")+COUNTIF('Detailed Attendance'!CD25:CD25, "A")+COUNTIF('Detailed Attendance'!DA25:DA25, "A")+COUNTIF('Detailed Attendance'!CH25:CH25, "A")</f>
        <v/>
      </c>
      <c r="AS24" s="70">
        <f>IF((AQ24+AR24)=0,"", AQ24/(AQ24+AR24))</f>
        <v/>
      </c>
      <c r="AT24" s="67">
        <f>COUNTIF('Detailed Attendance'!DF25:DF25, "P")+COUNTIF('Detailed Attendance'!DT25:DT25, "P")+COUNTIF('Detailed Attendance'!EC25:EC25, "P")+COUNTIF('Detailed Attendance'!EQ25:EQ25, "P")+COUNTIF('Detailed Attendance'!EW25:EW25, "P")+COUNTIF('Detailed Attendance'!FK25:FK25, "P")+COUNTIF('Detailed Attendance'!FM25:FM25, "P")+COUNTIF('Detailed Attendance'!GA25:GA25, "P")</f>
        <v/>
      </c>
      <c r="AU24" s="67">
        <f>COUNTIF('Detailed Attendance'!DF25:DF25, "A")+COUNTIF('Detailed Attendance'!DT25:DT25, "A")+COUNTIF('Detailed Attendance'!EC25:EC25, "A")+COUNTIF('Detailed Attendance'!EQ25:EQ25, "A")+COUNTIF('Detailed Attendance'!EW25:EW25, "A")+COUNTIF('Detailed Attendance'!FK25:FK25, "A")+COUNTIF('Detailed Attendance'!FM25:FM25, "A")+COUNTIF('Detailed Attendance'!GA25:GA25, "A")</f>
        <v/>
      </c>
      <c r="AV24" s="68">
        <f>IF((AT24+AU24)=0,"", AT24/(AT24+AU24))</f>
        <v/>
      </c>
      <c r="AW24" s="67">
        <f>COUNTIF('Detailed Attendance'!DK25:DK25, "P")+COUNTIF('Detailed Attendance'!DS25:DS25, "P")+COUNTIF('Detailed Attendance'!EH25:EH25, "P")+COUNTIF('Detailed Attendance'!EP25:EP25, "P")+COUNTIF('Detailed Attendance'!FB25:FB25, "P")+COUNTIF('Detailed Attendance'!FJ25:FJ25, "P")+COUNTIF('Detailed Attendance'!FR25:FR25, "P")+COUNTIF('Detailed Attendance'!FZ25:FZ25, "P")</f>
        <v/>
      </c>
      <c r="AX24" s="67">
        <f>COUNTIF('Detailed Attendance'!DK25:DK25, "A")+COUNTIF('Detailed Attendance'!DS25:DS25, "A")+COUNTIF('Detailed Attendance'!EH25:EH25, "A")+COUNTIF('Detailed Attendance'!EP25:EP25, "A")+COUNTIF('Detailed Attendance'!FB25:FB25, "A")+COUNTIF('Detailed Attendance'!FJ25:FJ25, "A")+COUNTIF('Detailed Attendance'!FR25:FR25, "A")+COUNTIF('Detailed Attendance'!FZ25:FZ25, "A")</f>
        <v/>
      </c>
      <c r="AY24" s="68">
        <f>IF((AW24+AX24)=0,"", AW24/(AW24+AX24))</f>
        <v/>
      </c>
      <c r="AZ24" s="67">
        <f>COUNTIF('Detailed Attendance'!DN25:DN25, "P")+COUNTIF('Detailed Attendance'!DR25:DR25, "P")+COUNTIF('Detailed Attendance'!EK25:EK25, "P")+COUNTIF('Detailed Attendance'!EO25:EO25, "P")+COUNTIF('Detailed Attendance'!FE25:FE25, "P")+COUNTIF('Detailed Attendance'!FI25:FI25, "P")+COUNTIF('Detailed Attendance'!FU25:FU25, "P")+COUNTIF('Detailed Attendance'!FY25:FY25, "P")</f>
        <v/>
      </c>
      <c r="BA24" s="67">
        <f>COUNTIF('Detailed Attendance'!DN25:DN25, "A")+COUNTIF('Detailed Attendance'!DR25:DR25, "A")+COUNTIF('Detailed Attendance'!EK25:EK25, "A")+COUNTIF('Detailed Attendance'!EO25:EO25, "A")+COUNTIF('Detailed Attendance'!FE25:FE25, "A")+COUNTIF('Detailed Attendance'!FI25:FI25, "A")+COUNTIF('Detailed Attendance'!FU25:FU25, "A")+COUNTIF('Detailed Attendance'!FY25:FY25, "A")</f>
        <v/>
      </c>
      <c r="BB24" s="68">
        <f>IF((AZ24+BA24)=0,"", AZ24/(AZ24+BA24))</f>
        <v/>
      </c>
      <c r="BC24" s="67">
        <f>COUNTIF('Detailed Attendance'!DC25:DC25, "P")+COUNTIF('Detailed Attendance'!DV25:DV25, "P")+COUNTIF('Detailed Attendance'!DZ25:DZ25, "P")+COUNTIF('Detailed Attendance'!ES25:ES25, "P")+COUNTIF('Detailed Attendance'!GC25:GC25, "P")+COUNTIF('Detailed Attendance'!GG25:GG25, "P")</f>
        <v/>
      </c>
      <c r="BD24" s="67">
        <f>COUNTIF('Detailed Attendance'!DC25:DC25, "A")+COUNTIF('Detailed Attendance'!DV25:DV25, "A")+COUNTIF('Detailed Attendance'!DZ25:DZ25, "A")+COUNTIF('Detailed Attendance'!ES25:ES25, "A")+COUNTIF('Detailed Attendance'!GC25:GC25, "A")+COUNTIF('Detailed Attendance'!GG25:GG25, "A")</f>
        <v/>
      </c>
      <c r="BE24" s="68">
        <f>IF((BC24+BD24)=0,"", BC24/(BC24+BD24))</f>
        <v/>
      </c>
      <c r="BF24" s="67">
        <f>COUNTIF('Detailed Attendance'!DO25:DO25, "P")+COUNTIF('Detailed Attendance'!DW25:DW25, "P")+COUNTIF('Detailed Attendance'!EL25:EL25, "P")+COUNTIF('Detailed Attendance'!ET25:ET25, "P")+COUNTIF('Detailed Attendance'!FF25:FF25, "P")+COUNTIF('Detailed Attendance'!FV25:FV25, "P")+COUNTIF('Detailed Attendance'!GD25:GD25, "P")</f>
        <v/>
      </c>
      <c r="BG24" s="67">
        <f>COUNTIF('Detailed Attendance'!DO25:DO25, "A")+COUNTIF('Detailed Attendance'!DW25:DW25, "A")+COUNTIF('Detailed Attendance'!EL25:EL25, "A")+COUNTIF('Detailed Attendance'!ET25:ET25, "A")+COUNTIF('Detailed Attendance'!FF25:FF25, "A")+COUNTIF('Detailed Attendance'!FV25:FV25, "A")+COUNTIF('Detailed Attendance'!GD25:GD25, "A")</f>
        <v/>
      </c>
      <c r="BH24" s="68">
        <f>IF((BF24+BG24)=0,"", BF24/(BF24+BG24))</f>
        <v/>
      </c>
      <c r="BI24" s="67">
        <f>AT24+AW24+AZ24+BC24+BF24</f>
        <v/>
      </c>
      <c r="BJ24" s="67">
        <f>AU24+AX24+BA24+BD24+BG24</f>
        <v/>
      </c>
      <c r="BK24" s="68">
        <f>IF((BI24+BJ24)=0,"", BI24/(BI24+BJ24))</f>
        <v/>
      </c>
      <c r="BL24" s="69">
        <f>COUNTIF('Detailed Attendance'!DG25:DG25, "P")+COUNTIF('Detailed Attendance'!ED25:ED25, "P")+COUNTIF('Detailed Attendance'!EX25:EX25, "P")+COUNTIF('Detailed Attendance'!FN25:FN25, "P")+COUNTIF('Detailed Attendance'!DX25:DX25, "P")+COUNTIF('Detailed Attendance'!EU25:EU25, "P")+COUNTIF('Detailed Attendance'!GE25:GE25, "P")+COUNTIF('Detailed Attendance'!DE25:DE25, "P")+COUNTIF('Detailed Attendance'!EB25:EB25, "P")+COUNTIF('Detailed Attendance'!GI25:GI25, "P")</f>
        <v/>
      </c>
      <c r="BM24" s="69">
        <f>COUNTIF('Detailed Attendance'!DG25:DG25, "A")+COUNTIF('Detailed Attendance'!ED25:ED25, "A")+COUNTIF('Detailed Attendance'!EX25:EX25, "A")+COUNTIF('Detailed Attendance'!FN25:FN25, "A")+COUNTIF('Detailed Attendance'!DX25:DX25, "A")+COUNTIF('Detailed Attendance'!EU25:EU25, "A")+COUNTIF('Detailed Attendance'!GE25:GE25, "A")+COUNTIF('Detailed Attendance'!DE25:DE25, "A")+COUNTIF('Detailed Attendance'!EB25:EB25, "A")+COUNTIF('Detailed Attendance'!GI25:GI25, "A")</f>
        <v/>
      </c>
      <c r="BN24" s="70">
        <f>IF((BL24+BM24)=0,"", BL24/(BL24+BM24))</f>
        <v/>
      </c>
      <c r="BO24" s="67">
        <f>D24+Y24+AT24</f>
        <v/>
      </c>
      <c r="BP24" s="67">
        <f>E24+Z24+AU24</f>
        <v/>
      </c>
      <c r="BQ24" s="68">
        <f>IF((BO24+BP24)=0,"", BO24/(BO24+BP24))</f>
        <v/>
      </c>
      <c r="BR24" s="67">
        <f>G24+AB24+AW24</f>
        <v/>
      </c>
      <c r="BS24" s="67">
        <f>H24+AC24+AX24</f>
        <v/>
      </c>
      <c r="BT24" s="68">
        <f>IF((BR24+BS24)=0,"", BR24/(BR24+BS24))</f>
        <v/>
      </c>
      <c r="BU24" s="67">
        <f>J24+AE24+AZ24</f>
        <v/>
      </c>
      <c r="BV24" s="67">
        <f>K24+AF24+BA24</f>
        <v/>
      </c>
      <c r="BW24" s="68">
        <f>IF((BU24+BV24)=0,"", BU24/(BU24+BV24))</f>
        <v/>
      </c>
      <c r="BX24" s="67">
        <f>M24+AH24+BC24</f>
        <v/>
      </c>
      <c r="BY24" s="67">
        <f>N24+AI24+BD24</f>
        <v/>
      </c>
      <c r="BZ24" s="68">
        <f>IF((BX24+BY24)=0,"", BX24/(BX24+BY24))</f>
        <v/>
      </c>
      <c r="CA24" s="67">
        <f>P24+AK24+BF24</f>
        <v/>
      </c>
      <c r="CB24" s="67">
        <f>Q24+AL24+BG24</f>
        <v/>
      </c>
      <c r="CC24" s="68">
        <f>IF((CA24+CB24)=0,"", CA24/(CA24+CB24))</f>
        <v/>
      </c>
      <c r="CD24" s="67">
        <f>S24+AN24+BI24</f>
        <v/>
      </c>
      <c r="CE24" s="67">
        <f>T24+AO24+BJ24</f>
        <v/>
      </c>
      <c r="CF24" s="68">
        <f>IF((CD24+CE24)=0,"", CD24/(CD24+CE24))</f>
        <v/>
      </c>
      <c r="CG24" s="69">
        <f>V24+AQ24+BL24</f>
        <v/>
      </c>
      <c r="CH24" s="69">
        <f>W24+AR24+BM24</f>
        <v/>
      </c>
      <c r="CI24" s="70">
        <f>IF((CG24+CH24)=0,"", CG24/(CG24+CH24))</f>
        <v/>
      </c>
      <c r="CJ24" s="67">
        <f>CD24+(CG24*2)</f>
        <v/>
      </c>
      <c r="CK24" s="67">
        <f>CE24+(CH24*2)</f>
        <v/>
      </c>
      <c r="CL24" s="68">
        <f>IF((CJ24+CK24)=0,"", CJ24/(CJ24+CK24))</f>
        <v/>
      </c>
      <c r="CM24" s="67" t="inlineStr">
        <is>
          <t>Batch 1</t>
        </is>
      </c>
    </row>
    <row r="25" ht="14.25" customHeight="1" s="34">
      <c r="A25" s="46" t="n">
        <v>23</v>
      </c>
      <c r="B25" s="46" t="inlineStr">
        <is>
          <t>325106410023</t>
        </is>
      </c>
      <c r="C25" s="46" t="inlineStr">
        <is>
          <t>SIVA SAI ANIRUDH MAMIDI</t>
        </is>
      </c>
      <c r="D25" s="63" t="n">
        <v>0</v>
      </c>
      <c r="E25" s="63" t="n">
        <v>0</v>
      </c>
      <c r="F25" s="64">
        <f>IF((D25+E25)=0,"", D25/(D25+E25))</f>
        <v/>
      </c>
      <c r="G25" s="63">
        <f>COUNTIF('Detailed Attendance'!I26:I26, "P")</f>
        <v/>
      </c>
      <c r="H25" s="63">
        <f>COUNTIF('Detailed Attendance'!I26:I26, "A")</f>
        <v/>
      </c>
      <c r="I25" s="64">
        <f>IF((G25+H25)=0,"", G25/(G25+H25))</f>
        <v/>
      </c>
      <c r="J25" s="63" t="n">
        <v>0</v>
      </c>
      <c r="K25" s="63" t="n">
        <v>0</v>
      </c>
      <c r="L25" s="64">
        <f>IF((J25+K25)=0,"", J25/(J25+K25))</f>
        <v/>
      </c>
      <c r="M25" s="63">
        <f>COUNTIF('Detailed Attendance'!D26:D26, "P")</f>
        <v/>
      </c>
      <c r="N25" s="63">
        <f>COUNTIF('Detailed Attendance'!D26:D26, "A")</f>
        <v/>
      </c>
      <c r="O25" s="64">
        <f>IF((M25+N25)=0,"", M25/(M25+N25))</f>
        <v/>
      </c>
      <c r="P25" s="63" t="n">
        <v>0</v>
      </c>
      <c r="Q25" s="63" t="n">
        <v>0</v>
      </c>
      <c r="R25" s="64">
        <f>IF((P25+Q25)=0,"", P25/(P25+Q25))</f>
        <v/>
      </c>
      <c r="S25" s="63">
        <f>D25+G25+J25+M25+P25</f>
        <v/>
      </c>
      <c r="T25" s="63">
        <f>E25+H25+K25+N25+Q25</f>
        <v/>
      </c>
      <c r="U25" s="64">
        <f>IF((S25+T25)=0,"", S25/(S25+T25))</f>
        <v/>
      </c>
      <c r="V25" s="65">
        <f>COUNTIF('Detailed Attendance'!E26:E26, "P")</f>
        <v/>
      </c>
      <c r="W25" s="65">
        <f>COUNTIF('Detailed Attendance'!E26:E26, "A")</f>
        <v/>
      </c>
      <c r="X25" s="66">
        <f>IF((V25+W25)=0,"", V25/(V25+W25))</f>
        <v/>
      </c>
      <c r="Y25" s="63">
        <f>COUNTIF('Detailed Attendance'!R26:R26, "P")+COUNTIF('Detailed Attendance'!X26:X26, "P")+COUNTIF('Detailed Attendance'!AL26:AL26, "P")+COUNTIF('Detailed Attendance'!BF26:BF26, "P")+COUNTIF('Detailed Attendance'!BL26:BL26, "P")+COUNTIF('Detailed Attendance'!BZ26:BZ26, "P")+COUNTIF('Detailed Attendance'!CI26:CI26, "P")+COUNTIF('Detailed Attendance'!CW26:CW26, "P")</f>
        <v/>
      </c>
      <c r="Z25" s="63">
        <f>COUNTIF('Detailed Attendance'!R26:R26, "A")+COUNTIF('Detailed Attendance'!X26:X26, "A")+COUNTIF('Detailed Attendance'!AL26:AL26, "A")+COUNTIF('Detailed Attendance'!BF26:BF26, "A")+COUNTIF('Detailed Attendance'!BL26:BL26, "A")+COUNTIF('Detailed Attendance'!BZ26:BZ26, "A")+COUNTIF('Detailed Attendance'!CI26:CI26, "A")+COUNTIF('Detailed Attendance'!CW26:CW26, "A")</f>
        <v/>
      </c>
      <c r="AA25" s="64">
        <f>IF((Y25+Z25)=0,"", Y25/(Y25+Z25))</f>
        <v/>
      </c>
      <c r="AB25" s="63">
        <f>COUNTIF('Detailed Attendance'!Q26:Q26, "P")+COUNTIF('Detailed Attendance'!AC26:AC26, "P")+COUNTIF('Detailed Attendance'!AK26:AK26, "P")+COUNTIF('Detailed Attendance'!AW26:AW26, "P")+COUNTIF('Detailed Attendance'!BE26:BE26, "P")+COUNTIF('Detailed Attendance'!BQ26:BQ26, "P")+COUNTIF('Detailed Attendance'!BY26:BY26, "P")+COUNTIF('Detailed Attendance'!CN26:CN26, "P")+COUNTIF('Detailed Attendance'!CV26:CV26, "P")</f>
        <v/>
      </c>
      <c r="AC25" s="63">
        <f>COUNTIF('Detailed Attendance'!Q26:Q26, "A")+COUNTIF('Detailed Attendance'!AC26:AC26, "A")+COUNTIF('Detailed Attendance'!AK26:AK26, "A")+COUNTIF('Detailed Attendance'!AW26:AW26, "A")+COUNTIF('Detailed Attendance'!BE26:BE26, "A")+COUNTIF('Detailed Attendance'!BQ26:BQ26, "A")+COUNTIF('Detailed Attendance'!BY26:BY26, "A")+COUNTIF('Detailed Attendance'!CN26:CN26, "A")+COUNTIF('Detailed Attendance'!CV26:CV26, "A")</f>
        <v/>
      </c>
      <c r="AD25" s="64">
        <f>IF((AB25+AC25)=0,"", AB25/(AB25+AC25))</f>
        <v/>
      </c>
      <c r="AE25" s="63">
        <f>COUNTIF('Detailed Attendance'!L26:L26, "P")+COUNTIF('Detailed Attendance'!P26:P26, "P")+COUNTIF('Detailed Attendance'!AF26:AF26, "P")+COUNTIF('Detailed Attendance'!AJ26:AJ26, "P")+COUNTIF('Detailed Attendance'!AZ26:AZ26, "P")+COUNTIF('Detailed Attendance'!BD26:BD26, "P")+COUNTIF('Detailed Attendance'!BT26:BT26, "P")+COUNTIF('Detailed Attendance'!BX26:BX26, "P")+COUNTIF('Detailed Attendance'!CQ26:CQ26, "P")+COUNTIF('Detailed Attendance'!CU26:CU26, "P")</f>
        <v/>
      </c>
      <c r="AF25" s="67">
        <f>COUNTIF('Detailed Attendance'!L26:L26, "A")+COUNTIF('Detailed Attendance'!P26:P26, "A")+COUNTIF('Detailed Attendance'!AF26:AF26, "A")+COUNTIF('Detailed Attendance'!AJ26:AJ26, "A")+COUNTIF('Detailed Attendance'!AZ26:AZ26, "A")+COUNTIF('Detailed Attendance'!BD26:BD26, "A")+COUNTIF('Detailed Attendance'!BT26:BT26, "A")+COUNTIF('Detailed Attendance'!BX26:BX26, "A")+COUNTIF('Detailed Attendance'!CQ26:CQ26, "A")+COUNTIF('Detailed Attendance'!CU26:CU26, "A")</f>
        <v/>
      </c>
      <c r="AG25" s="68">
        <f>IF((AE25+AF25)=0,"", AE25/(AE25+AF25))</f>
        <v/>
      </c>
      <c r="AH25" s="67">
        <f>COUNTIF('Detailed Attendance'!T26:T26, "P")+COUNTIF('Detailed Attendance'!AN26:AN26, "P")+COUNTIF('Detailed Attendance'!AR26:AR26, "P")+COUNTIF('Detailed Attendance'!BH26:BH26, "P")+COUNTIF('Detailed Attendance'!CB26:CB26, "P")+COUNTIF('Detailed Attendance'!CF26:CF26, "P")+COUNTIF('Detailed Attendance'!CY26:CY26, "P")</f>
        <v/>
      </c>
      <c r="AI25" s="67">
        <f>COUNTIF('Detailed Attendance'!T26:T26, "A")+COUNTIF('Detailed Attendance'!AN26:AN26, "A")+COUNTIF('Detailed Attendance'!AR26:AR26, "A")+COUNTIF('Detailed Attendance'!BH26:BH26, "A")+COUNTIF('Detailed Attendance'!CB26:CB26, "A")+COUNTIF('Detailed Attendance'!CF26:CF26, "A")+COUNTIF('Detailed Attendance'!CY26:CY26, "A")</f>
        <v/>
      </c>
      <c r="AJ25" s="68">
        <f>IF((AH25+AI25)=0,"", AH25/(AH25+AI25))</f>
        <v/>
      </c>
      <c r="AK25" s="67">
        <f>COUNTIF('Detailed Attendance'!M26:M26, "P")+COUNTIF('Detailed Attendance'!U26:U26, "P")+COUNTIF('Detailed Attendance'!AG26:AG26, "P")+COUNTIF('Detailed Attendance'!AO26:AO26, "P")+COUNTIF('Detailed Attendance'!BA26:BA26, "P")+COUNTIF('Detailed Attendance'!BI26:BI26, "P")+COUNTIF('Detailed Attendance'!BU26:BU26, "P")+COUNTIF('Detailed Attendance'!CC26:CC26, "P")+COUNTIF('Detailed Attendance'!CR26:CR26, "P")+COUNTIF('Detailed Attendance'!CZ26:CZ26, "P")</f>
        <v/>
      </c>
      <c r="AL25" s="67">
        <f>COUNTIF('Detailed Attendance'!M26:M26, "A")+COUNTIF('Detailed Attendance'!U26:U26, "A")+COUNTIF('Detailed Attendance'!AG26:AG26, "A")+COUNTIF('Detailed Attendance'!AO26:AO26, "A")+COUNTIF('Detailed Attendance'!BA26:BA26, "A")+COUNTIF('Detailed Attendance'!BI26:BI26, "A")+COUNTIF('Detailed Attendance'!BU26:BU26, "A")+COUNTIF('Detailed Attendance'!CC26:CC26, "A")+COUNTIF('Detailed Attendance'!CR26:CR26, "A")+COUNTIF('Detailed Attendance'!CZ26:CZ26, "A")</f>
        <v/>
      </c>
      <c r="AM25" s="68">
        <f>IF((AK25+AL25)=0,"", AK25/(AK25+AL25))</f>
        <v/>
      </c>
      <c r="AN25" s="67">
        <f>Y25+AB25+AE25+AH25+AK25</f>
        <v/>
      </c>
      <c r="AO25" s="67">
        <f>Z25+AC25+AF25+AI25+AL25</f>
        <v/>
      </c>
      <c r="AP25" s="68">
        <f>IF((AN25+AO25)=0,"", AN25/(AN25+AO25))</f>
        <v/>
      </c>
      <c r="AQ25" s="69">
        <f>COUNTIF('Detailed Attendance'!Y26:Y26, "P")+COUNTIF('Detailed Attendance'!AS26:AS26, "P")+COUNTIF('Detailed Attendance'!BM26:BM26, "P")+COUNTIF('Detailed Attendance'!CJ26:CJ26, "P")+COUNTIF('Detailed Attendance'!V26:V26, "P")+COUNTIF('Detailed Attendance'!AP26:AP26, "P")+COUNTIF('Detailed Attendance'!BJ26:BJ26, "P")+COUNTIF('Detailed Attendance'!CD26:CD26, "P")+COUNTIF('Detailed Attendance'!DA26:DA26, "P")+COUNTIF('Detailed Attendance'!CH26:CH26, "P")</f>
        <v/>
      </c>
      <c r="AR25" s="69">
        <f>COUNTIF('Detailed Attendance'!Y26:Y26, "A")+COUNTIF('Detailed Attendance'!AS26:AS26, "A")+COUNTIF('Detailed Attendance'!BM26:BM26, "A")+COUNTIF('Detailed Attendance'!CJ26:CJ26, "A")+COUNTIF('Detailed Attendance'!V26:V26, "A")+COUNTIF('Detailed Attendance'!AP26:AP26, "A")+COUNTIF('Detailed Attendance'!BJ26:BJ26, "A")+COUNTIF('Detailed Attendance'!CD26:CD26, "A")+COUNTIF('Detailed Attendance'!DA26:DA26, "A")+COUNTIF('Detailed Attendance'!CH26:CH26, "A")</f>
        <v/>
      </c>
      <c r="AS25" s="70">
        <f>IF((AQ25+AR25)=0,"", AQ25/(AQ25+AR25))</f>
        <v/>
      </c>
      <c r="AT25" s="67">
        <f>COUNTIF('Detailed Attendance'!DF26:DF26, "P")+COUNTIF('Detailed Attendance'!DT26:DT26, "P")+COUNTIF('Detailed Attendance'!EC26:EC26, "P")+COUNTIF('Detailed Attendance'!EQ26:EQ26, "P")+COUNTIF('Detailed Attendance'!EW26:EW26, "P")+COUNTIF('Detailed Attendance'!FK26:FK26, "P")+COUNTIF('Detailed Attendance'!FM26:FM26, "P")+COUNTIF('Detailed Attendance'!GA26:GA26, "P")</f>
        <v/>
      </c>
      <c r="AU25" s="67">
        <f>COUNTIF('Detailed Attendance'!DF26:DF26, "A")+COUNTIF('Detailed Attendance'!DT26:DT26, "A")+COUNTIF('Detailed Attendance'!EC26:EC26, "A")+COUNTIF('Detailed Attendance'!EQ26:EQ26, "A")+COUNTIF('Detailed Attendance'!EW26:EW26, "A")+COUNTIF('Detailed Attendance'!FK26:FK26, "A")+COUNTIF('Detailed Attendance'!FM26:FM26, "A")+COUNTIF('Detailed Attendance'!GA26:GA26, "A")</f>
        <v/>
      </c>
      <c r="AV25" s="68">
        <f>IF((AT25+AU25)=0,"", AT25/(AT25+AU25))</f>
        <v/>
      </c>
      <c r="AW25" s="67">
        <f>COUNTIF('Detailed Attendance'!DK26:DK26, "P")+COUNTIF('Detailed Attendance'!DS26:DS26, "P")+COUNTIF('Detailed Attendance'!EH26:EH26, "P")+COUNTIF('Detailed Attendance'!EP26:EP26, "P")+COUNTIF('Detailed Attendance'!FB26:FB26, "P")+COUNTIF('Detailed Attendance'!FJ26:FJ26, "P")+COUNTIF('Detailed Attendance'!FR26:FR26, "P")+COUNTIF('Detailed Attendance'!FZ26:FZ26, "P")</f>
        <v/>
      </c>
      <c r="AX25" s="67">
        <f>COUNTIF('Detailed Attendance'!DK26:DK26, "A")+COUNTIF('Detailed Attendance'!DS26:DS26, "A")+COUNTIF('Detailed Attendance'!EH26:EH26, "A")+COUNTIF('Detailed Attendance'!EP26:EP26, "A")+COUNTIF('Detailed Attendance'!FB26:FB26, "A")+COUNTIF('Detailed Attendance'!FJ26:FJ26, "A")+COUNTIF('Detailed Attendance'!FR26:FR26, "A")+COUNTIF('Detailed Attendance'!FZ26:FZ26, "A")</f>
        <v/>
      </c>
      <c r="AY25" s="68">
        <f>IF((AW25+AX25)=0,"", AW25/(AW25+AX25))</f>
        <v/>
      </c>
      <c r="AZ25" s="67">
        <f>COUNTIF('Detailed Attendance'!DN26:DN26, "P")+COUNTIF('Detailed Attendance'!DR26:DR26, "P")+COUNTIF('Detailed Attendance'!EK26:EK26, "P")+COUNTIF('Detailed Attendance'!EO26:EO26, "P")+COUNTIF('Detailed Attendance'!FE26:FE26, "P")+COUNTIF('Detailed Attendance'!FI26:FI26, "P")+COUNTIF('Detailed Attendance'!FU26:FU26, "P")+COUNTIF('Detailed Attendance'!FY26:FY26, "P")</f>
        <v/>
      </c>
      <c r="BA25" s="67">
        <f>COUNTIF('Detailed Attendance'!DN26:DN26, "A")+COUNTIF('Detailed Attendance'!DR26:DR26, "A")+COUNTIF('Detailed Attendance'!EK26:EK26, "A")+COUNTIF('Detailed Attendance'!EO26:EO26, "A")+COUNTIF('Detailed Attendance'!FE26:FE26, "A")+COUNTIF('Detailed Attendance'!FI26:FI26, "A")+COUNTIF('Detailed Attendance'!FU26:FU26, "A")+COUNTIF('Detailed Attendance'!FY26:FY26, "A")</f>
        <v/>
      </c>
      <c r="BB25" s="68">
        <f>IF((AZ25+BA25)=0,"", AZ25/(AZ25+BA25))</f>
        <v/>
      </c>
      <c r="BC25" s="67">
        <f>COUNTIF('Detailed Attendance'!DC26:DC26, "P")+COUNTIF('Detailed Attendance'!DV26:DV26, "P")+COUNTIF('Detailed Attendance'!DZ26:DZ26, "P")+COUNTIF('Detailed Attendance'!ES26:ES26, "P")+COUNTIF('Detailed Attendance'!GC26:GC26, "P")+COUNTIF('Detailed Attendance'!GG26:GG26, "P")</f>
        <v/>
      </c>
      <c r="BD25" s="67">
        <f>COUNTIF('Detailed Attendance'!DC26:DC26, "A")+COUNTIF('Detailed Attendance'!DV26:DV26, "A")+COUNTIF('Detailed Attendance'!DZ26:DZ26, "A")+COUNTIF('Detailed Attendance'!ES26:ES26, "A")+COUNTIF('Detailed Attendance'!GC26:GC26, "A")+COUNTIF('Detailed Attendance'!GG26:GG26, "A")</f>
        <v/>
      </c>
      <c r="BE25" s="68">
        <f>IF((BC25+BD25)=0,"", BC25/(BC25+BD25))</f>
        <v/>
      </c>
      <c r="BF25" s="67">
        <f>COUNTIF('Detailed Attendance'!DO26:DO26, "P")+COUNTIF('Detailed Attendance'!DW26:DW26, "P")+COUNTIF('Detailed Attendance'!EL26:EL26, "P")+COUNTIF('Detailed Attendance'!ET26:ET26, "P")+COUNTIF('Detailed Attendance'!FF26:FF26, "P")+COUNTIF('Detailed Attendance'!FV26:FV26, "P")+COUNTIF('Detailed Attendance'!GD26:GD26, "P")</f>
        <v/>
      </c>
      <c r="BG25" s="67">
        <f>COUNTIF('Detailed Attendance'!DO26:DO26, "A")+COUNTIF('Detailed Attendance'!DW26:DW26, "A")+COUNTIF('Detailed Attendance'!EL26:EL26, "A")+COUNTIF('Detailed Attendance'!ET26:ET26, "A")+COUNTIF('Detailed Attendance'!FF26:FF26, "A")+COUNTIF('Detailed Attendance'!FV26:FV26, "A")+COUNTIF('Detailed Attendance'!GD26:GD26, "A")</f>
        <v/>
      </c>
      <c r="BH25" s="68">
        <f>IF((BF25+BG25)=0,"", BF25/(BF25+BG25))</f>
        <v/>
      </c>
      <c r="BI25" s="67">
        <f>AT25+AW25+AZ25+BC25+BF25</f>
        <v/>
      </c>
      <c r="BJ25" s="67">
        <f>AU25+AX25+BA25+BD25+BG25</f>
        <v/>
      </c>
      <c r="BK25" s="68">
        <f>IF((BI25+BJ25)=0,"", BI25/(BI25+BJ25))</f>
        <v/>
      </c>
      <c r="BL25" s="69">
        <f>COUNTIF('Detailed Attendance'!DG26:DG26, "P")+COUNTIF('Detailed Attendance'!ED26:ED26, "P")+COUNTIF('Detailed Attendance'!EX26:EX26, "P")+COUNTIF('Detailed Attendance'!FN26:FN26, "P")+COUNTIF('Detailed Attendance'!DX26:DX26, "P")+COUNTIF('Detailed Attendance'!EU26:EU26, "P")+COUNTIF('Detailed Attendance'!GE26:GE26, "P")+COUNTIF('Detailed Attendance'!DE26:DE26, "P")+COUNTIF('Detailed Attendance'!EB26:EB26, "P")+COUNTIF('Detailed Attendance'!GI26:GI26, "P")</f>
        <v/>
      </c>
      <c r="BM25" s="69">
        <f>COUNTIF('Detailed Attendance'!DG26:DG26, "A")+COUNTIF('Detailed Attendance'!ED26:ED26, "A")+COUNTIF('Detailed Attendance'!EX26:EX26, "A")+COUNTIF('Detailed Attendance'!FN26:FN26, "A")+COUNTIF('Detailed Attendance'!DX26:DX26, "A")+COUNTIF('Detailed Attendance'!EU26:EU26, "A")+COUNTIF('Detailed Attendance'!GE26:GE26, "A")+COUNTIF('Detailed Attendance'!DE26:DE26, "A")+COUNTIF('Detailed Attendance'!EB26:EB26, "A")+COUNTIF('Detailed Attendance'!GI26:GI26, "A")</f>
        <v/>
      </c>
      <c r="BN25" s="70">
        <f>IF((BL25+BM25)=0,"", BL25/(BL25+BM25))</f>
        <v/>
      </c>
      <c r="BO25" s="67">
        <f>D25+Y25+AT25</f>
        <v/>
      </c>
      <c r="BP25" s="67">
        <f>E25+Z25+AU25</f>
        <v/>
      </c>
      <c r="BQ25" s="68">
        <f>IF((BO25+BP25)=0,"", BO25/(BO25+BP25))</f>
        <v/>
      </c>
      <c r="BR25" s="67">
        <f>G25+AB25+AW25</f>
        <v/>
      </c>
      <c r="BS25" s="67">
        <f>H25+AC25+AX25</f>
        <v/>
      </c>
      <c r="BT25" s="68">
        <f>IF((BR25+BS25)=0,"", BR25/(BR25+BS25))</f>
        <v/>
      </c>
      <c r="BU25" s="67">
        <f>J25+AE25+AZ25</f>
        <v/>
      </c>
      <c r="BV25" s="67">
        <f>K25+AF25+BA25</f>
        <v/>
      </c>
      <c r="BW25" s="68">
        <f>IF((BU25+BV25)=0,"", BU25/(BU25+BV25))</f>
        <v/>
      </c>
      <c r="BX25" s="67">
        <f>M25+AH25+BC25</f>
        <v/>
      </c>
      <c r="BY25" s="67">
        <f>N25+AI25+BD25</f>
        <v/>
      </c>
      <c r="BZ25" s="68">
        <f>IF((BX25+BY25)=0,"", BX25/(BX25+BY25))</f>
        <v/>
      </c>
      <c r="CA25" s="67">
        <f>P25+AK25+BF25</f>
        <v/>
      </c>
      <c r="CB25" s="67">
        <f>Q25+AL25+BG25</f>
        <v/>
      </c>
      <c r="CC25" s="68">
        <f>IF((CA25+CB25)=0,"", CA25/(CA25+CB25))</f>
        <v/>
      </c>
      <c r="CD25" s="67">
        <f>S25+AN25+BI25</f>
        <v/>
      </c>
      <c r="CE25" s="67">
        <f>T25+AO25+BJ25</f>
        <v/>
      </c>
      <c r="CF25" s="68">
        <f>IF((CD25+CE25)=0,"", CD25/(CD25+CE25))</f>
        <v/>
      </c>
      <c r="CG25" s="69">
        <f>V25+AQ25+BL25</f>
        <v/>
      </c>
      <c r="CH25" s="69">
        <f>W25+AR25+BM25</f>
        <v/>
      </c>
      <c r="CI25" s="70">
        <f>IF((CG25+CH25)=0,"", CG25/(CG25+CH25))</f>
        <v/>
      </c>
      <c r="CJ25" s="67">
        <f>CD25+(CG25*2)</f>
        <v/>
      </c>
      <c r="CK25" s="67">
        <f>CE25+(CH25*2)</f>
        <v/>
      </c>
      <c r="CL25" s="68">
        <f>IF((CJ25+CK25)=0,"", CJ25/(CJ25+CK25))</f>
        <v/>
      </c>
      <c r="CM25" s="67" t="inlineStr">
        <is>
          <t>Batch 1</t>
        </is>
      </c>
    </row>
    <row r="26" ht="14.25" customHeight="1" s="34">
      <c r="A26" s="46" t="n">
        <v>24</v>
      </c>
      <c r="B26" s="46" t="inlineStr">
        <is>
          <t>325106410024</t>
        </is>
      </c>
      <c r="C26" s="46" t="inlineStr">
        <is>
          <t>MUTYALA GAYATRI MANTHA</t>
        </is>
      </c>
      <c r="D26" s="63" t="n">
        <v>0</v>
      </c>
      <c r="E26" s="63" t="n">
        <v>0</v>
      </c>
      <c r="F26" s="64">
        <f>IF((D26+E26)=0,"", D26/(D26+E26))</f>
        <v/>
      </c>
      <c r="G26" s="63">
        <f>COUNTIF('Detailed Attendance'!I27:I27, "P")</f>
        <v/>
      </c>
      <c r="H26" s="63">
        <f>COUNTIF('Detailed Attendance'!I27:I27, "A")</f>
        <v/>
      </c>
      <c r="I26" s="64">
        <f>IF((G26+H26)=0,"", G26/(G26+H26))</f>
        <v/>
      </c>
      <c r="J26" s="63" t="n">
        <v>0</v>
      </c>
      <c r="K26" s="63" t="n">
        <v>0</v>
      </c>
      <c r="L26" s="64">
        <f>IF((J26+K26)=0,"", J26/(J26+K26))</f>
        <v/>
      </c>
      <c r="M26" s="63">
        <f>COUNTIF('Detailed Attendance'!D27:D27, "P")</f>
        <v/>
      </c>
      <c r="N26" s="63">
        <f>COUNTIF('Detailed Attendance'!D27:D27, "A")</f>
        <v/>
      </c>
      <c r="O26" s="64">
        <f>IF((M26+N26)=0,"", M26/(M26+N26))</f>
        <v/>
      </c>
      <c r="P26" s="63" t="n">
        <v>0</v>
      </c>
      <c r="Q26" s="63" t="n">
        <v>0</v>
      </c>
      <c r="R26" s="64">
        <f>IF((P26+Q26)=0,"", P26/(P26+Q26))</f>
        <v/>
      </c>
      <c r="S26" s="63">
        <f>D26+G26+J26+M26+P26</f>
        <v/>
      </c>
      <c r="T26" s="63">
        <f>E26+H26+K26+N26+Q26</f>
        <v/>
      </c>
      <c r="U26" s="64">
        <f>IF((S26+T26)=0,"", S26/(S26+T26))</f>
        <v/>
      </c>
      <c r="V26" s="65">
        <f>COUNTIF('Detailed Attendance'!E27:E27, "P")</f>
        <v/>
      </c>
      <c r="W26" s="65">
        <f>COUNTIF('Detailed Attendance'!E27:E27, "A")</f>
        <v/>
      </c>
      <c r="X26" s="66">
        <f>IF((V26+W26)=0,"", V26/(V26+W26))</f>
        <v/>
      </c>
      <c r="Y26" s="63">
        <f>COUNTIF('Detailed Attendance'!R27:R27, "P")+COUNTIF('Detailed Attendance'!X27:X27, "P")+COUNTIF('Detailed Attendance'!AL27:AL27, "P")+COUNTIF('Detailed Attendance'!BF27:BF27, "P")+COUNTIF('Detailed Attendance'!BL27:BL27, "P")+COUNTIF('Detailed Attendance'!BZ27:BZ27, "P")+COUNTIF('Detailed Attendance'!CI27:CI27, "P")+COUNTIF('Detailed Attendance'!CW27:CW27, "P")</f>
        <v/>
      </c>
      <c r="Z26" s="63">
        <f>COUNTIF('Detailed Attendance'!R27:R27, "A")+COUNTIF('Detailed Attendance'!X27:X27, "A")+COUNTIF('Detailed Attendance'!AL27:AL27, "A")+COUNTIF('Detailed Attendance'!BF27:BF27, "A")+COUNTIF('Detailed Attendance'!BL27:BL27, "A")+COUNTIF('Detailed Attendance'!BZ27:BZ27, "A")+COUNTIF('Detailed Attendance'!CI27:CI27, "A")+COUNTIF('Detailed Attendance'!CW27:CW27, "A")</f>
        <v/>
      </c>
      <c r="AA26" s="64">
        <f>IF((Y26+Z26)=0,"", Y26/(Y26+Z26))</f>
        <v/>
      </c>
      <c r="AB26" s="63">
        <f>COUNTIF('Detailed Attendance'!Q27:Q27, "P")+COUNTIF('Detailed Attendance'!AC27:AC27, "P")+COUNTIF('Detailed Attendance'!AK27:AK27, "P")+COUNTIF('Detailed Attendance'!AW27:AW27, "P")+COUNTIF('Detailed Attendance'!BE27:BE27, "P")+COUNTIF('Detailed Attendance'!BQ27:BQ27, "P")+COUNTIF('Detailed Attendance'!BY27:BY27, "P")+COUNTIF('Detailed Attendance'!CN27:CN27, "P")+COUNTIF('Detailed Attendance'!CV27:CV27, "P")</f>
        <v/>
      </c>
      <c r="AC26" s="63">
        <f>COUNTIF('Detailed Attendance'!Q27:Q27, "A")+COUNTIF('Detailed Attendance'!AC27:AC27, "A")+COUNTIF('Detailed Attendance'!AK27:AK27, "A")+COUNTIF('Detailed Attendance'!AW27:AW27, "A")+COUNTIF('Detailed Attendance'!BE27:BE27, "A")+COUNTIF('Detailed Attendance'!BQ27:BQ27, "A")+COUNTIF('Detailed Attendance'!BY27:BY27, "A")+COUNTIF('Detailed Attendance'!CN27:CN27, "A")+COUNTIF('Detailed Attendance'!CV27:CV27, "A")</f>
        <v/>
      </c>
      <c r="AD26" s="64">
        <f>IF((AB26+AC26)=0,"", AB26/(AB26+AC26))</f>
        <v/>
      </c>
      <c r="AE26" s="63">
        <f>COUNTIF('Detailed Attendance'!L27:L27, "P")+COUNTIF('Detailed Attendance'!P27:P27, "P")+COUNTIF('Detailed Attendance'!AF27:AF27, "P")+COUNTIF('Detailed Attendance'!AJ27:AJ27, "P")+COUNTIF('Detailed Attendance'!AZ27:AZ27, "P")+COUNTIF('Detailed Attendance'!BD27:BD27, "P")+COUNTIF('Detailed Attendance'!BT27:BT27, "P")+COUNTIF('Detailed Attendance'!BX27:BX27, "P")+COUNTIF('Detailed Attendance'!CQ27:CQ27, "P")+COUNTIF('Detailed Attendance'!CU27:CU27, "P")</f>
        <v/>
      </c>
      <c r="AF26" s="67">
        <f>COUNTIF('Detailed Attendance'!L27:L27, "A")+COUNTIF('Detailed Attendance'!P27:P27, "A")+COUNTIF('Detailed Attendance'!AF27:AF27, "A")+COUNTIF('Detailed Attendance'!AJ27:AJ27, "A")+COUNTIF('Detailed Attendance'!AZ27:AZ27, "A")+COUNTIF('Detailed Attendance'!BD27:BD27, "A")+COUNTIF('Detailed Attendance'!BT27:BT27, "A")+COUNTIF('Detailed Attendance'!BX27:BX27, "A")+COUNTIF('Detailed Attendance'!CQ27:CQ27, "A")+COUNTIF('Detailed Attendance'!CU27:CU27, "A")</f>
        <v/>
      </c>
      <c r="AG26" s="68">
        <f>IF((AE26+AF26)=0,"", AE26/(AE26+AF26))</f>
        <v/>
      </c>
      <c r="AH26" s="67">
        <f>COUNTIF('Detailed Attendance'!T27:T27, "P")+COUNTIF('Detailed Attendance'!AN27:AN27, "P")+COUNTIF('Detailed Attendance'!AR27:AR27, "P")+COUNTIF('Detailed Attendance'!BH27:BH27, "P")+COUNTIF('Detailed Attendance'!CB27:CB27, "P")+COUNTIF('Detailed Attendance'!CF27:CF27, "P")+COUNTIF('Detailed Attendance'!CY27:CY27, "P")</f>
        <v/>
      </c>
      <c r="AI26" s="67">
        <f>COUNTIF('Detailed Attendance'!T27:T27, "A")+COUNTIF('Detailed Attendance'!AN27:AN27, "A")+COUNTIF('Detailed Attendance'!AR27:AR27, "A")+COUNTIF('Detailed Attendance'!BH27:BH27, "A")+COUNTIF('Detailed Attendance'!CB27:CB27, "A")+COUNTIF('Detailed Attendance'!CF27:CF27, "A")+COUNTIF('Detailed Attendance'!CY27:CY27, "A")</f>
        <v/>
      </c>
      <c r="AJ26" s="68">
        <f>IF((AH26+AI26)=0,"", AH26/(AH26+AI26))</f>
        <v/>
      </c>
      <c r="AK26" s="67">
        <f>COUNTIF('Detailed Attendance'!M27:M27, "P")+COUNTIF('Detailed Attendance'!U27:U27, "P")+COUNTIF('Detailed Attendance'!AG27:AG27, "P")+COUNTIF('Detailed Attendance'!AO27:AO27, "P")+COUNTIF('Detailed Attendance'!BA27:BA27, "P")+COUNTIF('Detailed Attendance'!BI27:BI27, "P")+COUNTIF('Detailed Attendance'!BU27:BU27, "P")+COUNTIF('Detailed Attendance'!CC27:CC27, "P")+COUNTIF('Detailed Attendance'!CR27:CR27, "P")+COUNTIF('Detailed Attendance'!CZ27:CZ27, "P")</f>
        <v/>
      </c>
      <c r="AL26" s="67">
        <f>COUNTIF('Detailed Attendance'!M27:M27, "A")+COUNTIF('Detailed Attendance'!U27:U27, "A")+COUNTIF('Detailed Attendance'!AG27:AG27, "A")+COUNTIF('Detailed Attendance'!AO27:AO27, "A")+COUNTIF('Detailed Attendance'!BA27:BA27, "A")+COUNTIF('Detailed Attendance'!BI27:BI27, "A")+COUNTIF('Detailed Attendance'!BU27:BU27, "A")+COUNTIF('Detailed Attendance'!CC27:CC27, "A")+COUNTIF('Detailed Attendance'!CR27:CR27, "A")+COUNTIF('Detailed Attendance'!CZ27:CZ27, "A")</f>
        <v/>
      </c>
      <c r="AM26" s="68">
        <f>IF((AK26+AL26)=0,"", AK26/(AK26+AL26))</f>
        <v/>
      </c>
      <c r="AN26" s="67">
        <f>Y26+AB26+AE26+AH26+AK26</f>
        <v/>
      </c>
      <c r="AO26" s="67">
        <f>Z26+AC26+AF26+AI26+AL26</f>
        <v/>
      </c>
      <c r="AP26" s="68">
        <f>IF((AN26+AO26)=0,"", AN26/(AN26+AO26))</f>
        <v/>
      </c>
      <c r="AQ26" s="69">
        <f>COUNTIF('Detailed Attendance'!Y27:Y27, "P")+COUNTIF('Detailed Attendance'!AS27:AS27, "P")+COUNTIF('Detailed Attendance'!BM27:BM27, "P")+COUNTIF('Detailed Attendance'!CJ27:CJ27, "P")+COUNTIF('Detailed Attendance'!V27:V27, "P")+COUNTIF('Detailed Attendance'!AP27:AP27, "P")+COUNTIF('Detailed Attendance'!BJ27:BJ27, "P")+COUNTIF('Detailed Attendance'!CD27:CD27, "P")+COUNTIF('Detailed Attendance'!DA27:DA27, "P")+COUNTIF('Detailed Attendance'!CH27:CH27, "P")</f>
        <v/>
      </c>
      <c r="AR26" s="69">
        <f>COUNTIF('Detailed Attendance'!Y27:Y27, "A")+COUNTIF('Detailed Attendance'!AS27:AS27, "A")+COUNTIF('Detailed Attendance'!BM27:BM27, "A")+COUNTIF('Detailed Attendance'!CJ27:CJ27, "A")+COUNTIF('Detailed Attendance'!V27:V27, "A")+COUNTIF('Detailed Attendance'!AP27:AP27, "A")+COUNTIF('Detailed Attendance'!BJ27:BJ27, "A")+COUNTIF('Detailed Attendance'!CD27:CD27, "A")+COUNTIF('Detailed Attendance'!DA27:DA27, "A")+COUNTIF('Detailed Attendance'!CH27:CH27, "A")</f>
        <v/>
      </c>
      <c r="AS26" s="70">
        <f>IF((AQ26+AR26)=0,"", AQ26/(AQ26+AR26))</f>
        <v/>
      </c>
      <c r="AT26" s="67">
        <f>COUNTIF('Detailed Attendance'!DF27:DF27, "P")+COUNTIF('Detailed Attendance'!DT27:DT27, "P")+COUNTIF('Detailed Attendance'!EC27:EC27, "P")+COUNTIF('Detailed Attendance'!EQ27:EQ27, "P")+COUNTIF('Detailed Attendance'!EW27:EW27, "P")+COUNTIF('Detailed Attendance'!FK27:FK27, "P")+COUNTIF('Detailed Attendance'!FM27:FM27, "P")+COUNTIF('Detailed Attendance'!GA27:GA27, "P")</f>
        <v/>
      </c>
      <c r="AU26" s="67">
        <f>COUNTIF('Detailed Attendance'!DF27:DF27, "A")+COUNTIF('Detailed Attendance'!DT27:DT27, "A")+COUNTIF('Detailed Attendance'!EC27:EC27, "A")+COUNTIF('Detailed Attendance'!EQ27:EQ27, "A")+COUNTIF('Detailed Attendance'!EW27:EW27, "A")+COUNTIF('Detailed Attendance'!FK27:FK27, "A")+COUNTIF('Detailed Attendance'!FM27:FM27, "A")+COUNTIF('Detailed Attendance'!GA27:GA27, "A")</f>
        <v/>
      </c>
      <c r="AV26" s="68">
        <f>IF((AT26+AU26)=0,"", AT26/(AT26+AU26))</f>
        <v/>
      </c>
      <c r="AW26" s="67">
        <f>COUNTIF('Detailed Attendance'!DK27:DK27, "P")+COUNTIF('Detailed Attendance'!DS27:DS27, "P")+COUNTIF('Detailed Attendance'!EH27:EH27, "P")+COUNTIF('Detailed Attendance'!EP27:EP27, "P")+COUNTIF('Detailed Attendance'!FB27:FB27, "P")+COUNTIF('Detailed Attendance'!FJ27:FJ27, "P")+COUNTIF('Detailed Attendance'!FR27:FR27, "P")+COUNTIF('Detailed Attendance'!FZ27:FZ27, "P")</f>
        <v/>
      </c>
      <c r="AX26" s="67">
        <f>COUNTIF('Detailed Attendance'!DK27:DK27, "A")+COUNTIF('Detailed Attendance'!DS27:DS27, "A")+COUNTIF('Detailed Attendance'!EH27:EH27, "A")+COUNTIF('Detailed Attendance'!EP27:EP27, "A")+COUNTIF('Detailed Attendance'!FB27:FB27, "A")+COUNTIF('Detailed Attendance'!FJ27:FJ27, "A")+COUNTIF('Detailed Attendance'!FR27:FR27, "A")+COUNTIF('Detailed Attendance'!FZ27:FZ27, "A")</f>
        <v/>
      </c>
      <c r="AY26" s="68">
        <f>IF((AW26+AX26)=0,"", AW26/(AW26+AX26))</f>
        <v/>
      </c>
      <c r="AZ26" s="67">
        <f>COUNTIF('Detailed Attendance'!DN27:DN27, "P")+COUNTIF('Detailed Attendance'!DR27:DR27, "P")+COUNTIF('Detailed Attendance'!EK27:EK27, "P")+COUNTIF('Detailed Attendance'!EO27:EO27, "P")+COUNTIF('Detailed Attendance'!FE27:FE27, "P")+COUNTIF('Detailed Attendance'!FI27:FI27, "P")+COUNTIF('Detailed Attendance'!FU27:FU27, "P")+COUNTIF('Detailed Attendance'!FY27:FY27, "P")</f>
        <v/>
      </c>
      <c r="BA26" s="67">
        <f>COUNTIF('Detailed Attendance'!DN27:DN27, "A")+COUNTIF('Detailed Attendance'!DR27:DR27, "A")+COUNTIF('Detailed Attendance'!EK27:EK27, "A")+COUNTIF('Detailed Attendance'!EO27:EO27, "A")+COUNTIF('Detailed Attendance'!FE27:FE27, "A")+COUNTIF('Detailed Attendance'!FI27:FI27, "A")+COUNTIF('Detailed Attendance'!FU27:FU27, "A")+COUNTIF('Detailed Attendance'!FY27:FY27, "A")</f>
        <v/>
      </c>
      <c r="BB26" s="68">
        <f>IF((AZ26+BA26)=0,"", AZ26/(AZ26+BA26))</f>
        <v/>
      </c>
      <c r="BC26" s="67">
        <f>COUNTIF('Detailed Attendance'!DC27:DC27, "P")+COUNTIF('Detailed Attendance'!DV27:DV27, "P")+COUNTIF('Detailed Attendance'!DZ27:DZ27, "P")+COUNTIF('Detailed Attendance'!ES27:ES27, "P")+COUNTIF('Detailed Attendance'!GC27:GC27, "P")+COUNTIF('Detailed Attendance'!GG27:GG27, "P")</f>
        <v/>
      </c>
      <c r="BD26" s="67">
        <f>COUNTIF('Detailed Attendance'!DC27:DC27, "A")+COUNTIF('Detailed Attendance'!DV27:DV27, "A")+COUNTIF('Detailed Attendance'!DZ27:DZ27, "A")+COUNTIF('Detailed Attendance'!ES27:ES27, "A")+COUNTIF('Detailed Attendance'!GC27:GC27, "A")+COUNTIF('Detailed Attendance'!GG27:GG27, "A")</f>
        <v/>
      </c>
      <c r="BE26" s="68">
        <f>IF((BC26+BD26)=0,"", BC26/(BC26+BD26))</f>
        <v/>
      </c>
      <c r="BF26" s="67">
        <f>COUNTIF('Detailed Attendance'!DO27:DO27, "P")+COUNTIF('Detailed Attendance'!DW27:DW27, "P")+COUNTIF('Detailed Attendance'!EL27:EL27, "P")+COUNTIF('Detailed Attendance'!ET27:ET27, "P")+COUNTIF('Detailed Attendance'!FF27:FF27, "P")+COUNTIF('Detailed Attendance'!FV27:FV27, "P")+COUNTIF('Detailed Attendance'!GD27:GD27, "P")</f>
        <v/>
      </c>
      <c r="BG26" s="67">
        <f>COUNTIF('Detailed Attendance'!DO27:DO27, "A")+COUNTIF('Detailed Attendance'!DW27:DW27, "A")+COUNTIF('Detailed Attendance'!EL27:EL27, "A")+COUNTIF('Detailed Attendance'!ET27:ET27, "A")+COUNTIF('Detailed Attendance'!FF27:FF27, "A")+COUNTIF('Detailed Attendance'!FV27:FV27, "A")+COUNTIF('Detailed Attendance'!GD27:GD27, "A")</f>
        <v/>
      </c>
      <c r="BH26" s="68">
        <f>IF((BF26+BG26)=0,"", BF26/(BF26+BG26))</f>
        <v/>
      </c>
      <c r="BI26" s="67">
        <f>AT26+AW26+AZ26+BC26+BF26</f>
        <v/>
      </c>
      <c r="BJ26" s="67">
        <f>AU26+AX26+BA26+BD26+BG26</f>
        <v/>
      </c>
      <c r="BK26" s="68">
        <f>IF((BI26+BJ26)=0,"", BI26/(BI26+BJ26))</f>
        <v/>
      </c>
      <c r="BL26" s="69">
        <f>COUNTIF('Detailed Attendance'!DG27:DG27, "P")+COUNTIF('Detailed Attendance'!ED27:ED27, "P")+COUNTIF('Detailed Attendance'!EX27:EX27, "P")+COUNTIF('Detailed Attendance'!FN27:FN27, "P")+COUNTIF('Detailed Attendance'!DX27:DX27, "P")+COUNTIF('Detailed Attendance'!EU27:EU27, "P")+COUNTIF('Detailed Attendance'!GE27:GE27, "P")+COUNTIF('Detailed Attendance'!DE27:DE27, "P")+COUNTIF('Detailed Attendance'!EB27:EB27, "P")+COUNTIF('Detailed Attendance'!GI27:GI27, "P")</f>
        <v/>
      </c>
      <c r="BM26" s="69">
        <f>COUNTIF('Detailed Attendance'!DG27:DG27, "A")+COUNTIF('Detailed Attendance'!ED27:ED27, "A")+COUNTIF('Detailed Attendance'!EX27:EX27, "A")+COUNTIF('Detailed Attendance'!FN27:FN27, "A")+COUNTIF('Detailed Attendance'!DX27:DX27, "A")+COUNTIF('Detailed Attendance'!EU27:EU27, "A")+COUNTIF('Detailed Attendance'!GE27:GE27, "A")+COUNTIF('Detailed Attendance'!DE27:DE27, "A")+COUNTIF('Detailed Attendance'!EB27:EB27, "A")+COUNTIF('Detailed Attendance'!GI27:GI27, "A")</f>
        <v/>
      </c>
      <c r="BN26" s="70">
        <f>IF((BL26+BM26)=0,"", BL26/(BL26+BM26))</f>
        <v/>
      </c>
      <c r="BO26" s="67">
        <f>D26+Y26+AT26</f>
        <v/>
      </c>
      <c r="BP26" s="67">
        <f>E26+Z26+AU26</f>
        <v/>
      </c>
      <c r="BQ26" s="68">
        <f>IF((BO26+BP26)=0,"", BO26/(BO26+BP26))</f>
        <v/>
      </c>
      <c r="BR26" s="67">
        <f>G26+AB26+AW26</f>
        <v/>
      </c>
      <c r="BS26" s="67">
        <f>H26+AC26+AX26</f>
        <v/>
      </c>
      <c r="BT26" s="68">
        <f>IF((BR26+BS26)=0,"", BR26/(BR26+BS26))</f>
        <v/>
      </c>
      <c r="BU26" s="67">
        <f>J26+AE26+AZ26</f>
        <v/>
      </c>
      <c r="BV26" s="67">
        <f>K26+AF26+BA26</f>
        <v/>
      </c>
      <c r="BW26" s="68">
        <f>IF((BU26+BV26)=0,"", BU26/(BU26+BV26))</f>
        <v/>
      </c>
      <c r="BX26" s="67">
        <f>M26+AH26+BC26</f>
        <v/>
      </c>
      <c r="BY26" s="67">
        <f>N26+AI26+BD26</f>
        <v/>
      </c>
      <c r="BZ26" s="68">
        <f>IF((BX26+BY26)=0,"", BX26/(BX26+BY26))</f>
        <v/>
      </c>
      <c r="CA26" s="67">
        <f>P26+AK26+BF26</f>
        <v/>
      </c>
      <c r="CB26" s="67">
        <f>Q26+AL26+BG26</f>
        <v/>
      </c>
      <c r="CC26" s="68">
        <f>IF((CA26+CB26)=0,"", CA26/(CA26+CB26))</f>
        <v/>
      </c>
      <c r="CD26" s="67">
        <f>S26+AN26+BI26</f>
        <v/>
      </c>
      <c r="CE26" s="67">
        <f>T26+AO26+BJ26</f>
        <v/>
      </c>
      <c r="CF26" s="68">
        <f>IF((CD26+CE26)=0,"", CD26/(CD26+CE26))</f>
        <v/>
      </c>
      <c r="CG26" s="69">
        <f>V26+AQ26+BL26</f>
        <v/>
      </c>
      <c r="CH26" s="69">
        <f>W26+AR26+BM26</f>
        <v/>
      </c>
      <c r="CI26" s="70">
        <f>IF((CG26+CH26)=0,"", CG26/(CG26+CH26))</f>
        <v/>
      </c>
      <c r="CJ26" s="67">
        <f>CD26+(CG26*2)</f>
        <v/>
      </c>
      <c r="CK26" s="67">
        <f>CE26+(CH26*2)</f>
        <v/>
      </c>
      <c r="CL26" s="68">
        <f>IF((CJ26+CK26)=0,"", CJ26/(CJ26+CK26))</f>
        <v/>
      </c>
      <c r="CM26" s="67" t="inlineStr">
        <is>
          <t>Batch 1</t>
        </is>
      </c>
    </row>
    <row r="27" ht="14.25" customHeight="1" s="34">
      <c r="A27" s="46" t="n">
        <v>25</v>
      </c>
      <c r="B27" s="46" t="inlineStr">
        <is>
          <t>325106410025</t>
        </is>
      </c>
      <c r="C27" s="46" t="inlineStr">
        <is>
          <t>GAGANA SRI MANUPATI</t>
        </is>
      </c>
      <c r="D27" s="63" t="n">
        <v>0</v>
      </c>
      <c r="E27" s="63" t="n">
        <v>0</v>
      </c>
      <c r="F27" s="64">
        <f>IF((D27+E27)=0,"", D27/(D27+E27))</f>
        <v/>
      </c>
      <c r="G27" s="63">
        <f>COUNTIF('Detailed Attendance'!I28:I28, "P")</f>
        <v/>
      </c>
      <c r="H27" s="63">
        <f>COUNTIF('Detailed Attendance'!I28:I28, "A")</f>
        <v/>
      </c>
      <c r="I27" s="64">
        <f>IF((G27+H27)=0,"", G27/(G27+H27))</f>
        <v/>
      </c>
      <c r="J27" s="63" t="n">
        <v>0</v>
      </c>
      <c r="K27" s="63" t="n">
        <v>0</v>
      </c>
      <c r="L27" s="64">
        <f>IF((J27+K27)=0,"", J27/(J27+K27))</f>
        <v/>
      </c>
      <c r="M27" s="63">
        <f>COUNTIF('Detailed Attendance'!D28:D28, "P")</f>
        <v/>
      </c>
      <c r="N27" s="63">
        <f>COUNTIF('Detailed Attendance'!D28:D28, "A")</f>
        <v/>
      </c>
      <c r="O27" s="64">
        <f>IF((M27+N27)=0,"", M27/(M27+N27))</f>
        <v/>
      </c>
      <c r="P27" s="63" t="n">
        <v>0</v>
      </c>
      <c r="Q27" s="63" t="n">
        <v>0</v>
      </c>
      <c r="R27" s="64">
        <f>IF((P27+Q27)=0,"", P27/(P27+Q27))</f>
        <v/>
      </c>
      <c r="S27" s="63">
        <f>D27+G27+J27+M27+P27</f>
        <v/>
      </c>
      <c r="T27" s="63">
        <f>E27+H27+K27+N27+Q27</f>
        <v/>
      </c>
      <c r="U27" s="64">
        <f>IF((S27+T27)=0,"", S27/(S27+T27))</f>
        <v/>
      </c>
      <c r="V27" s="65">
        <f>COUNTIF('Detailed Attendance'!E28:E28, "P")</f>
        <v/>
      </c>
      <c r="W27" s="65">
        <f>COUNTIF('Detailed Attendance'!E28:E28, "A")</f>
        <v/>
      </c>
      <c r="X27" s="66">
        <f>IF((V27+W27)=0,"", V27/(V27+W27))</f>
        <v/>
      </c>
      <c r="Y27" s="63">
        <f>COUNTIF('Detailed Attendance'!R28:R28, "P")+COUNTIF('Detailed Attendance'!X28:X28, "P")+COUNTIF('Detailed Attendance'!AL28:AL28, "P")+COUNTIF('Detailed Attendance'!BF28:BF28, "P")+COUNTIF('Detailed Attendance'!BL28:BL28, "P")+COUNTIF('Detailed Attendance'!BZ28:BZ28, "P")+COUNTIF('Detailed Attendance'!CI28:CI28, "P")+COUNTIF('Detailed Attendance'!CW28:CW28, "P")</f>
        <v/>
      </c>
      <c r="Z27" s="63">
        <f>COUNTIF('Detailed Attendance'!R28:R28, "A")+COUNTIF('Detailed Attendance'!X28:X28, "A")+COUNTIF('Detailed Attendance'!AL28:AL28, "A")+COUNTIF('Detailed Attendance'!BF28:BF28, "A")+COUNTIF('Detailed Attendance'!BL28:BL28, "A")+COUNTIF('Detailed Attendance'!BZ28:BZ28, "A")+COUNTIF('Detailed Attendance'!CI28:CI28, "A")+COUNTIF('Detailed Attendance'!CW28:CW28, "A")</f>
        <v/>
      </c>
      <c r="AA27" s="64">
        <f>IF((Y27+Z27)=0,"", Y27/(Y27+Z27))</f>
        <v/>
      </c>
      <c r="AB27" s="63">
        <f>COUNTIF('Detailed Attendance'!Q28:Q28, "P")+COUNTIF('Detailed Attendance'!AC28:AC28, "P")+COUNTIF('Detailed Attendance'!AK28:AK28, "P")+COUNTIF('Detailed Attendance'!AW28:AW28, "P")+COUNTIF('Detailed Attendance'!BE28:BE28, "P")+COUNTIF('Detailed Attendance'!BQ28:BQ28, "P")+COUNTIF('Detailed Attendance'!BY28:BY28, "P")+COUNTIF('Detailed Attendance'!CN28:CN28, "P")+COUNTIF('Detailed Attendance'!CV28:CV28, "P")</f>
        <v/>
      </c>
      <c r="AC27" s="63">
        <f>COUNTIF('Detailed Attendance'!Q28:Q28, "A")+COUNTIF('Detailed Attendance'!AC28:AC28, "A")+COUNTIF('Detailed Attendance'!AK28:AK28, "A")+COUNTIF('Detailed Attendance'!AW28:AW28, "A")+COUNTIF('Detailed Attendance'!BE28:BE28, "A")+COUNTIF('Detailed Attendance'!BQ28:BQ28, "A")+COUNTIF('Detailed Attendance'!BY28:BY28, "A")+COUNTIF('Detailed Attendance'!CN28:CN28, "A")+COUNTIF('Detailed Attendance'!CV28:CV28, "A")</f>
        <v/>
      </c>
      <c r="AD27" s="64">
        <f>IF((AB27+AC27)=0,"", AB27/(AB27+AC27))</f>
        <v/>
      </c>
      <c r="AE27" s="63">
        <f>COUNTIF('Detailed Attendance'!L28:L28, "P")+COUNTIF('Detailed Attendance'!P28:P28, "P")+COUNTIF('Detailed Attendance'!AF28:AF28, "P")+COUNTIF('Detailed Attendance'!AJ28:AJ28, "P")+COUNTIF('Detailed Attendance'!AZ28:AZ28, "P")+COUNTIF('Detailed Attendance'!BD28:BD28, "P")+COUNTIF('Detailed Attendance'!BT28:BT28, "P")+COUNTIF('Detailed Attendance'!BX28:BX28, "P")+COUNTIF('Detailed Attendance'!CQ28:CQ28, "P")+COUNTIF('Detailed Attendance'!CU28:CU28, "P")</f>
        <v/>
      </c>
      <c r="AF27" s="67">
        <f>COUNTIF('Detailed Attendance'!L28:L28, "A")+COUNTIF('Detailed Attendance'!P28:P28, "A")+COUNTIF('Detailed Attendance'!AF28:AF28, "A")+COUNTIF('Detailed Attendance'!AJ28:AJ28, "A")+COUNTIF('Detailed Attendance'!AZ28:AZ28, "A")+COUNTIF('Detailed Attendance'!BD28:BD28, "A")+COUNTIF('Detailed Attendance'!BT28:BT28, "A")+COUNTIF('Detailed Attendance'!BX28:BX28, "A")+COUNTIF('Detailed Attendance'!CQ28:CQ28, "A")+COUNTIF('Detailed Attendance'!CU28:CU28, "A")</f>
        <v/>
      </c>
      <c r="AG27" s="68">
        <f>IF((AE27+AF27)=0,"", AE27/(AE27+AF27))</f>
        <v/>
      </c>
      <c r="AH27" s="67">
        <f>COUNTIF('Detailed Attendance'!T28:T28, "P")+COUNTIF('Detailed Attendance'!AN28:AN28, "P")+COUNTIF('Detailed Attendance'!AR28:AR28, "P")+COUNTIF('Detailed Attendance'!BH28:BH28, "P")+COUNTIF('Detailed Attendance'!CB28:CB28, "P")+COUNTIF('Detailed Attendance'!CF28:CF28, "P")+COUNTIF('Detailed Attendance'!CY28:CY28, "P")</f>
        <v/>
      </c>
      <c r="AI27" s="67">
        <f>COUNTIF('Detailed Attendance'!T28:T28, "A")+COUNTIF('Detailed Attendance'!AN28:AN28, "A")+COUNTIF('Detailed Attendance'!AR28:AR28, "A")+COUNTIF('Detailed Attendance'!BH28:BH28, "A")+COUNTIF('Detailed Attendance'!CB28:CB28, "A")+COUNTIF('Detailed Attendance'!CF28:CF28, "A")+COUNTIF('Detailed Attendance'!CY28:CY28, "A")</f>
        <v/>
      </c>
      <c r="AJ27" s="68">
        <f>IF((AH27+AI27)=0,"", AH27/(AH27+AI27))</f>
        <v/>
      </c>
      <c r="AK27" s="67">
        <f>COUNTIF('Detailed Attendance'!M28:M28, "P")+COUNTIF('Detailed Attendance'!U28:U28, "P")+COUNTIF('Detailed Attendance'!AG28:AG28, "P")+COUNTIF('Detailed Attendance'!AO28:AO28, "P")+COUNTIF('Detailed Attendance'!BA28:BA28, "P")+COUNTIF('Detailed Attendance'!BI28:BI28, "P")+COUNTIF('Detailed Attendance'!BU28:BU28, "P")+COUNTIF('Detailed Attendance'!CC28:CC28, "P")+COUNTIF('Detailed Attendance'!CR28:CR28, "P")+COUNTIF('Detailed Attendance'!CZ28:CZ28, "P")</f>
        <v/>
      </c>
      <c r="AL27" s="67">
        <f>COUNTIF('Detailed Attendance'!M28:M28, "A")+COUNTIF('Detailed Attendance'!U28:U28, "A")+COUNTIF('Detailed Attendance'!AG28:AG28, "A")+COUNTIF('Detailed Attendance'!AO28:AO28, "A")+COUNTIF('Detailed Attendance'!BA28:BA28, "A")+COUNTIF('Detailed Attendance'!BI28:BI28, "A")+COUNTIF('Detailed Attendance'!BU28:BU28, "A")+COUNTIF('Detailed Attendance'!CC28:CC28, "A")+COUNTIF('Detailed Attendance'!CR28:CR28, "A")+COUNTIF('Detailed Attendance'!CZ28:CZ28, "A")</f>
        <v/>
      </c>
      <c r="AM27" s="68">
        <f>IF((AK27+AL27)=0,"", AK27/(AK27+AL27))</f>
        <v/>
      </c>
      <c r="AN27" s="67">
        <f>Y27+AB27+AE27+AH27+AK27</f>
        <v/>
      </c>
      <c r="AO27" s="67">
        <f>Z27+AC27+AF27+AI27+AL27</f>
        <v/>
      </c>
      <c r="AP27" s="68">
        <f>IF((AN27+AO27)=0,"", AN27/(AN27+AO27))</f>
        <v/>
      </c>
      <c r="AQ27" s="69">
        <f>COUNTIF('Detailed Attendance'!Y28:Y28, "P")+COUNTIF('Detailed Attendance'!AS28:AS28, "P")+COUNTIF('Detailed Attendance'!BM28:BM28, "P")+COUNTIF('Detailed Attendance'!CJ28:CJ28, "P")+COUNTIF('Detailed Attendance'!V28:V28, "P")+COUNTIF('Detailed Attendance'!AP28:AP28, "P")+COUNTIF('Detailed Attendance'!BJ28:BJ28, "P")+COUNTIF('Detailed Attendance'!CD28:CD28, "P")+COUNTIF('Detailed Attendance'!DA28:DA28, "P")+COUNTIF('Detailed Attendance'!CH28:CH28, "P")</f>
        <v/>
      </c>
      <c r="AR27" s="69">
        <f>COUNTIF('Detailed Attendance'!Y28:Y28, "A")+COUNTIF('Detailed Attendance'!AS28:AS28, "A")+COUNTIF('Detailed Attendance'!BM28:BM28, "A")+COUNTIF('Detailed Attendance'!CJ28:CJ28, "A")+COUNTIF('Detailed Attendance'!V28:V28, "A")+COUNTIF('Detailed Attendance'!AP28:AP28, "A")+COUNTIF('Detailed Attendance'!BJ28:BJ28, "A")+COUNTIF('Detailed Attendance'!CD28:CD28, "A")+COUNTIF('Detailed Attendance'!DA28:DA28, "A")+COUNTIF('Detailed Attendance'!CH28:CH28, "A")</f>
        <v/>
      </c>
      <c r="AS27" s="70">
        <f>IF((AQ27+AR27)=0,"", AQ27/(AQ27+AR27))</f>
        <v/>
      </c>
      <c r="AT27" s="67">
        <f>COUNTIF('Detailed Attendance'!DF28:DF28, "P")+COUNTIF('Detailed Attendance'!DT28:DT28, "P")+COUNTIF('Detailed Attendance'!EC28:EC28, "P")+COUNTIF('Detailed Attendance'!EQ28:EQ28, "P")+COUNTIF('Detailed Attendance'!EW28:EW28, "P")+COUNTIF('Detailed Attendance'!FK28:FK28, "P")+COUNTIF('Detailed Attendance'!FM28:FM28, "P")+COUNTIF('Detailed Attendance'!GA28:GA28, "P")</f>
        <v/>
      </c>
      <c r="AU27" s="67">
        <f>COUNTIF('Detailed Attendance'!DF28:DF28, "A")+COUNTIF('Detailed Attendance'!DT28:DT28, "A")+COUNTIF('Detailed Attendance'!EC28:EC28, "A")+COUNTIF('Detailed Attendance'!EQ28:EQ28, "A")+COUNTIF('Detailed Attendance'!EW28:EW28, "A")+COUNTIF('Detailed Attendance'!FK28:FK28, "A")+COUNTIF('Detailed Attendance'!FM28:FM28, "A")+COUNTIF('Detailed Attendance'!GA28:GA28, "A")</f>
        <v/>
      </c>
      <c r="AV27" s="68">
        <f>IF((AT27+AU27)=0,"", AT27/(AT27+AU27))</f>
        <v/>
      </c>
      <c r="AW27" s="67">
        <f>COUNTIF('Detailed Attendance'!DK28:DK28, "P")+COUNTIF('Detailed Attendance'!DS28:DS28, "P")+COUNTIF('Detailed Attendance'!EH28:EH28, "P")+COUNTIF('Detailed Attendance'!EP28:EP28, "P")+COUNTIF('Detailed Attendance'!FB28:FB28, "P")+COUNTIF('Detailed Attendance'!FJ28:FJ28, "P")+COUNTIF('Detailed Attendance'!FR28:FR28, "P")+COUNTIF('Detailed Attendance'!FZ28:FZ28, "P")</f>
        <v/>
      </c>
      <c r="AX27" s="67">
        <f>COUNTIF('Detailed Attendance'!DK28:DK28, "A")+COUNTIF('Detailed Attendance'!DS28:DS28, "A")+COUNTIF('Detailed Attendance'!EH28:EH28, "A")+COUNTIF('Detailed Attendance'!EP28:EP28, "A")+COUNTIF('Detailed Attendance'!FB28:FB28, "A")+COUNTIF('Detailed Attendance'!FJ28:FJ28, "A")+COUNTIF('Detailed Attendance'!FR28:FR28, "A")+COUNTIF('Detailed Attendance'!FZ28:FZ28, "A")</f>
        <v/>
      </c>
      <c r="AY27" s="68">
        <f>IF((AW27+AX27)=0,"", AW27/(AW27+AX27))</f>
        <v/>
      </c>
      <c r="AZ27" s="67">
        <f>COUNTIF('Detailed Attendance'!DN28:DN28, "P")+COUNTIF('Detailed Attendance'!DR28:DR28, "P")+COUNTIF('Detailed Attendance'!EK28:EK28, "P")+COUNTIF('Detailed Attendance'!EO28:EO28, "P")+COUNTIF('Detailed Attendance'!FE28:FE28, "P")+COUNTIF('Detailed Attendance'!FI28:FI28, "P")+COUNTIF('Detailed Attendance'!FU28:FU28, "P")+COUNTIF('Detailed Attendance'!FY28:FY28, "P")</f>
        <v/>
      </c>
      <c r="BA27" s="67">
        <f>COUNTIF('Detailed Attendance'!DN28:DN28, "A")+COUNTIF('Detailed Attendance'!DR28:DR28, "A")+COUNTIF('Detailed Attendance'!EK28:EK28, "A")+COUNTIF('Detailed Attendance'!EO28:EO28, "A")+COUNTIF('Detailed Attendance'!FE28:FE28, "A")+COUNTIF('Detailed Attendance'!FI28:FI28, "A")+COUNTIF('Detailed Attendance'!FU28:FU28, "A")+COUNTIF('Detailed Attendance'!FY28:FY28, "A")</f>
        <v/>
      </c>
      <c r="BB27" s="68">
        <f>IF((AZ27+BA27)=0,"", AZ27/(AZ27+BA27))</f>
        <v/>
      </c>
      <c r="BC27" s="67">
        <f>COUNTIF('Detailed Attendance'!DC28:DC28, "P")+COUNTIF('Detailed Attendance'!DV28:DV28, "P")+COUNTIF('Detailed Attendance'!DZ28:DZ28, "P")+COUNTIF('Detailed Attendance'!ES28:ES28, "P")+COUNTIF('Detailed Attendance'!GC28:GC28, "P")+COUNTIF('Detailed Attendance'!GG28:GG28, "P")</f>
        <v/>
      </c>
      <c r="BD27" s="67">
        <f>COUNTIF('Detailed Attendance'!DC28:DC28, "A")+COUNTIF('Detailed Attendance'!DV28:DV28, "A")+COUNTIF('Detailed Attendance'!DZ28:DZ28, "A")+COUNTIF('Detailed Attendance'!ES28:ES28, "A")+COUNTIF('Detailed Attendance'!GC28:GC28, "A")+COUNTIF('Detailed Attendance'!GG28:GG28, "A")</f>
        <v/>
      </c>
      <c r="BE27" s="68">
        <f>IF((BC27+BD27)=0,"", BC27/(BC27+BD27))</f>
        <v/>
      </c>
      <c r="BF27" s="67">
        <f>COUNTIF('Detailed Attendance'!DO28:DO28, "P")+COUNTIF('Detailed Attendance'!DW28:DW28, "P")+COUNTIF('Detailed Attendance'!EL28:EL28, "P")+COUNTIF('Detailed Attendance'!ET28:ET28, "P")+COUNTIF('Detailed Attendance'!FF28:FF28, "P")+COUNTIF('Detailed Attendance'!FV28:FV28, "P")+COUNTIF('Detailed Attendance'!GD28:GD28, "P")</f>
        <v/>
      </c>
      <c r="BG27" s="67">
        <f>COUNTIF('Detailed Attendance'!DO28:DO28, "A")+COUNTIF('Detailed Attendance'!DW28:DW28, "A")+COUNTIF('Detailed Attendance'!EL28:EL28, "A")+COUNTIF('Detailed Attendance'!ET28:ET28, "A")+COUNTIF('Detailed Attendance'!FF28:FF28, "A")+COUNTIF('Detailed Attendance'!FV28:FV28, "A")+COUNTIF('Detailed Attendance'!GD28:GD28, "A")</f>
        <v/>
      </c>
      <c r="BH27" s="68">
        <f>IF((BF27+BG27)=0,"", BF27/(BF27+BG27))</f>
        <v/>
      </c>
      <c r="BI27" s="67">
        <f>AT27+AW27+AZ27+BC27+BF27</f>
        <v/>
      </c>
      <c r="BJ27" s="67">
        <f>AU27+AX27+BA27+BD27+BG27</f>
        <v/>
      </c>
      <c r="BK27" s="68">
        <f>IF((BI27+BJ27)=0,"", BI27/(BI27+BJ27))</f>
        <v/>
      </c>
      <c r="BL27" s="69">
        <f>COUNTIF('Detailed Attendance'!DG28:DG28, "P")+COUNTIF('Detailed Attendance'!ED28:ED28, "P")+COUNTIF('Detailed Attendance'!EX28:EX28, "P")+COUNTIF('Detailed Attendance'!FN28:FN28, "P")+COUNTIF('Detailed Attendance'!DX28:DX28, "P")+COUNTIF('Detailed Attendance'!EU28:EU28, "P")+COUNTIF('Detailed Attendance'!GE28:GE28, "P")+COUNTIF('Detailed Attendance'!DE28:DE28, "P")+COUNTIF('Detailed Attendance'!EB28:EB28, "P")+COUNTIF('Detailed Attendance'!GI28:GI28, "P")</f>
        <v/>
      </c>
      <c r="BM27" s="69">
        <f>COUNTIF('Detailed Attendance'!DG28:DG28, "A")+COUNTIF('Detailed Attendance'!ED28:ED28, "A")+COUNTIF('Detailed Attendance'!EX28:EX28, "A")+COUNTIF('Detailed Attendance'!FN28:FN28, "A")+COUNTIF('Detailed Attendance'!DX28:DX28, "A")+COUNTIF('Detailed Attendance'!EU28:EU28, "A")+COUNTIF('Detailed Attendance'!GE28:GE28, "A")+COUNTIF('Detailed Attendance'!DE28:DE28, "A")+COUNTIF('Detailed Attendance'!EB28:EB28, "A")+COUNTIF('Detailed Attendance'!GI28:GI28, "A")</f>
        <v/>
      </c>
      <c r="BN27" s="70">
        <f>IF((BL27+BM27)=0,"", BL27/(BL27+BM27))</f>
        <v/>
      </c>
      <c r="BO27" s="67">
        <f>D27+Y27+AT27</f>
        <v/>
      </c>
      <c r="BP27" s="67">
        <f>E27+Z27+AU27</f>
        <v/>
      </c>
      <c r="BQ27" s="68">
        <f>IF((BO27+BP27)=0,"", BO27/(BO27+BP27))</f>
        <v/>
      </c>
      <c r="BR27" s="67">
        <f>G27+AB27+AW27</f>
        <v/>
      </c>
      <c r="BS27" s="67">
        <f>H27+AC27+AX27</f>
        <v/>
      </c>
      <c r="BT27" s="68">
        <f>IF((BR27+BS27)=0,"", BR27/(BR27+BS27))</f>
        <v/>
      </c>
      <c r="BU27" s="67">
        <f>J27+AE27+AZ27</f>
        <v/>
      </c>
      <c r="BV27" s="67">
        <f>K27+AF27+BA27</f>
        <v/>
      </c>
      <c r="BW27" s="68">
        <f>IF((BU27+BV27)=0,"", BU27/(BU27+BV27))</f>
        <v/>
      </c>
      <c r="BX27" s="67">
        <f>M27+AH27+BC27</f>
        <v/>
      </c>
      <c r="BY27" s="67">
        <f>N27+AI27+BD27</f>
        <v/>
      </c>
      <c r="BZ27" s="68">
        <f>IF((BX27+BY27)=0,"", BX27/(BX27+BY27))</f>
        <v/>
      </c>
      <c r="CA27" s="67">
        <f>P27+AK27+BF27</f>
        <v/>
      </c>
      <c r="CB27" s="67">
        <f>Q27+AL27+BG27</f>
        <v/>
      </c>
      <c r="CC27" s="68">
        <f>IF((CA27+CB27)=0,"", CA27/(CA27+CB27))</f>
        <v/>
      </c>
      <c r="CD27" s="67">
        <f>S27+AN27+BI27</f>
        <v/>
      </c>
      <c r="CE27" s="67">
        <f>T27+AO27+BJ27</f>
        <v/>
      </c>
      <c r="CF27" s="68">
        <f>IF((CD27+CE27)=0,"", CD27/(CD27+CE27))</f>
        <v/>
      </c>
      <c r="CG27" s="69">
        <f>V27+AQ27+BL27</f>
        <v/>
      </c>
      <c r="CH27" s="69">
        <f>W27+AR27+BM27</f>
        <v/>
      </c>
      <c r="CI27" s="70">
        <f>IF((CG27+CH27)=0,"", CG27/(CG27+CH27))</f>
        <v/>
      </c>
      <c r="CJ27" s="67">
        <f>CD27+(CG27*2)</f>
        <v/>
      </c>
      <c r="CK27" s="67">
        <f>CE27+(CH27*2)</f>
        <v/>
      </c>
      <c r="CL27" s="68">
        <f>IF((CJ27+CK27)=0,"", CJ27/(CJ27+CK27))</f>
        <v/>
      </c>
      <c r="CM27" s="67" t="inlineStr">
        <is>
          <t>Batch 1</t>
        </is>
      </c>
    </row>
    <row r="28" ht="14.25" customHeight="1" s="34">
      <c r="A28" s="46" t="n">
        <v>26</v>
      </c>
      <c r="B28" s="46" t="inlineStr">
        <is>
          <t>325106410026</t>
        </is>
      </c>
      <c r="C28" s="46" t="inlineStr">
        <is>
          <t>RISHI NAVANTH MATTA</t>
        </is>
      </c>
      <c r="D28" s="63" t="n">
        <v>0</v>
      </c>
      <c r="E28" s="63" t="n">
        <v>0</v>
      </c>
      <c r="F28" s="64">
        <f>IF((D28+E28)=0,"", D28/(D28+E28))</f>
        <v/>
      </c>
      <c r="G28" s="63">
        <f>COUNTIF('Detailed Attendance'!I29:I29, "P")</f>
        <v/>
      </c>
      <c r="H28" s="63">
        <f>COUNTIF('Detailed Attendance'!I29:I29, "A")</f>
        <v/>
      </c>
      <c r="I28" s="64">
        <f>IF((G28+H28)=0,"", G28/(G28+H28))</f>
        <v/>
      </c>
      <c r="J28" s="63" t="n">
        <v>0</v>
      </c>
      <c r="K28" s="63" t="n">
        <v>0</v>
      </c>
      <c r="L28" s="64">
        <f>IF((J28+K28)=0,"", J28/(J28+K28))</f>
        <v/>
      </c>
      <c r="M28" s="63">
        <f>COUNTIF('Detailed Attendance'!D29:D29, "P")</f>
        <v/>
      </c>
      <c r="N28" s="63">
        <f>COUNTIF('Detailed Attendance'!D29:D29, "A")</f>
        <v/>
      </c>
      <c r="O28" s="64">
        <f>IF((M28+N28)=0,"", M28/(M28+N28))</f>
        <v/>
      </c>
      <c r="P28" s="63" t="n">
        <v>0</v>
      </c>
      <c r="Q28" s="63" t="n">
        <v>0</v>
      </c>
      <c r="R28" s="64">
        <f>IF((P28+Q28)=0,"", P28/(P28+Q28))</f>
        <v/>
      </c>
      <c r="S28" s="63">
        <f>D28+G28+J28+M28+P28</f>
        <v/>
      </c>
      <c r="T28" s="63">
        <f>E28+H28+K28+N28+Q28</f>
        <v/>
      </c>
      <c r="U28" s="64">
        <f>IF((S28+T28)=0,"", S28/(S28+T28))</f>
        <v/>
      </c>
      <c r="V28" s="65">
        <f>COUNTIF('Detailed Attendance'!E29:E29, "P")</f>
        <v/>
      </c>
      <c r="W28" s="65">
        <f>COUNTIF('Detailed Attendance'!E29:E29, "A")</f>
        <v/>
      </c>
      <c r="X28" s="66">
        <f>IF((V28+W28)=0,"", V28/(V28+W28))</f>
        <v/>
      </c>
      <c r="Y28" s="63">
        <f>COUNTIF('Detailed Attendance'!R29:R29, "P")+COUNTIF('Detailed Attendance'!X29:X29, "P")+COUNTIF('Detailed Attendance'!AL29:AL29, "P")+COUNTIF('Detailed Attendance'!BF29:BF29, "P")+COUNTIF('Detailed Attendance'!BL29:BL29, "P")+COUNTIF('Detailed Attendance'!BZ29:BZ29, "P")+COUNTIF('Detailed Attendance'!CI29:CI29, "P")+COUNTIF('Detailed Attendance'!CW29:CW29, "P")</f>
        <v/>
      </c>
      <c r="Z28" s="63">
        <f>COUNTIF('Detailed Attendance'!R29:R29, "A")+COUNTIF('Detailed Attendance'!X29:X29, "A")+COUNTIF('Detailed Attendance'!AL29:AL29, "A")+COUNTIF('Detailed Attendance'!BF29:BF29, "A")+COUNTIF('Detailed Attendance'!BL29:BL29, "A")+COUNTIF('Detailed Attendance'!BZ29:BZ29, "A")+COUNTIF('Detailed Attendance'!CI29:CI29, "A")+COUNTIF('Detailed Attendance'!CW29:CW29, "A")</f>
        <v/>
      </c>
      <c r="AA28" s="64">
        <f>IF((Y28+Z28)=0,"", Y28/(Y28+Z28))</f>
        <v/>
      </c>
      <c r="AB28" s="63">
        <f>COUNTIF('Detailed Attendance'!Q29:Q29, "P")+COUNTIF('Detailed Attendance'!AC29:AC29, "P")+COUNTIF('Detailed Attendance'!AK29:AK29, "P")+COUNTIF('Detailed Attendance'!AW29:AW29, "P")+COUNTIF('Detailed Attendance'!BE29:BE29, "P")+COUNTIF('Detailed Attendance'!BQ29:BQ29, "P")+COUNTIF('Detailed Attendance'!BY29:BY29, "P")+COUNTIF('Detailed Attendance'!CN29:CN29, "P")+COUNTIF('Detailed Attendance'!CV29:CV29, "P")</f>
        <v/>
      </c>
      <c r="AC28" s="63">
        <f>COUNTIF('Detailed Attendance'!Q29:Q29, "A")+COUNTIF('Detailed Attendance'!AC29:AC29, "A")+COUNTIF('Detailed Attendance'!AK29:AK29, "A")+COUNTIF('Detailed Attendance'!AW29:AW29, "A")+COUNTIF('Detailed Attendance'!BE29:BE29, "A")+COUNTIF('Detailed Attendance'!BQ29:BQ29, "A")+COUNTIF('Detailed Attendance'!BY29:BY29, "A")+COUNTIF('Detailed Attendance'!CN29:CN29, "A")+COUNTIF('Detailed Attendance'!CV29:CV29, "A")</f>
        <v/>
      </c>
      <c r="AD28" s="64">
        <f>IF((AB28+AC28)=0,"", AB28/(AB28+AC28))</f>
        <v/>
      </c>
      <c r="AE28" s="63">
        <f>COUNTIF('Detailed Attendance'!L29:L29, "P")+COUNTIF('Detailed Attendance'!P29:P29, "P")+COUNTIF('Detailed Attendance'!AF29:AF29, "P")+COUNTIF('Detailed Attendance'!AJ29:AJ29, "P")+COUNTIF('Detailed Attendance'!AZ29:AZ29, "P")+COUNTIF('Detailed Attendance'!BD29:BD29, "P")+COUNTIF('Detailed Attendance'!BT29:BT29, "P")+COUNTIF('Detailed Attendance'!BX29:BX29, "P")+COUNTIF('Detailed Attendance'!CQ29:CQ29, "P")+COUNTIF('Detailed Attendance'!CU29:CU29, "P")</f>
        <v/>
      </c>
      <c r="AF28" s="67">
        <f>COUNTIF('Detailed Attendance'!L29:L29, "A")+COUNTIF('Detailed Attendance'!P29:P29, "A")+COUNTIF('Detailed Attendance'!AF29:AF29, "A")+COUNTIF('Detailed Attendance'!AJ29:AJ29, "A")+COUNTIF('Detailed Attendance'!AZ29:AZ29, "A")+COUNTIF('Detailed Attendance'!BD29:BD29, "A")+COUNTIF('Detailed Attendance'!BT29:BT29, "A")+COUNTIF('Detailed Attendance'!BX29:BX29, "A")+COUNTIF('Detailed Attendance'!CQ29:CQ29, "A")+COUNTIF('Detailed Attendance'!CU29:CU29, "A")</f>
        <v/>
      </c>
      <c r="AG28" s="68">
        <f>IF((AE28+AF28)=0,"", AE28/(AE28+AF28))</f>
        <v/>
      </c>
      <c r="AH28" s="67">
        <f>COUNTIF('Detailed Attendance'!T29:T29, "P")+COUNTIF('Detailed Attendance'!AN29:AN29, "P")+COUNTIF('Detailed Attendance'!AR29:AR29, "P")+COUNTIF('Detailed Attendance'!BH29:BH29, "P")+COUNTIF('Detailed Attendance'!CB29:CB29, "P")+COUNTIF('Detailed Attendance'!CF29:CF29, "P")+COUNTIF('Detailed Attendance'!CY29:CY29, "P")</f>
        <v/>
      </c>
      <c r="AI28" s="67">
        <f>COUNTIF('Detailed Attendance'!T29:T29, "A")+COUNTIF('Detailed Attendance'!AN29:AN29, "A")+COUNTIF('Detailed Attendance'!AR29:AR29, "A")+COUNTIF('Detailed Attendance'!BH29:BH29, "A")+COUNTIF('Detailed Attendance'!CB29:CB29, "A")+COUNTIF('Detailed Attendance'!CF29:CF29, "A")+COUNTIF('Detailed Attendance'!CY29:CY29, "A")</f>
        <v/>
      </c>
      <c r="AJ28" s="68">
        <f>IF((AH28+AI28)=0,"", AH28/(AH28+AI28))</f>
        <v/>
      </c>
      <c r="AK28" s="67">
        <f>COUNTIF('Detailed Attendance'!M29:M29, "P")+COUNTIF('Detailed Attendance'!U29:U29, "P")+COUNTIF('Detailed Attendance'!AG29:AG29, "P")+COUNTIF('Detailed Attendance'!AO29:AO29, "P")+COUNTIF('Detailed Attendance'!BA29:BA29, "P")+COUNTIF('Detailed Attendance'!BI29:BI29, "P")+COUNTIF('Detailed Attendance'!BU29:BU29, "P")+COUNTIF('Detailed Attendance'!CC29:CC29, "P")+COUNTIF('Detailed Attendance'!CR29:CR29, "P")+COUNTIF('Detailed Attendance'!CZ29:CZ29, "P")</f>
        <v/>
      </c>
      <c r="AL28" s="67">
        <f>COUNTIF('Detailed Attendance'!M29:M29, "A")+COUNTIF('Detailed Attendance'!U29:U29, "A")+COUNTIF('Detailed Attendance'!AG29:AG29, "A")+COUNTIF('Detailed Attendance'!AO29:AO29, "A")+COUNTIF('Detailed Attendance'!BA29:BA29, "A")+COUNTIF('Detailed Attendance'!BI29:BI29, "A")+COUNTIF('Detailed Attendance'!BU29:BU29, "A")+COUNTIF('Detailed Attendance'!CC29:CC29, "A")+COUNTIF('Detailed Attendance'!CR29:CR29, "A")+COUNTIF('Detailed Attendance'!CZ29:CZ29, "A")</f>
        <v/>
      </c>
      <c r="AM28" s="68">
        <f>IF((AK28+AL28)=0,"", AK28/(AK28+AL28))</f>
        <v/>
      </c>
      <c r="AN28" s="67">
        <f>Y28+AB28+AE28+AH28+AK28</f>
        <v/>
      </c>
      <c r="AO28" s="67">
        <f>Z28+AC28+AF28+AI28+AL28</f>
        <v/>
      </c>
      <c r="AP28" s="68">
        <f>IF((AN28+AO28)=0,"", AN28/(AN28+AO28))</f>
        <v/>
      </c>
      <c r="AQ28" s="69">
        <f>COUNTIF('Detailed Attendance'!Y29:Y29, "P")+COUNTIF('Detailed Attendance'!AS29:AS29, "P")+COUNTIF('Detailed Attendance'!BM29:BM29, "P")+COUNTIF('Detailed Attendance'!CJ29:CJ29, "P")+COUNTIF('Detailed Attendance'!V29:V29, "P")+COUNTIF('Detailed Attendance'!AP29:AP29, "P")+COUNTIF('Detailed Attendance'!BJ29:BJ29, "P")+COUNTIF('Detailed Attendance'!CD29:CD29, "P")+COUNTIF('Detailed Attendance'!DA29:DA29, "P")+COUNTIF('Detailed Attendance'!CH29:CH29, "P")</f>
        <v/>
      </c>
      <c r="AR28" s="69">
        <f>COUNTIF('Detailed Attendance'!Y29:Y29, "A")+COUNTIF('Detailed Attendance'!AS29:AS29, "A")+COUNTIF('Detailed Attendance'!BM29:BM29, "A")+COUNTIF('Detailed Attendance'!CJ29:CJ29, "A")+COUNTIF('Detailed Attendance'!V29:V29, "A")+COUNTIF('Detailed Attendance'!AP29:AP29, "A")+COUNTIF('Detailed Attendance'!BJ29:BJ29, "A")+COUNTIF('Detailed Attendance'!CD29:CD29, "A")+COUNTIF('Detailed Attendance'!DA29:DA29, "A")+COUNTIF('Detailed Attendance'!CH29:CH29, "A")</f>
        <v/>
      </c>
      <c r="AS28" s="70">
        <f>IF((AQ28+AR28)=0,"", AQ28/(AQ28+AR28))</f>
        <v/>
      </c>
      <c r="AT28" s="67">
        <f>COUNTIF('Detailed Attendance'!DF29:DF29, "P")+COUNTIF('Detailed Attendance'!DT29:DT29, "P")+COUNTIF('Detailed Attendance'!EC29:EC29, "P")+COUNTIF('Detailed Attendance'!EQ29:EQ29, "P")+COUNTIF('Detailed Attendance'!EW29:EW29, "P")+COUNTIF('Detailed Attendance'!FK29:FK29, "P")+COUNTIF('Detailed Attendance'!FM29:FM29, "P")+COUNTIF('Detailed Attendance'!GA29:GA29, "P")</f>
        <v/>
      </c>
      <c r="AU28" s="67">
        <f>COUNTIF('Detailed Attendance'!DF29:DF29, "A")+COUNTIF('Detailed Attendance'!DT29:DT29, "A")+COUNTIF('Detailed Attendance'!EC29:EC29, "A")+COUNTIF('Detailed Attendance'!EQ29:EQ29, "A")+COUNTIF('Detailed Attendance'!EW29:EW29, "A")+COUNTIF('Detailed Attendance'!FK29:FK29, "A")+COUNTIF('Detailed Attendance'!FM29:FM29, "A")+COUNTIF('Detailed Attendance'!GA29:GA29, "A")</f>
        <v/>
      </c>
      <c r="AV28" s="68">
        <f>IF((AT28+AU28)=0,"", AT28/(AT28+AU28))</f>
        <v/>
      </c>
      <c r="AW28" s="67">
        <f>COUNTIF('Detailed Attendance'!DK29:DK29, "P")+COUNTIF('Detailed Attendance'!DS29:DS29, "P")+COUNTIF('Detailed Attendance'!EH29:EH29, "P")+COUNTIF('Detailed Attendance'!EP29:EP29, "P")+COUNTIF('Detailed Attendance'!FB29:FB29, "P")+COUNTIF('Detailed Attendance'!FJ29:FJ29, "P")+COUNTIF('Detailed Attendance'!FR29:FR29, "P")+COUNTIF('Detailed Attendance'!FZ29:FZ29, "P")</f>
        <v/>
      </c>
      <c r="AX28" s="67">
        <f>COUNTIF('Detailed Attendance'!DK29:DK29, "A")+COUNTIF('Detailed Attendance'!DS29:DS29, "A")+COUNTIF('Detailed Attendance'!EH29:EH29, "A")+COUNTIF('Detailed Attendance'!EP29:EP29, "A")+COUNTIF('Detailed Attendance'!FB29:FB29, "A")+COUNTIF('Detailed Attendance'!FJ29:FJ29, "A")+COUNTIF('Detailed Attendance'!FR29:FR29, "A")+COUNTIF('Detailed Attendance'!FZ29:FZ29, "A")</f>
        <v/>
      </c>
      <c r="AY28" s="68">
        <f>IF((AW28+AX28)=0,"", AW28/(AW28+AX28))</f>
        <v/>
      </c>
      <c r="AZ28" s="67">
        <f>COUNTIF('Detailed Attendance'!DN29:DN29, "P")+COUNTIF('Detailed Attendance'!DR29:DR29, "P")+COUNTIF('Detailed Attendance'!EK29:EK29, "P")+COUNTIF('Detailed Attendance'!EO29:EO29, "P")+COUNTIF('Detailed Attendance'!FE29:FE29, "P")+COUNTIF('Detailed Attendance'!FI29:FI29, "P")+COUNTIF('Detailed Attendance'!FU29:FU29, "P")+COUNTIF('Detailed Attendance'!FY29:FY29, "P")</f>
        <v/>
      </c>
      <c r="BA28" s="67">
        <f>COUNTIF('Detailed Attendance'!DN29:DN29, "A")+COUNTIF('Detailed Attendance'!DR29:DR29, "A")+COUNTIF('Detailed Attendance'!EK29:EK29, "A")+COUNTIF('Detailed Attendance'!EO29:EO29, "A")+COUNTIF('Detailed Attendance'!FE29:FE29, "A")+COUNTIF('Detailed Attendance'!FI29:FI29, "A")+COUNTIF('Detailed Attendance'!FU29:FU29, "A")+COUNTIF('Detailed Attendance'!FY29:FY29, "A")</f>
        <v/>
      </c>
      <c r="BB28" s="68">
        <f>IF((AZ28+BA28)=0,"", AZ28/(AZ28+BA28))</f>
        <v/>
      </c>
      <c r="BC28" s="67">
        <f>COUNTIF('Detailed Attendance'!DC29:DC29, "P")+COUNTIF('Detailed Attendance'!DV29:DV29, "P")+COUNTIF('Detailed Attendance'!DZ29:DZ29, "P")+COUNTIF('Detailed Attendance'!ES29:ES29, "P")+COUNTIF('Detailed Attendance'!GC29:GC29, "P")+COUNTIF('Detailed Attendance'!GG29:GG29, "P")</f>
        <v/>
      </c>
      <c r="BD28" s="67">
        <f>COUNTIF('Detailed Attendance'!DC29:DC29, "A")+COUNTIF('Detailed Attendance'!DV29:DV29, "A")+COUNTIF('Detailed Attendance'!DZ29:DZ29, "A")+COUNTIF('Detailed Attendance'!ES29:ES29, "A")+COUNTIF('Detailed Attendance'!GC29:GC29, "A")+COUNTIF('Detailed Attendance'!GG29:GG29, "A")</f>
        <v/>
      </c>
      <c r="BE28" s="68">
        <f>IF((BC28+BD28)=0,"", BC28/(BC28+BD28))</f>
        <v/>
      </c>
      <c r="BF28" s="67">
        <f>COUNTIF('Detailed Attendance'!DO29:DO29, "P")+COUNTIF('Detailed Attendance'!DW29:DW29, "P")+COUNTIF('Detailed Attendance'!EL29:EL29, "P")+COUNTIF('Detailed Attendance'!ET29:ET29, "P")+COUNTIF('Detailed Attendance'!FF29:FF29, "P")+COUNTIF('Detailed Attendance'!FV29:FV29, "P")+COUNTIF('Detailed Attendance'!GD29:GD29, "P")</f>
        <v/>
      </c>
      <c r="BG28" s="67">
        <f>COUNTIF('Detailed Attendance'!DO29:DO29, "A")+COUNTIF('Detailed Attendance'!DW29:DW29, "A")+COUNTIF('Detailed Attendance'!EL29:EL29, "A")+COUNTIF('Detailed Attendance'!ET29:ET29, "A")+COUNTIF('Detailed Attendance'!FF29:FF29, "A")+COUNTIF('Detailed Attendance'!FV29:FV29, "A")+COUNTIF('Detailed Attendance'!GD29:GD29, "A")</f>
        <v/>
      </c>
      <c r="BH28" s="68">
        <f>IF((BF28+BG28)=0,"", BF28/(BF28+BG28))</f>
        <v/>
      </c>
      <c r="BI28" s="67">
        <f>AT28+AW28+AZ28+BC28+BF28</f>
        <v/>
      </c>
      <c r="BJ28" s="67">
        <f>AU28+AX28+BA28+BD28+BG28</f>
        <v/>
      </c>
      <c r="BK28" s="68">
        <f>IF((BI28+BJ28)=0,"", BI28/(BI28+BJ28))</f>
        <v/>
      </c>
      <c r="BL28" s="69">
        <f>COUNTIF('Detailed Attendance'!DG29:DG29, "P")+COUNTIF('Detailed Attendance'!ED29:ED29, "P")+COUNTIF('Detailed Attendance'!EX29:EX29, "P")+COUNTIF('Detailed Attendance'!FN29:FN29, "P")+COUNTIF('Detailed Attendance'!DX29:DX29, "P")+COUNTIF('Detailed Attendance'!EU29:EU29, "P")+COUNTIF('Detailed Attendance'!GE29:GE29, "P")+COUNTIF('Detailed Attendance'!DE29:DE29, "P")+COUNTIF('Detailed Attendance'!EB29:EB29, "P")+COUNTIF('Detailed Attendance'!GI29:GI29, "P")</f>
        <v/>
      </c>
      <c r="BM28" s="69">
        <f>COUNTIF('Detailed Attendance'!DG29:DG29, "A")+COUNTIF('Detailed Attendance'!ED29:ED29, "A")+COUNTIF('Detailed Attendance'!EX29:EX29, "A")+COUNTIF('Detailed Attendance'!FN29:FN29, "A")+COUNTIF('Detailed Attendance'!DX29:DX29, "A")+COUNTIF('Detailed Attendance'!EU29:EU29, "A")+COUNTIF('Detailed Attendance'!GE29:GE29, "A")+COUNTIF('Detailed Attendance'!DE29:DE29, "A")+COUNTIF('Detailed Attendance'!EB29:EB29, "A")+COUNTIF('Detailed Attendance'!GI29:GI29, "A")</f>
        <v/>
      </c>
      <c r="BN28" s="70">
        <f>IF((BL28+BM28)=0,"", BL28/(BL28+BM28))</f>
        <v/>
      </c>
      <c r="BO28" s="67">
        <f>D28+Y28+AT28</f>
        <v/>
      </c>
      <c r="BP28" s="67">
        <f>E28+Z28+AU28</f>
        <v/>
      </c>
      <c r="BQ28" s="68">
        <f>IF((BO28+BP28)=0,"", BO28/(BO28+BP28))</f>
        <v/>
      </c>
      <c r="BR28" s="67">
        <f>G28+AB28+AW28</f>
        <v/>
      </c>
      <c r="BS28" s="67">
        <f>H28+AC28+AX28</f>
        <v/>
      </c>
      <c r="BT28" s="68">
        <f>IF((BR28+BS28)=0,"", BR28/(BR28+BS28))</f>
        <v/>
      </c>
      <c r="BU28" s="67">
        <f>J28+AE28+AZ28</f>
        <v/>
      </c>
      <c r="BV28" s="67">
        <f>K28+AF28+BA28</f>
        <v/>
      </c>
      <c r="BW28" s="68">
        <f>IF((BU28+BV28)=0,"", BU28/(BU28+BV28))</f>
        <v/>
      </c>
      <c r="BX28" s="67">
        <f>M28+AH28+BC28</f>
        <v/>
      </c>
      <c r="BY28" s="67">
        <f>N28+AI28+BD28</f>
        <v/>
      </c>
      <c r="BZ28" s="68">
        <f>IF((BX28+BY28)=0,"", BX28/(BX28+BY28))</f>
        <v/>
      </c>
      <c r="CA28" s="67">
        <f>P28+AK28+BF28</f>
        <v/>
      </c>
      <c r="CB28" s="67">
        <f>Q28+AL28+BG28</f>
        <v/>
      </c>
      <c r="CC28" s="68">
        <f>IF((CA28+CB28)=0,"", CA28/(CA28+CB28))</f>
        <v/>
      </c>
      <c r="CD28" s="67">
        <f>S28+AN28+BI28</f>
        <v/>
      </c>
      <c r="CE28" s="67">
        <f>T28+AO28+BJ28</f>
        <v/>
      </c>
      <c r="CF28" s="68">
        <f>IF((CD28+CE28)=0,"", CD28/(CD28+CE28))</f>
        <v/>
      </c>
      <c r="CG28" s="69">
        <f>V28+AQ28+BL28</f>
        <v/>
      </c>
      <c r="CH28" s="69">
        <f>W28+AR28+BM28</f>
        <v/>
      </c>
      <c r="CI28" s="70">
        <f>IF((CG28+CH28)=0,"", CG28/(CG28+CH28))</f>
        <v/>
      </c>
      <c r="CJ28" s="67">
        <f>CD28+(CG28*2)</f>
        <v/>
      </c>
      <c r="CK28" s="67">
        <f>CE28+(CH28*2)</f>
        <v/>
      </c>
      <c r="CL28" s="68">
        <f>IF((CJ28+CK28)=0,"", CJ28/(CJ28+CK28))</f>
        <v/>
      </c>
      <c r="CM28" s="67" t="inlineStr">
        <is>
          <t>Batch 1</t>
        </is>
      </c>
    </row>
    <row r="29" ht="14.25" customHeight="1" s="34">
      <c r="A29" s="46" t="n">
        <v>27</v>
      </c>
      <c r="B29" s="46" t="inlineStr">
        <is>
          <t>325106410027</t>
        </is>
      </c>
      <c r="C29" s="46" t="inlineStr">
        <is>
          <t>LOHITH SAI MEDA</t>
        </is>
      </c>
      <c r="D29" s="63" t="n">
        <v>0</v>
      </c>
      <c r="E29" s="63" t="n">
        <v>0</v>
      </c>
      <c r="F29" s="64">
        <f>IF((D29+E29)=0,"", D29/(D29+E29))</f>
        <v/>
      </c>
      <c r="G29" s="63">
        <f>COUNTIF('Detailed Attendance'!I30:I30, "P")</f>
        <v/>
      </c>
      <c r="H29" s="63">
        <f>COUNTIF('Detailed Attendance'!I30:I30, "A")</f>
        <v/>
      </c>
      <c r="I29" s="64">
        <f>IF((G29+H29)=0,"", G29/(G29+H29))</f>
        <v/>
      </c>
      <c r="J29" s="63" t="n">
        <v>0</v>
      </c>
      <c r="K29" s="63" t="n">
        <v>0</v>
      </c>
      <c r="L29" s="64">
        <f>IF((J29+K29)=0,"", J29/(J29+K29))</f>
        <v/>
      </c>
      <c r="M29" s="63">
        <f>COUNTIF('Detailed Attendance'!D30:D30, "P")</f>
        <v/>
      </c>
      <c r="N29" s="63">
        <f>COUNTIF('Detailed Attendance'!D30:D30, "A")</f>
        <v/>
      </c>
      <c r="O29" s="64">
        <f>IF((M29+N29)=0,"", M29/(M29+N29))</f>
        <v/>
      </c>
      <c r="P29" s="63" t="n">
        <v>0</v>
      </c>
      <c r="Q29" s="63" t="n">
        <v>0</v>
      </c>
      <c r="R29" s="64">
        <f>IF((P29+Q29)=0,"", P29/(P29+Q29))</f>
        <v/>
      </c>
      <c r="S29" s="63">
        <f>D29+G29+J29+M29+P29</f>
        <v/>
      </c>
      <c r="T29" s="63">
        <f>E29+H29+K29+N29+Q29</f>
        <v/>
      </c>
      <c r="U29" s="64">
        <f>IF((S29+T29)=0,"", S29/(S29+T29))</f>
        <v/>
      </c>
      <c r="V29" s="65">
        <f>COUNTIF('Detailed Attendance'!E30:E30, "P")</f>
        <v/>
      </c>
      <c r="W29" s="65">
        <f>COUNTIF('Detailed Attendance'!E30:E30, "A")</f>
        <v/>
      </c>
      <c r="X29" s="66">
        <f>IF((V29+W29)=0,"", V29/(V29+W29))</f>
        <v/>
      </c>
      <c r="Y29" s="63">
        <f>COUNTIF('Detailed Attendance'!R30:R30, "P")+COUNTIF('Detailed Attendance'!X30:X30, "P")+COUNTIF('Detailed Attendance'!AL30:AL30, "P")+COUNTIF('Detailed Attendance'!BF30:BF30, "P")+COUNTIF('Detailed Attendance'!BL30:BL30, "P")+COUNTIF('Detailed Attendance'!BZ30:BZ30, "P")+COUNTIF('Detailed Attendance'!CI30:CI30, "P")+COUNTIF('Detailed Attendance'!CW30:CW30, "P")</f>
        <v/>
      </c>
      <c r="Z29" s="63">
        <f>COUNTIF('Detailed Attendance'!R30:R30, "A")+COUNTIF('Detailed Attendance'!X30:X30, "A")+COUNTIF('Detailed Attendance'!AL30:AL30, "A")+COUNTIF('Detailed Attendance'!BF30:BF30, "A")+COUNTIF('Detailed Attendance'!BL30:BL30, "A")+COUNTIF('Detailed Attendance'!BZ30:BZ30, "A")+COUNTIF('Detailed Attendance'!CI30:CI30, "A")+COUNTIF('Detailed Attendance'!CW30:CW30, "A")</f>
        <v/>
      </c>
      <c r="AA29" s="64">
        <f>IF((Y29+Z29)=0,"", Y29/(Y29+Z29))</f>
        <v/>
      </c>
      <c r="AB29" s="63">
        <f>COUNTIF('Detailed Attendance'!Q30:Q30, "P")+COUNTIF('Detailed Attendance'!AC30:AC30, "P")+COUNTIF('Detailed Attendance'!AK30:AK30, "P")+COUNTIF('Detailed Attendance'!AW30:AW30, "P")+COUNTIF('Detailed Attendance'!BE30:BE30, "P")+COUNTIF('Detailed Attendance'!BQ30:BQ30, "P")+COUNTIF('Detailed Attendance'!BY30:BY30, "P")+COUNTIF('Detailed Attendance'!CN30:CN30, "P")+COUNTIF('Detailed Attendance'!CV30:CV30, "P")</f>
        <v/>
      </c>
      <c r="AC29" s="63">
        <f>COUNTIF('Detailed Attendance'!Q30:Q30, "A")+COUNTIF('Detailed Attendance'!AC30:AC30, "A")+COUNTIF('Detailed Attendance'!AK30:AK30, "A")+COUNTIF('Detailed Attendance'!AW30:AW30, "A")+COUNTIF('Detailed Attendance'!BE30:BE30, "A")+COUNTIF('Detailed Attendance'!BQ30:BQ30, "A")+COUNTIF('Detailed Attendance'!BY30:BY30, "A")+COUNTIF('Detailed Attendance'!CN30:CN30, "A")+COUNTIF('Detailed Attendance'!CV30:CV30, "A")</f>
        <v/>
      </c>
      <c r="AD29" s="64">
        <f>IF((AB29+AC29)=0,"", AB29/(AB29+AC29))</f>
        <v/>
      </c>
      <c r="AE29" s="63">
        <f>COUNTIF('Detailed Attendance'!L30:L30, "P")+COUNTIF('Detailed Attendance'!P30:P30, "P")+COUNTIF('Detailed Attendance'!AF30:AF30, "P")+COUNTIF('Detailed Attendance'!AJ30:AJ30, "P")+COUNTIF('Detailed Attendance'!AZ30:AZ30, "P")+COUNTIF('Detailed Attendance'!BD30:BD30, "P")+COUNTIF('Detailed Attendance'!BT30:BT30, "P")+COUNTIF('Detailed Attendance'!BX30:BX30, "P")+COUNTIF('Detailed Attendance'!CQ30:CQ30, "P")+COUNTIF('Detailed Attendance'!CU30:CU30, "P")</f>
        <v/>
      </c>
      <c r="AF29" s="67">
        <f>COUNTIF('Detailed Attendance'!L30:L30, "A")+COUNTIF('Detailed Attendance'!P30:P30, "A")+COUNTIF('Detailed Attendance'!AF30:AF30, "A")+COUNTIF('Detailed Attendance'!AJ30:AJ30, "A")+COUNTIF('Detailed Attendance'!AZ30:AZ30, "A")+COUNTIF('Detailed Attendance'!BD30:BD30, "A")+COUNTIF('Detailed Attendance'!BT30:BT30, "A")+COUNTIF('Detailed Attendance'!BX30:BX30, "A")+COUNTIF('Detailed Attendance'!CQ30:CQ30, "A")+COUNTIF('Detailed Attendance'!CU30:CU30, "A")</f>
        <v/>
      </c>
      <c r="AG29" s="68">
        <f>IF((AE29+AF29)=0,"", AE29/(AE29+AF29))</f>
        <v/>
      </c>
      <c r="AH29" s="67">
        <f>COUNTIF('Detailed Attendance'!T30:T30, "P")+COUNTIF('Detailed Attendance'!AN30:AN30, "P")+COUNTIF('Detailed Attendance'!AR30:AR30, "P")+COUNTIF('Detailed Attendance'!BH30:BH30, "P")+COUNTIF('Detailed Attendance'!CB30:CB30, "P")+COUNTIF('Detailed Attendance'!CF30:CF30, "P")+COUNTIF('Detailed Attendance'!CY30:CY30, "P")</f>
        <v/>
      </c>
      <c r="AI29" s="67">
        <f>COUNTIF('Detailed Attendance'!T30:T30, "A")+COUNTIF('Detailed Attendance'!AN30:AN30, "A")+COUNTIF('Detailed Attendance'!AR30:AR30, "A")+COUNTIF('Detailed Attendance'!BH30:BH30, "A")+COUNTIF('Detailed Attendance'!CB30:CB30, "A")+COUNTIF('Detailed Attendance'!CF30:CF30, "A")+COUNTIF('Detailed Attendance'!CY30:CY30, "A")</f>
        <v/>
      </c>
      <c r="AJ29" s="68">
        <f>IF((AH29+AI29)=0,"", AH29/(AH29+AI29))</f>
        <v/>
      </c>
      <c r="AK29" s="67">
        <f>COUNTIF('Detailed Attendance'!M30:M30, "P")+COUNTIF('Detailed Attendance'!U30:U30, "P")+COUNTIF('Detailed Attendance'!AG30:AG30, "P")+COUNTIF('Detailed Attendance'!AO30:AO30, "P")+COUNTIF('Detailed Attendance'!BA30:BA30, "P")+COUNTIF('Detailed Attendance'!BI30:BI30, "P")+COUNTIF('Detailed Attendance'!BU30:BU30, "P")+COUNTIF('Detailed Attendance'!CC30:CC30, "P")+COUNTIF('Detailed Attendance'!CR30:CR30, "P")+COUNTIF('Detailed Attendance'!CZ30:CZ30, "P")</f>
        <v/>
      </c>
      <c r="AL29" s="67">
        <f>COUNTIF('Detailed Attendance'!M30:M30, "A")+COUNTIF('Detailed Attendance'!U30:U30, "A")+COUNTIF('Detailed Attendance'!AG30:AG30, "A")+COUNTIF('Detailed Attendance'!AO30:AO30, "A")+COUNTIF('Detailed Attendance'!BA30:BA30, "A")+COUNTIF('Detailed Attendance'!BI30:BI30, "A")+COUNTIF('Detailed Attendance'!BU30:BU30, "A")+COUNTIF('Detailed Attendance'!CC30:CC30, "A")+COUNTIF('Detailed Attendance'!CR30:CR30, "A")+COUNTIF('Detailed Attendance'!CZ30:CZ30, "A")</f>
        <v/>
      </c>
      <c r="AM29" s="68">
        <f>IF((AK29+AL29)=0,"", AK29/(AK29+AL29))</f>
        <v/>
      </c>
      <c r="AN29" s="67">
        <f>Y29+AB29+AE29+AH29+AK29</f>
        <v/>
      </c>
      <c r="AO29" s="67">
        <f>Z29+AC29+AF29+AI29+AL29</f>
        <v/>
      </c>
      <c r="AP29" s="68">
        <f>IF((AN29+AO29)=0,"", AN29/(AN29+AO29))</f>
        <v/>
      </c>
      <c r="AQ29" s="69">
        <f>COUNTIF('Detailed Attendance'!Y30:Y30, "P")+COUNTIF('Detailed Attendance'!AS30:AS30, "P")+COUNTIF('Detailed Attendance'!BM30:BM30, "P")+COUNTIF('Detailed Attendance'!CJ30:CJ30, "P")+COUNTIF('Detailed Attendance'!V30:V30, "P")+COUNTIF('Detailed Attendance'!AP30:AP30, "P")+COUNTIF('Detailed Attendance'!BJ30:BJ30, "P")+COUNTIF('Detailed Attendance'!CD30:CD30, "P")+COUNTIF('Detailed Attendance'!DA30:DA30, "P")+COUNTIF('Detailed Attendance'!CH30:CH30, "P")</f>
        <v/>
      </c>
      <c r="AR29" s="69">
        <f>COUNTIF('Detailed Attendance'!Y30:Y30, "A")+COUNTIF('Detailed Attendance'!AS30:AS30, "A")+COUNTIF('Detailed Attendance'!BM30:BM30, "A")+COUNTIF('Detailed Attendance'!CJ30:CJ30, "A")+COUNTIF('Detailed Attendance'!V30:V30, "A")+COUNTIF('Detailed Attendance'!AP30:AP30, "A")+COUNTIF('Detailed Attendance'!BJ30:BJ30, "A")+COUNTIF('Detailed Attendance'!CD30:CD30, "A")+COUNTIF('Detailed Attendance'!DA30:DA30, "A")+COUNTIF('Detailed Attendance'!CH30:CH30, "A")</f>
        <v/>
      </c>
      <c r="AS29" s="70">
        <f>IF((AQ29+AR29)=0,"", AQ29/(AQ29+AR29))</f>
        <v/>
      </c>
      <c r="AT29" s="67">
        <f>COUNTIF('Detailed Attendance'!DF30:DF30, "P")+COUNTIF('Detailed Attendance'!DT30:DT30, "P")+COUNTIF('Detailed Attendance'!EC30:EC30, "P")+COUNTIF('Detailed Attendance'!EQ30:EQ30, "P")+COUNTIF('Detailed Attendance'!EW30:EW30, "P")+COUNTIF('Detailed Attendance'!FK30:FK30, "P")+COUNTIF('Detailed Attendance'!FM30:FM30, "P")+COUNTIF('Detailed Attendance'!GA30:GA30, "P")</f>
        <v/>
      </c>
      <c r="AU29" s="67">
        <f>COUNTIF('Detailed Attendance'!DF30:DF30, "A")+COUNTIF('Detailed Attendance'!DT30:DT30, "A")+COUNTIF('Detailed Attendance'!EC30:EC30, "A")+COUNTIF('Detailed Attendance'!EQ30:EQ30, "A")+COUNTIF('Detailed Attendance'!EW30:EW30, "A")+COUNTIF('Detailed Attendance'!FK30:FK30, "A")+COUNTIF('Detailed Attendance'!FM30:FM30, "A")+COUNTIF('Detailed Attendance'!GA30:GA30, "A")</f>
        <v/>
      </c>
      <c r="AV29" s="68">
        <f>IF((AT29+AU29)=0,"", AT29/(AT29+AU29))</f>
        <v/>
      </c>
      <c r="AW29" s="67">
        <f>COUNTIF('Detailed Attendance'!DK30:DK30, "P")+COUNTIF('Detailed Attendance'!DS30:DS30, "P")+COUNTIF('Detailed Attendance'!EH30:EH30, "P")+COUNTIF('Detailed Attendance'!EP30:EP30, "P")+COUNTIF('Detailed Attendance'!FB30:FB30, "P")+COUNTIF('Detailed Attendance'!FJ30:FJ30, "P")+COUNTIF('Detailed Attendance'!FR30:FR30, "P")+COUNTIF('Detailed Attendance'!FZ30:FZ30, "P")</f>
        <v/>
      </c>
      <c r="AX29" s="67">
        <f>COUNTIF('Detailed Attendance'!DK30:DK30, "A")+COUNTIF('Detailed Attendance'!DS30:DS30, "A")+COUNTIF('Detailed Attendance'!EH30:EH30, "A")+COUNTIF('Detailed Attendance'!EP30:EP30, "A")+COUNTIF('Detailed Attendance'!FB30:FB30, "A")+COUNTIF('Detailed Attendance'!FJ30:FJ30, "A")+COUNTIF('Detailed Attendance'!FR30:FR30, "A")+COUNTIF('Detailed Attendance'!FZ30:FZ30, "A")</f>
        <v/>
      </c>
      <c r="AY29" s="68">
        <f>IF((AW29+AX29)=0,"", AW29/(AW29+AX29))</f>
        <v/>
      </c>
      <c r="AZ29" s="67">
        <f>COUNTIF('Detailed Attendance'!DN30:DN30, "P")+COUNTIF('Detailed Attendance'!DR30:DR30, "P")+COUNTIF('Detailed Attendance'!EK30:EK30, "P")+COUNTIF('Detailed Attendance'!EO30:EO30, "P")+COUNTIF('Detailed Attendance'!FE30:FE30, "P")+COUNTIF('Detailed Attendance'!FI30:FI30, "P")+COUNTIF('Detailed Attendance'!FU30:FU30, "P")+COUNTIF('Detailed Attendance'!FY30:FY30, "P")</f>
        <v/>
      </c>
      <c r="BA29" s="67">
        <f>COUNTIF('Detailed Attendance'!DN30:DN30, "A")+COUNTIF('Detailed Attendance'!DR30:DR30, "A")+COUNTIF('Detailed Attendance'!EK30:EK30, "A")+COUNTIF('Detailed Attendance'!EO30:EO30, "A")+COUNTIF('Detailed Attendance'!FE30:FE30, "A")+COUNTIF('Detailed Attendance'!FI30:FI30, "A")+COUNTIF('Detailed Attendance'!FU30:FU30, "A")+COUNTIF('Detailed Attendance'!FY30:FY30, "A")</f>
        <v/>
      </c>
      <c r="BB29" s="68">
        <f>IF((AZ29+BA29)=0,"", AZ29/(AZ29+BA29))</f>
        <v/>
      </c>
      <c r="BC29" s="67">
        <f>COUNTIF('Detailed Attendance'!DC30:DC30, "P")+COUNTIF('Detailed Attendance'!DV30:DV30, "P")+COUNTIF('Detailed Attendance'!DZ30:DZ30, "P")+COUNTIF('Detailed Attendance'!ES30:ES30, "P")+COUNTIF('Detailed Attendance'!GC30:GC30, "P")+COUNTIF('Detailed Attendance'!GG30:GG30, "P")</f>
        <v/>
      </c>
      <c r="BD29" s="67">
        <f>COUNTIF('Detailed Attendance'!DC30:DC30, "A")+COUNTIF('Detailed Attendance'!DV30:DV30, "A")+COUNTIF('Detailed Attendance'!DZ30:DZ30, "A")+COUNTIF('Detailed Attendance'!ES30:ES30, "A")+COUNTIF('Detailed Attendance'!GC30:GC30, "A")+COUNTIF('Detailed Attendance'!GG30:GG30, "A")</f>
        <v/>
      </c>
      <c r="BE29" s="68">
        <f>IF((BC29+BD29)=0,"", BC29/(BC29+BD29))</f>
        <v/>
      </c>
      <c r="BF29" s="67">
        <f>COUNTIF('Detailed Attendance'!DO30:DO30, "P")+COUNTIF('Detailed Attendance'!DW30:DW30, "P")+COUNTIF('Detailed Attendance'!EL30:EL30, "P")+COUNTIF('Detailed Attendance'!ET30:ET30, "P")+COUNTIF('Detailed Attendance'!FF30:FF30, "P")+COUNTIF('Detailed Attendance'!FV30:FV30, "P")+COUNTIF('Detailed Attendance'!GD30:GD30, "P")</f>
        <v/>
      </c>
      <c r="BG29" s="67">
        <f>COUNTIF('Detailed Attendance'!DO30:DO30, "A")+COUNTIF('Detailed Attendance'!DW30:DW30, "A")+COUNTIF('Detailed Attendance'!EL30:EL30, "A")+COUNTIF('Detailed Attendance'!ET30:ET30, "A")+COUNTIF('Detailed Attendance'!FF30:FF30, "A")+COUNTIF('Detailed Attendance'!FV30:FV30, "A")+COUNTIF('Detailed Attendance'!GD30:GD30, "A")</f>
        <v/>
      </c>
      <c r="BH29" s="68">
        <f>IF((BF29+BG29)=0,"", BF29/(BF29+BG29))</f>
        <v/>
      </c>
      <c r="BI29" s="67">
        <f>AT29+AW29+AZ29+BC29+BF29</f>
        <v/>
      </c>
      <c r="BJ29" s="67">
        <f>AU29+AX29+BA29+BD29+BG29</f>
        <v/>
      </c>
      <c r="BK29" s="68">
        <f>IF((BI29+BJ29)=0,"", BI29/(BI29+BJ29))</f>
        <v/>
      </c>
      <c r="BL29" s="69">
        <f>COUNTIF('Detailed Attendance'!DG30:DG30, "P")+COUNTIF('Detailed Attendance'!ED30:ED30, "P")+COUNTIF('Detailed Attendance'!EX30:EX30, "P")+COUNTIF('Detailed Attendance'!FN30:FN30, "P")+COUNTIF('Detailed Attendance'!DX30:DX30, "P")+COUNTIF('Detailed Attendance'!EU30:EU30, "P")+COUNTIF('Detailed Attendance'!GE30:GE30, "P")+COUNTIF('Detailed Attendance'!DE30:DE30, "P")+COUNTIF('Detailed Attendance'!EB30:EB30, "P")+COUNTIF('Detailed Attendance'!GI30:GI30, "P")</f>
        <v/>
      </c>
      <c r="BM29" s="69">
        <f>COUNTIF('Detailed Attendance'!DG30:DG30, "A")+COUNTIF('Detailed Attendance'!ED30:ED30, "A")+COUNTIF('Detailed Attendance'!EX30:EX30, "A")+COUNTIF('Detailed Attendance'!FN30:FN30, "A")+COUNTIF('Detailed Attendance'!DX30:DX30, "A")+COUNTIF('Detailed Attendance'!EU30:EU30, "A")+COUNTIF('Detailed Attendance'!GE30:GE30, "A")+COUNTIF('Detailed Attendance'!DE30:DE30, "A")+COUNTIF('Detailed Attendance'!EB30:EB30, "A")+COUNTIF('Detailed Attendance'!GI30:GI30, "A")</f>
        <v/>
      </c>
      <c r="BN29" s="70">
        <f>IF((BL29+BM29)=0,"", BL29/(BL29+BM29))</f>
        <v/>
      </c>
      <c r="BO29" s="67">
        <f>D29+Y29+AT29</f>
        <v/>
      </c>
      <c r="BP29" s="67">
        <f>E29+Z29+AU29</f>
        <v/>
      </c>
      <c r="BQ29" s="68">
        <f>IF((BO29+BP29)=0,"", BO29/(BO29+BP29))</f>
        <v/>
      </c>
      <c r="BR29" s="67">
        <f>G29+AB29+AW29</f>
        <v/>
      </c>
      <c r="BS29" s="67">
        <f>H29+AC29+AX29</f>
        <v/>
      </c>
      <c r="BT29" s="68">
        <f>IF((BR29+BS29)=0,"", BR29/(BR29+BS29))</f>
        <v/>
      </c>
      <c r="BU29" s="67">
        <f>J29+AE29+AZ29</f>
        <v/>
      </c>
      <c r="BV29" s="67">
        <f>K29+AF29+BA29</f>
        <v/>
      </c>
      <c r="BW29" s="68">
        <f>IF((BU29+BV29)=0,"", BU29/(BU29+BV29))</f>
        <v/>
      </c>
      <c r="BX29" s="67">
        <f>M29+AH29+BC29</f>
        <v/>
      </c>
      <c r="BY29" s="67">
        <f>N29+AI29+BD29</f>
        <v/>
      </c>
      <c r="BZ29" s="68">
        <f>IF((BX29+BY29)=0,"", BX29/(BX29+BY29))</f>
        <v/>
      </c>
      <c r="CA29" s="67">
        <f>P29+AK29+BF29</f>
        <v/>
      </c>
      <c r="CB29" s="67">
        <f>Q29+AL29+BG29</f>
        <v/>
      </c>
      <c r="CC29" s="68">
        <f>IF((CA29+CB29)=0,"", CA29/(CA29+CB29))</f>
        <v/>
      </c>
      <c r="CD29" s="67">
        <f>S29+AN29+BI29</f>
        <v/>
      </c>
      <c r="CE29" s="67">
        <f>T29+AO29+BJ29</f>
        <v/>
      </c>
      <c r="CF29" s="68">
        <f>IF((CD29+CE29)=0,"", CD29/(CD29+CE29))</f>
        <v/>
      </c>
      <c r="CG29" s="69">
        <f>V29+AQ29+BL29</f>
        <v/>
      </c>
      <c r="CH29" s="69">
        <f>W29+AR29+BM29</f>
        <v/>
      </c>
      <c r="CI29" s="70">
        <f>IF((CG29+CH29)=0,"", CG29/(CG29+CH29))</f>
        <v/>
      </c>
      <c r="CJ29" s="67">
        <f>CD29+(CG29*2)</f>
        <v/>
      </c>
      <c r="CK29" s="67">
        <f>CE29+(CH29*2)</f>
        <v/>
      </c>
      <c r="CL29" s="68">
        <f>IF((CJ29+CK29)=0,"", CJ29/(CJ29+CK29))</f>
        <v/>
      </c>
      <c r="CM29" s="67" t="inlineStr">
        <is>
          <t>Batch 1</t>
        </is>
      </c>
    </row>
    <row r="30" ht="14.25" customHeight="1" s="34">
      <c r="A30" s="46" t="n">
        <v>28</v>
      </c>
      <c r="B30" s="46" t="inlineStr">
        <is>
          <t>325106410028</t>
        </is>
      </c>
      <c r="C30" s="46" t="inlineStr">
        <is>
          <t>HANUSRI VEERA VENKATA SANTOSH MIDATHA</t>
        </is>
      </c>
      <c r="D30" s="63" t="n">
        <v>0</v>
      </c>
      <c r="E30" s="63" t="n">
        <v>0</v>
      </c>
      <c r="F30" s="64">
        <f>IF((D30+E30)=0,"", D30/(D30+E30))</f>
        <v/>
      </c>
      <c r="G30" s="63">
        <f>COUNTIF('Detailed Attendance'!I31:I31, "P")</f>
        <v/>
      </c>
      <c r="H30" s="63">
        <f>COUNTIF('Detailed Attendance'!I31:I31, "A")</f>
        <v/>
      </c>
      <c r="I30" s="64">
        <f>IF((G30+H30)=0,"", G30/(G30+H30))</f>
        <v/>
      </c>
      <c r="J30" s="63" t="n">
        <v>0</v>
      </c>
      <c r="K30" s="63" t="n">
        <v>0</v>
      </c>
      <c r="L30" s="64">
        <f>IF((J30+K30)=0,"", J30/(J30+K30))</f>
        <v/>
      </c>
      <c r="M30" s="63">
        <f>COUNTIF('Detailed Attendance'!D31:D31, "P")</f>
        <v/>
      </c>
      <c r="N30" s="63">
        <f>COUNTIF('Detailed Attendance'!D31:D31, "A")</f>
        <v/>
      </c>
      <c r="O30" s="64">
        <f>IF((M30+N30)=0,"", M30/(M30+N30))</f>
        <v/>
      </c>
      <c r="P30" s="63" t="n">
        <v>0</v>
      </c>
      <c r="Q30" s="63" t="n">
        <v>0</v>
      </c>
      <c r="R30" s="64">
        <f>IF((P30+Q30)=0,"", P30/(P30+Q30))</f>
        <v/>
      </c>
      <c r="S30" s="63">
        <f>D30+G30+J30+M30+P30</f>
        <v/>
      </c>
      <c r="T30" s="63">
        <f>E30+H30+K30+N30+Q30</f>
        <v/>
      </c>
      <c r="U30" s="64">
        <f>IF((S30+T30)=0,"", S30/(S30+T30))</f>
        <v/>
      </c>
      <c r="V30" s="65">
        <f>COUNTIF('Detailed Attendance'!E31:E31, "P")</f>
        <v/>
      </c>
      <c r="W30" s="65">
        <f>COUNTIF('Detailed Attendance'!E31:E31, "A")</f>
        <v/>
      </c>
      <c r="X30" s="66">
        <f>IF((V30+W30)=0,"", V30/(V30+W30))</f>
        <v/>
      </c>
      <c r="Y30" s="63">
        <f>COUNTIF('Detailed Attendance'!R31:R31, "P")+COUNTIF('Detailed Attendance'!X31:X31, "P")+COUNTIF('Detailed Attendance'!AL31:AL31, "P")+COUNTIF('Detailed Attendance'!BF31:BF31, "P")+COUNTIF('Detailed Attendance'!BL31:BL31, "P")+COUNTIF('Detailed Attendance'!BZ31:BZ31, "P")+COUNTIF('Detailed Attendance'!CI31:CI31, "P")+COUNTIF('Detailed Attendance'!CW31:CW31, "P")</f>
        <v/>
      </c>
      <c r="Z30" s="63">
        <f>COUNTIF('Detailed Attendance'!R31:R31, "A")+COUNTIF('Detailed Attendance'!X31:X31, "A")+COUNTIF('Detailed Attendance'!AL31:AL31, "A")+COUNTIF('Detailed Attendance'!BF31:BF31, "A")+COUNTIF('Detailed Attendance'!BL31:BL31, "A")+COUNTIF('Detailed Attendance'!BZ31:BZ31, "A")+COUNTIF('Detailed Attendance'!CI31:CI31, "A")+COUNTIF('Detailed Attendance'!CW31:CW31, "A")</f>
        <v/>
      </c>
      <c r="AA30" s="64">
        <f>IF((Y30+Z30)=0,"", Y30/(Y30+Z30))</f>
        <v/>
      </c>
      <c r="AB30" s="63">
        <f>COUNTIF('Detailed Attendance'!Q31:Q31, "P")+COUNTIF('Detailed Attendance'!AC31:AC31, "P")+COUNTIF('Detailed Attendance'!AK31:AK31, "P")+COUNTIF('Detailed Attendance'!AW31:AW31, "P")+COUNTIF('Detailed Attendance'!BE31:BE31, "P")+COUNTIF('Detailed Attendance'!BQ31:BQ31, "P")+COUNTIF('Detailed Attendance'!BY31:BY31, "P")+COUNTIF('Detailed Attendance'!CN31:CN31, "P")+COUNTIF('Detailed Attendance'!CV31:CV31, "P")</f>
        <v/>
      </c>
      <c r="AC30" s="63">
        <f>COUNTIF('Detailed Attendance'!Q31:Q31, "A")+COUNTIF('Detailed Attendance'!AC31:AC31, "A")+COUNTIF('Detailed Attendance'!AK31:AK31, "A")+COUNTIF('Detailed Attendance'!AW31:AW31, "A")+COUNTIF('Detailed Attendance'!BE31:BE31, "A")+COUNTIF('Detailed Attendance'!BQ31:BQ31, "A")+COUNTIF('Detailed Attendance'!BY31:BY31, "A")+COUNTIF('Detailed Attendance'!CN31:CN31, "A")+COUNTIF('Detailed Attendance'!CV31:CV31, "A")</f>
        <v/>
      </c>
      <c r="AD30" s="64">
        <f>IF((AB30+AC30)=0,"", AB30/(AB30+AC30))</f>
        <v/>
      </c>
      <c r="AE30" s="63">
        <f>COUNTIF('Detailed Attendance'!L31:L31, "P")+COUNTIF('Detailed Attendance'!P31:P31, "P")+COUNTIF('Detailed Attendance'!AF31:AF31, "P")+COUNTIF('Detailed Attendance'!AJ31:AJ31, "P")+COUNTIF('Detailed Attendance'!AZ31:AZ31, "P")+COUNTIF('Detailed Attendance'!BD31:BD31, "P")+COUNTIF('Detailed Attendance'!BT31:BT31, "P")+COUNTIF('Detailed Attendance'!BX31:BX31, "P")+COUNTIF('Detailed Attendance'!CQ31:CQ31, "P")+COUNTIF('Detailed Attendance'!CU31:CU31, "P")</f>
        <v/>
      </c>
      <c r="AF30" s="67">
        <f>COUNTIF('Detailed Attendance'!L31:L31, "A")+COUNTIF('Detailed Attendance'!P31:P31, "A")+COUNTIF('Detailed Attendance'!AF31:AF31, "A")+COUNTIF('Detailed Attendance'!AJ31:AJ31, "A")+COUNTIF('Detailed Attendance'!AZ31:AZ31, "A")+COUNTIF('Detailed Attendance'!BD31:BD31, "A")+COUNTIF('Detailed Attendance'!BT31:BT31, "A")+COUNTIF('Detailed Attendance'!BX31:BX31, "A")+COUNTIF('Detailed Attendance'!CQ31:CQ31, "A")+COUNTIF('Detailed Attendance'!CU31:CU31, "A")</f>
        <v/>
      </c>
      <c r="AG30" s="68">
        <f>IF((AE30+AF30)=0,"", AE30/(AE30+AF30))</f>
        <v/>
      </c>
      <c r="AH30" s="67">
        <f>COUNTIF('Detailed Attendance'!T31:T31, "P")+COUNTIF('Detailed Attendance'!AN31:AN31, "P")+COUNTIF('Detailed Attendance'!AR31:AR31, "P")+COUNTIF('Detailed Attendance'!BH31:BH31, "P")+COUNTIF('Detailed Attendance'!CB31:CB31, "P")+COUNTIF('Detailed Attendance'!CF31:CF31, "P")+COUNTIF('Detailed Attendance'!CY31:CY31, "P")</f>
        <v/>
      </c>
      <c r="AI30" s="67">
        <f>COUNTIF('Detailed Attendance'!T31:T31, "A")+COUNTIF('Detailed Attendance'!AN31:AN31, "A")+COUNTIF('Detailed Attendance'!AR31:AR31, "A")+COUNTIF('Detailed Attendance'!BH31:BH31, "A")+COUNTIF('Detailed Attendance'!CB31:CB31, "A")+COUNTIF('Detailed Attendance'!CF31:CF31, "A")+COUNTIF('Detailed Attendance'!CY31:CY31, "A")</f>
        <v/>
      </c>
      <c r="AJ30" s="68">
        <f>IF((AH30+AI30)=0,"", AH30/(AH30+AI30))</f>
        <v/>
      </c>
      <c r="AK30" s="67">
        <f>COUNTIF('Detailed Attendance'!M31:M31, "P")+COUNTIF('Detailed Attendance'!U31:U31, "P")+COUNTIF('Detailed Attendance'!AG31:AG31, "P")+COUNTIF('Detailed Attendance'!AO31:AO31, "P")+COUNTIF('Detailed Attendance'!BA31:BA31, "P")+COUNTIF('Detailed Attendance'!BI31:BI31, "P")+COUNTIF('Detailed Attendance'!BU31:BU31, "P")+COUNTIF('Detailed Attendance'!CC31:CC31, "P")+COUNTIF('Detailed Attendance'!CR31:CR31, "P")+COUNTIF('Detailed Attendance'!CZ31:CZ31, "P")</f>
        <v/>
      </c>
      <c r="AL30" s="67">
        <f>COUNTIF('Detailed Attendance'!M31:M31, "A")+COUNTIF('Detailed Attendance'!U31:U31, "A")+COUNTIF('Detailed Attendance'!AG31:AG31, "A")+COUNTIF('Detailed Attendance'!AO31:AO31, "A")+COUNTIF('Detailed Attendance'!BA31:BA31, "A")+COUNTIF('Detailed Attendance'!BI31:BI31, "A")+COUNTIF('Detailed Attendance'!BU31:BU31, "A")+COUNTIF('Detailed Attendance'!CC31:CC31, "A")+COUNTIF('Detailed Attendance'!CR31:CR31, "A")+COUNTIF('Detailed Attendance'!CZ31:CZ31, "A")</f>
        <v/>
      </c>
      <c r="AM30" s="68">
        <f>IF((AK30+AL30)=0,"", AK30/(AK30+AL30))</f>
        <v/>
      </c>
      <c r="AN30" s="67">
        <f>Y30+AB30+AE30+AH30+AK30</f>
        <v/>
      </c>
      <c r="AO30" s="67">
        <f>Z30+AC30+AF30+AI30+AL30</f>
        <v/>
      </c>
      <c r="AP30" s="68">
        <f>IF((AN30+AO30)=0,"", AN30/(AN30+AO30))</f>
        <v/>
      </c>
      <c r="AQ30" s="69">
        <f>COUNTIF('Detailed Attendance'!Y31:Y31, "P")+COUNTIF('Detailed Attendance'!AS31:AS31, "P")+COUNTIF('Detailed Attendance'!BM31:BM31, "P")+COUNTIF('Detailed Attendance'!CJ31:CJ31, "P")+COUNTIF('Detailed Attendance'!V31:V31, "P")+COUNTIF('Detailed Attendance'!AP31:AP31, "P")+COUNTIF('Detailed Attendance'!BJ31:BJ31, "P")+COUNTIF('Detailed Attendance'!CD31:CD31, "P")+COUNTIF('Detailed Attendance'!DA31:DA31, "P")+COUNTIF('Detailed Attendance'!CH31:CH31, "P")</f>
        <v/>
      </c>
      <c r="AR30" s="69">
        <f>COUNTIF('Detailed Attendance'!Y31:Y31, "A")+COUNTIF('Detailed Attendance'!AS31:AS31, "A")+COUNTIF('Detailed Attendance'!BM31:BM31, "A")+COUNTIF('Detailed Attendance'!CJ31:CJ31, "A")+COUNTIF('Detailed Attendance'!V31:V31, "A")+COUNTIF('Detailed Attendance'!AP31:AP31, "A")+COUNTIF('Detailed Attendance'!BJ31:BJ31, "A")+COUNTIF('Detailed Attendance'!CD31:CD31, "A")+COUNTIF('Detailed Attendance'!DA31:DA31, "A")+COUNTIF('Detailed Attendance'!CH31:CH31, "A")</f>
        <v/>
      </c>
      <c r="AS30" s="70">
        <f>IF((AQ30+AR30)=0,"", AQ30/(AQ30+AR30))</f>
        <v/>
      </c>
      <c r="AT30" s="67">
        <f>COUNTIF('Detailed Attendance'!DF31:DF31, "P")+COUNTIF('Detailed Attendance'!DT31:DT31, "P")+COUNTIF('Detailed Attendance'!EC31:EC31, "P")+COUNTIF('Detailed Attendance'!EQ31:EQ31, "P")+COUNTIF('Detailed Attendance'!EW31:EW31, "P")+COUNTIF('Detailed Attendance'!FK31:FK31, "P")+COUNTIF('Detailed Attendance'!FM31:FM31, "P")+COUNTIF('Detailed Attendance'!GA31:GA31, "P")</f>
        <v/>
      </c>
      <c r="AU30" s="67">
        <f>COUNTIF('Detailed Attendance'!DF31:DF31, "A")+COUNTIF('Detailed Attendance'!DT31:DT31, "A")+COUNTIF('Detailed Attendance'!EC31:EC31, "A")+COUNTIF('Detailed Attendance'!EQ31:EQ31, "A")+COUNTIF('Detailed Attendance'!EW31:EW31, "A")+COUNTIF('Detailed Attendance'!FK31:FK31, "A")+COUNTIF('Detailed Attendance'!FM31:FM31, "A")+COUNTIF('Detailed Attendance'!GA31:GA31, "A")</f>
        <v/>
      </c>
      <c r="AV30" s="68">
        <f>IF((AT30+AU30)=0,"", AT30/(AT30+AU30))</f>
        <v/>
      </c>
      <c r="AW30" s="67">
        <f>COUNTIF('Detailed Attendance'!DK31:DK31, "P")+COUNTIF('Detailed Attendance'!DS31:DS31, "P")+COUNTIF('Detailed Attendance'!EH31:EH31, "P")+COUNTIF('Detailed Attendance'!EP31:EP31, "P")+COUNTIF('Detailed Attendance'!FB31:FB31, "P")+COUNTIF('Detailed Attendance'!FJ31:FJ31, "P")+COUNTIF('Detailed Attendance'!FR31:FR31, "P")+COUNTIF('Detailed Attendance'!FZ31:FZ31, "P")</f>
        <v/>
      </c>
      <c r="AX30" s="67">
        <f>COUNTIF('Detailed Attendance'!DK31:DK31, "A")+COUNTIF('Detailed Attendance'!DS31:DS31, "A")+COUNTIF('Detailed Attendance'!EH31:EH31, "A")+COUNTIF('Detailed Attendance'!EP31:EP31, "A")+COUNTIF('Detailed Attendance'!FB31:FB31, "A")+COUNTIF('Detailed Attendance'!FJ31:FJ31, "A")+COUNTIF('Detailed Attendance'!FR31:FR31, "A")+COUNTIF('Detailed Attendance'!FZ31:FZ31, "A")</f>
        <v/>
      </c>
      <c r="AY30" s="68">
        <f>IF((AW30+AX30)=0,"", AW30/(AW30+AX30))</f>
        <v/>
      </c>
      <c r="AZ30" s="67">
        <f>COUNTIF('Detailed Attendance'!DN31:DN31, "P")+COUNTIF('Detailed Attendance'!DR31:DR31, "P")+COUNTIF('Detailed Attendance'!EK31:EK31, "P")+COUNTIF('Detailed Attendance'!EO31:EO31, "P")+COUNTIF('Detailed Attendance'!FE31:FE31, "P")+COUNTIF('Detailed Attendance'!FI31:FI31, "P")+COUNTIF('Detailed Attendance'!FU31:FU31, "P")+COUNTIF('Detailed Attendance'!FY31:FY31, "P")</f>
        <v/>
      </c>
      <c r="BA30" s="67">
        <f>COUNTIF('Detailed Attendance'!DN31:DN31, "A")+COUNTIF('Detailed Attendance'!DR31:DR31, "A")+COUNTIF('Detailed Attendance'!EK31:EK31, "A")+COUNTIF('Detailed Attendance'!EO31:EO31, "A")+COUNTIF('Detailed Attendance'!FE31:FE31, "A")+COUNTIF('Detailed Attendance'!FI31:FI31, "A")+COUNTIF('Detailed Attendance'!FU31:FU31, "A")+COUNTIF('Detailed Attendance'!FY31:FY31, "A")</f>
        <v/>
      </c>
      <c r="BB30" s="68">
        <f>IF((AZ30+BA30)=0,"", AZ30/(AZ30+BA30))</f>
        <v/>
      </c>
      <c r="BC30" s="67">
        <f>COUNTIF('Detailed Attendance'!DC31:DC31, "P")+COUNTIF('Detailed Attendance'!DV31:DV31, "P")+COUNTIF('Detailed Attendance'!DZ31:DZ31, "P")+COUNTIF('Detailed Attendance'!ES31:ES31, "P")+COUNTIF('Detailed Attendance'!GC31:GC31, "P")+COUNTIF('Detailed Attendance'!GG31:GG31, "P")</f>
        <v/>
      </c>
      <c r="BD30" s="67">
        <f>COUNTIF('Detailed Attendance'!DC31:DC31, "A")+COUNTIF('Detailed Attendance'!DV31:DV31, "A")+COUNTIF('Detailed Attendance'!DZ31:DZ31, "A")+COUNTIF('Detailed Attendance'!ES31:ES31, "A")+COUNTIF('Detailed Attendance'!GC31:GC31, "A")+COUNTIF('Detailed Attendance'!GG31:GG31, "A")</f>
        <v/>
      </c>
      <c r="BE30" s="68">
        <f>IF((BC30+BD30)=0,"", BC30/(BC30+BD30))</f>
        <v/>
      </c>
      <c r="BF30" s="67">
        <f>COUNTIF('Detailed Attendance'!DO31:DO31, "P")+COUNTIF('Detailed Attendance'!DW31:DW31, "P")+COUNTIF('Detailed Attendance'!EL31:EL31, "P")+COUNTIF('Detailed Attendance'!ET31:ET31, "P")+COUNTIF('Detailed Attendance'!FF31:FF31, "P")+COUNTIF('Detailed Attendance'!FV31:FV31, "P")+COUNTIF('Detailed Attendance'!GD31:GD31, "P")</f>
        <v/>
      </c>
      <c r="BG30" s="67">
        <f>COUNTIF('Detailed Attendance'!DO31:DO31, "A")+COUNTIF('Detailed Attendance'!DW31:DW31, "A")+COUNTIF('Detailed Attendance'!EL31:EL31, "A")+COUNTIF('Detailed Attendance'!ET31:ET31, "A")+COUNTIF('Detailed Attendance'!FF31:FF31, "A")+COUNTIF('Detailed Attendance'!FV31:FV31, "A")+COUNTIF('Detailed Attendance'!GD31:GD31, "A")</f>
        <v/>
      </c>
      <c r="BH30" s="68">
        <f>IF((BF30+BG30)=0,"", BF30/(BF30+BG30))</f>
        <v/>
      </c>
      <c r="BI30" s="67">
        <f>AT30+AW30+AZ30+BC30+BF30</f>
        <v/>
      </c>
      <c r="BJ30" s="67">
        <f>AU30+AX30+BA30+BD30+BG30</f>
        <v/>
      </c>
      <c r="BK30" s="68">
        <f>IF((BI30+BJ30)=0,"", BI30/(BI30+BJ30))</f>
        <v/>
      </c>
      <c r="BL30" s="69">
        <f>COUNTIF('Detailed Attendance'!DG31:DG31, "P")+COUNTIF('Detailed Attendance'!ED31:ED31, "P")+COUNTIF('Detailed Attendance'!EX31:EX31, "P")+COUNTIF('Detailed Attendance'!FN31:FN31, "P")+COUNTIF('Detailed Attendance'!DX31:DX31, "P")+COUNTIF('Detailed Attendance'!EU31:EU31, "P")+COUNTIF('Detailed Attendance'!GE31:GE31, "P")+COUNTIF('Detailed Attendance'!DE31:DE31, "P")+COUNTIF('Detailed Attendance'!EB31:EB31, "P")+COUNTIF('Detailed Attendance'!GI31:GI31, "P")</f>
        <v/>
      </c>
      <c r="BM30" s="69">
        <f>COUNTIF('Detailed Attendance'!DG31:DG31, "A")+COUNTIF('Detailed Attendance'!ED31:ED31, "A")+COUNTIF('Detailed Attendance'!EX31:EX31, "A")+COUNTIF('Detailed Attendance'!FN31:FN31, "A")+COUNTIF('Detailed Attendance'!DX31:DX31, "A")+COUNTIF('Detailed Attendance'!EU31:EU31, "A")+COUNTIF('Detailed Attendance'!GE31:GE31, "A")+COUNTIF('Detailed Attendance'!DE31:DE31, "A")+COUNTIF('Detailed Attendance'!EB31:EB31, "A")+COUNTIF('Detailed Attendance'!GI31:GI31, "A")</f>
        <v/>
      </c>
      <c r="BN30" s="70">
        <f>IF((BL30+BM30)=0,"", BL30/(BL30+BM30))</f>
        <v/>
      </c>
      <c r="BO30" s="67">
        <f>D30+Y30+AT30</f>
        <v/>
      </c>
      <c r="BP30" s="67">
        <f>E30+Z30+AU30</f>
        <v/>
      </c>
      <c r="BQ30" s="68">
        <f>IF((BO30+BP30)=0,"", BO30/(BO30+BP30))</f>
        <v/>
      </c>
      <c r="BR30" s="67">
        <f>G30+AB30+AW30</f>
        <v/>
      </c>
      <c r="BS30" s="67">
        <f>H30+AC30+AX30</f>
        <v/>
      </c>
      <c r="BT30" s="68">
        <f>IF((BR30+BS30)=0,"", BR30/(BR30+BS30))</f>
        <v/>
      </c>
      <c r="BU30" s="67">
        <f>J30+AE30+AZ30</f>
        <v/>
      </c>
      <c r="BV30" s="67">
        <f>K30+AF30+BA30</f>
        <v/>
      </c>
      <c r="BW30" s="68">
        <f>IF((BU30+BV30)=0,"", BU30/(BU30+BV30))</f>
        <v/>
      </c>
      <c r="BX30" s="67">
        <f>M30+AH30+BC30</f>
        <v/>
      </c>
      <c r="BY30" s="67">
        <f>N30+AI30+BD30</f>
        <v/>
      </c>
      <c r="BZ30" s="68">
        <f>IF((BX30+BY30)=0,"", BX30/(BX30+BY30))</f>
        <v/>
      </c>
      <c r="CA30" s="67">
        <f>P30+AK30+BF30</f>
        <v/>
      </c>
      <c r="CB30" s="67">
        <f>Q30+AL30+BG30</f>
        <v/>
      </c>
      <c r="CC30" s="68">
        <f>IF((CA30+CB30)=0,"", CA30/(CA30+CB30))</f>
        <v/>
      </c>
      <c r="CD30" s="67">
        <f>S30+AN30+BI30</f>
        <v/>
      </c>
      <c r="CE30" s="67">
        <f>T30+AO30+BJ30</f>
        <v/>
      </c>
      <c r="CF30" s="68">
        <f>IF((CD30+CE30)=0,"", CD30/(CD30+CE30))</f>
        <v/>
      </c>
      <c r="CG30" s="69">
        <f>V30+AQ30+BL30</f>
        <v/>
      </c>
      <c r="CH30" s="69">
        <f>W30+AR30+BM30</f>
        <v/>
      </c>
      <c r="CI30" s="70">
        <f>IF((CG30+CH30)=0,"", CG30/(CG30+CH30))</f>
        <v/>
      </c>
      <c r="CJ30" s="67">
        <f>CD30+(CG30*2)</f>
        <v/>
      </c>
      <c r="CK30" s="67">
        <f>CE30+(CH30*2)</f>
        <v/>
      </c>
      <c r="CL30" s="68">
        <f>IF((CJ30+CK30)=0,"", CJ30/(CJ30+CK30))</f>
        <v/>
      </c>
      <c r="CM30" s="67" t="inlineStr">
        <is>
          <t>Batch 1</t>
        </is>
      </c>
    </row>
    <row r="31" ht="14.25" customHeight="1" s="34">
      <c r="A31" s="46" t="n">
        <v>29</v>
      </c>
      <c r="B31" s="46" t="inlineStr">
        <is>
          <t>325106410029</t>
        </is>
      </c>
      <c r="C31" s="46" t="inlineStr">
        <is>
          <t>SYAM KISHORE MOGILI</t>
        </is>
      </c>
      <c r="D31" s="63" t="n">
        <v>0</v>
      </c>
      <c r="E31" s="63" t="n">
        <v>0</v>
      </c>
      <c r="F31" s="64">
        <f>IF((D31+E31)=0,"", D31/(D31+E31))</f>
        <v/>
      </c>
      <c r="G31" s="63">
        <f>COUNTIF('Detailed Attendance'!I32:I32, "P")</f>
        <v/>
      </c>
      <c r="H31" s="63">
        <f>COUNTIF('Detailed Attendance'!I32:I32, "A")</f>
        <v/>
      </c>
      <c r="I31" s="64">
        <f>IF((G31+H31)=0,"", G31/(G31+H31))</f>
        <v/>
      </c>
      <c r="J31" s="63" t="n">
        <v>0</v>
      </c>
      <c r="K31" s="63" t="n">
        <v>0</v>
      </c>
      <c r="L31" s="64">
        <f>IF((J31+K31)=0,"", J31/(J31+K31))</f>
        <v/>
      </c>
      <c r="M31" s="63">
        <f>COUNTIF('Detailed Attendance'!D32:D32, "P")</f>
        <v/>
      </c>
      <c r="N31" s="63">
        <f>COUNTIF('Detailed Attendance'!D32:D32, "A")</f>
        <v/>
      </c>
      <c r="O31" s="64">
        <f>IF((M31+N31)=0,"", M31/(M31+N31))</f>
        <v/>
      </c>
      <c r="P31" s="63" t="n">
        <v>0</v>
      </c>
      <c r="Q31" s="63" t="n">
        <v>0</v>
      </c>
      <c r="R31" s="64">
        <f>IF((P31+Q31)=0,"", P31/(P31+Q31))</f>
        <v/>
      </c>
      <c r="S31" s="63">
        <f>D31+G31+J31+M31+P31</f>
        <v/>
      </c>
      <c r="T31" s="63">
        <f>E31+H31+K31+N31+Q31</f>
        <v/>
      </c>
      <c r="U31" s="64">
        <f>IF((S31+T31)=0,"", S31/(S31+T31))</f>
        <v/>
      </c>
      <c r="V31" s="65">
        <f>COUNTIF('Detailed Attendance'!E32:E32, "P")</f>
        <v/>
      </c>
      <c r="W31" s="65">
        <f>COUNTIF('Detailed Attendance'!E32:E32, "A")</f>
        <v/>
      </c>
      <c r="X31" s="66">
        <f>IF((V31+W31)=0,"", V31/(V31+W31))</f>
        <v/>
      </c>
      <c r="Y31" s="63">
        <f>COUNTIF('Detailed Attendance'!R32:R32, "P")+COUNTIF('Detailed Attendance'!X32:X32, "P")+COUNTIF('Detailed Attendance'!AL32:AL32, "P")+COUNTIF('Detailed Attendance'!BF32:BF32, "P")+COUNTIF('Detailed Attendance'!BL32:BL32, "P")+COUNTIF('Detailed Attendance'!BZ32:BZ32, "P")+COUNTIF('Detailed Attendance'!CI32:CI32, "P")+COUNTIF('Detailed Attendance'!CW32:CW32, "P")</f>
        <v/>
      </c>
      <c r="Z31" s="63">
        <f>COUNTIF('Detailed Attendance'!R32:R32, "A")+COUNTIF('Detailed Attendance'!X32:X32, "A")+COUNTIF('Detailed Attendance'!AL32:AL32, "A")+COUNTIF('Detailed Attendance'!BF32:BF32, "A")+COUNTIF('Detailed Attendance'!BL32:BL32, "A")+COUNTIF('Detailed Attendance'!BZ32:BZ32, "A")+COUNTIF('Detailed Attendance'!CI32:CI32, "A")+COUNTIF('Detailed Attendance'!CW32:CW32, "A")</f>
        <v/>
      </c>
      <c r="AA31" s="64">
        <f>IF((Y31+Z31)=0,"", Y31/(Y31+Z31))</f>
        <v/>
      </c>
      <c r="AB31" s="63">
        <f>COUNTIF('Detailed Attendance'!Q32:Q32, "P")+COUNTIF('Detailed Attendance'!AC32:AC32, "P")+COUNTIF('Detailed Attendance'!AK32:AK32, "P")+COUNTIF('Detailed Attendance'!AW32:AW32, "P")+COUNTIF('Detailed Attendance'!BE32:BE32, "P")+COUNTIF('Detailed Attendance'!BQ32:BQ32, "P")+COUNTIF('Detailed Attendance'!BY32:BY32, "P")+COUNTIF('Detailed Attendance'!CN32:CN32, "P")+COUNTIF('Detailed Attendance'!CV32:CV32, "P")</f>
        <v/>
      </c>
      <c r="AC31" s="63">
        <f>COUNTIF('Detailed Attendance'!Q32:Q32, "A")+COUNTIF('Detailed Attendance'!AC32:AC32, "A")+COUNTIF('Detailed Attendance'!AK32:AK32, "A")+COUNTIF('Detailed Attendance'!AW32:AW32, "A")+COUNTIF('Detailed Attendance'!BE32:BE32, "A")+COUNTIF('Detailed Attendance'!BQ32:BQ32, "A")+COUNTIF('Detailed Attendance'!BY32:BY32, "A")+COUNTIF('Detailed Attendance'!CN32:CN32, "A")+COUNTIF('Detailed Attendance'!CV32:CV32, "A")</f>
        <v/>
      </c>
      <c r="AD31" s="64">
        <f>IF((AB31+AC31)=0,"", AB31/(AB31+AC31))</f>
        <v/>
      </c>
      <c r="AE31" s="63">
        <f>COUNTIF('Detailed Attendance'!L32:L32, "P")+COUNTIF('Detailed Attendance'!P32:P32, "P")+COUNTIF('Detailed Attendance'!AF32:AF32, "P")+COUNTIF('Detailed Attendance'!AJ32:AJ32, "P")+COUNTIF('Detailed Attendance'!AZ32:AZ32, "P")+COUNTIF('Detailed Attendance'!BD32:BD32, "P")+COUNTIF('Detailed Attendance'!BT32:BT32, "P")+COUNTIF('Detailed Attendance'!BX32:BX32, "P")+COUNTIF('Detailed Attendance'!CQ32:CQ32, "P")+COUNTIF('Detailed Attendance'!CU32:CU32, "P")</f>
        <v/>
      </c>
      <c r="AF31" s="67">
        <f>COUNTIF('Detailed Attendance'!L32:L32, "A")+COUNTIF('Detailed Attendance'!P32:P32, "A")+COUNTIF('Detailed Attendance'!AF32:AF32, "A")+COUNTIF('Detailed Attendance'!AJ32:AJ32, "A")+COUNTIF('Detailed Attendance'!AZ32:AZ32, "A")+COUNTIF('Detailed Attendance'!BD32:BD32, "A")+COUNTIF('Detailed Attendance'!BT32:BT32, "A")+COUNTIF('Detailed Attendance'!BX32:BX32, "A")+COUNTIF('Detailed Attendance'!CQ32:CQ32, "A")+COUNTIF('Detailed Attendance'!CU32:CU32, "A")</f>
        <v/>
      </c>
      <c r="AG31" s="68">
        <f>IF((AE31+AF31)=0,"", AE31/(AE31+AF31))</f>
        <v/>
      </c>
      <c r="AH31" s="67">
        <f>COUNTIF('Detailed Attendance'!T32:T32, "P")+COUNTIF('Detailed Attendance'!AN32:AN32, "P")+COUNTIF('Detailed Attendance'!AR32:AR32, "P")+COUNTIF('Detailed Attendance'!BH32:BH32, "P")+COUNTIF('Detailed Attendance'!CB32:CB32, "P")+COUNTIF('Detailed Attendance'!CF32:CF32, "P")+COUNTIF('Detailed Attendance'!CY32:CY32, "P")</f>
        <v/>
      </c>
      <c r="AI31" s="67">
        <f>COUNTIF('Detailed Attendance'!T32:T32, "A")+COUNTIF('Detailed Attendance'!AN32:AN32, "A")+COUNTIF('Detailed Attendance'!AR32:AR32, "A")+COUNTIF('Detailed Attendance'!BH32:BH32, "A")+COUNTIF('Detailed Attendance'!CB32:CB32, "A")+COUNTIF('Detailed Attendance'!CF32:CF32, "A")+COUNTIF('Detailed Attendance'!CY32:CY32, "A")</f>
        <v/>
      </c>
      <c r="AJ31" s="68">
        <f>IF((AH31+AI31)=0,"", AH31/(AH31+AI31))</f>
        <v/>
      </c>
      <c r="AK31" s="67">
        <f>COUNTIF('Detailed Attendance'!M32:M32, "P")+COUNTIF('Detailed Attendance'!U32:U32, "P")+COUNTIF('Detailed Attendance'!AG32:AG32, "P")+COUNTIF('Detailed Attendance'!AO32:AO32, "P")+COUNTIF('Detailed Attendance'!BA32:BA32, "P")+COUNTIF('Detailed Attendance'!BI32:BI32, "P")+COUNTIF('Detailed Attendance'!BU32:BU32, "P")+COUNTIF('Detailed Attendance'!CC32:CC32, "P")+COUNTIF('Detailed Attendance'!CR32:CR32, "P")+COUNTIF('Detailed Attendance'!CZ32:CZ32, "P")</f>
        <v/>
      </c>
      <c r="AL31" s="67">
        <f>COUNTIF('Detailed Attendance'!M32:M32, "A")+COUNTIF('Detailed Attendance'!U32:U32, "A")+COUNTIF('Detailed Attendance'!AG32:AG32, "A")+COUNTIF('Detailed Attendance'!AO32:AO32, "A")+COUNTIF('Detailed Attendance'!BA32:BA32, "A")+COUNTIF('Detailed Attendance'!BI32:BI32, "A")+COUNTIF('Detailed Attendance'!BU32:BU32, "A")+COUNTIF('Detailed Attendance'!CC32:CC32, "A")+COUNTIF('Detailed Attendance'!CR32:CR32, "A")+COUNTIF('Detailed Attendance'!CZ32:CZ32, "A")</f>
        <v/>
      </c>
      <c r="AM31" s="68">
        <f>IF((AK31+AL31)=0,"", AK31/(AK31+AL31))</f>
        <v/>
      </c>
      <c r="AN31" s="67">
        <f>Y31+AB31+AE31+AH31+AK31</f>
        <v/>
      </c>
      <c r="AO31" s="67">
        <f>Z31+AC31+AF31+AI31+AL31</f>
        <v/>
      </c>
      <c r="AP31" s="68">
        <f>IF((AN31+AO31)=0,"", AN31/(AN31+AO31))</f>
        <v/>
      </c>
      <c r="AQ31" s="69">
        <f>COUNTIF('Detailed Attendance'!Y32:Y32, "P")+COUNTIF('Detailed Attendance'!AS32:AS32, "P")+COUNTIF('Detailed Attendance'!BM32:BM32, "P")+COUNTIF('Detailed Attendance'!CJ32:CJ32, "P")+COUNTIF('Detailed Attendance'!V32:V32, "P")+COUNTIF('Detailed Attendance'!AP32:AP32, "P")+COUNTIF('Detailed Attendance'!BJ32:BJ32, "P")+COUNTIF('Detailed Attendance'!CD32:CD32, "P")+COUNTIF('Detailed Attendance'!DA32:DA32, "P")+COUNTIF('Detailed Attendance'!CH32:CH32, "P")</f>
        <v/>
      </c>
      <c r="AR31" s="69">
        <f>COUNTIF('Detailed Attendance'!Y32:Y32, "A")+COUNTIF('Detailed Attendance'!AS32:AS32, "A")+COUNTIF('Detailed Attendance'!BM32:BM32, "A")+COUNTIF('Detailed Attendance'!CJ32:CJ32, "A")+COUNTIF('Detailed Attendance'!V32:V32, "A")+COUNTIF('Detailed Attendance'!AP32:AP32, "A")+COUNTIF('Detailed Attendance'!BJ32:BJ32, "A")+COUNTIF('Detailed Attendance'!CD32:CD32, "A")+COUNTIF('Detailed Attendance'!DA32:DA32, "A")+COUNTIF('Detailed Attendance'!CH32:CH32, "A")</f>
        <v/>
      </c>
      <c r="AS31" s="70">
        <f>IF((AQ31+AR31)=0,"", AQ31/(AQ31+AR31))</f>
        <v/>
      </c>
      <c r="AT31" s="67">
        <f>COUNTIF('Detailed Attendance'!DF32:DF32, "P")+COUNTIF('Detailed Attendance'!DT32:DT32, "P")+COUNTIF('Detailed Attendance'!EC32:EC32, "P")+COUNTIF('Detailed Attendance'!EQ32:EQ32, "P")+COUNTIF('Detailed Attendance'!EW32:EW32, "P")+COUNTIF('Detailed Attendance'!FK32:FK32, "P")+COUNTIF('Detailed Attendance'!FM32:FM32, "P")+COUNTIF('Detailed Attendance'!GA32:GA32, "P")</f>
        <v/>
      </c>
      <c r="AU31" s="67">
        <f>COUNTIF('Detailed Attendance'!DF32:DF32, "A")+COUNTIF('Detailed Attendance'!DT32:DT32, "A")+COUNTIF('Detailed Attendance'!EC32:EC32, "A")+COUNTIF('Detailed Attendance'!EQ32:EQ32, "A")+COUNTIF('Detailed Attendance'!EW32:EW32, "A")+COUNTIF('Detailed Attendance'!FK32:FK32, "A")+COUNTIF('Detailed Attendance'!FM32:FM32, "A")+COUNTIF('Detailed Attendance'!GA32:GA32, "A")</f>
        <v/>
      </c>
      <c r="AV31" s="68">
        <f>IF((AT31+AU31)=0,"", AT31/(AT31+AU31))</f>
        <v/>
      </c>
      <c r="AW31" s="67">
        <f>COUNTIF('Detailed Attendance'!DK32:DK32, "P")+COUNTIF('Detailed Attendance'!DS32:DS32, "P")+COUNTIF('Detailed Attendance'!EH32:EH32, "P")+COUNTIF('Detailed Attendance'!EP32:EP32, "P")+COUNTIF('Detailed Attendance'!FB32:FB32, "P")+COUNTIF('Detailed Attendance'!FJ32:FJ32, "P")+COUNTIF('Detailed Attendance'!FR32:FR32, "P")+COUNTIF('Detailed Attendance'!FZ32:FZ32, "P")</f>
        <v/>
      </c>
      <c r="AX31" s="67">
        <f>COUNTIF('Detailed Attendance'!DK32:DK32, "A")+COUNTIF('Detailed Attendance'!DS32:DS32, "A")+COUNTIF('Detailed Attendance'!EH32:EH32, "A")+COUNTIF('Detailed Attendance'!EP32:EP32, "A")+COUNTIF('Detailed Attendance'!FB32:FB32, "A")+COUNTIF('Detailed Attendance'!FJ32:FJ32, "A")+COUNTIF('Detailed Attendance'!FR32:FR32, "A")+COUNTIF('Detailed Attendance'!FZ32:FZ32, "A")</f>
        <v/>
      </c>
      <c r="AY31" s="68">
        <f>IF((AW31+AX31)=0,"", AW31/(AW31+AX31))</f>
        <v/>
      </c>
      <c r="AZ31" s="67">
        <f>COUNTIF('Detailed Attendance'!DN32:DN32, "P")+COUNTIF('Detailed Attendance'!DR32:DR32, "P")+COUNTIF('Detailed Attendance'!EK32:EK32, "P")+COUNTIF('Detailed Attendance'!EO32:EO32, "P")+COUNTIF('Detailed Attendance'!FE32:FE32, "P")+COUNTIF('Detailed Attendance'!FI32:FI32, "P")+COUNTIF('Detailed Attendance'!FU32:FU32, "P")+COUNTIF('Detailed Attendance'!FY32:FY32, "P")</f>
        <v/>
      </c>
      <c r="BA31" s="67">
        <f>COUNTIF('Detailed Attendance'!DN32:DN32, "A")+COUNTIF('Detailed Attendance'!DR32:DR32, "A")+COUNTIF('Detailed Attendance'!EK32:EK32, "A")+COUNTIF('Detailed Attendance'!EO32:EO32, "A")+COUNTIF('Detailed Attendance'!FE32:FE32, "A")+COUNTIF('Detailed Attendance'!FI32:FI32, "A")+COUNTIF('Detailed Attendance'!FU32:FU32, "A")+COUNTIF('Detailed Attendance'!FY32:FY32, "A")</f>
        <v/>
      </c>
      <c r="BB31" s="68">
        <f>IF((AZ31+BA31)=0,"", AZ31/(AZ31+BA31))</f>
        <v/>
      </c>
      <c r="BC31" s="67">
        <f>COUNTIF('Detailed Attendance'!DC32:DC32, "P")+COUNTIF('Detailed Attendance'!DV32:DV32, "P")+COUNTIF('Detailed Attendance'!DZ32:DZ32, "P")+COUNTIF('Detailed Attendance'!ES32:ES32, "P")+COUNTIF('Detailed Attendance'!GC32:GC32, "P")+COUNTIF('Detailed Attendance'!GG32:GG32, "P")</f>
        <v/>
      </c>
      <c r="BD31" s="67">
        <f>COUNTIF('Detailed Attendance'!DC32:DC32, "A")+COUNTIF('Detailed Attendance'!DV32:DV32, "A")+COUNTIF('Detailed Attendance'!DZ32:DZ32, "A")+COUNTIF('Detailed Attendance'!ES32:ES32, "A")+COUNTIF('Detailed Attendance'!GC32:GC32, "A")+COUNTIF('Detailed Attendance'!GG32:GG32, "A")</f>
        <v/>
      </c>
      <c r="BE31" s="68">
        <f>IF((BC31+BD31)=0,"", BC31/(BC31+BD31))</f>
        <v/>
      </c>
      <c r="BF31" s="67">
        <f>COUNTIF('Detailed Attendance'!DO32:DO32, "P")+COUNTIF('Detailed Attendance'!DW32:DW32, "P")+COUNTIF('Detailed Attendance'!EL32:EL32, "P")+COUNTIF('Detailed Attendance'!ET32:ET32, "P")+COUNTIF('Detailed Attendance'!FF32:FF32, "P")+COUNTIF('Detailed Attendance'!FV32:FV32, "P")+COUNTIF('Detailed Attendance'!GD32:GD32, "P")</f>
        <v/>
      </c>
      <c r="BG31" s="67">
        <f>COUNTIF('Detailed Attendance'!DO32:DO32, "A")+COUNTIF('Detailed Attendance'!DW32:DW32, "A")+COUNTIF('Detailed Attendance'!EL32:EL32, "A")+COUNTIF('Detailed Attendance'!ET32:ET32, "A")+COUNTIF('Detailed Attendance'!FF32:FF32, "A")+COUNTIF('Detailed Attendance'!FV32:FV32, "A")+COUNTIF('Detailed Attendance'!GD32:GD32, "A")</f>
        <v/>
      </c>
      <c r="BH31" s="68">
        <f>IF((BF31+BG31)=0,"", BF31/(BF31+BG31))</f>
        <v/>
      </c>
      <c r="BI31" s="67">
        <f>AT31+AW31+AZ31+BC31+BF31</f>
        <v/>
      </c>
      <c r="BJ31" s="67">
        <f>AU31+AX31+BA31+BD31+BG31</f>
        <v/>
      </c>
      <c r="BK31" s="68">
        <f>IF((BI31+BJ31)=0,"", BI31/(BI31+BJ31))</f>
        <v/>
      </c>
      <c r="BL31" s="69">
        <f>COUNTIF('Detailed Attendance'!DG32:DG32, "P")+COUNTIF('Detailed Attendance'!ED32:ED32, "P")+COUNTIF('Detailed Attendance'!EX32:EX32, "P")+COUNTIF('Detailed Attendance'!FN32:FN32, "P")+COUNTIF('Detailed Attendance'!DX32:DX32, "P")+COUNTIF('Detailed Attendance'!EU32:EU32, "P")+COUNTIF('Detailed Attendance'!GE32:GE32, "P")+COUNTIF('Detailed Attendance'!DE32:DE32, "P")+COUNTIF('Detailed Attendance'!EB32:EB32, "P")+COUNTIF('Detailed Attendance'!GI32:GI32, "P")</f>
        <v/>
      </c>
      <c r="BM31" s="69">
        <f>COUNTIF('Detailed Attendance'!DG32:DG32, "A")+COUNTIF('Detailed Attendance'!ED32:ED32, "A")+COUNTIF('Detailed Attendance'!EX32:EX32, "A")+COUNTIF('Detailed Attendance'!FN32:FN32, "A")+COUNTIF('Detailed Attendance'!DX32:DX32, "A")+COUNTIF('Detailed Attendance'!EU32:EU32, "A")+COUNTIF('Detailed Attendance'!GE32:GE32, "A")+COUNTIF('Detailed Attendance'!DE32:DE32, "A")+COUNTIF('Detailed Attendance'!EB32:EB32, "A")+COUNTIF('Detailed Attendance'!GI32:GI32, "A")</f>
        <v/>
      </c>
      <c r="BN31" s="70">
        <f>IF((BL31+BM31)=0,"", BL31/(BL31+BM31))</f>
        <v/>
      </c>
      <c r="BO31" s="67">
        <f>D31+Y31+AT31</f>
        <v/>
      </c>
      <c r="BP31" s="67">
        <f>E31+Z31+AU31</f>
        <v/>
      </c>
      <c r="BQ31" s="68">
        <f>IF((BO31+BP31)=0,"", BO31/(BO31+BP31))</f>
        <v/>
      </c>
      <c r="BR31" s="67">
        <f>G31+AB31+AW31</f>
        <v/>
      </c>
      <c r="BS31" s="67">
        <f>H31+AC31+AX31</f>
        <v/>
      </c>
      <c r="BT31" s="68">
        <f>IF((BR31+BS31)=0,"", BR31/(BR31+BS31))</f>
        <v/>
      </c>
      <c r="BU31" s="67">
        <f>J31+AE31+AZ31</f>
        <v/>
      </c>
      <c r="BV31" s="67">
        <f>K31+AF31+BA31</f>
        <v/>
      </c>
      <c r="BW31" s="68">
        <f>IF((BU31+BV31)=0,"", BU31/(BU31+BV31))</f>
        <v/>
      </c>
      <c r="BX31" s="67">
        <f>M31+AH31+BC31</f>
        <v/>
      </c>
      <c r="BY31" s="67">
        <f>N31+AI31+BD31</f>
        <v/>
      </c>
      <c r="BZ31" s="68">
        <f>IF((BX31+BY31)=0,"", BX31/(BX31+BY31))</f>
        <v/>
      </c>
      <c r="CA31" s="67">
        <f>P31+AK31+BF31</f>
        <v/>
      </c>
      <c r="CB31" s="67">
        <f>Q31+AL31+BG31</f>
        <v/>
      </c>
      <c r="CC31" s="68">
        <f>IF((CA31+CB31)=0,"", CA31/(CA31+CB31))</f>
        <v/>
      </c>
      <c r="CD31" s="67">
        <f>S31+AN31+BI31</f>
        <v/>
      </c>
      <c r="CE31" s="67">
        <f>T31+AO31+BJ31</f>
        <v/>
      </c>
      <c r="CF31" s="68">
        <f>IF((CD31+CE31)=0,"", CD31/(CD31+CE31))</f>
        <v/>
      </c>
      <c r="CG31" s="69">
        <f>V31+AQ31+BL31</f>
        <v/>
      </c>
      <c r="CH31" s="69">
        <f>W31+AR31+BM31</f>
        <v/>
      </c>
      <c r="CI31" s="70">
        <f>IF((CG31+CH31)=0,"", CG31/(CG31+CH31))</f>
        <v/>
      </c>
      <c r="CJ31" s="67">
        <f>CD31+(CG31*2)</f>
        <v/>
      </c>
      <c r="CK31" s="67">
        <f>CE31+(CH31*2)</f>
        <v/>
      </c>
      <c r="CL31" s="68">
        <f>IF((CJ31+CK31)=0,"", CJ31/(CJ31+CK31))</f>
        <v/>
      </c>
      <c r="CM31" s="67" t="inlineStr">
        <is>
          <t>Batch 1</t>
        </is>
      </c>
    </row>
    <row r="32" ht="14.25" customHeight="1" s="34">
      <c r="A32" s="46" t="n">
        <v>30</v>
      </c>
      <c r="B32" s="46" t="inlineStr">
        <is>
          <t>325106410030</t>
        </is>
      </c>
      <c r="C32" s="46" t="inlineStr">
        <is>
          <t>CHARAN TEJA MUDADLA</t>
        </is>
      </c>
      <c r="D32" s="63" t="n">
        <v>0</v>
      </c>
      <c r="E32" s="63" t="n">
        <v>0</v>
      </c>
      <c r="F32" s="64">
        <f>IF((D32+E32)=0,"", D32/(D32+E32))</f>
        <v/>
      </c>
      <c r="G32" s="63">
        <f>COUNTIF('Detailed Attendance'!I33:I33, "P")</f>
        <v/>
      </c>
      <c r="H32" s="63">
        <f>COUNTIF('Detailed Attendance'!I33:I33, "A")</f>
        <v/>
      </c>
      <c r="I32" s="64">
        <f>IF((G32+H32)=0,"", G32/(G32+H32))</f>
        <v/>
      </c>
      <c r="J32" s="63" t="n">
        <v>0</v>
      </c>
      <c r="K32" s="63" t="n">
        <v>0</v>
      </c>
      <c r="L32" s="64">
        <f>IF((J32+K32)=0,"", J32/(J32+K32))</f>
        <v/>
      </c>
      <c r="M32" s="63">
        <f>COUNTIF('Detailed Attendance'!D33:D33, "P")</f>
        <v/>
      </c>
      <c r="N32" s="63">
        <f>COUNTIF('Detailed Attendance'!D33:D33, "A")</f>
        <v/>
      </c>
      <c r="O32" s="64">
        <f>IF((M32+N32)=0,"", M32/(M32+N32))</f>
        <v/>
      </c>
      <c r="P32" s="63" t="n">
        <v>0</v>
      </c>
      <c r="Q32" s="63" t="n">
        <v>0</v>
      </c>
      <c r="R32" s="64">
        <f>IF((P32+Q32)=0,"", P32/(P32+Q32))</f>
        <v/>
      </c>
      <c r="S32" s="63">
        <f>D32+G32+J32+M32+P32</f>
        <v/>
      </c>
      <c r="T32" s="63">
        <f>E32+H32+K32+N32+Q32</f>
        <v/>
      </c>
      <c r="U32" s="64">
        <f>IF((S32+T32)=0,"", S32/(S32+T32))</f>
        <v/>
      </c>
      <c r="V32" s="65">
        <f>COUNTIF('Detailed Attendance'!E33:E33, "P")</f>
        <v/>
      </c>
      <c r="W32" s="65">
        <f>COUNTIF('Detailed Attendance'!E33:E33, "A")</f>
        <v/>
      </c>
      <c r="X32" s="66">
        <f>IF((V32+W32)=0,"", V32/(V32+W32))</f>
        <v/>
      </c>
      <c r="Y32" s="63">
        <f>COUNTIF('Detailed Attendance'!R33:R33, "P")+COUNTIF('Detailed Attendance'!X33:X33, "P")+COUNTIF('Detailed Attendance'!AL33:AL33, "P")+COUNTIF('Detailed Attendance'!BF33:BF33, "P")+COUNTIF('Detailed Attendance'!BL33:BL33, "P")+COUNTIF('Detailed Attendance'!BZ33:BZ33, "P")+COUNTIF('Detailed Attendance'!CI33:CI33, "P")+COUNTIF('Detailed Attendance'!CW33:CW33, "P")</f>
        <v/>
      </c>
      <c r="Z32" s="63">
        <f>COUNTIF('Detailed Attendance'!R33:R33, "A")+COUNTIF('Detailed Attendance'!X33:X33, "A")+COUNTIF('Detailed Attendance'!AL33:AL33, "A")+COUNTIF('Detailed Attendance'!BF33:BF33, "A")+COUNTIF('Detailed Attendance'!BL33:BL33, "A")+COUNTIF('Detailed Attendance'!BZ33:BZ33, "A")+COUNTIF('Detailed Attendance'!CI33:CI33, "A")+COUNTIF('Detailed Attendance'!CW33:CW33, "A")</f>
        <v/>
      </c>
      <c r="AA32" s="64">
        <f>IF((Y32+Z32)=0,"", Y32/(Y32+Z32))</f>
        <v/>
      </c>
      <c r="AB32" s="63">
        <f>COUNTIF('Detailed Attendance'!Q33:Q33, "P")+COUNTIF('Detailed Attendance'!AC33:AC33, "P")+COUNTIF('Detailed Attendance'!AK33:AK33, "P")+COUNTIF('Detailed Attendance'!AW33:AW33, "P")+COUNTIF('Detailed Attendance'!BE33:BE33, "P")+COUNTIF('Detailed Attendance'!BQ33:BQ33, "P")+COUNTIF('Detailed Attendance'!BY33:BY33, "P")+COUNTIF('Detailed Attendance'!CN33:CN33, "P")+COUNTIF('Detailed Attendance'!CV33:CV33, "P")</f>
        <v/>
      </c>
      <c r="AC32" s="63">
        <f>COUNTIF('Detailed Attendance'!Q33:Q33, "A")+COUNTIF('Detailed Attendance'!AC33:AC33, "A")+COUNTIF('Detailed Attendance'!AK33:AK33, "A")+COUNTIF('Detailed Attendance'!AW33:AW33, "A")+COUNTIF('Detailed Attendance'!BE33:BE33, "A")+COUNTIF('Detailed Attendance'!BQ33:BQ33, "A")+COUNTIF('Detailed Attendance'!BY33:BY33, "A")+COUNTIF('Detailed Attendance'!CN33:CN33, "A")+COUNTIF('Detailed Attendance'!CV33:CV33, "A")</f>
        <v/>
      </c>
      <c r="AD32" s="64">
        <f>IF((AB32+AC32)=0,"", AB32/(AB32+AC32))</f>
        <v/>
      </c>
      <c r="AE32" s="63">
        <f>COUNTIF('Detailed Attendance'!L33:L33, "P")+COUNTIF('Detailed Attendance'!P33:P33, "P")+COUNTIF('Detailed Attendance'!AF33:AF33, "P")+COUNTIF('Detailed Attendance'!AJ33:AJ33, "P")+COUNTIF('Detailed Attendance'!AZ33:AZ33, "P")+COUNTIF('Detailed Attendance'!BD33:BD33, "P")+COUNTIF('Detailed Attendance'!BT33:BT33, "P")+COUNTIF('Detailed Attendance'!BX33:BX33, "P")+COUNTIF('Detailed Attendance'!CQ33:CQ33, "P")+COUNTIF('Detailed Attendance'!CU33:CU33, "P")</f>
        <v/>
      </c>
      <c r="AF32" s="67">
        <f>COUNTIF('Detailed Attendance'!L33:L33, "A")+COUNTIF('Detailed Attendance'!P33:P33, "A")+COUNTIF('Detailed Attendance'!AF33:AF33, "A")+COUNTIF('Detailed Attendance'!AJ33:AJ33, "A")+COUNTIF('Detailed Attendance'!AZ33:AZ33, "A")+COUNTIF('Detailed Attendance'!BD33:BD33, "A")+COUNTIF('Detailed Attendance'!BT33:BT33, "A")+COUNTIF('Detailed Attendance'!BX33:BX33, "A")+COUNTIF('Detailed Attendance'!CQ33:CQ33, "A")+COUNTIF('Detailed Attendance'!CU33:CU33, "A")</f>
        <v/>
      </c>
      <c r="AG32" s="68">
        <f>IF((AE32+AF32)=0,"", AE32/(AE32+AF32))</f>
        <v/>
      </c>
      <c r="AH32" s="67">
        <f>COUNTIF('Detailed Attendance'!T33:T33, "P")+COUNTIF('Detailed Attendance'!AN33:AN33, "P")+COUNTIF('Detailed Attendance'!AR33:AR33, "P")+COUNTIF('Detailed Attendance'!BH33:BH33, "P")+COUNTIF('Detailed Attendance'!CB33:CB33, "P")+COUNTIF('Detailed Attendance'!CF33:CF33, "P")+COUNTIF('Detailed Attendance'!CY33:CY33, "P")</f>
        <v/>
      </c>
      <c r="AI32" s="67">
        <f>COUNTIF('Detailed Attendance'!T33:T33, "A")+COUNTIF('Detailed Attendance'!AN33:AN33, "A")+COUNTIF('Detailed Attendance'!AR33:AR33, "A")+COUNTIF('Detailed Attendance'!BH33:BH33, "A")+COUNTIF('Detailed Attendance'!CB33:CB33, "A")+COUNTIF('Detailed Attendance'!CF33:CF33, "A")+COUNTIF('Detailed Attendance'!CY33:CY33, "A")</f>
        <v/>
      </c>
      <c r="AJ32" s="68">
        <f>IF((AH32+AI32)=0,"", AH32/(AH32+AI32))</f>
        <v/>
      </c>
      <c r="AK32" s="67">
        <f>COUNTIF('Detailed Attendance'!M33:M33, "P")+COUNTIF('Detailed Attendance'!U33:U33, "P")+COUNTIF('Detailed Attendance'!AG33:AG33, "P")+COUNTIF('Detailed Attendance'!AO33:AO33, "P")+COUNTIF('Detailed Attendance'!BA33:BA33, "P")+COUNTIF('Detailed Attendance'!BI33:BI33, "P")+COUNTIF('Detailed Attendance'!BU33:BU33, "P")+COUNTIF('Detailed Attendance'!CC33:CC33, "P")+COUNTIF('Detailed Attendance'!CR33:CR33, "P")+COUNTIF('Detailed Attendance'!CZ33:CZ33, "P")</f>
        <v/>
      </c>
      <c r="AL32" s="67">
        <f>COUNTIF('Detailed Attendance'!M33:M33, "A")+COUNTIF('Detailed Attendance'!U33:U33, "A")+COUNTIF('Detailed Attendance'!AG33:AG33, "A")+COUNTIF('Detailed Attendance'!AO33:AO33, "A")+COUNTIF('Detailed Attendance'!BA33:BA33, "A")+COUNTIF('Detailed Attendance'!BI33:BI33, "A")+COUNTIF('Detailed Attendance'!BU33:BU33, "A")+COUNTIF('Detailed Attendance'!CC33:CC33, "A")+COUNTIF('Detailed Attendance'!CR33:CR33, "A")+COUNTIF('Detailed Attendance'!CZ33:CZ33, "A")</f>
        <v/>
      </c>
      <c r="AM32" s="68">
        <f>IF((AK32+AL32)=0,"", AK32/(AK32+AL32))</f>
        <v/>
      </c>
      <c r="AN32" s="67">
        <f>Y32+AB32+AE32+AH32+AK32</f>
        <v/>
      </c>
      <c r="AO32" s="67">
        <f>Z32+AC32+AF32+AI32+AL32</f>
        <v/>
      </c>
      <c r="AP32" s="68">
        <f>IF((AN32+AO32)=0,"", AN32/(AN32+AO32))</f>
        <v/>
      </c>
      <c r="AQ32" s="69">
        <f>COUNTIF('Detailed Attendance'!Y33:Y33, "P")+COUNTIF('Detailed Attendance'!AS33:AS33, "P")+COUNTIF('Detailed Attendance'!BM33:BM33, "P")+COUNTIF('Detailed Attendance'!CJ33:CJ33, "P")+COUNTIF('Detailed Attendance'!V33:V33, "P")+COUNTIF('Detailed Attendance'!AP33:AP33, "P")+COUNTIF('Detailed Attendance'!BJ33:BJ33, "P")+COUNTIF('Detailed Attendance'!CD33:CD33, "P")+COUNTIF('Detailed Attendance'!DA33:DA33, "P")+COUNTIF('Detailed Attendance'!CH33:CH33, "P")</f>
        <v/>
      </c>
      <c r="AR32" s="69">
        <f>COUNTIF('Detailed Attendance'!Y33:Y33, "A")+COUNTIF('Detailed Attendance'!AS33:AS33, "A")+COUNTIF('Detailed Attendance'!BM33:BM33, "A")+COUNTIF('Detailed Attendance'!CJ33:CJ33, "A")+COUNTIF('Detailed Attendance'!V33:V33, "A")+COUNTIF('Detailed Attendance'!AP33:AP33, "A")+COUNTIF('Detailed Attendance'!BJ33:BJ33, "A")+COUNTIF('Detailed Attendance'!CD33:CD33, "A")+COUNTIF('Detailed Attendance'!DA33:DA33, "A")+COUNTIF('Detailed Attendance'!CH33:CH33, "A")</f>
        <v/>
      </c>
      <c r="AS32" s="70">
        <f>IF((AQ32+AR32)=0,"", AQ32/(AQ32+AR32))</f>
        <v/>
      </c>
      <c r="AT32" s="67">
        <f>COUNTIF('Detailed Attendance'!DF33:DF33, "P")+COUNTIF('Detailed Attendance'!DT33:DT33, "P")+COUNTIF('Detailed Attendance'!EC33:EC33, "P")+COUNTIF('Detailed Attendance'!EQ33:EQ33, "P")+COUNTIF('Detailed Attendance'!EW33:EW33, "P")+COUNTIF('Detailed Attendance'!FK33:FK33, "P")+COUNTIF('Detailed Attendance'!FM33:FM33, "P")+COUNTIF('Detailed Attendance'!GA33:GA33, "P")</f>
        <v/>
      </c>
      <c r="AU32" s="67">
        <f>COUNTIF('Detailed Attendance'!DF33:DF33, "A")+COUNTIF('Detailed Attendance'!DT33:DT33, "A")+COUNTIF('Detailed Attendance'!EC33:EC33, "A")+COUNTIF('Detailed Attendance'!EQ33:EQ33, "A")+COUNTIF('Detailed Attendance'!EW33:EW33, "A")+COUNTIF('Detailed Attendance'!FK33:FK33, "A")+COUNTIF('Detailed Attendance'!FM33:FM33, "A")+COUNTIF('Detailed Attendance'!GA33:GA33, "A")</f>
        <v/>
      </c>
      <c r="AV32" s="68">
        <f>IF((AT32+AU32)=0,"", AT32/(AT32+AU32))</f>
        <v/>
      </c>
      <c r="AW32" s="67">
        <f>COUNTIF('Detailed Attendance'!DK33:DK33, "P")+COUNTIF('Detailed Attendance'!DS33:DS33, "P")+COUNTIF('Detailed Attendance'!EH33:EH33, "P")+COUNTIF('Detailed Attendance'!EP33:EP33, "P")+COUNTIF('Detailed Attendance'!FB33:FB33, "P")+COUNTIF('Detailed Attendance'!FJ33:FJ33, "P")+COUNTIF('Detailed Attendance'!FR33:FR33, "P")+COUNTIF('Detailed Attendance'!FZ33:FZ33, "P")</f>
        <v/>
      </c>
      <c r="AX32" s="67">
        <f>COUNTIF('Detailed Attendance'!DK33:DK33, "A")+COUNTIF('Detailed Attendance'!DS33:DS33, "A")+COUNTIF('Detailed Attendance'!EH33:EH33, "A")+COUNTIF('Detailed Attendance'!EP33:EP33, "A")+COUNTIF('Detailed Attendance'!FB33:FB33, "A")+COUNTIF('Detailed Attendance'!FJ33:FJ33, "A")+COUNTIF('Detailed Attendance'!FR33:FR33, "A")+COUNTIF('Detailed Attendance'!FZ33:FZ33, "A")</f>
        <v/>
      </c>
      <c r="AY32" s="68">
        <f>IF((AW32+AX32)=0,"", AW32/(AW32+AX32))</f>
        <v/>
      </c>
      <c r="AZ32" s="67">
        <f>COUNTIF('Detailed Attendance'!DN33:DN33, "P")+COUNTIF('Detailed Attendance'!DR33:DR33, "P")+COUNTIF('Detailed Attendance'!EK33:EK33, "P")+COUNTIF('Detailed Attendance'!EO33:EO33, "P")+COUNTIF('Detailed Attendance'!FE33:FE33, "P")+COUNTIF('Detailed Attendance'!FI33:FI33, "P")+COUNTIF('Detailed Attendance'!FU33:FU33, "P")+COUNTIF('Detailed Attendance'!FY33:FY33, "P")</f>
        <v/>
      </c>
      <c r="BA32" s="67">
        <f>COUNTIF('Detailed Attendance'!DN33:DN33, "A")+COUNTIF('Detailed Attendance'!DR33:DR33, "A")+COUNTIF('Detailed Attendance'!EK33:EK33, "A")+COUNTIF('Detailed Attendance'!EO33:EO33, "A")+COUNTIF('Detailed Attendance'!FE33:FE33, "A")+COUNTIF('Detailed Attendance'!FI33:FI33, "A")+COUNTIF('Detailed Attendance'!FU33:FU33, "A")+COUNTIF('Detailed Attendance'!FY33:FY33, "A")</f>
        <v/>
      </c>
      <c r="BB32" s="68">
        <f>IF((AZ32+BA32)=0,"", AZ32/(AZ32+BA32))</f>
        <v/>
      </c>
      <c r="BC32" s="67">
        <f>COUNTIF('Detailed Attendance'!DC33:DC33, "P")+COUNTIF('Detailed Attendance'!DV33:DV33, "P")+COUNTIF('Detailed Attendance'!DZ33:DZ33, "P")+COUNTIF('Detailed Attendance'!ES33:ES33, "P")+COUNTIF('Detailed Attendance'!GC33:GC33, "P")+COUNTIF('Detailed Attendance'!GG33:GG33, "P")</f>
        <v/>
      </c>
      <c r="BD32" s="67">
        <f>COUNTIF('Detailed Attendance'!DC33:DC33, "A")+COUNTIF('Detailed Attendance'!DV33:DV33, "A")+COUNTIF('Detailed Attendance'!DZ33:DZ33, "A")+COUNTIF('Detailed Attendance'!ES33:ES33, "A")+COUNTIF('Detailed Attendance'!GC33:GC33, "A")+COUNTIF('Detailed Attendance'!GG33:GG33, "A")</f>
        <v/>
      </c>
      <c r="BE32" s="68">
        <f>IF((BC32+BD32)=0,"", BC32/(BC32+BD32))</f>
        <v/>
      </c>
      <c r="BF32" s="67">
        <f>COUNTIF('Detailed Attendance'!DO33:DO33, "P")+COUNTIF('Detailed Attendance'!DW33:DW33, "P")+COUNTIF('Detailed Attendance'!EL33:EL33, "P")+COUNTIF('Detailed Attendance'!ET33:ET33, "P")+COUNTIF('Detailed Attendance'!FF33:FF33, "P")+COUNTIF('Detailed Attendance'!FV33:FV33, "P")+COUNTIF('Detailed Attendance'!GD33:GD33, "P")</f>
        <v/>
      </c>
      <c r="BG32" s="67">
        <f>COUNTIF('Detailed Attendance'!DO33:DO33, "A")+COUNTIF('Detailed Attendance'!DW33:DW33, "A")+COUNTIF('Detailed Attendance'!EL33:EL33, "A")+COUNTIF('Detailed Attendance'!ET33:ET33, "A")+COUNTIF('Detailed Attendance'!FF33:FF33, "A")+COUNTIF('Detailed Attendance'!FV33:FV33, "A")+COUNTIF('Detailed Attendance'!GD33:GD33, "A")</f>
        <v/>
      </c>
      <c r="BH32" s="68">
        <f>IF((BF32+BG32)=0,"", BF32/(BF32+BG32))</f>
        <v/>
      </c>
      <c r="BI32" s="67">
        <f>AT32+AW32+AZ32+BC32+BF32</f>
        <v/>
      </c>
      <c r="BJ32" s="67">
        <f>AU32+AX32+BA32+BD32+BG32</f>
        <v/>
      </c>
      <c r="BK32" s="68">
        <f>IF((BI32+BJ32)=0,"", BI32/(BI32+BJ32))</f>
        <v/>
      </c>
      <c r="BL32" s="69">
        <f>COUNTIF('Detailed Attendance'!DG33:DG33, "P")+COUNTIF('Detailed Attendance'!ED33:ED33, "P")+COUNTIF('Detailed Attendance'!EX33:EX33, "P")+COUNTIF('Detailed Attendance'!FN33:FN33, "P")+COUNTIF('Detailed Attendance'!DX33:DX33, "P")+COUNTIF('Detailed Attendance'!EU33:EU33, "P")+COUNTIF('Detailed Attendance'!GE33:GE33, "P")+COUNTIF('Detailed Attendance'!DE33:DE33, "P")+COUNTIF('Detailed Attendance'!EB33:EB33, "P")+COUNTIF('Detailed Attendance'!GI33:GI33, "P")</f>
        <v/>
      </c>
      <c r="BM32" s="69">
        <f>COUNTIF('Detailed Attendance'!DG33:DG33, "A")+COUNTIF('Detailed Attendance'!ED33:ED33, "A")+COUNTIF('Detailed Attendance'!EX33:EX33, "A")+COUNTIF('Detailed Attendance'!FN33:FN33, "A")+COUNTIF('Detailed Attendance'!DX33:DX33, "A")+COUNTIF('Detailed Attendance'!EU33:EU33, "A")+COUNTIF('Detailed Attendance'!GE33:GE33, "A")+COUNTIF('Detailed Attendance'!DE33:DE33, "A")+COUNTIF('Detailed Attendance'!EB33:EB33, "A")+COUNTIF('Detailed Attendance'!GI33:GI33, "A")</f>
        <v/>
      </c>
      <c r="BN32" s="70">
        <f>IF((BL32+BM32)=0,"", BL32/(BL32+BM32))</f>
        <v/>
      </c>
      <c r="BO32" s="67">
        <f>D32+Y32+AT32</f>
        <v/>
      </c>
      <c r="BP32" s="67">
        <f>E32+Z32+AU32</f>
        <v/>
      </c>
      <c r="BQ32" s="68">
        <f>IF((BO32+BP32)=0,"", BO32/(BO32+BP32))</f>
        <v/>
      </c>
      <c r="BR32" s="67">
        <f>G32+AB32+AW32</f>
        <v/>
      </c>
      <c r="BS32" s="67">
        <f>H32+AC32+AX32</f>
        <v/>
      </c>
      <c r="BT32" s="68">
        <f>IF((BR32+BS32)=0,"", BR32/(BR32+BS32))</f>
        <v/>
      </c>
      <c r="BU32" s="67">
        <f>J32+AE32+AZ32</f>
        <v/>
      </c>
      <c r="BV32" s="67">
        <f>K32+AF32+BA32</f>
        <v/>
      </c>
      <c r="BW32" s="68">
        <f>IF((BU32+BV32)=0,"", BU32/(BU32+BV32))</f>
        <v/>
      </c>
      <c r="BX32" s="67">
        <f>M32+AH32+BC32</f>
        <v/>
      </c>
      <c r="BY32" s="67">
        <f>N32+AI32+BD32</f>
        <v/>
      </c>
      <c r="BZ32" s="68">
        <f>IF((BX32+BY32)=0,"", BX32/(BX32+BY32))</f>
        <v/>
      </c>
      <c r="CA32" s="67">
        <f>P32+AK32+BF32</f>
        <v/>
      </c>
      <c r="CB32" s="67">
        <f>Q32+AL32+BG32</f>
        <v/>
      </c>
      <c r="CC32" s="68">
        <f>IF((CA32+CB32)=0,"", CA32/(CA32+CB32))</f>
        <v/>
      </c>
      <c r="CD32" s="67">
        <f>S32+AN32+BI32</f>
        <v/>
      </c>
      <c r="CE32" s="67">
        <f>T32+AO32+BJ32</f>
        <v/>
      </c>
      <c r="CF32" s="68">
        <f>IF((CD32+CE32)=0,"", CD32/(CD32+CE32))</f>
        <v/>
      </c>
      <c r="CG32" s="69">
        <f>V32+AQ32+BL32</f>
        <v/>
      </c>
      <c r="CH32" s="69">
        <f>W32+AR32+BM32</f>
        <v/>
      </c>
      <c r="CI32" s="70">
        <f>IF((CG32+CH32)=0,"", CG32/(CG32+CH32))</f>
        <v/>
      </c>
      <c r="CJ32" s="67">
        <f>CD32+(CG32*2)</f>
        <v/>
      </c>
      <c r="CK32" s="67">
        <f>CE32+(CH32*2)</f>
        <v/>
      </c>
      <c r="CL32" s="68">
        <f>IF((CJ32+CK32)=0,"", CJ32/(CJ32+CK32))</f>
        <v/>
      </c>
      <c r="CM32" s="67" t="inlineStr">
        <is>
          <t>Batch 1</t>
        </is>
      </c>
    </row>
    <row r="33" ht="14.25" customHeight="1" s="34">
      <c r="A33" s="46" t="n">
        <v>31</v>
      </c>
      <c r="B33" s="46" t="inlineStr">
        <is>
          <t>325106410031</t>
        </is>
      </c>
      <c r="C33" s="46" t="inlineStr">
        <is>
          <t>LAKSHMI PRATHYUSHA MUDIYAM</t>
        </is>
      </c>
      <c r="D33" s="63" t="n">
        <v>0</v>
      </c>
      <c r="E33" s="63" t="n">
        <v>0</v>
      </c>
      <c r="F33" s="64">
        <f>IF((D33+E33)=0,"", D33/(D33+E33))</f>
        <v/>
      </c>
      <c r="G33" s="63">
        <f>COUNTIF('Detailed Attendance'!I34:I34, "P")</f>
        <v/>
      </c>
      <c r="H33" s="63">
        <f>COUNTIF('Detailed Attendance'!I34:I34, "A")</f>
        <v/>
      </c>
      <c r="I33" s="64">
        <f>IF((G33+H33)=0,"", G33/(G33+H33))</f>
        <v/>
      </c>
      <c r="J33" s="63" t="n">
        <v>0</v>
      </c>
      <c r="K33" s="63" t="n">
        <v>0</v>
      </c>
      <c r="L33" s="64">
        <f>IF((J33+K33)=0,"", J33/(J33+K33))</f>
        <v/>
      </c>
      <c r="M33" s="63">
        <f>COUNTIF('Detailed Attendance'!D34:D34, "P")</f>
        <v/>
      </c>
      <c r="N33" s="63">
        <f>COUNTIF('Detailed Attendance'!D34:D34, "A")</f>
        <v/>
      </c>
      <c r="O33" s="64">
        <f>IF((M33+N33)=0,"", M33/(M33+N33))</f>
        <v/>
      </c>
      <c r="P33" s="63" t="n">
        <v>0</v>
      </c>
      <c r="Q33" s="63" t="n">
        <v>0</v>
      </c>
      <c r="R33" s="64">
        <f>IF((P33+Q33)=0,"", P33/(P33+Q33))</f>
        <v/>
      </c>
      <c r="S33" s="63">
        <f>D33+G33+J33+M33+P33</f>
        <v/>
      </c>
      <c r="T33" s="63">
        <f>E33+H33+K33+N33+Q33</f>
        <v/>
      </c>
      <c r="U33" s="64">
        <f>IF((S33+T33)=0,"", S33/(S33+T33))</f>
        <v/>
      </c>
      <c r="V33" s="65">
        <f>COUNTIF('Detailed Attendance'!E34:E34, "P")</f>
        <v/>
      </c>
      <c r="W33" s="65">
        <f>COUNTIF('Detailed Attendance'!E34:E34, "A")</f>
        <v/>
      </c>
      <c r="X33" s="66">
        <f>IF((V33+W33)=0,"", V33/(V33+W33))</f>
        <v/>
      </c>
      <c r="Y33" s="63">
        <f>COUNTIF('Detailed Attendance'!R34:R34, "P")+COUNTIF('Detailed Attendance'!X34:X34, "P")+COUNTIF('Detailed Attendance'!AL34:AL34, "P")+COUNTIF('Detailed Attendance'!BF34:BF34, "P")+COUNTIF('Detailed Attendance'!BL34:BL34, "P")+COUNTIF('Detailed Attendance'!BZ34:BZ34, "P")+COUNTIF('Detailed Attendance'!CI34:CI34, "P")+COUNTIF('Detailed Attendance'!CW34:CW34, "P")</f>
        <v/>
      </c>
      <c r="Z33" s="63">
        <f>COUNTIF('Detailed Attendance'!R34:R34, "A")+COUNTIF('Detailed Attendance'!X34:X34, "A")+COUNTIF('Detailed Attendance'!AL34:AL34, "A")+COUNTIF('Detailed Attendance'!BF34:BF34, "A")+COUNTIF('Detailed Attendance'!BL34:BL34, "A")+COUNTIF('Detailed Attendance'!BZ34:BZ34, "A")+COUNTIF('Detailed Attendance'!CI34:CI34, "A")+COUNTIF('Detailed Attendance'!CW34:CW34, "A")</f>
        <v/>
      </c>
      <c r="AA33" s="64">
        <f>IF((Y33+Z33)=0,"", Y33/(Y33+Z33))</f>
        <v/>
      </c>
      <c r="AB33" s="63">
        <f>COUNTIF('Detailed Attendance'!Q34:Q34, "P")+COUNTIF('Detailed Attendance'!AC34:AC34, "P")+COUNTIF('Detailed Attendance'!AK34:AK34, "P")+COUNTIF('Detailed Attendance'!AW34:AW34, "P")+COUNTIF('Detailed Attendance'!BE34:BE34, "P")+COUNTIF('Detailed Attendance'!BQ34:BQ34, "P")+COUNTIF('Detailed Attendance'!BY34:BY34, "P")+COUNTIF('Detailed Attendance'!CN34:CN34, "P")+COUNTIF('Detailed Attendance'!CV34:CV34, "P")</f>
        <v/>
      </c>
      <c r="AC33" s="63">
        <f>COUNTIF('Detailed Attendance'!Q34:Q34, "A")+COUNTIF('Detailed Attendance'!AC34:AC34, "A")+COUNTIF('Detailed Attendance'!AK34:AK34, "A")+COUNTIF('Detailed Attendance'!AW34:AW34, "A")+COUNTIF('Detailed Attendance'!BE34:BE34, "A")+COUNTIF('Detailed Attendance'!BQ34:BQ34, "A")+COUNTIF('Detailed Attendance'!BY34:BY34, "A")+COUNTIF('Detailed Attendance'!CN34:CN34, "A")+COUNTIF('Detailed Attendance'!CV34:CV34, "A")</f>
        <v/>
      </c>
      <c r="AD33" s="64">
        <f>IF((AB33+AC33)=0,"", AB33/(AB33+AC33))</f>
        <v/>
      </c>
      <c r="AE33" s="63">
        <f>COUNTIF('Detailed Attendance'!L34:L34, "P")+COUNTIF('Detailed Attendance'!P34:P34, "P")+COUNTIF('Detailed Attendance'!AF34:AF34, "P")+COUNTIF('Detailed Attendance'!AJ34:AJ34, "P")+COUNTIF('Detailed Attendance'!AZ34:AZ34, "P")+COUNTIF('Detailed Attendance'!BD34:BD34, "P")+COUNTIF('Detailed Attendance'!BT34:BT34, "P")+COUNTIF('Detailed Attendance'!BX34:BX34, "P")+COUNTIF('Detailed Attendance'!CQ34:CQ34, "P")+COUNTIF('Detailed Attendance'!CU34:CU34, "P")</f>
        <v/>
      </c>
      <c r="AF33" s="67">
        <f>COUNTIF('Detailed Attendance'!L34:L34, "A")+COUNTIF('Detailed Attendance'!P34:P34, "A")+COUNTIF('Detailed Attendance'!AF34:AF34, "A")+COUNTIF('Detailed Attendance'!AJ34:AJ34, "A")+COUNTIF('Detailed Attendance'!AZ34:AZ34, "A")+COUNTIF('Detailed Attendance'!BD34:BD34, "A")+COUNTIF('Detailed Attendance'!BT34:BT34, "A")+COUNTIF('Detailed Attendance'!BX34:BX34, "A")+COUNTIF('Detailed Attendance'!CQ34:CQ34, "A")+COUNTIF('Detailed Attendance'!CU34:CU34, "A")</f>
        <v/>
      </c>
      <c r="AG33" s="68">
        <f>IF((AE33+AF33)=0,"", AE33/(AE33+AF33))</f>
        <v/>
      </c>
      <c r="AH33" s="67">
        <f>COUNTIF('Detailed Attendance'!T34:T34, "P")+COUNTIF('Detailed Attendance'!AN34:AN34, "P")+COUNTIF('Detailed Attendance'!AR34:AR34, "P")+COUNTIF('Detailed Attendance'!BH34:BH34, "P")+COUNTIF('Detailed Attendance'!CB34:CB34, "P")+COUNTIF('Detailed Attendance'!CF34:CF34, "P")+COUNTIF('Detailed Attendance'!CY34:CY34, "P")</f>
        <v/>
      </c>
      <c r="AI33" s="67">
        <f>COUNTIF('Detailed Attendance'!T34:T34, "A")+COUNTIF('Detailed Attendance'!AN34:AN34, "A")+COUNTIF('Detailed Attendance'!AR34:AR34, "A")+COUNTIF('Detailed Attendance'!BH34:BH34, "A")+COUNTIF('Detailed Attendance'!CB34:CB34, "A")+COUNTIF('Detailed Attendance'!CF34:CF34, "A")+COUNTIF('Detailed Attendance'!CY34:CY34, "A")</f>
        <v/>
      </c>
      <c r="AJ33" s="68">
        <f>IF((AH33+AI33)=0,"", AH33/(AH33+AI33))</f>
        <v/>
      </c>
      <c r="AK33" s="67">
        <f>COUNTIF('Detailed Attendance'!M34:M34, "P")+COUNTIF('Detailed Attendance'!U34:U34, "P")+COUNTIF('Detailed Attendance'!AG34:AG34, "P")+COUNTIF('Detailed Attendance'!AO34:AO34, "P")+COUNTIF('Detailed Attendance'!BA34:BA34, "P")+COUNTIF('Detailed Attendance'!BI34:BI34, "P")+COUNTIF('Detailed Attendance'!BU34:BU34, "P")+COUNTIF('Detailed Attendance'!CC34:CC34, "P")+COUNTIF('Detailed Attendance'!CR34:CR34, "P")+COUNTIF('Detailed Attendance'!CZ34:CZ34, "P")</f>
        <v/>
      </c>
      <c r="AL33" s="67">
        <f>COUNTIF('Detailed Attendance'!M34:M34, "A")+COUNTIF('Detailed Attendance'!U34:U34, "A")+COUNTIF('Detailed Attendance'!AG34:AG34, "A")+COUNTIF('Detailed Attendance'!AO34:AO34, "A")+COUNTIF('Detailed Attendance'!BA34:BA34, "A")+COUNTIF('Detailed Attendance'!BI34:BI34, "A")+COUNTIF('Detailed Attendance'!BU34:BU34, "A")+COUNTIF('Detailed Attendance'!CC34:CC34, "A")+COUNTIF('Detailed Attendance'!CR34:CR34, "A")+COUNTIF('Detailed Attendance'!CZ34:CZ34, "A")</f>
        <v/>
      </c>
      <c r="AM33" s="68">
        <f>IF((AK33+AL33)=0,"", AK33/(AK33+AL33))</f>
        <v/>
      </c>
      <c r="AN33" s="67">
        <f>Y33+AB33+AE33+AH33+AK33</f>
        <v/>
      </c>
      <c r="AO33" s="67">
        <f>Z33+AC33+AF33+AI33+AL33</f>
        <v/>
      </c>
      <c r="AP33" s="68">
        <f>IF((AN33+AO33)=0,"", AN33/(AN33+AO33))</f>
        <v/>
      </c>
      <c r="AQ33" s="69">
        <f>COUNTIF('Detailed Attendance'!Y34:Y34, "P")+COUNTIF('Detailed Attendance'!AS34:AS34, "P")+COUNTIF('Detailed Attendance'!BM34:BM34, "P")+COUNTIF('Detailed Attendance'!CJ34:CJ34, "P")+COUNTIF('Detailed Attendance'!V34:V34, "P")+COUNTIF('Detailed Attendance'!AP34:AP34, "P")+COUNTIF('Detailed Attendance'!BJ34:BJ34, "P")+COUNTIF('Detailed Attendance'!CD34:CD34, "P")+COUNTIF('Detailed Attendance'!DA34:DA34, "P")+COUNTIF('Detailed Attendance'!CH34:CH34, "P")</f>
        <v/>
      </c>
      <c r="AR33" s="69">
        <f>COUNTIF('Detailed Attendance'!Y34:Y34, "A")+COUNTIF('Detailed Attendance'!AS34:AS34, "A")+COUNTIF('Detailed Attendance'!BM34:BM34, "A")+COUNTIF('Detailed Attendance'!CJ34:CJ34, "A")+COUNTIF('Detailed Attendance'!V34:V34, "A")+COUNTIF('Detailed Attendance'!AP34:AP34, "A")+COUNTIF('Detailed Attendance'!BJ34:BJ34, "A")+COUNTIF('Detailed Attendance'!CD34:CD34, "A")+COUNTIF('Detailed Attendance'!DA34:DA34, "A")+COUNTIF('Detailed Attendance'!CH34:CH34, "A")</f>
        <v/>
      </c>
      <c r="AS33" s="70">
        <f>IF((AQ33+AR33)=0,"", AQ33/(AQ33+AR33))</f>
        <v/>
      </c>
      <c r="AT33" s="67">
        <f>COUNTIF('Detailed Attendance'!DF34:DF34, "P")+COUNTIF('Detailed Attendance'!DT34:DT34, "P")+COUNTIF('Detailed Attendance'!EC34:EC34, "P")+COUNTIF('Detailed Attendance'!EQ34:EQ34, "P")+COUNTIF('Detailed Attendance'!EW34:EW34, "P")+COUNTIF('Detailed Attendance'!FK34:FK34, "P")+COUNTIF('Detailed Attendance'!FM34:FM34, "P")+COUNTIF('Detailed Attendance'!GA34:GA34, "P")</f>
        <v/>
      </c>
      <c r="AU33" s="67">
        <f>COUNTIF('Detailed Attendance'!DF34:DF34, "A")+COUNTIF('Detailed Attendance'!DT34:DT34, "A")+COUNTIF('Detailed Attendance'!EC34:EC34, "A")+COUNTIF('Detailed Attendance'!EQ34:EQ34, "A")+COUNTIF('Detailed Attendance'!EW34:EW34, "A")+COUNTIF('Detailed Attendance'!FK34:FK34, "A")+COUNTIF('Detailed Attendance'!FM34:FM34, "A")+COUNTIF('Detailed Attendance'!GA34:GA34, "A")</f>
        <v/>
      </c>
      <c r="AV33" s="68">
        <f>IF((AT33+AU33)=0,"", AT33/(AT33+AU33))</f>
        <v/>
      </c>
      <c r="AW33" s="67">
        <f>COUNTIF('Detailed Attendance'!DK34:DK34, "P")+COUNTIF('Detailed Attendance'!DS34:DS34, "P")+COUNTIF('Detailed Attendance'!EH34:EH34, "P")+COUNTIF('Detailed Attendance'!EP34:EP34, "P")+COUNTIF('Detailed Attendance'!FB34:FB34, "P")+COUNTIF('Detailed Attendance'!FJ34:FJ34, "P")+COUNTIF('Detailed Attendance'!FR34:FR34, "P")+COUNTIF('Detailed Attendance'!FZ34:FZ34, "P")</f>
        <v/>
      </c>
      <c r="AX33" s="67">
        <f>COUNTIF('Detailed Attendance'!DK34:DK34, "A")+COUNTIF('Detailed Attendance'!DS34:DS34, "A")+COUNTIF('Detailed Attendance'!EH34:EH34, "A")+COUNTIF('Detailed Attendance'!EP34:EP34, "A")+COUNTIF('Detailed Attendance'!FB34:FB34, "A")+COUNTIF('Detailed Attendance'!FJ34:FJ34, "A")+COUNTIF('Detailed Attendance'!FR34:FR34, "A")+COUNTIF('Detailed Attendance'!FZ34:FZ34, "A")</f>
        <v/>
      </c>
      <c r="AY33" s="68">
        <f>IF((AW33+AX33)=0,"", AW33/(AW33+AX33))</f>
        <v/>
      </c>
      <c r="AZ33" s="67">
        <f>COUNTIF('Detailed Attendance'!DN34:DN34, "P")+COUNTIF('Detailed Attendance'!DR34:DR34, "P")+COUNTIF('Detailed Attendance'!EK34:EK34, "P")+COUNTIF('Detailed Attendance'!EO34:EO34, "P")+COUNTIF('Detailed Attendance'!FE34:FE34, "P")+COUNTIF('Detailed Attendance'!FI34:FI34, "P")+COUNTIF('Detailed Attendance'!FU34:FU34, "P")+COUNTIF('Detailed Attendance'!FY34:FY34, "P")</f>
        <v/>
      </c>
      <c r="BA33" s="67">
        <f>COUNTIF('Detailed Attendance'!DN34:DN34, "A")+COUNTIF('Detailed Attendance'!DR34:DR34, "A")+COUNTIF('Detailed Attendance'!EK34:EK34, "A")+COUNTIF('Detailed Attendance'!EO34:EO34, "A")+COUNTIF('Detailed Attendance'!FE34:FE34, "A")+COUNTIF('Detailed Attendance'!FI34:FI34, "A")+COUNTIF('Detailed Attendance'!FU34:FU34, "A")+COUNTIF('Detailed Attendance'!FY34:FY34, "A")</f>
        <v/>
      </c>
      <c r="BB33" s="68">
        <f>IF((AZ33+BA33)=0,"", AZ33/(AZ33+BA33))</f>
        <v/>
      </c>
      <c r="BC33" s="67">
        <f>COUNTIF('Detailed Attendance'!DC34:DC34, "P")+COUNTIF('Detailed Attendance'!DV34:DV34, "P")+COUNTIF('Detailed Attendance'!DZ34:DZ34, "P")+COUNTIF('Detailed Attendance'!ES34:ES34, "P")+COUNTIF('Detailed Attendance'!GC34:GC34, "P")+COUNTIF('Detailed Attendance'!GG34:GG34, "P")</f>
        <v/>
      </c>
      <c r="BD33" s="67">
        <f>COUNTIF('Detailed Attendance'!DC34:DC34, "A")+COUNTIF('Detailed Attendance'!DV34:DV34, "A")+COUNTIF('Detailed Attendance'!DZ34:DZ34, "A")+COUNTIF('Detailed Attendance'!ES34:ES34, "A")+COUNTIF('Detailed Attendance'!GC34:GC34, "A")+COUNTIF('Detailed Attendance'!GG34:GG34, "A")</f>
        <v/>
      </c>
      <c r="BE33" s="68">
        <f>IF((BC33+BD33)=0,"", BC33/(BC33+BD33))</f>
        <v/>
      </c>
      <c r="BF33" s="67">
        <f>COUNTIF('Detailed Attendance'!DO34:DO34, "P")+COUNTIF('Detailed Attendance'!DW34:DW34, "P")+COUNTIF('Detailed Attendance'!EL34:EL34, "P")+COUNTIF('Detailed Attendance'!ET34:ET34, "P")+COUNTIF('Detailed Attendance'!FF34:FF34, "P")+COUNTIF('Detailed Attendance'!FV34:FV34, "P")+COUNTIF('Detailed Attendance'!GD34:GD34, "P")</f>
        <v/>
      </c>
      <c r="BG33" s="67">
        <f>COUNTIF('Detailed Attendance'!DO34:DO34, "A")+COUNTIF('Detailed Attendance'!DW34:DW34, "A")+COUNTIF('Detailed Attendance'!EL34:EL34, "A")+COUNTIF('Detailed Attendance'!ET34:ET34, "A")+COUNTIF('Detailed Attendance'!FF34:FF34, "A")+COUNTIF('Detailed Attendance'!FV34:FV34, "A")+COUNTIF('Detailed Attendance'!GD34:GD34, "A")</f>
        <v/>
      </c>
      <c r="BH33" s="68">
        <f>IF((BF33+BG33)=0,"", BF33/(BF33+BG33))</f>
        <v/>
      </c>
      <c r="BI33" s="67">
        <f>AT33+AW33+AZ33+BC33+BF33</f>
        <v/>
      </c>
      <c r="BJ33" s="67">
        <f>AU33+AX33+BA33+BD33+BG33</f>
        <v/>
      </c>
      <c r="BK33" s="68">
        <f>IF((BI33+BJ33)=0,"", BI33/(BI33+BJ33))</f>
        <v/>
      </c>
      <c r="BL33" s="69">
        <f>COUNTIF('Detailed Attendance'!DG34:DG34, "P")+COUNTIF('Detailed Attendance'!ED34:ED34, "P")+COUNTIF('Detailed Attendance'!EX34:EX34, "P")+COUNTIF('Detailed Attendance'!FN34:FN34, "P")+COUNTIF('Detailed Attendance'!DX34:DX34, "P")+COUNTIF('Detailed Attendance'!EU34:EU34, "P")+COUNTIF('Detailed Attendance'!GE34:GE34, "P")+COUNTIF('Detailed Attendance'!DE34:DE34, "P")+COUNTIF('Detailed Attendance'!EB34:EB34, "P")+COUNTIF('Detailed Attendance'!GI34:GI34, "P")</f>
        <v/>
      </c>
      <c r="BM33" s="69">
        <f>COUNTIF('Detailed Attendance'!DG34:DG34, "A")+COUNTIF('Detailed Attendance'!ED34:ED34, "A")+COUNTIF('Detailed Attendance'!EX34:EX34, "A")+COUNTIF('Detailed Attendance'!FN34:FN34, "A")+COUNTIF('Detailed Attendance'!DX34:DX34, "A")+COUNTIF('Detailed Attendance'!EU34:EU34, "A")+COUNTIF('Detailed Attendance'!GE34:GE34, "A")+COUNTIF('Detailed Attendance'!DE34:DE34, "A")+COUNTIF('Detailed Attendance'!EB34:EB34, "A")+COUNTIF('Detailed Attendance'!GI34:GI34, "A")</f>
        <v/>
      </c>
      <c r="BN33" s="70">
        <f>IF((BL33+BM33)=0,"", BL33/(BL33+BM33))</f>
        <v/>
      </c>
      <c r="BO33" s="67">
        <f>D33+Y33+AT33</f>
        <v/>
      </c>
      <c r="BP33" s="67">
        <f>E33+Z33+AU33</f>
        <v/>
      </c>
      <c r="BQ33" s="68">
        <f>IF((BO33+BP33)=0,"", BO33/(BO33+BP33))</f>
        <v/>
      </c>
      <c r="BR33" s="67">
        <f>G33+AB33+AW33</f>
        <v/>
      </c>
      <c r="BS33" s="67">
        <f>H33+AC33+AX33</f>
        <v/>
      </c>
      <c r="BT33" s="68">
        <f>IF((BR33+BS33)=0,"", BR33/(BR33+BS33))</f>
        <v/>
      </c>
      <c r="BU33" s="67">
        <f>J33+AE33+AZ33</f>
        <v/>
      </c>
      <c r="BV33" s="67">
        <f>K33+AF33+BA33</f>
        <v/>
      </c>
      <c r="BW33" s="68">
        <f>IF((BU33+BV33)=0,"", BU33/(BU33+BV33))</f>
        <v/>
      </c>
      <c r="BX33" s="67">
        <f>M33+AH33+BC33</f>
        <v/>
      </c>
      <c r="BY33" s="67">
        <f>N33+AI33+BD33</f>
        <v/>
      </c>
      <c r="BZ33" s="68">
        <f>IF((BX33+BY33)=0,"", BX33/(BX33+BY33))</f>
        <v/>
      </c>
      <c r="CA33" s="67">
        <f>P33+AK33+BF33</f>
        <v/>
      </c>
      <c r="CB33" s="67">
        <f>Q33+AL33+BG33</f>
        <v/>
      </c>
      <c r="CC33" s="68">
        <f>IF((CA33+CB33)=0,"", CA33/(CA33+CB33))</f>
        <v/>
      </c>
      <c r="CD33" s="67">
        <f>S33+AN33+BI33</f>
        <v/>
      </c>
      <c r="CE33" s="67">
        <f>T33+AO33+BJ33</f>
        <v/>
      </c>
      <c r="CF33" s="68">
        <f>IF((CD33+CE33)=0,"", CD33/(CD33+CE33))</f>
        <v/>
      </c>
      <c r="CG33" s="69">
        <f>V33+AQ33+BL33</f>
        <v/>
      </c>
      <c r="CH33" s="69">
        <f>W33+AR33+BM33</f>
        <v/>
      </c>
      <c r="CI33" s="70">
        <f>IF((CG33+CH33)=0,"", CG33/(CG33+CH33))</f>
        <v/>
      </c>
      <c r="CJ33" s="67">
        <f>CD33+(CG33*2)</f>
        <v/>
      </c>
      <c r="CK33" s="67">
        <f>CE33+(CH33*2)</f>
        <v/>
      </c>
      <c r="CL33" s="68">
        <f>IF((CJ33+CK33)=0,"", CJ33/(CJ33+CK33))</f>
        <v/>
      </c>
      <c r="CM33" s="67" t="inlineStr">
        <is>
          <t>Batch 1</t>
        </is>
      </c>
    </row>
    <row r="34" ht="14.25" customHeight="1" s="34">
      <c r="A34" s="46" t="n">
        <v>32</v>
      </c>
      <c r="B34" s="46" t="inlineStr">
        <is>
          <t>325106410032</t>
        </is>
      </c>
      <c r="C34" s="46" t="inlineStr">
        <is>
          <t>LAKSHMI NARASIMHA SATHWIK MUDUNURU</t>
        </is>
      </c>
      <c r="D34" s="63" t="n">
        <v>0</v>
      </c>
      <c r="E34" s="63" t="n">
        <v>0</v>
      </c>
      <c r="F34" s="64">
        <f>IF((D34+E34)=0,"", D34/(D34+E34))</f>
        <v/>
      </c>
      <c r="G34" s="63">
        <f>COUNTIF('Detailed Attendance'!I35:I35, "P")</f>
        <v/>
      </c>
      <c r="H34" s="63">
        <f>COUNTIF('Detailed Attendance'!I35:I35, "A")</f>
        <v/>
      </c>
      <c r="I34" s="64">
        <f>IF((G34+H34)=0,"", G34/(G34+H34))</f>
        <v/>
      </c>
      <c r="J34" s="63" t="n">
        <v>0</v>
      </c>
      <c r="K34" s="63" t="n">
        <v>0</v>
      </c>
      <c r="L34" s="64">
        <f>IF((J34+K34)=0,"", J34/(J34+K34))</f>
        <v/>
      </c>
      <c r="M34" s="63">
        <f>COUNTIF('Detailed Attendance'!D35:D35, "P")</f>
        <v/>
      </c>
      <c r="N34" s="63">
        <f>COUNTIF('Detailed Attendance'!D35:D35, "A")</f>
        <v/>
      </c>
      <c r="O34" s="64">
        <f>IF((M34+N34)=0,"", M34/(M34+N34))</f>
        <v/>
      </c>
      <c r="P34" s="63" t="n">
        <v>0</v>
      </c>
      <c r="Q34" s="63" t="n">
        <v>0</v>
      </c>
      <c r="R34" s="64">
        <f>IF((P34+Q34)=0,"", P34/(P34+Q34))</f>
        <v/>
      </c>
      <c r="S34" s="63">
        <f>D34+G34+J34+M34+P34</f>
        <v/>
      </c>
      <c r="T34" s="63">
        <f>E34+H34+K34+N34+Q34</f>
        <v/>
      </c>
      <c r="U34" s="64">
        <f>IF((S34+T34)=0,"", S34/(S34+T34))</f>
        <v/>
      </c>
      <c r="V34" s="65">
        <f>COUNTIF('Detailed Attendance'!E35:E35, "P")</f>
        <v/>
      </c>
      <c r="W34" s="65">
        <f>COUNTIF('Detailed Attendance'!E35:E35, "A")</f>
        <v/>
      </c>
      <c r="X34" s="66">
        <f>IF((V34+W34)=0,"", V34/(V34+W34))</f>
        <v/>
      </c>
      <c r="Y34" s="63">
        <f>COUNTIF('Detailed Attendance'!R35:R35, "P")+COUNTIF('Detailed Attendance'!X35:X35, "P")+COUNTIF('Detailed Attendance'!AL35:AL35, "P")+COUNTIF('Detailed Attendance'!BF35:BF35, "P")+COUNTIF('Detailed Attendance'!BL35:BL35, "P")+COUNTIF('Detailed Attendance'!BZ35:BZ35, "P")+COUNTIF('Detailed Attendance'!CI35:CI35, "P")+COUNTIF('Detailed Attendance'!CW35:CW35, "P")</f>
        <v/>
      </c>
      <c r="Z34" s="63">
        <f>COUNTIF('Detailed Attendance'!R35:R35, "A")+COUNTIF('Detailed Attendance'!X35:X35, "A")+COUNTIF('Detailed Attendance'!AL35:AL35, "A")+COUNTIF('Detailed Attendance'!BF35:BF35, "A")+COUNTIF('Detailed Attendance'!BL35:BL35, "A")+COUNTIF('Detailed Attendance'!BZ35:BZ35, "A")+COUNTIF('Detailed Attendance'!CI35:CI35, "A")+COUNTIF('Detailed Attendance'!CW35:CW35, "A")</f>
        <v/>
      </c>
      <c r="AA34" s="64">
        <f>IF((Y34+Z34)=0,"", Y34/(Y34+Z34))</f>
        <v/>
      </c>
      <c r="AB34" s="63">
        <f>COUNTIF('Detailed Attendance'!Q35:Q35, "P")+COUNTIF('Detailed Attendance'!AC35:AC35, "P")+COUNTIF('Detailed Attendance'!AK35:AK35, "P")+COUNTIF('Detailed Attendance'!AW35:AW35, "P")+COUNTIF('Detailed Attendance'!BE35:BE35, "P")+COUNTIF('Detailed Attendance'!BQ35:BQ35, "P")+COUNTIF('Detailed Attendance'!BY35:BY35, "P")+COUNTIF('Detailed Attendance'!CN35:CN35, "P")+COUNTIF('Detailed Attendance'!CV35:CV35, "P")</f>
        <v/>
      </c>
      <c r="AC34" s="63">
        <f>COUNTIF('Detailed Attendance'!Q35:Q35, "A")+COUNTIF('Detailed Attendance'!AC35:AC35, "A")+COUNTIF('Detailed Attendance'!AK35:AK35, "A")+COUNTIF('Detailed Attendance'!AW35:AW35, "A")+COUNTIF('Detailed Attendance'!BE35:BE35, "A")+COUNTIF('Detailed Attendance'!BQ35:BQ35, "A")+COUNTIF('Detailed Attendance'!BY35:BY35, "A")+COUNTIF('Detailed Attendance'!CN35:CN35, "A")+COUNTIF('Detailed Attendance'!CV35:CV35, "A")</f>
        <v/>
      </c>
      <c r="AD34" s="64">
        <f>IF((AB34+AC34)=0,"", AB34/(AB34+AC34))</f>
        <v/>
      </c>
      <c r="AE34" s="63">
        <f>COUNTIF('Detailed Attendance'!L35:L35, "P")+COUNTIF('Detailed Attendance'!P35:P35, "P")+COUNTIF('Detailed Attendance'!AF35:AF35, "P")+COUNTIF('Detailed Attendance'!AJ35:AJ35, "P")+COUNTIF('Detailed Attendance'!AZ35:AZ35, "P")+COUNTIF('Detailed Attendance'!BD35:BD35, "P")+COUNTIF('Detailed Attendance'!BT35:BT35, "P")+COUNTIF('Detailed Attendance'!BX35:BX35, "P")+COUNTIF('Detailed Attendance'!CQ35:CQ35, "P")+COUNTIF('Detailed Attendance'!CU35:CU35, "P")</f>
        <v/>
      </c>
      <c r="AF34" s="67">
        <f>COUNTIF('Detailed Attendance'!L35:L35, "A")+COUNTIF('Detailed Attendance'!P35:P35, "A")+COUNTIF('Detailed Attendance'!AF35:AF35, "A")+COUNTIF('Detailed Attendance'!AJ35:AJ35, "A")+COUNTIF('Detailed Attendance'!AZ35:AZ35, "A")+COUNTIF('Detailed Attendance'!BD35:BD35, "A")+COUNTIF('Detailed Attendance'!BT35:BT35, "A")+COUNTIF('Detailed Attendance'!BX35:BX35, "A")+COUNTIF('Detailed Attendance'!CQ35:CQ35, "A")+COUNTIF('Detailed Attendance'!CU35:CU35, "A")</f>
        <v/>
      </c>
      <c r="AG34" s="68">
        <f>IF((AE34+AF34)=0,"", AE34/(AE34+AF34))</f>
        <v/>
      </c>
      <c r="AH34" s="67">
        <f>COUNTIF('Detailed Attendance'!T35:T35, "P")+COUNTIF('Detailed Attendance'!AN35:AN35, "P")+COUNTIF('Detailed Attendance'!AR35:AR35, "P")+COUNTIF('Detailed Attendance'!BH35:BH35, "P")+COUNTIF('Detailed Attendance'!CB35:CB35, "P")+COUNTIF('Detailed Attendance'!CF35:CF35, "P")+COUNTIF('Detailed Attendance'!CY35:CY35, "P")</f>
        <v/>
      </c>
      <c r="AI34" s="67">
        <f>COUNTIF('Detailed Attendance'!T35:T35, "A")+COUNTIF('Detailed Attendance'!AN35:AN35, "A")+COUNTIF('Detailed Attendance'!AR35:AR35, "A")+COUNTIF('Detailed Attendance'!BH35:BH35, "A")+COUNTIF('Detailed Attendance'!CB35:CB35, "A")+COUNTIF('Detailed Attendance'!CF35:CF35, "A")+COUNTIF('Detailed Attendance'!CY35:CY35, "A")</f>
        <v/>
      </c>
      <c r="AJ34" s="68">
        <f>IF((AH34+AI34)=0,"", AH34/(AH34+AI34))</f>
        <v/>
      </c>
      <c r="AK34" s="67">
        <f>COUNTIF('Detailed Attendance'!M35:M35, "P")+COUNTIF('Detailed Attendance'!U35:U35, "P")+COUNTIF('Detailed Attendance'!AG35:AG35, "P")+COUNTIF('Detailed Attendance'!AO35:AO35, "P")+COUNTIF('Detailed Attendance'!BA35:BA35, "P")+COUNTIF('Detailed Attendance'!BI35:BI35, "P")+COUNTIF('Detailed Attendance'!BU35:BU35, "P")+COUNTIF('Detailed Attendance'!CC35:CC35, "P")+COUNTIF('Detailed Attendance'!CR35:CR35, "P")+COUNTIF('Detailed Attendance'!CZ35:CZ35, "P")</f>
        <v/>
      </c>
      <c r="AL34" s="67">
        <f>COUNTIF('Detailed Attendance'!M35:M35, "A")+COUNTIF('Detailed Attendance'!U35:U35, "A")+COUNTIF('Detailed Attendance'!AG35:AG35, "A")+COUNTIF('Detailed Attendance'!AO35:AO35, "A")+COUNTIF('Detailed Attendance'!BA35:BA35, "A")+COUNTIF('Detailed Attendance'!BI35:BI35, "A")+COUNTIF('Detailed Attendance'!BU35:BU35, "A")+COUNTIF('Detailed Attendance'!CC35:CC35, "A")+COUNTIF('Detailed Attendance'!CR35:CR35, "A")+COUNTIF('Detailed Attendance'!CZ35:CZ35, "A")</f>
        <v/>
      </c>
      <c r="AM34" s="68">
        <f>IF((AK34+AL34)=0,"", AK34/(AK34+AL34))</f>
        <v/>
      </c>
      <c r="AN34" s="67">
        <f>Y34+AB34+AE34+AH34+AK34</f>
        <v/>
      </c>
      <c r="AO34" s="67">
        <f>Z34+AC34+AF34+AI34+AL34</f>
        <v/>
      </c>
      <c r="AP34" s="68">
        <f>IF((AN34+AO34)=0,"", AN34/(AN34+AO34))</f>
        <v/>
      </c>
      <c r="AQ34" s="69">
        <f>COUNTIF('Detailed Attendance'!Y35:Y35, "P")+COUNTIF('Detailed Attendance'!AS35:AS35, "P")+COUNTIF('Detailed Attendance'!BM35:BM35, "P")+COUNTIF('Detailed Attendance'!CJ35:CJ35, "P")+COUNTIF('Detailed Attendance'!V35:V35, "P")+COUNTIF('Detailed Attendance'!AP35:AP35, "P")+COUNTIF('Detailed Attendance'!BJ35:BJ35, "P")+COUNTIF('Detailed Attendance'!CD35:CD35, "P")+COUNTIF('Detailed Attendance'!DA35:DA35, "P")+COUNTIF('Detailed Attendance'!CH35:CH35, "P")</f>
        <v/>
      </c>
      <c r="AR34" s="69">
        <f>COUNTIF('Detailed Attendance'!Y35:Y35, "A")+COUNTIF('Detailed Attendance'!AS35:AS35, "A")+COUNTIF('Detailed Attendance'!BM35:BM35, "A")+COUNTIF('Detailed Attendance'!CJ35:CJ35, "A")+COUNTIF('Detailed Attendance'!V35:V35, "A")+COUNTIF('Detailed Attendance'!AP35:AP35, "A")+COUNTIF('Detailed Attendance'!BJ35:BJ35, "A")+COUNTIF('Detailed Attendance'!CD35:CD35, "A")+COUNTIF('Detailed Attendance'!DA35:DA35, "A")+COUNTIF('Detailed Attendance'!CH35:CH35, "A")</f>
        <v/>
      </c>
      <c r="AS34" s="70">
        <f>IF((AQ34+AR34)=0,"", AQ34/(AQ34+AR34))</f>
        <v/>
      </c>
      <c r="AT34" s="67">
        <f>COUNTIF('Detailed Attendance'!DF35:DF35, "P")+COUNTIF('Detailed Attendance'!DT35:DT35, "P")+COUNTIF('Detailed Attendance'!EC35:EC35, "P")+COUNTIF('Detailed Attendance'!EQ35:EQ35, "P")+COUNTIF('Detailed Attendance'!EW35:EW35, "P")+COUNTIF('Detailed Attendance'!FK35:FK35, "P")+COUNTIF('Detailed Attendance'!FM35:FM35, "P")+COUNTIF('Detailed Attendance'!GA35:GA35, "P")</f>
        <v/>
      </c>
      <c r="AU34" s="67">
        <f>COUNTIF('Detailed Attendance'!DF35:DF35, "A")+COUNTIF('Detailed Attendance'!DT35:DT35, "A")+COUNTIF('Detailed Attendance'!EC35:EC35, "A")+COUNTIF('Detailed Attendance'!EQ35:EQ35, "A")+COUNTIF('Detailed Attendance'!EW35:EW35, "A")+COUNTIF('Detailed Attendance'!FK35:FK35, "A")+COUNTIF('Detailed Attendance'!FM35:FM35, "A")+COUNTIF('Detailed Attendance'!GA35:GA35, "A")</f>
        <v/>
      </c>
      <c r="AV34" s="68">
        <f>IF((AT34+AU34)=0,"", AT34/(AT34+AU34))</f>
        <v/>
      </c>
      <c r="AW34" s="67">
        <f>COUNTIF('Detailed Attendance'!DK35:DK35, "P")+COUNTIF('Detailed Attendance'!DS35:DS35, "P")+COUNTIF('Detailed Attendance'!EH35:EH35, "P")+COUNTIF('Detailed Attendance'!EP35:EP35, "P")+COUNTIF('Detailed Attendance'!FB35:FB35, "P")+COUNTIF('Detailed Attendance'!FJ35:FJ35, "P")+COUNTIF('Detailed Attendance'!FR35:FR35, "P")+COUNTIF('Detailed Attendance'!FZ35:FZ35, "P")</f>
        <v/>
      </c>
      <c r="AX34" s="67">
        <f>COUNTIF('Detailed Attendance'!DK35:DK35, "A")+COUNTIF('Detailed Attendance'!DS35:DS35, "A")+COUNTIF('Detailed Attendance'!EH35:EH35, "A")+COUNTIF('Detailed Attendance'!EP35:EP35, "A")+COUNTIF('Detailed Attendance'!FB35:FB35, "A")+COUNTIF('Detailed Attendance'!FJ35:FJ35, "A")+COUNTIF('Detailed Attendance'!FR35:FR35, "A")+COUNTIF('Detailed Attendance'!FZ35:FZ35, "A")</f>
        <v/>
      </c>
      <c r="AY34" s="68">
        <f>IF((AW34+AX34)=0,"", AW34/(AW34+AX34))</f>
        <v/>
      </c>
      <c r="AZ34" s="67">
        <f>COUNTIF('Detailed Attendance'!DN35:DN35, "P")+COUNTIF('Detailed Attendance'!DR35:DR35, "P")+COUNTIF('Detailed Attendance'!EK35:EK35, "P")+COUNTIF('Detailed Attendance'!EO35:EO35, "P")+COUNTIF('Detailed Attendance'!FE35:FE35, "P")+COUNTIF('Detailed Attendance'!FI35:FI35, "P")+COUNTIF('Detailed Attendance'!FU35:FU35, "P")+COUNTIF('Detailed Attendance'!FY35:FY35, "P")</f>
        <v/>
      </c>
      <c r="BA34" s="67">
        <f>COUNTIF('Detailed Attendance'!DN35:DN35, "A")+COUNTIF('Detailed Attendance'!DR35:DR35, "A")+COUNTIF('Detailed Attendance'!EK35:EK35, "A")+COUNTIF('Detailed Attendance'!EO35:EO35, "A")+COUNTIF('Detailed Attendance'!FE35:FE35, "A")+COUNTIF('Detailed Attendance'!FI35:FI35, "A")+COUNTIF('Detailed Attendance'!FU35:FU35, "A")+COUNTIF('Detailed Attendance'!FY35:FY35, "A")</f>
        <v/>
      </c>
      <c r="BB34" s="68">
        <f>IF((AZ34+BA34)=0,"", AZ34/(AZ34+BA34))</f>
        <v/>
      </c>
      <c r="BC34" s="67">
        <f>COUNTIF('Detailed Attendance'!DC35:DC35, "P")+COUNTIF('Detailed Attendance'!DV35:DV35, "P")+COUNTIF('Detailed Attendance'!DZ35:DZ35, "P")+COUNTIF('Detailed Attendance'!ES35:ES35, "P")+COUNTIF('Detailed Attendance'!GC35:GC35, "P")+COUNTIF('Detailed Attendance'!GG35:GG35, "P")</f>
        <v/>
      </c>
      <c r="BD34" s="67">
        <f>COUNTIF('Detailed Attendance'!DC35:DC35, "A")+COUNTIF('Detailed Attendance'!DV35:DV35, "A")+COUNTIF('Detailed Attendance'!DZ35:DZ35, "A")+COUNTIF('Detailed Attendance'!ES35:ES35, "A")+COUNTIF('Detailed Attendance'!GC35:GC35, "A")+COUNTIF('Detailed Attendance'!GG35:GG35, "A")</f>
        <v/>
      </c>
      <c r="BE34" s="68">
        <f>IF((BC34+BD34)=0,"", BC34/(BC34+BD34))</f>
        <v/>
      </c>
      <c r="BF34" s="67">
        <f>COUNTIF('Detailed Attendance'!DO35:DO35, "P")+COUNTIF('Detailed Attendance'!DW35:DW35, "P")+COUNTIF('Detailed Attendance'!EL35:EL35, "P")+COUNTIF('Detailed Attendance'!ET35:ET35, "P")+COUNTIF('Detailed Attendance'!FF35:FF35, "P")+COUNTIF('Detailed Attendance'!FV35:FV35, "P")+COUNTIF('Detailed Attendance'!GD35:GD35, "P")</f>
        <v/>
      </c>
      <c r="BG34" s="67">
        <f>COUNTIF('Detailed Attendance'!DO35:DO35, "A")+COUNTIF('Detailed Attendance'!DW35:DW35, "A")+COUNTIF('Detailed Attendance'!EL35:EL35, "A")+COUNTIF('Detailed Attendance'!ET35:ET35, "A")+COUNTIF('Detailed Attendance'!FF35:FF35, "A")+COUNTIF('Detailed Attendance'!FV35:FV35, "A")+COUNTIF('Detailed Attendance'!GD35:GD35, "A")</f>
        <v/>
      </c>
      <c r="BH34" s="68">
        <f>IF((BF34+BG34)=0,"", BF34/(BF34+BG34))</f>
        <v/>
      </c>
      <c r="BI34" s="67">
        <f>AT34+AW34+AZ34+BC34+BF34</f>
        <v/>
      </c>
      <c r="BJ34" s="67">
        <f>AU34+AX34+BA34+BD34+BG34</f>
        <v/>
      </c>
      <c r="BK34" s="68">
        <f>IF((BI34+BJ34)=0,"", BI34/(BI34+BJ34))</f>
        <v/>
      </c>
      <c r="BL34" s="69">
        <f>COUNTIF('Detailed Attendance'!DG35:DG35, "P")+COUNTIF('Detailed Attendance'!ED35:ED35, "P")+COUNTIF('Detailed Attendance'!EX35:EX35, "P")+COUNTIF('Detailed Attendance'!FN35:FN35, "P")+COUNTIF('Detailed Attendance'!DX35:DX35, "P")+COUNTIF('Detailed Attendance'!EU35:EU35, "P")+COUNTIF('Detailed Attendance'!GE35:GE35, "P")+COUNTIF('Detailed Attendance'!DE35:DE35, "P")+COUNTIF('Detailed Attendance'!EB35:EB35, "P")+COUNTIF('Detailed Attendance'!GI35:GI35, "P")</f>
        <v/>
      </c>
      <c r="BM34" s="69">
        <f>COUNTIF('Detailed Attendance'!DG35:DG35, "A")+COUNTIF('Detailed Attendance'!ED35:ED35, "A")+COUNTIF('Detailed Attendance'!EX35:EX35, "A")+COUNTIF('Detailed Attendance'!FN35:FN35, "A")+COUNTIF('Detailed Attendance'!DX35:DX35, "A")+COUNTIF('Detailed Attendance'!EU35:EU35, "A")+COUNTIF('Detailed Attendance'!GE35:GE35, "A")+COUNTIF('Detailed Attendance'!DE35:DE35, "A")+COUNTIF('Detailed Attendance'!EB35:EB35, "A")+COUNTIF('Detailed Attendance'!GI35:GI35, "A")</f>
        <v/>
      </c>
      <c r="BN34" s="70">
        <f>IF((BL34+BM34)=0,"", BL34/(BL34+BM34))</f>
        <v/>
      </c>
      <c r="BO34" s="67">
        <f>D34+Y34+AT34</f>
        <v/>
      </c>
      <c r="BP34" s="67">
        <f>E34+Z34+AU34</f>
        <v/>
      </c>
      <c r="BQ34" s="68">
        <f>IF((BO34+BP34)=0,"", BO34/(BO34+BP34))</f>
        <v/>
      </c>
      <c r="BR34" s="67">
        <f>G34+AB34+AW34</f>
        <v/>
      </c>
      <c r="BS34" s="67">
        <f>H34+AC34+AX34</f>
        <v/>
      </c>
      <c r="BT34" s="68">
        <f>IF((BR34+BS34)=0,"", BR34/(BR34+BS34))</f>
        <v/>
      </c>
      <c r="BU34" s="67">
        <f>J34+AE34+AZ34</f>
        <v/>
      </c>
      <c r="BV34" s="67">
        <f>K34+AF34+BA34</f>
        <v/>
      </c>
      <c r="BW34" s="68">
        <f>IF((BU34+BV34)=0,"", BU34/(BU34+BV34))</f>
        <v/>
      </c>
      <c r="BX34" s="67">
        <f>M34+AH34+BC34</f>
        <v/>
      </c>
      <c r="BY34" s="67">
        <f>N34+AI34+BD34</f>
        <v/>
      </c>
      <c r="BZ34" s="68">
        <f>IF((BX34+BY34)=0,"", BX34/(BX34+BY34))</f>
        <v/>
      </c>
      <c r="CA34" s="67">
        <f>P34+AK34+BF34</f>
        <v/>
      </c>
      <c r="CB34" s="67">
        <f>Q34+AL34+BG34</f>
        <v/>
      </c>
      <c r="CC34" s="68">
        <f>IF((CA34+CB34)=0,"", CA34/(CA34+CB34))</f>
        <v/>
      </c>
      <c r="CD34" s="67">
        <f>S34+AN34+BI34</f>
        <v/>
      </c>
      <c r="CE34" s="67">
        <f>T34+AO34+BJ34</f>
        <v/>
      </c>
      <c r="CF34" s="68">
        <f>IF((CD34+CE34)=0,"", CD34/(CD34+CE34))</f>
        <v/>
      </c>
      <c r="CG34" s="69">
        <f>V34+AQ34+BL34</f>
        <v/>
      </c>
      <c r="CH34" s="69">
        <f>W34+AR34+BM34</f>
        <v/>
      </c>
      <c r="CI34" s="70">
        <f>IF((CG34+CH34)=0,"", CG34/(CG34+CH34))</f>
        <v/>
      </c>
      <c r="CJ34" s="67">
        <f>CD34+(CG34*2)</f>
        <v/>
      </c>
      <c r="CK34" s="67">
        <f>CE34+(CH34*2)</f>
        <v/>
      </c>
      <c r="CL34" s="68">
        <f>IF((CJ34+CK34)=0,"", CJ34/(CJ34+CK34))</f>
        <v/>
      </c>
      <c r="CM34" s="67" t="inlineStr">
        <is>
          <t>Batch 1</t>
        </is>
      </c>
    </row>
    <row r="35" ht="14.25" customHeight="1" s="34">
      <c r="A35" s="46" t="n">
        <v>33</v>
      </c>
      <c r="B35" s="46" t="inlineStr">
        <is>
          <t>325106410033</t>
        </is>
      </c>
      <c r="C35" s="46" t="inlineStr">
        <is>
          <t>VEERA VENKATA SHALINI DEVI SRI MUMMANA</t>
        </is>
      </c>
      <c r="D35" s="63" t="n">
        <v>0</v>
      </c>
      <c r="E35" s="63" t="n">
        <v>0</v>
      </c>
      <c r="F35" s="64">
        <f>IF((D35+E35)=0,"", D35/(D35+E35))</f>
        <v/>
      </c>
      <c r="G35" s="63">
        <f>COUNTIF('Detailed Attendance'!I36:I36, "P")</f>
        <v/>
      </c>
      <c r="H35" s="63">
        <f>COUNTIF('Detailed Attendance'!I36:I36, "A")</f>
        <v/>
      </c>
      <c r="I35" s="64">
        <f>IF((G35+H35)=0,"", G35/(G35+H35))</f>
        <v/>
      </c>
      <c r="J35" s="63" t="n">
        <v>0</v>
      </c>
      <c r="K35" s="63" t="n">
        <v>0</v>
      </c>
      <c r="L35" s="64">
        <f>IF((J35+K35)=0,"", J35/(J35+K35))</f>
        <v/>
      </c>
      <c r="M35" s="63">
        <f>COUNTIF('Detailed Attendance'!D36:D36, "P")</f>
        <v/>
      </c>
      <c r="N35" s="63">
        <f>COUNTIF('Detailed Attendance'!D36:D36, "A")</f>
        <v/>
      </c>
      <c r="O35" s="64">
        <f>IF((M35+N35)=0,"", M35/(M35+N35))</f>
        <v/>
      </c>
      <c r="P35" s="63" t="n">
        <v>0</v>
      </c>
      <c r="Q35" s="63" t="n">
        <v>0</v>
      </c>
      <c r="R35" s="64">
        <f>IF((P35+Q35)=0,"", P35/(P35+Q35))</f>
        <v/>
      </c>
      <c r="S35" s="63">
        <f>D35+G35+J35+M35+P35</f>
        <v/>
      </c>
      <c r="T35" s="63">
        <f>E35+H35+K35+N35+Q35</f>
        <v/>
      </c>
      <c r="U35" s="64">
        <f>IF((S35+T35)=0,"", S35/(S35+T35))</f>
        <v/>
      </c>
      <c r="V35" s="65">
        <f>COUNTIF('Detailed Attendance'!E36:E36, "P")</f>
        <v/>
      </c>
      <c r="W35" s="65">
        <f>COUNTIF('Detailed Attendance'!E36:E36, "A")</f>
        <v/>
      </c>
      <c r="X35" s="66">
        <f>IF((V35+W35)=0,"", V35/(V35+W35))</f>
        <v/>
      </c>
      <c r="Y35" s="63">
        <f>COUNTIF('Detailed Attendance'!R36:R36, "P")+COUNTIF('Detailed Attendance'!X36:X36, "P")+COUNTIF('Detailed Attendance'!AL36:AL36, "P")+COUNTIF('Detailed Attendance'!BF36:BF36, "P")+COUNTIF('Detailed Attendance'!BL36:BL36, "P")+COUNTIF('Detailed Attendance'!BZ36:BZ36, "P")+COUNTIF('Detailed Attendance'!CI36:CI36, "P")+COUNTIF('Detailed Attendance'!CW36:CW36, "P")</f>
        <v/>
      </c>
      <c r="Z35" s="63">
        <f>COUNTIF('Detailed Attendance'!R36:R36, "A")+COUNTIF('Detailed Attendance'!X36:X36, "A")+COUNTIF('Detailed Attendance'!AL36:AL36, "A")+COUNTIF('Detailed Attendance'!BF36:BF36, "A")+COUNTIF('Detailed Attendance'!BL36:BL36, "A")+COUNTIF('Detailed Attendance'!BZ36:BZ36, "A")+COUNTIF('Detailed Attendance'!CI36:CI36, "A")+COUNTIF('Detailed Attendance'!CW36:CW36, "A")</f>
        <v/>
      </c>
      <c r="AA35" s="64">
        <f>IF((Y35+Z35)=0,"", Y35/(Y35+Z35))</f>
        <v/>
      </c>
      <c r="AB35" s="63">
        <f>COUNTIF('Detailed Attendance'!Q36:Q36, "P")+COUNTIF('Detailed Attendance'!AC36:AC36, "P")+COUNTIF('Detailed Attendance'!AK36:AK36, "P")+COUNTIF('Detailed Attendance'!AW36:AW36, "P")+COUNTIF('Detailed Attendance'!BE36:BE36, "P")+COUNTIF('Detailed Attendance'!BQ36:BQ36, "P")+COUNTIF('Detailed Attendance'!BY36:BY36, "P")+COUNTIF('Detailed Attendance'!CN36:CN36, "P")+COUNTIF('Detailed Attendance'!CV36:CV36, "P")</f>
        <v/>
      </c>
      <c r="AC35" s="63">
        <f>COUNTIF('Detailed Attendance'!Q36:Q36, "A")+COUNTIF('Detailed Attendance'!AC36:AC36, "A")+COUNTIF('Detailed Attendance'!AK36:AK36, "A")+COUNTIF('Detailed Attendance'!AW36:AW36, "A")+COUNTIF('Detailed Attendance'!BE36:BE36, "A")+COUNTIF('Detailed Attendance'!BQ36:BQ36, "A")+COUNTIF('Detailed Attendance'!BY36:BY36, "A")+COUNTIF('Detailed Attendance'!CN36:CN36, "A")+COUNTIF('Detailed Attendance'!CV36:CV36, "A")</f>
        <v/>
      </c>
      <c r="AD35" s="64">
        <f>IF((AB35+AC35)=0,"", AB35/(AB35+AC35))</f>
        <v/>
      </c>
      <c r="AE35" s="63">
        <f>COUNTIF('Detailed Attendance'!L36:L36, "P")+COUNTIF('Detailed Attendance'!P36:P36, "P")+COUNTIF('Detailed Attendance'!AF36:AF36, "P")+COUNTIF('Detailed Attendance'!AJ36:AJ36, "P")+COUNTIF('Detailed Attendance'!AZ36:AZ36, "P")+COUNTIF('Detailed Attendance'!BD36:BD36, "P")+COUNTIF('Detailed Attendance'!BT36:BT36, "P")+COUNTIF('Detailed Attendance'!BX36:BX36, "P")+COUNTIF('Detailed Attendance'!CQ36:CQ36, "P")+COUNTIF('Detailed Attendance'!CU36:CU36, "P")</f>
        <v/>
      </c>
      <c r="AF35" s="67">
        <f>COUNTIF('Detailed Attendance'!L36:L36, "A")+COUNTIF('Detailed Attendance'!P36:P36, "A")+COUNTIF('Detailed Attendance'!AF36:AF36, "A")+COUNTIF('Detailed Attendance'!AJ36:AJ36, "A")+COUNTIF('Detailed Attendance'!AZ36:AZ36, "A")+COUNTIF('Detailed Attendance'!BD36:BD36, "A")+COUNTIF('Detailed Attendance'!BT36:BT36, "A")+COUNTIF('Detailed Attendance'!BX36:BX36, "A")+COUNTIF('Detailed Attendance'!CQ36:CQ36, "A")+COUNTIF('Detailed Attendance'!CU36:CU36, "A")</f>
        <v/>
      </c>
      <c r="AG35" s="68">
        <f>IF((AE35+AF35)=0,"", AE35/(AE35+AF35))</f>
        <v/>
      </c>
      <c r="AH35" s="67">
        <f>COUNTIF('Detailed Attendance'!T36:T36, "P")+COUNTIF('Detailed Attendance'!AN36:AN36, "P")+COUNTIF('Detailed Attendance'!AR36:AR36, "P")+COUNTIF('Detailed Attendance'!BH36:BH36, "P")+COUNTIF('Detailed Attendance'!CB36:CB36, "P")+COUNTIF('Detailed Attendance'!CF36:CF36, "P")+COUNTIF('Detailed Attendance'!CY36:CY36, "P")</f>
        <v/>
      </c>
      <c r="AI35" s="67">
        <f>COUNTIF('Detailed Attendance'!T36:T36, "A")+COUNTIF('Detailed Attendance'!AN36:AN36, "A")+COUNTIF('Detailed Attendance'!AR36:AR36, "A")+COUNTIF('Detailed Attendance'!BH36:BH36, "A")+COUNTIF('Detailed Attendance'!CB36:CB36, "A")+COUNTIF('Detailed Attendance'!CF36:CF36, "A")+COUNTIF('Detailed Attendance'!CY36:CY36, "A")</f>
        <v/>
      </c>
      <c r="AJ35" s="68">
        <f>IF((AH35+AI35)=0,"", AH35/(AH35+AI35))</f>
        <v/>
      </c>
      <c r="AK35" s="67">
        <f>COUNTIF('Detailed Attendance'!M36:M36, "P")+COUNTIF('Detailed Attendance'!U36:U36, "P")+COUNTIF('Detailed Attendance'!AG36:AG36, "P")+COUNTIF('Detailed Attendance'!AO36:AO36, "P")+COUNTIF('Detailed Attendance'!BA36:BA36, "P")+COUNTIF('Detailed Attendance'!BI36:BI36, "P")+COUNTIF('Detailed Attendance'!BU36:BU36, "P")+COUNTIF('Detailed Attendance'!CC36:CC36, "P")+COUNTIF('Detailed Attendance'!CR36:CR36, "P")+COUNTIF('Detailed Attendance'!CZ36:CZ36, "P")</f>
        <v/>
      </c>
      <c r="AL35" s="67">
        <f>COUNTIF('Detailed Attendance'!M36:M36, "A")+COUNTIF('Detailed Attendance'!U36:U36, "A")+COUNTIF('Detailed Attendance'!AG36:AG36, "A")+COUNTIF('Detailed Attendance'!AO36:AO36, "A")+COUNTIF('Detailed Attendance'!BA36:BA36, "A")+COUNTIF('Detailed Attendance'!BI36:BI36, "A")+COUNTIF('Detailed Attendance'!BU36:BU36, "A")+COUNTIF('Detailed Attendance'!CC36:CC36, "A")+COUNTIF('Detailed Attendance'!CR36:CR36, "A")+COUNTIF('Detailed Attendance'!CZ36:CZ36, "A")</f>
        <v/>
      </c>
      <c r="AM35" s="68">
        <f>IF((AK35+AL35)=0,"", AK35/(AK35+AL35))</f>
        <v/>
      </c>
      <c r="AN35" s="67">
        <f>Y35+AB35+AE35+AH35+AK35</f>
        <v/>
      </c>
      <c r="AO35" s="67">
        <f>Z35+AC35+AF35+AI35+AL35</f>
        <v/>
      </c>
      <c r="AP35" s="68">
        <f>IF((AN35+AO35)=0,"", AN35/(AN35+AO35))</f>
        <v/>
      </c>
      <c r="AQ35" s="69">
        <f>COUNTIF('Detailed Attendance'!Y36:Y36, "P")+COUNTIF('Detailed Attendance'!AS36:AS36, "P")+COUNTIF('Detailed Attendance'!BM36:BM36, "P")+COUNTIF('Detailed Attendance'!CJ36:CJ36, "P")+COUNTIF('Detailed Attendance'!V36:V36, "P")+COUNTIF('Detailed Attendance'!AP36:AP36, "P")+COUNTIF('Detailed Attendance'!BJ36:BJ36, "P")+COUNTIF('Detailed Attendance'!CD36:CD36, "P")+COUNTIF('Detailed Attendance'!DA36:DA36, "P")+COUNTIF('Detailed Attendance'!CH36:CH36, "P")</f>
        <v/>
      </c>
      <c r="AR35" s="69">
        <f>COUNTIF('Detailed Attendance'!Y36:Y36, "A")+COUNTIF('Detailed Attendance'!AS36:AS36, "A")+COUNTIF('Detailed Attendance'!BM36:BM36, "A")+COUNTIF('Detailed Attendance'!CJ36:CJ36, "A")+COUNTIF('Detailed Attendance'!V36:V36, "A")+COUNTIF('Detailed Attendance'!AP36:AP36, "A")+COUNTIF('Detailed Attendance'!BJ36:BJ36, "A")+COUNTIF('Detailed Attendance'!CD36:CD36, "A")+COUNTIF('Detailed Attendance'!DA36:DA36, "A")+COUNTIF('Detailed Attendance'!CH36:CH36, "A")</f>
        <v/>
      </c>
      <c r="AS35" s="70">
        <f>IF((AQ35+AR35)=0,"", AQ35/(AQ35+AR35))</f>
        <v/>
      </c>
      <c r="AT35" s="67">
        <f>COUNTIF('Detailed Attendance'!DF36:DF36, "P")+COUNTIF('Detailed Attendance'!DT36:DT36, "P")+COUNTIF('Detailed Attendance'!EC36:EC36, "P")+COUNTIF('Detailed Attendance'!EQ36:EQ36, "P")+COUNTIF('Detailed Attendance'!EW36:EW36, "P")+COUNTIF('Detailed Attendance'!FK36:FK36, "P")+COUNTIF('Detailed Attendance'!FM36:FM36, "P")+COUNTIF('Detailed Attendance'!GA36:GA36, "P")</f>
        <v/>
      </c>
      <c r="AU35" s="67">
        <f>COUNTIF('Detailed Attendance'!DF36:DF36, "A")+COUNTIF('Detailed Attendance'!DT36:DT36, "A")+COUNTIF('Detailed Attendance'!EC36:EC36, "A")+COUNTIF('Detailed Attendance'!EQ36:EQ36, "A")+COUNTIF('Detailed Attendance'!EW36:EW36, "A")+COUNTIF('Detailed Attendance'!FK36:FK36, "A")+COUNTIF('Detailed Attendance'!FM36:FM36, "A")+COUNTIF('Detailed Attendance'!GA36:GA36, "A")</f>
        <v/>
      </c>
      <c r="AV35" s="68">
        <f>IF((AT35+AU35)=0,"", AT35/(AT35+AU35))</f>
        <v/>
      </c>
      <c r="AW35" s="67">
        <f>COUNTIF('Detailed Attendance'!DK36:DK36, "P")+COUNTIF('Detailed Attendance'!DS36:DS36, "P")+COUNTIF('Detailed Attendance'!EH36:EH36, "P")+COUNTIF('Detailed Attendance'!EP36:EP36, "P")+COUNTIF('Detailed Attendance'!FB36:FB36, "P")+COUNTIF('Detailed Attendance'!FJ36:FJ36, "P")+COUNTIF('Detailed Attendance'!FR36:FR36, "P")+COUNTIF('Detailed Attendance'!FZ36:FZ36, "P")</f>
        <v/>
      </c>
      <c r="AX35" s="67">
        <f>COUNTIF('Detailed Attendance'!DK36:DK36, "A")+COUNTIF('Detailed Attendance'!DS36:DS36, "A")+COUNTIF('Detailed Attendance'!EH36:EH36, "A")+COUNTIF('Detailed Attendance'!EP36:EP36, "A")+COUNTIF('Detailed Attendance'!FB36:FB36, "A")+COUNTIF('Detailed Attendance'!FJ36:FJ36, "A")+COUNTIF('Detailed Attendance'!FR36:FR36, "A")+COUNTIF('Detailed Attendance'!FZ36:FZ36, "A")</f>
        <v/>
      </c>
      <c r="AY35" s="68">
        <f>IF((AW35+AX35)=0,"", AW35/(AW35+AX35))</f>
        <v/>
      </c>
      <c r="AZ35" s="67">
        <f>COUNTIF('Detailed Attendance'!DN36:DN36, "P")+COUNTIF('Detailed Attendance'!DR36:DR36, "P")+COUNTIF('Detailed Attendance'!EK36:EK36, "P")+COUNTIF('Detailed Attendance'!EO36:EO36, "P")+COUNTIF('Detailed Attendance'!FE36:FE36, "P")+COUNTIF('Detailed Attendance'!FI36:FI36, "P")+COUNTIF('Detailed Attendance'!FU36:FU36, "P")+COUNTIF('Detailed Attendance'!FY36:FY36, "P")</f>
        <v/>
      </c>
      <c r="BA35" s="67">
        <f>COUNTIF('Detailed Attendance'!DN36:DN36, "A")+COUNTIF('Detailed Attendance'!DR36:DR36, "A")+COUNTIF('Detailed Attendance'!EK36:EK36, "A")+COUNTIF('Detailed Attendance'!EO36:EO36, "A")+COUNTIF('Detailed Attendance'!FE36:FE36, "A")+COUNTIF('Detailed Attendance'!FI36:FI36, "A")+COUNTIF('Detailed Attendance'!FU36:FU36, "A")+COUNTIF('Detailed Attendance'!FY36:FY36, "A")</f>
        <v/>
      </c>
      <c r="BB35" s="68">
        <f>IF((AZ35+BA35)=0,"", AZ35/(AZ35+BA35))</f>
        <v/>
      </c>
      <c r="BC35" s="67">
        <f>COUNTIF('Detailed Attendance'!DC36:DC36, "P")+COUNTIF('Detailed Attendance'!DV36:DV36, "P")+COUNTIF('Detailed Attendance'!DZ36:DZ36, "P")+COUNTIF('Detailed Attendance'!ES36:ES36, "P")+COUNTIF('Detailed Attendance'!GC36:GC36, "P")+COUNTIF('Detailed Attendance'!GG36:GG36, "P")</f>
        <v/>
      </c>
      <c r="BD35" s="67">
        <f>COUNTIF('Detailed Attendance'!DC36:DC36, "A")+COUNTIF('Detailed Attendance'!DV36:DV36, "A")+COUNTIF('Detailed Attendance'!DZ36:DZ36, "A")+COUNTIF('Detailed Attendance'!ES36:ES36, "A")+COUNTIF('Detailed Attendance'!GC36:GC36, "A")+COUNTIF('Detailed Attendance'!GG36:GG36, "A")</f>
        <v/>
      </c>
      <c r="BE35" s="68">
        <f>IF((BC35+BD35)=0,"", BC35/(BC35+BD35))</f>
        <v/>
      </c>
      <c r="BF35" s="67">
        <f>COUNTIF('Detailed Attendance'!DO36:DO36, "P")+COUNTIF('Detailed Attendance'!DW36:DW36, "P")+COUNTIF('Detailed Attendance'!EL36:EL36, "P")+COUNTIF('Detailed Attendance'!ET36:ET36, "P")+COUNTIF('Detailed Attendance'!FF36:FF36, "P")+COUNTIF('Detailed Attendance'!FV36:FV36, "P")+COUNTIF('Detailed Attendance'!GD36:GD36, "P")</f>
        <v/>
      </c>
      <c r="BG35" s="67">
        <f>COUNTIF('Detailed Attendance'!DO36:DO36, "A")+COUNTIF('Detailed Attendance'!DW36:DW36, "A")+COUNTIF('Detailed Attendance'!EL36:EL36, "A")+COUNTIF('Detailed Attendance'!ET36:ET36, "A")+COUNTIF('Detailed Attendance'!FF36:FF36, "A")+COUNTIF('Detailed Attendance'!FV36:FV36, "A")+COUNTIF('Detailed Attendance'!GD36:GD36, "A")</f>
        <v/>
      </c>
      <c r="BH35" s="68">
        <f>IF((BF35+BG35)=0,"", BF35/(BF35+BG35))</f>
        <v/>
      </c>
      <c r="BI35" s="67">
        <f>AT35+AW35+AZ35+BC35+BF35</f>
        <v/>
      </c>
      <c r="BJ35" s="67">
        <f>AU35+AX35+BA35+BD35+BG35</f>
        <v/>
      </c>
      <c r="BK35" s="68">
        <f>IF((BI35+BJ35)=0,"", BI35/(BI35+BJ35))</f>
        <v/>
      </c>
      <c r="BL35" s="69">
        <f>COUNTIF('Detailed Attendance'!DG36:DG36, "P")+COUNTIF('Detailed Attendance'!ED36:ED36, "P")+COUNTIF('Detailed Attendance'!EX36:EX36, "P")+COUNTIF('Detailed Attendance'!FN36:FN36, "P")+COUNTIF('Detailed Attendance'!DX36:DX36, "P")+COUNTIF('Detailed Attendance'!EU36:EU36, "P")+COUNTIF('Detailed Attendance'!GE36:GE36, "P")+COUNTIF('Detailed Attendance'!DE36:DE36, "P")+COUNTIF('Detailed Attendance'!EB36:EB36, "P")+COUNTIF('Detailed Attendance'!GI36:GI36, "P")</f>
        <v/>
      </c>
      <c r="BM35" s="69">
        <f>COUNTIF('Detailed Attendance'!DG36:DG36, "A")+COUNTIF('Detailed Attendance'!ED36:ED36, "A")+COUNTIF('Detailed Attendance'!EX36:EX36, "A")+COUNTIF('Detailed Attendance'!FN36:FN36, "A")+COUNTIF('Detailed Attendance'!DX36:DX36, "A")+COUNTIF('Detailed Attendance'!EU36:EU36, "A")+COUNTIF('Detailed Attendance'!GE36:GE36, "A")+COUNTIF('Detailed Attendance'!DE36:DE36, "A")+COUNTIF('Detailed Attendance'!EB36:EB36, "A")+COUNTIF('Detailed Attendance'!GI36:GI36, "A")</f>
        <v/>
      </c>
      <c r="BN35" s="70">
        <f>IF((BL35+BM35)=0,"", BL35/(BL35+BM35))</f>
        <v/>
      </c>
      <c r="BO35" s="67">
        <f>D35+Y35+AT35</f>
        <v/>
      </c>
      <c r="BP35" s="67">
        <f>E35+Z35+AU35</f>
        <v/>
      </c>
      <c r="BQ35" s="68">
        <f>IF((BO35+BP35)=0,"", BO35/(BO35+BP35))</f>
        <v/>
      </c>
      <c r="BR35" s="67">
        <f>G35+AB35+AW35</f>
        <v/>
      </c>
      <c r="BS35" s="67">
        <f>H35+AC35+AX35</f>
        <v/>
      </c>
      <c r="BT35" s="68">
        <f>IF((BR35+BS35)=0,"", BR35/(BR35+BS35))</f>
        <v/>
      </c>
      <c r="BU35" s="67">
        <f>J35+AE35+AZ35</f>
        <v/>
      </c>
      <c r="BV35" s="67">
        <f>K35+AF35+BA35</f>
        <v/>
      </c>
      <c r="BW35" s="68">
        <f>IF((BU35+BV35)=0,"", BU35/(BU35+BV35))</f>
        <v/>
      </c>
      <c r="BX35" s="67">
        <f>M35+AH35+BC35</f>
        <v/>
      </c>
      <c r="BY35" s="67">
        <f>N35+AI35+BD35</f>
        <v/>
      </c>
      <c r="BZ35" s="68">
        <f>IF((BX35+BY35)=0,"", BX35/(BX35+BY35))</f>
        <v/>
      </c>
      <c r="CA35" s="67">
        <f>P35+AK35+BF35</f>
        <v/>
      </c>
      <c r="CB35" s="67">
        <f>Q35+AL35+BG35</f>
        <v/>
      </c>
      <c r="CC35" s="68">
        <f>IF((CA35+CB35)=0,"", CA35/(CA35+CB35))</f>
        <v/>
      </c>
      <c r="CD35" s="67">
        <f>S35+AN35+BI35</f>
        <v/>
      </c>
      <c r="CE35" s="67">
        <f>T35+AO35+BJ35</f>
        <v/>
      </c>
      <c r="CF35" s="68">
        <f>IF((CD35+CE35)=0,"", CD35/(CD35+CE35))</f>
        <v/>
      </c>
      <c r="CG35" s="69">
        <f>V35+AQ35+BL35</f>
        <v/>
      </c>
      <c r="CH35" s="69">
        <f>W35+AR35+BM35</f>
        <v/>
      </c>
      <c r="CI35" s="70">
        <f>IF((CG35+CH35)=0,"", CG35/(CG35+CH35))</f>
        <v/>
      </c>
      <c r="CJ35" s="67">
        <f>CD35+(CG35*2)</f>
        <v/>
      </c>
      <c r="CK35" s="67">
        <f>CE35+(CH35*2)</f>
        <v/>
      </c>
      <c r="CL35" s="68">
        <f>IF((CJ35+CK35)=0,"", CJ35/(CJ35+CK35))</f>
        <v/>
      </c>
      <c r="CM35" s="67" t="inlineStr">
        <is>
          <t>Batch 1</t>
        </is>
      </c>
    </row>
    <row r="36" ht="14.25" customHeight="1" s="34">
      <c r="A36" s="46" t="n">
        <v>34</v>
      </c>
      <c r="B36" s="46" t="inlineStr">
        <is>
          <t>325106410034</t>
        </is>
      </c>
      <c r="C36" s="46" t="inlineStr">
        <is>
          <t>NAGABHUSHANA KARTHIK BALIVADA</t>
        </is>
      </c>
      <c r="D36" s="63" t="n">
        <v>0</v>
      </c>
      <c r="E36" s="63" t="n">
        <v>0</v>
      </c>
      <c r="F36" s="64">
        <f>IF((D36+E36)=0,"", D36/(D36+E36))</f>
        <v/>
      </c>
      <c r="G36" s="63">
        <f>COUNTIF('Detailed Attendance'!I37:I37, "P")</f>
        <v/>
      </c>
      <c r="H36" s="63">
        <f>COUNTIF('Detailed Attendance'!I37:I37, "A")</f>
        <v/>
      </c>
      <c r="I36" s="64">
        <f>IF((G36+H36)=0,"", G36/(G36+H36))</f>
        <v/>
      </c>
      <c r="J36" s="63" t="n">
        <v>0</v>
      </c>
      <c r="K36" s="63" t="n">
        <v>0</v>
      </c>
      <c r="L36" s="64">
        <f>IF((J36+K36)=0,"", J36/(J36+K36))</f>
        <v/>
      </c>
      <c r="M36" s="63">
        <f>COUNTIF('Detailed Attendance'!D37:D37, "P")</f>
        <v/>
      </c>
      <c r="N36" s="63">
        <f>COUNTIF('Detailed Attendance'!D37:D37, "A")</f>
        <v/>
      </c>
      <c r="O36" s="64">
        <f>IF((M36+N36)=0,"", M36/(M36+N36))</f>
        <v/>
      </c>
      <c r="P36" s="63" t="n">
        <v>0</v>
      </c>
      <c r="Q36" s="63" t="n">
        <v>0</v>
      </c>
      <c r="R36" s="64">
        <f>IF((P36+Q36)=0,"", P36/(P36+Q36))</f>
        <v/>
      </c>
      <c r="S36" s="63">
        <f>D36+G36+J36+M36+P36</f>
        <v/>
      </c>
      <c r="T36" s="63">
        <f>E36+H36+K36+N36+Q36</f>
        <v/>
      </c>
      <c r="U36" s="64">
        <f>IF((S36+T36)=0,"", S36/(S36+T36))</f>
        <v/>
      </c>
      <c r="V36" s="65">
        <f>COUNTIF('Detailed Attendance'!E37:E37, "P")</f>
        <v/>
      </c>
      <c r="W36" s="65">
        <f>COUNTIF('Detailed Attendance'!E37:E37, "A")</f>
        <v/>
      </c>
      <c r="X36" s="66">
        <f>IF((V36+W36)=0,"", V36/(V36+W36))</f>
        <v/>
      </c>
      <c r="Y36" s="63">
        <f>COUNTIF('Detailed Attendance'!R37:R37, "P")+COUNTIF('Detailed Attendance'!X37:X37, "P")+COUNTIF('Detailed Attendance'!AL37:AL37, "P")+COUNTIF('Detailed Attendance'!BF37:BF37, "P")+COUNTIF('Detailed Attendance'!BL37:BL37, "P")+COUNTIF('Detailed Attendance'!BZ37:BZ37, "P")+COUNTIF('Detailed Attendance'!CI37:CI37, "P")+COUNTIF('Detailed Attendance'!CW37:CW37, "P")</f>
        <v/>
      </c>
      <c r="Z36" s="63">
        <f>COUNTIF('Detailed Attendance'!R37:R37, "A")+COUNTIF('Detailed Attendance'!X37:X37, "A")+COUNTIF('Detailed Attendance'!AL37:AL37, "A")+COUNTIF('Detailed Attendance'!BF37:BF37, "A")+COUNTIF('Detailed Attendance'!BL37:BL37, "A")+COUNTIF('Detailed Attendance'!BZ37:BZ37, "A")+COUNTIF('Detailed Attendance'!CI37:CI37, "A")+COUNTIF('Detailed Attendance'!CW37:CW37, "A")</f>
        <v/>
      </c>
      <c r="AA36" s="64">
        <f>IF((Y36+Z36)=0,"", Y36/(Y36+Z36))</f>
        <v/>
      </c>
      <c r="AB36" s="63">
        <f>COUNTIF('Detailed Attendance'!Q37:Q37, "P")+COUNTIF('Detailed Attendance'!AC37:AC37, "P")+COUNTIF('Detailed Attendance'!AK37:AK37, "P")+COUNTIF('Detailed Attendance'!AW37:AW37, "P")+COUNTIF('Detailed Attendance'!BE37:BE37, "P")+COUNTIF('Detailed Attendance'!BQ37:BQ37, "P")+COUNTIF('Detailed Attendance'!BY37:BY37, "P")+COUNTIF('Detailed Attendance'!CN37:CN37, "P")+COUNTIF('Detailed Attendance'!CV37:CV37, "P")</f>
        <v/>
      </c>
      <c r="AC36" s="63">
        <f>COUNTIF('Detailed Attendance'!Q37:Q37, "A")+COUNTIF('Detailed Attendance'!AC37:AC37, "A")+COUNTIF('Detailed Attendance'!AK37:AK37, "A")+COUNTIF('Detailed Attendance'!AW37:AW37, "A")+COUNTIF('Detailed Attendance'!BE37:BE37, "A")+COUNTIF('Detailed Attendance'!BQ37:BQ37, "A")+COUNTIF('Detailed Attendance'!BY37:BY37, "A")+COUNTIF('Detailed Attendance'!CN37:CN37, "A")+COUNTIF('Detailed Attendance'!CV37:CV37, "A")</f>
        <v/>
      </c>
      <c r="AD36" s="64">
        <f>IF((AB36+AC36)=0,"", AB36/(AB36+AC36))</f>
        <v/>
      </c>
      <c r="AE36" s="63">
        <f>COUNTIF('Detailed Attendance'!L37:L37, "P")+COUNTIF('Detailed Attendance'!P37:P37, "P")+COUNTIF('Detailed Attendance'!AF37:AF37, "P")+COUNTIF('Detailed Attendance'!AJ37:AJ37, "P")+COUNTIF('Detailed Attendance'!AZ37:AZ37, "P")+COUNTIF('Detailed Attendance'!BD37:BD37, "P")+COUNTIF('Detailed Attendance'!BT37:BT37, "P")+COUNTIF('Detailed Attendance'!BX37:BX37, "P")+COUNTIF('Detailed Attendance'!CQ37:CQ37, "P")+COUNTIF('Detailed Attendance'!CU37:CU37, "P")</f>
        <v/>
      </c>
      <c r="AF36" s="67">
        <f>COUNTIF('Detailed Attendance'!L37:L37, "A")+COUNTIF('Detailed Attendance'!P37:P37, "A")+COUNTIF('Detailed Attendance'!AF37:AF37, "A")+COUNTIF('Detailed Attendance'!AJ37:AJ37, "A")+COUNTIF('Detailed Attendance'!AZ37:AZ37, "A")+COUNTIF('Detailed Attendance'!BD37:BD37, "A")+COUNTIF('Detailed Attendance'!BT37:BT37, "A")+COUNTIF('Detailed Attendance'!BX37:BX37, "A")+COUNTIF('Detailed Attendance'!CQ37:CQ37, "A")+COUNTIF('Detailed Attendance'!CU37:CU37, "A")</f>
        <v/>
      </c>
      <c r="AG36" s="68">
        <f>IF((AE36+AF36)=0,"", AE36/(AE36+AF36))</f>
        <v/>
      </c>
      <c r="AH36" s="67">
        <f>COUNTIF('Detailed Attendance'!T37:T37, "P")+COUNTIF('Detailed Attendance'!AN37:AN37, "P")+COUNTIF('Detailed Attendance'!AR37:AR37, "P")+COUNTIF('Detailed Attendance'!BH37:BH37, "P")+COUNTIF('Detailed Attendance'!CB37:CB37, "P")+COUNTIF('Detailed Attendance'!CF37:CF37, "P")+COUNTIF('Detailed Attendance'!CY37:CY37, "P")</f>
        <v/>
      </c>
      <c r="AI36" s="67">
        <f>COUNTIF('Detailed Attendance'!T37:T37, "A")+COUNTIF('Detailed Attendance'!AN37:AN37, "A")+COUNTIF('Detailed Attendance'!AR37:AR37, "A")+COUNTIF('Detailed Attendance'!BH37:BH37, "A")+COUNTIF('Detailed Attendance'!CB37:CB37, "A")+COUNTIF('Detailed Attendance'!CF37:CF37, "A")+COUNTIF('Detailed Attendance'!CY37:CY37, "A")</f>
        <v/>
      </c>
      <c r="AJ36" s="68">
        <f>IF((AH36+AI36)=0,"", AH36/(AH36+AI36))</f>
        <v/>
      </c>
      <c r="AK36" s="67">
        <f>COUNTIF('Detailed Attendance'!M37:M37, "P")+COUNTIF('Detailed Attendance'!U37:U37, "P")+COUNTIF('Detailed Attendance'!AG37:AG37, "P")+COUNTIF('Detailed Attendance'!AO37:AO37, "P")+COUNTIF('Detailed Attendance'!BA37:BA37, "P")+COUNTIF('Detailed Attendance'!BI37:BI37, "P")+COUNTIF('Detailed Attendance'!BU37:BU37, "P")+COUNTIF('Detailed Attendance'!CC37:CC37, "P")+COUNTIF('Detailed Attendance'!CR37:CR37, "P")+COUNTIF('Detailed Attendance'!CZ37:CZ37, "P")</f>
        <v/>
      </c>
      <c r="AL36" s="67">
        <f>COUNTIF('Detailed Attendance'!M37:M37, "A")+COUNTIF('Detailed Attendance'!U37:U37, "A")+COUNTIF('Detailed Attendance'!AG37:AG37, "A")+COUNTIF('Detailed Attendance'!AO37:AO37, "A")+COUNTIF('Detailed Attendance'!BA37:BA37, "A")+COUNTIF('Detailed Attendance'!BI37:BI37, "A")+COUNTIF('Detailed Attendance'!BU37:BU37, "A")+COUNTIF('Detailed Attendance'!CC37:CC37, "A")+COUNTIF('Detailed Attendance'!CR37:CR37, "A")+COUNTIF('Detailed Attendance'!CZ37:CZ37, "A")</f>
        <v/>
      </c>
      <c r="AM36" s="68">
        <f>IF((AK36+AL36)=0,"", AK36/(AK36+AL36))</f>
        <v/>
      </c>
      <c r="AN36" s="67">
        <f>Y36+AB36+AE36+AH36+AK36</f>
        <v/>
      </c>
      <c r="AO36" s="67">
        <f>Z36+AC36+AF36+AI36+AL36</f>
        <v/>
      </c>
      <c r="AP36" s="68">
        <f>IF((AN36+AO36)=0,"", AN36/(AN36+AO36))</f>
        <v/>
      </c>
      <c r="AQ36" s="69">
        <f>COUNTIF('Detailed Attendance'!Y37:Y37, "P")+COUNTIF('Detailed Attendance'!AS37:AS37, "P")+COUNTIF('Detailed Attendance'!BM37:BM37, "P")+COUNTIF('Detailed Attendance'!CJ37:CJ37, "P")+COUNTIF('Detailed Attendance'!V37:V37, "P")+COUNTIF('Detailed Attendance'!AP37:AP37, "P")+COUNTIF('Detailed Attendance'!BJ37:BJ37, "P")+COUNTIF('Detailed Attendance'!CD37:CD37, "P")+COUNTIF('Detailed Attendance'!DA37:DA37, "P")+COUNTIF('Detailed Attendance'!CH37:CH37, "P")</f>
        <v/>
      </c>
      <c r="AR36" s="69">
        <f>COUNTIF('Detailed Attendance'!Y37:Y37, "A")+COUNTIF('Detailed Attendance'!AS37:AS37, "A")+COUNTIF('Detailed Attendance'!BM37:BM37, "A")+COUNTIF('Detailed Attendance'!CJ37:CJ37, "A")+COUNTIF('Detailed Attendance'!V37:V37, "A")+COUNTIF('Detailed Attendance'!AP37:AP37, "A")+COUNTIF('Detailed Attendance'!BJ37:BJ37, "A")+COUNTIF('Detailed Attendance'!CD37:CD37, "A")+COUNTIF('Detailed Attendance'!DA37:DA37, "A")+COUNTIF('Detailed Attendance'!CH37:CH37, "A")</f>
        <v/>
      </c>
      <c r="AS36" s="70">
        <f>IF((AQ36+AR36)=0,"", AQ36/(AQ36+AR36))</f>
        <v/>
      </c>
      <c r="AT36" s="67">
        <f>COUNTIF('Detailed Attendance'!DF37:DF37, "P")+COUNTIF('Detailed Attendance'!DT37:DT37, "P")+COUNTIF('Detailed Attendance'!EC37:EC37, "P")+COUNTIF('Detailed Attendance'!EQ37:EQ37, "P")+COUNTIF('Detailed Attendance'!EW37:EW37, "P")+COUNTIF('Detailed Attendance'!FK37:FK37, "P")+COUNTIF('Detailed Attendance'!FM37:FM37, "P")+COUNTIF('Detailed Attendance'!GA37:GA37, "P")</f>
        <v/>
      </c>
      <c r="AU36" s="67">
        <f>COUNTIF('Detailed Attendance'!DF37:DF37, "A")+COUNTIF('Detailed Attendance'!DT37:DT37, "A")+COUNTIF('Detailed Attendance'!EC37:EC37, "A")+COUNTIF('Detailed Attendance'!EQ37:EQ37, "A")+COUNTIF('Detailed Attendance'!EW37:EW37, "A")+COUNTIF('Detailed Attendance'!FK37:FK37, "A")+COUNTIF('Detailed Attendance'!FM37:FM37, "A")+COUNTIF('Detailed Attendance'!GA37:GA37, "A")</f>
        <v/>
      </c>
      <c r="AV36" s="68">
        <f>IF((AT36+AU36)=0,"", AT36/(AT36+AU36))</f>
        <v/>
      </c>
      <c r="AW36" s="67">
        <f>COUNTIF('Detailed Attendance'!DK37:DK37, "P")+COUNTIF('Detailed Attendance'!DS37:DS37, "P")+COUNTIF('Detailed Attendance'!EH37:EH37, "P")+COUNTIF('Detailed Attendance'!EP37:EP37, "P")+COUNTIF('Detailed Attendance'!FB37:FB37, "P")+COUNTIF('Detailed Attendance'!FJ37:FJ37, "P")+COUNTIF('Detailed Attendance'!FR37:FR37, "P")+COUNTIF('Detailed Attendance'!FZ37:FZ37, "P")</f>
        <v/>
      </c>
      <c r="AX36" s="67">
        <f>COUNTIF('Detailed Attendance'!DK37:DK37, "A")+COUNTIF('Detailed Attendance'!DS37:DS37, "A")+COUNTIF('Detailed Attendance'!EH37:EH37, "A")+COUNTIF('Detailed Attendance'!EP37:EP37, "A")+COUNTIF('Detailed Attendance'!FB37:FB37, "A")+COUNTIF('Detailed Attendance'!FJ37:FJ37, "A")+COUNTIF('Detailed Attendance'!FR37:FR37, "A")+COUNTIF('Detailed Attendance'!FZ37:FZ37, "A")</f>
        <v/>
      </c>
      <c r="AY36" s="68">
        <f>IF((AW36+AX36)=0,"", AW36/(AW36+AX36))</f>
        <v/>
      </c>
      <c r="AZ36" s="67">
        <f>COUNTIF('Detailed Attendance'!DN37:DN37, "P")+COUNTIF('Detailed Attendance'!DR37:DR37, "P")+COUNTIF('Detailed Attendance'!EK37:EK37, "P")+COUNTIF('Detailed Attendance'!EO37:EO37, "P")+COUNTIF('Detailed Attendance'!FE37:FE37, "P")+COUNTIF('Detailed Attendance'!FI37:FI37, "P")+COUNTIF('Detailed Attendance'!FU37:FU37, "P")+COUNTIF('Detailed Attendance'!FY37:FY37, "P")</f>
        <v/>
      </c>
      <c r="BA36" s="67">
        <f>COUNTIF('Detailed Attendance'!DN37:DN37, "A")+COUNTIF('Detailed Attendance'!DR37:DR37, "A")+COUNTIF('Detailed Attendance'!EK37:EK37, "A")+COUNTIF('Detailed Attendance'!EO37:EO37, "A")+COUNTIF('Detailed Attendance'!FE37:FE37, "A")+COUNTIF('Detailed Attendance'!FI37:FI37, "A")+COUNTIF('Detailed Attendance'!FU37:FU37, "A")+COUNTIF('Detailed Attendance'!FY37:FY37, "A")</f>
        <v/>
      </c>
      <c r="BB36" s="68">
        <f>IF((AZ36+BA36)=0,"", AZ36/(AZ36+BA36))</f>
        <v/>
      </c>
      <c r="BC36" s="67">
        <f>COUNTIF('Detailed Attendance'!DC37:DC37, "P")+COUNTIF('Detailed Attendance'!DV37:DV37, "P")+COUNTIF('Detailed Attendance'!DZ37:DZ37, "P")+COUNTIF('Detailed Attendance'!ES37:ES37, "P")+COUNTIF('Detailed Attendance'!GC37:GC37, "P")+COUNTIF('Detailed Attendance'!GG37:GG37, "P")</f>
        <v/>
      </c>
      <c r="BD36" s="67">
        <f>COUNTIF('Detailed Attendance'!DC37:DC37, "A")+COUNTIF('Detailed Attendance'!DV37:DV37, "A")+COUNTIF('Detailed Attendance'!DZ37:DZ37, "A")+COUNTIF('Detailed Attendance'!ES37:ES37, "A")+COUNTIF('Detailed Attendance'!GC37:GC37, "A")+COUNTIF('Detailed Attendance'!GG37:GG37, "A")</f>
        <v/>
      </c>
      <c r="BE36" s="68">
        <f>IF((BC36+BD36)=0,"", BC36/(BC36+BD36))</f>
        <v/>
      </c>
      <c r="BF36" s="67">
        <f>COUNTIF('Detailed Attendance'!DO37:DO37, "P")+COUNTIF('Detailed Attendance'!DW37:DW37, "P")+COUNTIF('Detailed Attendance'!EL37:EL37, "P")+COUNTIF('Detailed Attendance'!ET37:ET37, "P")+COUNTIF('Detailed Attendance'!FF37:FF37, "P")+COUNTIF('Detailed Attendance'!FV37:FV37, "P")+COUNTIF('Detailed Attendance'!GD37:GD37, "P")</f>
        <v/>
      </c>
      <c r="BG36" s="67">
        <f>COUNTIF('Detailed Attendance'!DO37:DO37, "A")+COUNTIF('Detailed Attendance'!DW37:DW37, "A")+COUNTIF('Detailed Attendance'!EL37:EL37, "A")+COUNTIF('Detailed Attendance'!ET37:ET37, "A")+COUNTIF('Detailed Attendance'!FF37:FF37, "A")+COUNTIF('Detailed Attendance'!FV37:FV37, "A")+COUNTIF('Detailed Attendance'!GD37:GD37, "A")</f>
        <v/>
      </c>
      <c r="BH36" s="68">
        <f>IF((BF36+BG36)=0,"", BF36/(BF36+BG36))</f>
        <v/>
      </c>
      <c r="BI36" s="67">
        <f>AT36+AW36+AZ36+BC36+BF36</f>
        <v/>
      </c>
      <c r="BJ36" s="67">
        <f>AU36+AX36+BA36+BD36+BG36</f>
        <v/>
      </c>
      <c r="BK36" s="68">
        <f>IF((BI36+BJ36)=0,"", BI36/(BI36+BJ36))</f>
        <v/>
      </c>
      <c r="BL36" s="69">
        <f>COUNTIF('Detailed Attendance'!DG37:DG37, "P")+COUNTIF('Detailed Attendance'!ED37:ED37, "P")+COUNTIF('Detailed Attendance'!EX37:EX37, "P")+COUNTIF('Detailed Attendance'!FN37:FN37, "P")+COUNTIF('Detailed Attendance'!DX37:DX37, "P")+COUNTIF('Detailed Attendance'!EU37:EU37, "P")+COUNTIF('Detailed Attendance'!GE37:GE37, "P")+COUNTIF('Detailed Attendance'!DE37:DE37, "P")+COUNTIF('Detailed Attendance'!EB37:EB37, "P")+COUNTIF('Detailed Attendance'!GI37:GI37, "P")</f>
        <v/>
      </c>
      <c r="BM36" s="69">
        <f>COUNTIF('Detailed Attendance'!DG37:DG37, "A")+COUNTIF('Detailed Attendance'!ED37:ED37, "A")+COUNTIF('Detailed Attendance'!EX37:EX37, "A")+COUNTIF('Detailed Attendance'!FN37:FN37, "A")+COUNTIF('Detailed Attendance'!DX37:DX37, "A")+COUNTIF('Detailed Attendance'!EU37:EU37, "A")+COUNTIF('Detailed Attendance'!GE37:GE37, "A")+COUNTIF('Detailed Attendance'!DE37:DE37, "A")+COUNTIF('Detailed Attendance'!EB37:EB37, "A")+COUNTIF('Detailed Attendance'!GI37:GI37, "A")</f>
        <v/>
      </c>
      <c r="BN36" s="70">
        <f>IF((BL36+BM36)=0,"", BL36/(BL36+BM36))</f>
        <v/>
      </c>
      <c r="BO36" s="67">
        <f>D36+Y36+AT36</f>
        <v/>
      </c>
      <c r="BP36" s="67">
        <f>E36+Z36+AU36</f>
        <v/>
      </c>
      <c r="BQ36" s="68">
        <f>IF((BO36+BP36)=0,"", BO36/(BO36+BP36))</f>
        <v/>
      </c>
      <c r="BR36" s="67">
        <f>G36+AB36+AW36</f>
        <v/>
      </c>
      <c r="BS36" s="67">
        <f>H36+AC36+AX36</f>
        <v/>
      </c>
      <c r="BT36" s="68">
        <f>IF((BR36+BS36)=0,"", BR36/(BR36+BS36))</f>
        <v/>
      </c>
      <c r="BU36" s="67">
        <f>J36+AE36+AZ36</f>
        <v/>
      </c>
      <c r="BV36" s="67">
        <f>K36+AF36+BA36</f>
        <v/>
      </c>
      <c r="BW36" s="68">
        <f>IF((BU36+BV36)=0,"", BU36/(BU36+BV36))</f>
        <v/>
      </c>
      <c r="BX36" s="67">
        <f>M36+AH36+BC36</f>
        <v/>
      </c>
      <c r="BY36" s="67">
        <f>N36+AI36+BD36</f>
        <v/>
      </c>
      <c r="BZ36" s="68">
        <f>IF((BX36+BY36)=0,"", BX36/(BX36+BY36))</f>
        <v/>
      </c>
      <c r="CA36" s="67">
        <f>P36+AK36+BF36</f>
        <v/>
      </c>
      <c r="CB36" s="67">
        <f>Q36+AL36+BG36</f>
        <v/>
      </c>
      <c r="CC36" s="68">
        <f>IF((CA36+CB36)=0,"", CA36/(CA36+CB36))</f>
        <v/>
      </c>
      <c r="CD36" s="67">
        <f>S36+AN36+BI36</f>
        <v/>
      </c>
      <c r="CE36" s="67">
        <f>T36+AO36+BJ36</f>
        <v/>
      </c>
      <c r="CF36" s="68">
        <f>IF((CD36+CE36)=0,"", CD36/(CD36+CE36))</f>
        <v/>
      </c>
      <c r="CG36" s="69">
        <f>V36+AQ36+BL36</f>
        <v/>
      </c>
      <c r="CH36" s="69">
        <f>W36+AR36+BM36</f>
        <v/>
      </c>
      <c r="CI36" s="70">
        <f>IF((CG36+CH36)=0,"", CG36/(CG36+CH36))</f>
        <v/>
      </c>
      <c r="CJ36" s="67">
        <f>CD36+(CG36*2)</f>
        <v/>
      </c>
      <c r="CK36" s="67">
        <f>CE36+(CH36*2)</f>
        <v/>
      </c>
      <c r="CL36" s="68">
        <f>IF((CJ36+CK36)=0,"", CJ36/(CJ36+CK36))</f>
        <v/>
      </c>
      <c r="CM36" s="67" t="inlineStr">
        <is>
          <t>Batch 1</t>
        </is>
      </c>
    </row>
    <row r="37" ht="14.25" customHeight="1" s="34">
      <c r="A37" s="46" t="n">
        <v>35</v>
      </c>
      <c r="B37" s="46" t="inlineStr">
        <is>
          <t>325106410035</t>
        </is>
      </c>
      <c r="C37" s="46" t="inlineStr">
        <is>
          <t>SAI PRASANNA PALLA</t>
        </is>
      </c>
      <c r="D37" s="63" t="n">
        <v>0</v>
      </c>
      <c r="E37" s="63" t="n">
        <v>0</v>
      </c>
      <c r="F37" s="64">
        <f>IF((D37+E37)=0,"", D37/(D37+E37))</f>
        <v/>
      </c>
      <c r="G37" s="63">
        <f>COUNTIF('Detailed Attendance'!I38:I38, "P")</f>
        <v/>
      </c>
      <c r="H37" s="63">
        <f>COUNTIF('Detailed Attendance'!I38:I38, "A")</f>
        <v/>
      </c>
      <c r="I37" s="64">
        <f>IF((G37+H37)=0,"", G37/(G37+H37))</f>
        <v/>
      </c>
      <c r="J37" s="63" t="n">
        <v>0</v>
      </c>
      <c r="K37" s="63" t="n">
        <v>0</v>
      </c>
      <c r="L37" s="64">
        <f>IF((J37+K37)=0,"", J37/(J37+K37))</f>
        <v/>
      </c>
      <c r="M37" s="63">
        <f>COUNTIF('Detailed Attendance'!D38:D38, "P")</f>
        <v/>
      </c>
      <c r="N37" s="63">
        <f>COUNTIF('Detailed Attendance'!D38:D38, "A")</f>
        <v/>
      </c>
      <c r="O37" s="64">
        <f>IF((M37+N37)=0,"", M37/(M37+N37))</f>
        <v/>
      </c>
      <c r="P37" s="63" t="n">
        <v>0</v>
      </c>
      <c r="Q37" s="63" t="n">
        <v>0</v>
      </c>
      <c r="R37" s="64">
        <f>IF((P37+Q37)=0,"", P37/(P37+Q37))</f>
        <v/>
      </c>
      <c r="S37" s="63">
        <f>D37+G37+J37+M37+P37</f>
        <v/>
      </c>
      <c r="T37" s="63">
        <f>E37+H37+K37+N37+Q37</f>
        <v/>
      </c>
      <c r="U37" s="64">
        <f>IF((S37+T37)=0,"", S37/(S37+T37))</f>
        <v/>
      </c>
      <c r="V37" s="65">
        <f>COUNTIF('Detailed Attendance'!E38:E38, "P")</f>
        <v/>
      </c>
      <c r="W37" s="65">
        <f>COUNTIF('Detailed Attendance'!E38:E38, "A")</f>
        <v/>
      </c>
      <c r="X37" s="66">
        <f>IF((V37+W37)=0,"", V37/(V37+W37))</f>
        <v/>
      </c>
      <c r="Y37" s="63">
        <f>COUNTIF('Detailed Attendance'!R38:R38, "P")+COUNTIF('Detailed Attendance'!X38:X38, "P")+COUNTIF('Detailed Attendance'!AL38:AL38, "P")+COUNTIF('Detailed Attendance'!BF38:BF38, "P")+COUNTIF('Detailed Attendance'!BL38:BL38, "P")+COUNTIF('Detailed Attendance'!BZ38:BZ38, "P")+COUNTIF('Detailed Attendance'!CI38:CI38, "P")+COUNTIF('Detailed Attendance'!CW38:CW38, "P")</f>
        <v/>
      </c>
      <c r="Z37" s="63">
        <f>COUNTIF('Detailed Attendance'!R38:R38, "A")+COUNTIF('Detailed Attendance'!X38:X38, "A")+COUNTIF('Detailed Attendance'!AL38:AL38, "A")+COUNTIF('Detailed Attendance'!BF38:BF38, "A")+COUNTIF('Detailed Attendance'!BL38:BL38, "A")+COUNTIF('Detailed Attendance'!BZ38:BZ38, "A")+COUNTIF('Detailed Attendance'!CI38:CI38, "A")+COUNTIF('Detailed Attendance'!CW38:CW38, "A")</f>
        <v/>
      </c>
      <c r="AA37" s="64">
        <f>IF((Y37+Z37)=0,"", Y37/(Y37+Z37))</f>
        <v/>
      </c>
      <c r="AB37" s="63">
        <f>COUNTIF('Detailed Attendance'!Q38:Q38, "P")+COUNTIF('Detailed Attendance'!AC38:AC38, "P")+COUNTIF('Detailed Attendance'!AK38:AK38, "P")+COUNTIF('Detailed Attendance'!AW38:AW38, "P")+COUNTIF('Detailed Attendance'!BE38:BE38, "P")+COUNTIF('Detailed Attendance'!BQ38:BQ38, "P")+COUNTIF('Detailed Attendance'!BY38:BY38, "P")+COUNTIF('Detailed Attendance'!CN38:CN38, "P")+COUNTIF('Detailed Attendance'!CV38:CV38, "P")</f>
        <v/>
      </c>
      <c r="AC37" s="63">
        <f>COUNTIF('Detailed Attendance'!Q38:Q38, "A")+COUNTIF('Detailed Attendance'!AC38:AC38, "A")+COUNTIF('Detailed Attendance'!AK38:AK38, "A")+COUNTIF('Detailed Attendance'!AW38:AW38, "A")+COUNTIF('Detailed Attendance'!BE38:BE38, "A")+COUNTIF('Detailed Attendance'!BQ38:BQ38, "A")+COUNTIF('Detailed Attendance'!BY38:BY38, "A")+COUNTIF('Detailed Attendance'!CN38:CN38, "A")+COUNTIF('Detailed Attendance'!CV38:CV38, "A")</f>
        <v/>
      </c>
      <c r="AD37" s="64">
        <f>IF((AB37+AC37)=0,"", AB37/(AB37+AC37))</f>
        <v/>
      </c>
      <c r="AE37" s="63">
        <f>COUNTIF('Detailed Attendance'!L38:L38, "P")+COUNTIF('Detailed Attendance'!P38:P38, "P")+COUNTIF('Detailed Attendance'!AF38:AF38, "P")+COUNTIF('Detailed Attendance'!AJ38:AJ38, "P")+COUNTIF('Detailed Attendance'!AZ38:AZ38, "P")+COUNTIF('Detailed Attendance'!BD38:BD38, "P")+COUNTIF('Detailed Attendance'!BT38:BT38, "P")+COUNTIF('Detailed Attendance'!BX38:BX38, "P")+COUNTIF('Detailed Attendance'!CQ38:CQ38, "P")+COUNTIF('Detailed Attendance'!CU38:CU38, "P")</f>
        <v/>
      </c>
      <c r="AF37" s="67">
        <f>COUNTIF('Detailed Attendance'!L38:L38, "A")+COUNTIF('Detailed Attendance'!P38:P38, "A")+COUNTIF('Detailed Attendance'!AF38:AF38, "A")+COUNTIF('Detailed Attendance'!AJ38:AJ38, "A")+COUNTIF('Detailed Attendance'!AZ38:AZ38, "A")+COUNTIF('Detailed Attendance'!BD38:BD38, "A")+COUNTIF('Detailed Attendance'!BT38:BT38, "A")+COUNTIF('Detailed Attendance'!BX38:BX38, "A")+COUNTIF('Detailed Attendance'!CQ38:CQ38, "A")+COUNTIF('Detailed Attendance'!CU38:CU38, "A")</f>
        <v/>
      </c>
      <c r="AG37" s="68">
        <f>IF((AE37+AF37)=0,"", AE37/(AE37+AF37))</f>
        <v/>
      </c>
      <c r="AH37" s="67">
        <f>COUNTIF('Detailed Attendance'!T38:T38, "P")+COUNTIF('Detailed Attendance'!AN38:AN38, "P")+COUNTIF('Detailed Attendance'!AR38:AR38, "P")+COUNTIF('Detailed Attendance'!BH38:BH38, "P")+COUNTIF('Detailed Attendance'!CB38:CB38, "P")+COUNTIF('Detailed Attendance'!CF38:CF38, "P")+COUNTIF('Detailed Attendance'!CY38:CY38, "P")</f>
        <v/>
      </c>
      <c r="AI37" s="67">
        <f>COUNTIF('Detailed Attendance'!T38:T38, "A")+COUNTIF('Detailed Attendance'!AN38:AN38, "A")+COUNTIF('Detailed Attendance'!AR38:AR38, "A")+COUNTIF('Detailed Attendance'!BH38:BH38, "A")+COUNTIF('Detailed Attendance'!CB38:CB38, "A")+COUNTIF('Detailed Attendance'!CF38:CF38, "A")+COUNTIF('Detailed Attendance'!CY38:CY38, "A")</f>
        <v/>
      </c>
      <c r="AJ37" s="68">
        <f>IF((AH37+AI37)=0,"", AH37/(AH37+AI37))</f>
        <v/>
      </c>
      <c r="AK37" s="67">
        <f>COUNTIF('Detailed Attendance'!M38:M38, "P")+COUNTIF('Detailed Attendance'!U38:U38, "P")+COUNTIF('Detailed Attendance'!AG38:AG38, "P")+COUNTIF('Detailed Attendance'!AO38:AO38, "P")+COUNTIF('Detailed Attendance'!BA38:BA38, "P")+COUNTIF('Detailed Attendance'!BI38:BI38, "P")+COUNTIF('Detailed Attendance'!BU38:BU38, "P")+COUNTIF('Detailed Attendance'!CC38:CC38, "P")+COUNTIF('Detailed Attendance'!CR38:CR38, "P")+COUNTIF('Detailed Attendance'!CZ38:CZ38, "P")</f>
        <v/>
      </c>
      <c r="AL37" s="67">
        <f>COUNTIF('Detailed Attendance'!M38:M38, "A")+COUNTIF('Detailed Attendance'!U38:U38, "A")+COUNTIF('Detailed Attendance'!AG38:AG38, "A")+COUNTIF('Detailed Attendance'!AO38:AO38, "A")+COUNTIF('Detailed Attendance'!BA38:BA38, "A")+COUNTIF('Detailed Attendance'!BI38:BI38, "A")+COUNTIF('Detailed Attendance'!BU38:BU38, "A")+COUNTIF('Detailed Attendance'!CC38:CC38, "A")+COUNTIF('Detailed Attendance'!CR38:CR38, "A")+COUNTIF('Detailed Attendance'!CZ38:CZ38, "A")</f>
        <v/>
      </c>
      <c r="AM37" s="68">
        <f>IF((AK37+AL37)=0,"", AK37/(AK37+AL37))</f>
        <v/>
      </c>
      <c r="AN37" s="67">
        <f>Y37+AB37+AE37+AH37+AK37</f>
        <v/>
      </c>
      <c r="AO37" s="67">
        <f>Z37+AC37+AF37+AI37+AL37</f>
        <v/>
      </c>
      <c r="AP37" s="68">
        <f>IF((AN37+AO37)=0,"", AN37/(AN37+AO37))</f>
        <v/>
      </c>
      <c r="AQ37" s="69">
        <f>COUNTIF('Detailed Attendance'!Y38:Y38, "P")+COUNTIF('Detailed Attendance'!AS38:AS38, "P")+COUNTIF('Detailed Attendance'!BM38:BM38, "P")+COUNTIF('Detailed Attendance'!CJ38:CJ38, "P")+COUNTIF('Detailed Attendance'!V38:V38, "P")+COUNTIF('Detailed Attendance'!AP38:AP38, "P")+COUNTIF('Detailed Attendance'!BJ38:BJ38, "P")+COUNTIF('Detailed Attendance'!CD38:CD38, "P")+COUNTIF('Detailed Attendance'!DA38:DA38, "P")+COUNTIF('Detailed Attendance'!CH38:CH38, "P")</f>
        <v/>
      </c>
      <c r="AR37" s="69">
        <f>COUNTIF('Detailed Attendance'!Y38:Y38, "A")+COUNTIF('Detailed Attendance'!AS38:AS38, "A")+COUNTIF('Detailed Attendance'!BM38:BM38, "A")+COUNTIF('Detailed Attendance'!CJ38:CJ38, "A")+COUNTIF('Detailed Attendance'!V38:V38, "A")+COUNTIF('Detailed Attendance'!AP38:AP38, "A")+COUNTIF('Detailed Attendance'!BJ38:BJ38, "A")+COUNTIF('Detailed Attendance'!CD38:CD38, "A")+COUNTIF('Detailed Attendance'!DA38:DA38, "A")+COUNTIF('Detailed Attendance'!CH38:CH38, "A")</f>
        <v/>
      </c>
      <c r="AS37" s="70">
        <f>IF((AQ37+AR37)=0,"", AQ37/(AQ37+AR37))</f>
        <v/>
      </c>
      <c r="AT37" s="67">
        <f>COUNTIF('Detailed Attendance'!DF38:DF38, "P")+COUNTIF('Detailed Attendance'!DT38:DT38, "P")+COUNTIF('Detailed Attendance'!EC38:EC38, "P")+COUNTIF('Detailed Attendance'!EQ38:EQ38, "P")+COUNTIF('Detailed Attendance'!EW38:EW38, "P")+COUNTIF('Detailed Attendance'!FK38:FK38, "P")+COUNTIF('Detailed Attendance'!FM38:FM38, "P")+COUNTIF('Detailed Attendance'!GA38:GA38, "P")</f>
        <v/>
      </c>
      <c r="AU37" s="67">
        <f>COUNTIF('Detailed Attendance'!DF38:DF38, "A")+COUNTIF('Detailed Attendance'!DT38:DT38, "A")+COUNTIF('Detailed Attendance'!EC38:EC38, "A")+COUNTIF('Detailed Attendance'!EQ38:EQ38, "A")+COUNTIF('Detailed Attendance'!EW38:EW38, "A")+COUNTIF('Detailed Attendance'!FK38:FK38, "A")+COUNTIF('Detailed Attendance'!FM38:FM38, "A")+COUNTIF('Detailed Attendance'!GA38:GA38, "A")</f>
        <v/>
      </c>
      <c r="AV37" s="68">
        <f>IF((AT37+AU37)=0,"", AT37/(AT37+AU37))</f>
        <v/>
      </c>
      <c r="AW37" s="67">
        <f>COUNTIF('Detailed Attendance'!DK38:DK38, "P")+COUNTIF('Detailed Attendance'!DS38:DS38, "P")+COUNTIF('Detailed Attendance'!EH38:EH38, "P")+COUNTIF('Detailed Attendance'!EP38:EP38, "P")+COUNTIF('Detailed Attendance'!FB38:FB38, "P")+COUNTIF('Detailed Attendance'!FJ38:FJ38, "P")+COUNTIF('Detailed Attendance'!FR38:FR38, "P")+COUNTIF('Detailed Attendance'!FZ38:FZ38, "P")</f>
        <v/>
      </c>
      <c r="AX37" s="67">
        <f>COUNTIF('Detailed Attendance'!DK38:DK38, "A")+COUNTIF('Detailed Attendance'!DS38:DS38, "A")+COUNTIF('Detailed Attendance'!EH38:EH38, "A")+COUNTIF('Detailed Attendance'!EP38:EP38, "A")+COUNTIF('Detailed Attendance'!FB38:FB38, "A")+COUNTIF('Detailed Attendance'!FJ38:FJ38, "A")+COUNTIF('Detailed Attendance'!FR38:FR38, "A")+COUNTIF('Detailed Attendance'!FZ38:FZ38, "A")</f>
        <v/>
      </c>
      <c r="AY37" s="68">
        <f>IF((AW37+AX37)=0,"", AW37/(AW37+AX37))</f>
        <v/>
      </c>
      <c r="AZ37" s="67">
        <f>COUNTIF('Detailed Attendance'!DN38:DN38, "P")+COUNTIF('Detailed Attendance'!DR38:DR38, "P")+COUNTIF('Detailed Attendance'!EK38:EK38, "P")+COUNTIF('Detailed Attendance'!EO38:EO38, "P")+COUNTIF('Detailed Attendance'!FE38:FE38, "P")+COUNTIF('Detailed Attendance'!FI38:FI38, "P")+COUNTIF('Detailed Attendance'!FU38:FU38, "P")+COUNTIF('Detailed Attendance'!FY38:FY38, "P")</f>
        <v/>
      </c>
      <c r="BA37" s="67">
        <f>COUNTIF('Detailed Attendance'!DN38:DN38, "A")+COUNTIF('Detailed Attendance'!DR38:DR38, "A")+COUNTIF('Detailed Attendance'!EK38:EK38, "A")+COUNTIF('Detailed Attendance'!EO38:EO38, "A")+COUNTIF('Detailed Attendance'!FE38:FE38, "A")+COUNTIF('Detailed Attendance'!FI38:FI38, "A")+COUNTIF('Detailed Attendance'!FU38:FU38, "A")+COUNTIF('Detailed Attendance'!FY38:FY38, "A")</f>
        <v/>
      </c>
      <c r="BB37" s="68">
        <f>IF((AZ37+BA37)=0,"", AZ37/(AZ37+BA37))</f>
        <v/>
      </c>
      <c r="BC37" s="67">
        <f>COUNTIF('Detailed Attendance'!DC38:DC38, "P")+COUNTIF('Detailed Attendance'!DV38:DV38, "P")+COUNTIF('Detailed Attendance'!DZ38:DZ38, "P")+COUNTIF('Detailed Attendance'!ES38:ES38, "P")+COUNTIF('Detailed Attendance'!GC38:GC38, "P")+COUNTIF('Detailed Attendance'!GG38:GG38, "P")</f>
        <v/>
      </c>
      <c r="BD37" s="67">
        <f>COUNTIF('Detailed Attendance'!DC38:DC38, "A")+COUNTIF('Detailed Attendance'!DV38:DV38, "A")+COUNTIF('Detailed Attendance'!DZ38:DZ38, "A")+COUNTIF('Detailed Attendance'!ES38:ES38, "A")+COUNTIF('Detailed Attendance'!GC38:GC38, "A")+COUNTIF('Detailed Attendance'!GG38:GG38, "A")</f>
        <v/>
      </c>
      <c r="BE37" s="68">
        <f>IF((BC37+BD37)=0,"", BC37/(BC37+BD37))</f>
        <v/>
      </c>
      <c r="BF37" s="67">
        <f>COUNTIF('Detailed Attendance'!DO38:DO38, "P")+COUNTIF('Detailed Attendance'!DW38:DW38, "P")+COUNTIF('Detailed Attendance'!EL38:EL38, "P")+COUNTIF('Detailed Attendance'!ET38:ET38, "P")+COUNTIF('Detailed Attendance'!FF38:FF38, "P")+COUNTIF('Detailed Attendance'!FV38:FV38, "P")+COUNTIF('Detailed Attendance'!GD38:GD38, "P")</f>
        <v/>
      </c>
      <c r="BG37" s="67">
        <f>COUNTIF('Detailed Attendance'!DO38:DO38, "A")+COUNTIF('Detailed Attendance'!DW38:DW38, "A")+COUNTIF('Detailed Attendance'!EL38:EL38, "A")+COUNTIF('Detailed Attendance'!ET38:ET38, "A")+COUNTIF('Detailed Attendance'!FF38:FF38, "A")+COUNTIF('Detailed Attendance'!FV38:FV38, "A")+COUNTIF('Detailed Attendance'!GD38:GD38, "A")</f>
        <v/>
      </c>
      <c r="BH37" s="68">
        <f>IF((BF37+BG37)=0,"", BF37/(BF37+BG37))</f>
        <v/>
      </c>
      <c r="BI37" s="67">
        <f>AT37+AW37+AZ37+BC37+BF37</f>
        <v/>
      </c>
      <c r="BJ37" s="67">
        <f>AU37+AX37+BA37+BD37+BG37</f>
        <v/>
      </c>
      <c r="BK37" s="68">
        <f>IF((BI37+BJ37)=0,"", BI37/(BI37+BJ37))</f>
        <v/>
      </c>
      <c r="BL37" s="69">
        <f>COUNTIF('Detailed Attendance'!DG38:DG38, "P")+COUNTIF('Detailed Attendance'!ED38:ED38, "P")+COUNTIF('Detailed Attendance'!EX38:EX38, "P")+COUNTIF('Detailed Attendance'!FN38:FN38, "P")+COUNTIF('Detailed Attendance'!DX38:DX38, "P")+COUNTIF('Detailed Attendance'!EU38:EU38, "P")+COUNTIF('Detailed Attendance'!GE38:GE38, "P")+COUNTIF('Detailed Attendance'!DE38:DE38, "P")+COUNTIF('Detailed Attendance'!EB38:EB38, "P")+COUNTIF('Detailed Attendance'!GI38:GI38, "P")</f>
        <v/>
      </c>
      <c r="BM37" s="69">
        <f>COUNTIF('Detailed Attendance'!DG38:DG38, "A")+COUNTIF('Detailed Attendance'!ED38:ED38, "A")+COUNTIF('Detailed Attendance'!EX38:EX38, "A")+COUNTIF('Detailed Attendance'!FN38:FN38, "A")+COUNTIF('Detailed Attendance'!DX38:DX38, "A")+COUNTIF('Detailed Attendance'!EU38:EU38, "A")+COUNTIF('Detailed Attendance'!GE38:GE38, "A")+COUNTIF('Detailed Attendance'!DE38:DE38, "A")+COUNTIF('Detailed Attendance'!EB38:EB38, "A")+COUNTIF('Detailed Attendance'!GI38:GI38, "A")</f>
        <v/>
      </c>
      <c r="BN37" s="70">
        <f>IF((BL37+BM37)=0,"", BL37/(BL37+BM37))</f>
        <v/>
      </c>
      <c r="BO37" s="67">
        <f>D37+Y37+AT37</f>
        <v/>
      </c>
      <c r="BP37" s="67">
        <f>E37+Z37+AU37</f>
        <v/>
      </c>
      <c r="BQ37" s="68">
        <f>IF((BO37+BP37)=0,"", BO37/(BO37+BP37))</f>
        <v/>
      </c>
      <c r="BR37" s="67">
        <f>G37+AB37+AW37</f>
        <v/>
      </c>
      <c r="BS37" s="67">
        <f>H37+AC37+AX37</f>
        <v/>
      </c>
      <c r="BT37" s="68">
        <f>IF((BR37+BS37)=0,"", BR37/(BR37+BS37))</f>
        <v/>
      </c>
      <c r="BU37" s="67">
        <f>J37+AE37+AZ37</f>
        <v/>
      </c>
      <c r="BV37" s="67">
        <f>K37+AF37+BA37</f>
        <v/>
      </c>
      <c r="BW37" s="68">
        <f>IF((BU37+BV37)=0,"", BU37/(BU37+BV37))</f>
        <v/>
      </c>
      <c r="BX37" s="67">
        <f>M37+AH37+BC37</f>
        <v/>
      </c>
      <c r="BY37" s="67">
        <f>N37+AI37+BD37</f>
        <v/>
      </c>
      <c r="BZ37" s="68">
        <f>IF((BX37+BY37)=0,"", BX37/(BX37+BY37))</f>
        <v/>
      </c>
      <c r="CA37" s="67">
        <f>P37+AK37+BF37</f>
        <v/>
      </c>
      <c r="CB37" s="67">
        <f>Q37+AL37+BG37</f>
        <v/>
      </c>
      <c r="CC37" s="68">
        <f>IF((CA37+CB37)=0,"", CA37/(CA37+CB37))</f>
        <v/>
      </c>
      <c r="CD37" s="67">
        <f>S37+AN37+BI37</f>
        <v/>
      </c>
      <c r="CE37" s="67">
        <f>T37+AO37+BJ37</f>
        <v/>
      </c>
      <c r="CF37" s="68">
        <f>IF((CD37+CE37)=0,"", CD37/(CD37+CE37))</f>
        <v/>
      </c>
      <c r="CG37" s="69">
        <f>V37+AQ37+BL37</f>
        <v/>
      </c>
      <c r="CH37" s="69">
        <f>W37+AR37+BM37</f>
        <v/>
      </c>
      <c r="CI37" s="70">
        <f>IF((CG37+CH37)=0,"", CG37/(CG37+CH37))</f>
        <v/>
      </c>
      <c r="CJ37" s="67">
        <f>CD37+(CG37*2)</f>
        <v/>
      </c>
      <c r="CK37" s="67">
        <f>CE37+(CH37*2)</f>
        <v/>
      </c>
      <c r="CL37" s="68">
        <f>IF((CJ37+CK37)=0,"", CJ37/(CJ37+CK37))</f>
        <v/>
      </c>
      <c r="CM37" s="67" t="inlineStr">
        <is>
          <t>Batch 1</t>
        </is>
      </c>
    </row>
    <row r="38" ht="14.25" customHeight="1" s="34">
      <c r="A38" s="46" t="n">
        <v>36</v>
      </c>
      <c r="B38" s="46" t="inlineStr">
        <is>
          <t>325106410036</t>
        </is>
      </c>
      <c r="C38" s="46" t="inlineStr">
        <is>
          <t>OBEDU PALLE</t>
        </is>
      </c>
      <c r="D38" s="63" t="n">
        <v>0</v>
      </c>
      <c r="E38" s="63" t="n">
        <v>0</v>
      </c>
      <c r="F38" s="64">
        <f>IF((D38+E38)=0,"", D38/(D38+E38))</f>
        <v/>
      </c>
      <c r="G38" s="63">
        <f>COUNTIF('Detailed Attendance'!I39:I39, "P")</f>
        <v/>
      </c>
      <c r="H38" s="63">
        <f>COUNTIF('Detailed Attendance'!I39:I39, "A")</f>
        <v/>
      </c>
      <c r="I38" s="64">
        <f>IF((G38+H38)=0,"", G38/(G38+H38))</f>
        <v/>
      </c>
      <c r="J38" s="63" t="n">
        <v>0</v>
      </c>
      <c r="K38" s="63" t="n">
        <v>0</v>
      </c>
      <c r="L38" s="64">
        <f>IF((J38+K38)=0,"", J38/(J38+K38))</f>
        <v/>
      </c>
      <c r="M38" s="63">
        <f>COUNTIF('Detailed Attendance'!D39:D39, "P")</f>
        <v/>
      </c>
      <c r="N38" s="63">
        <f>COUNTIF('Detailed Attendance'!D39:D39, "A")</f>
        <v/>
      </c>
      <c r="O38" s="64">
        <f>IF((M38+N38)=0,"", M38/(M38+N38))</f>
        <v/>
      </c>
      <c r="P38" s="63" t="n">
        <v>0</v>
      </c>
      <c r="Q38" s="63" t="n">
        <v>0</v>
      </c>
      <c r="R38" s="64">
        <f>IF((P38+Q38)=0,"", P38/(P38+Q38))</f>
        <v/>
      </c>
      <c r="S38" s="63">
        <f>D38+G38+J38+M38+P38</f>
        <v/>
      </c>
      <c r="T38" s="63">
        <f>E38+H38+K38+N38+Q38</f>
        <v/>
      </c>
      <c r="U38" s="64">
        <f>IF((S38+T38)=0,"", S38/(S38+T38))</f>
        <v/>
      </c>
      <c r="V38" s="65">
        <f>COUNTIF('Detailed Attendance'!E39:E39, "P")</f>
        <v/>
      </c>
      <c r="W38" s="65">
        <f>COUNTIF('Detailed Attendance'!E39:E39, "A")</f>
        <v/>
      </c>
      <c r="X38" s="66">
        <f>IF((V38+W38)=0,"", V38/(V38+W38))</f>
        <v/>
      </c>
      <c r="Y38" s="63">
        <f>COUNTIF('Detailed Attendance'!R39:R39, "P")+COUNTIF('Detailed Attendance'!X39:X39, "P")+COUNTIF('Detailed Attendance'!AL39:AL39, "P")+COUNTIF('Detailed Attendance'!BF39:BF39, "P")+COUNTIF('Detailed Attendance'!BL39:BL39, "P")+COUNTIF('Detailed Attendance'!BZ39:BZ39, "P")+COUNTIF('Detailed Attendance'!CI39:CI39, "P")+COUNTIF('Detailed Attendance'!CW39:CW39, "P")</f>
        <v/>
      </c>
      <c r="Z38" s="63">
        <f>COUNTIF('Detailed Attendance'!R39:R39, "A")+COUNTIF('Detailed Attendance'!X39:X39, "A")+COUNTIF('Detailed Attendance'!AL39:AL39, "A")+COUNTIF('Detailed Attendance'!BF39:BF39, "A")+COUNTIF('Detailed Attendance'!BL39:BL39, "A")+COUNTIF('Detailed Attendance'!BZ39:BZ39, "A")+COUNTIF('Detailed Attendance'!CI39:CI39, "A")+COUNTIF('Detailed Attendance'!CW39:CW39, "A")</f>
        <v/>
      </c>
      <c r="AA38" s="64">
        <f>IF((Y38+Z38)=0,"", Y38/(Y38+Z38))</f>
        <v/>
      </c>
      <c r="AB38" s="63">
        <f>COUNTIF('Detailed Attendance'!Q39:Q39, "P")+COUNTIF('Detailed Attendance'!AC39:AC39, "P")+COUNTIF('Detailed Attendance'!AK39:AK39, "P")+COUNTIF('Detailed Attendance'!AW39:AW39, "P")+COUNTIF('Detailed Attendance'!BE39:BE39, "P")+COUNTIF('Detailed Attendance'!BQ39:BQ39, "P")+COUNTIF('Detailed Attendance'!BY39:BY39, "P")+COUNTIF('Detailed Attendance'!CN39:CN39, "P")+COUNTIF('Detailed Attendance'!CV39:CV39, "P")</f>
        <v/>
      </c>
      <c r="AC38" s="63">
        <f>COUNTIF('Detailed Attendance'!Q39:Q39, "A")+COUNTIF('Detailed Attendance'!AC39:AC39, "A")+COUNTIF('Detailed Attendance'!AK39:AK39, "A")+COUNTIF('Detailed Attendance'!AW39:AW39, "A")+COUNTIF('Detailed Attendance'!BE39:BE39, "A")+COUNTIF('Detailed Attendance'!BQ39:BQ39, "A")+COUNTIF('Detailed Attendance'!BY39:BY39, "A")+COUNTIF('Detailed Attendance'!CN39:CN39, "A")+COUNTIF('Detailed Attendance'!CV39:CV39, "A")</f>
        <v/>
      </c>
      <c r="AD38" s="64">
        <f>IF((AB38+AC38)=0,"", AB38/(AB38+AC38))</f>
        <v/>
      </c>
      <c r="AE38" s="63">
        <f>COUNTIF('Detailed Attendance'!L39:L39, "P")+COUNTIF('Detailed Attendance'!P39:P39, "P")+COUNTIF('Detailed Attendance'!AF39:AF39, "P")+COUNTIF('Detailed Attendance'!AJ39:AJ39, "P")+COUNTIF('Detailed Attendance'!AZ39:AZ39, "P")+COUNTIF('Detailed Attendance'!BD39:BD39, "P")+COUNTIF('Detailed Attendance'!BT39:BT39, "P")+COUNTIF('Detailed Attendance'!BX39:BX39, "P")+COUNTIF('Detailed Attendance'!CQ39:CQ39, "P")+COUNTIF('Detailed Attendance'!CU39:CU39, "P")</f>
        <v/>
      </c>
      <c r="AF38" s="67">
        <f>COUNTIF('Detailed Attendance'!L39:L39, "A")+COUNTIF('Detailed Attendance'!P39:P39, "A")+COUNTIF('Detailed Attendance'!AF39:AF39, "A")+COUNTIF('Detailed Attendance'!AJ39:AJ39, "A")+COUNTIF('Detailed Attendance'!AZ39:AZ39, "A")+COUNTIF('Detailed Attendance'!BD39:BD39, "A")+COUNTIF('Detailed Attendance'!BT39:BT39, "A")+COUNTIF('Detailed Attendance'!BX39:BX39, "A")+COUNTIF('Detailed Attendance'!CQ39:CQ39, "A")+COUNTIF('Detailed Attendance'!CU39:CU39, "A")</f>
        <v/>
      </c>
      <c r="AG38" s="68">
        <f>IF((AE38+AF38)=0,"", AE38/(AE38+AF38))</f>
        <v/>
      </c>
      <c r="AH38" s="67">
        <f>COUNTIF('Detailed Attendance'!T39:T39, "P")+COUNTIF('Detailed Attendance'!AN39:AN39, "P")+COUNTIF('Detailed Attendance'!AR39:AR39, "P")+COUNTIF('Detailed Attendance'!BH39:BH39, "P")+COUNTIF('Detailed Attendance'!CB39:CB39, "P")+COUNTIF('Detailed Attendance'!CF39:CF39, "P")+COUNTIF('Detailed Attendance'!CY39:CY39, "P")</f>
        <v/>
      </c>
      <c r="AI38" s="67">
        <f>COUNTIF('Detailed Attendance'!T39:T39, "A")+COUNTIF('Detailed Attendance'!AN39:AN39, "A")+COUNTIF('Detailed Attendance'!AR39:AR39, "A")+COUNTIF('Detailed Attendance'!BH39:BH39, "A")+COUNTIF('Detailed Attendance'!CB39:CB39, "A")+COUNTIF('Detailed Attendance'!CF39:CF39, "A")+COUNTIF('Detailed Attendance'!CY39:CY39, "A")</f>
        <v/>
      </c>
      <c r="AJ38" s="68">
        <f>IF((AH38+AI38)=0,"", AH38/(AH38+AI38))</f>
        <v/>
      </c>
      <c r="AK38" s="67">
        <f>COUNTIF('Detailed Attendance'!M39:M39, "P")+COUNTIF('Detailed Attendance'!U39:U39, "P")+COUNTIF('Detailed Attendance'!AG39:AG39, "P")+COUNTIF('Detailed Attendance'!AO39:AO39, "P")+COUNTIF('Detailed Attendance'!BA39:BA39, "P")+COUNTIF('Detailed Attendance'!BI39:BI39, "P")+COUNTIF('Detailed Attendance'!BU39:BU39, "P")+COUNTIF('Detailed Attendance'!CC39:CC39, "P")+COUNTIF('Detailed Attendance'!CR39:CR39, "P")+COUNTIF('Detailed Attendance'!CZ39:CZ39, "P")</f>
        <v/>
      </c>
      <c r="AL38" s="67">
        <f>COUNTIF('Detailed Attendance'!M39:M39, "A")+COUNTIF('Detailed Attendance'!U39:U39, "A")+COUNTIF('Detailed Attendance'!AG39:AG39, "A")+COUNTIF('Detailed Attendance'!AO39:AO39, "A")+COUNTIF('Detailed Attendance'!BA39:BA39, "A")+COUNTIF('Detailed Attendance'!BI39:BI39, "A")+COUNTIF('Detailed Attendance'!BU39:BU39, "A")+COUNTIF('Detailed Attendance'!CC39:CC39, "A")+COUNTIF('Detailed Attendance'!CR39:CR39, "A")+COUNTIF('Detailed Attendance'!CZ39:CZ39, "A")</f>
        <v/>
      </c>
      <c r="AM38" s="68">
        <f>IF((AK38+AL38)=0,"", AK38/(AK38+AL38))</f>
        <v/>
      </c>
      <c r="AN38" s="67">
        <f>Y38+AB38+AE38+AH38+AK38</f>
        <v/>
      </c>
      <c r="AO38" s="67">
        <f>Z38+AC38+AF38+AI38+AL38</f>
        <v/>
      </c>
      <c r="AP38" s="68">
        <f>IF((AN38+AO38)=0,"", AN38/(AN38+AO38))</f>
        <v/>
      </c>
      <c r="AQ38" s="69">
        <f>COUNTIF('Detailed Attendance'!Y39:Y39, "P")+COUNTIF('Detailed Attendance'!AS39:AS39, "P")+COUNTIF('Detailed Attendance'!BM39:BM39, "P")+COUNTIF('Detailed Attendance'!CJ39:CJ39, "P")+COUNTIF('Detailed Attendance'!V39:V39, "P")+COUNTIF('Detailed Attendance'!AP39:AP39, "P")+COUNTIF('Detailed Attendance'!BJ39:BJ39, "P")+COUNTIF('Detailed Attendance'!CD39:CD39, "P")+COUNTIF('Detailed Attendance'!DA39:DA39, "P")+COUNTIF('Detailed Attendance'!CH39:CH39, "P")</f>
        <v/>
      </c>
      <c r="AR38" s="69">
        <f>COUNTIF('Detailed Attendance'!Y39:Y39, "A")+COUNTIF('Detailed Attendance'!AS39:AS39, "A")+COUNTIF('Detailed Attendance'!BM39:BM39, "A")+COUNTIF('Detailed Attendance'!CJ39:CJ39, "A")+COUNTIF('Detailed Attendance'!V39:V39, "A")+COUNTIF('Detailed Attendance'!AP39:AP39, "A")+COUNTIF('Detailed Attendance'!BJ39:BJ39, "A")+COUNTIF('Detailed Attendance'!CD39:CD39, "A")+COUNTIF('Detailed Attendance'!DA39:DA39, "A")+COUNTIF('Detailed Attendance'!CH39:CH39, "A")</f>
        <v/>
      </c>
      <c r="AS38" s="70">
        <f>IF((AQ38+AR38)=0,"", AQ38/(AQ38+AR38))</f>
        <v/>
      </c>
      <c r="AT38" s="67">
        <f>COUNTIF('Detailed Attendance'!DF39:DF39, "P")+COUNTIF('Detailed Attendance'!DT39:DT39, "P")+COUNTIF('Detailed Attendance'!EC39:EC39, "P")+COUNTIF('Detailed Attendance'!EQ39:EQ39, "P")+COUNTIF('Detailed Attendance'!EW39:EW39, "P")+COUNTIF('Detailed Attendance'!FK39:FK39, "P")+COUNTIF('Detailed Attendance'!FM39:FM39, "P")+COUNTIF('Detailed Attendance'!GA39:GA39, "P")</f>
        <v/>
      </c>
      <c r="AU38" s="67">
        <f>COUNTIF('Detailed Attendance'!DF39:DF39, "A")+COUNTIF('Detailed Attendance'!DT39:DT39, "A")+COUNTIF('Detailed Attendance'!EC39:EC39, "A")+COUNTIF('Detailed Attendance'!EQ39:EQ39, "A")+COUNTIF('Detailed Attendance'!EW39:EW39, "A")+COUNTIF('Detailed Attendance'!FK39:FK39, "A")+COUNTIF('Detailed Attendance'!FM39:FM39, "A")+COUNTIF('Detailed Attendance'!GA39:GA39, "A")</f>
        <v/>
      </c>
      <c r="AV38" s="68">
        <f>IF((AT38+AU38)=0,"", AT38/(AT38+AU38))</f>
        <v/>
      </c>
      <c r="AW38" s="67">
        <f>COUNTIF('Detailed Attendance'!DK39:DK39, "P")+COUNTIF('Detailed Attendance'!DS39:DS39, "P")+COUNTIF('Detailed Attendance'!EH39:EH39, "P")+COUNTIF('Detailed Attendance'!EP39:EP39, "P")+COUNTIF('Detailed Attendance'!FB39:FB39, "P")+COUNTIF('Detailed Attendance'!FJ39:FJ39, "P")+COUNTIF('Detailed Attendance'!FR39:FR39, "P")+COUNTIF('Detailed Attendance'!FZ39:FZ39, "P")</f>
        <v/>
      </c>
      <c r="AX38" s="67">
        <f>COUNTIF('Detailed Attendance'!DK39:DK39, "A")+COUNTIF('Detailed Attendance'!DS39:DS39, "A")+COUNTIF('Detailed Attendance'!EH39:EH39, "A")+COUNTIF('Detailed Attendance'!EP39:EP39, "A")+COUNTIF('Detailed Attendance'!FB39:FB39, "A")+COUNTIF('Detailed Attendance'!FJ39:FJ39, "A")+COUNTIF('Detailed Attendance'!FR39:FR39, "A")+COUNTIF('Detailed Attendance'!FZ39:FZ39, "A")</f>
        <v/>
      </c>
      <c r="AY38" s="68">
        <f>IF((AW38+AX38)=0,"", AW38/(AW38+AX38))</f>
        <v/>
      </c>
      <c r="AZ38" s="67">
        <f>COUNTIF('Detailed Attendance'!DN39:DN39, "P")+COUNTIF('Detailed Attendance'!DR39:DR39, "P")+COUNTIF('Detailed Attendance'!EK39:EK39, "P")+COUNTIF('Detailed Attendance'!EO39:EO39, "P")+COUNTIF('Detailed Attendance'!FE39:FE39, "P")+COUNTIF('Detailed Attendance'!FI39:FI39, "P")+COUNTIF('Detailed Attendance'!FU39:FU39, "P")+COUNTIF('Detailed Attendance'!FY39:FY39, "P")</f>
        <v/>
      </c>
      <c r="BA38" s="67">
        <f>COUNTIF('Detailed Attendance'!DN39:DN39, "A")+COUNTIF('Detailed Attendance'!DR39:DR39, "A")+COUNTIF('Detailed Attendance'!EK39:EK39, "A")+COUNTIF('Detailed Attendance'!EO39:EO39, "A")+COUNTIF('Detailed Attendance'!FE39:FE39, "A")+COUNTIF('Detailed Attendance'!FI39:FI39, "A")+COUNTIF('Detailed Attendance'!FU39:FU39, "A")+COUNTIF('Detailed Attendance'!FY39:FY39, "A")</f>
        <v/>
      </c>
      <c r="BB38" s="68">
        <f>IF((AZ38+BA38)=0,"", AZ38/(AZ38+BA38))</f>
        <v/>
      </c>
      <c r="BC38" s="67">
        <f>COUNTIF('Detailed Attendance'!DC39:DC39, "P")+COUNTIF('Detailed Attendance'!DV39:DV39, "P")+COUNTIF('Detailed Attendance'!DZ39:DZ39, "P")+COUNTIF('Detailed Attendance'!ES39:ES39, "P")+COUNTIF('Detailed Attendance'!GC39:GC39, "P")+COUNTIF('Detailed Attendance'!GG39:GG39, "P")</f>
        <v/>
      </c>
      <c r="BD38" s="67">
        <f>COUNTIF('Detailed Attendance'!DC39:DC39, "A")+COUNTIF('Detailed Attendance'!DV39:DV39, "A")+COUNTIF('Detailed Attendance'!DZ39:DZ39, "A")+COUNTIF('Detailed Attendance'!ES39:ES39, "A")+COUNTIF('Detailed Attendance'!GC39:GC39, "A")+COUNTIF('Detailed Attendance'!GG39:GG39, "A")</f>
        <v/>
      </c>
      <c r="BE38" s="68">
        <f>IF((BC38+BD38)=0,"", BC38/(BC38+BD38))</f>
        <v/>
      </c>
      <c r="BF38" s="67">
        <f>COUNTIF('Detailed Attendance'!DO39:DO39, "P")+COUNTIF('Detailed Attendance'!DW39:DW39, "P")+COUNTIF('Detailed Attendance'!EL39:EL39, "P")+COUNTIF('Detailed Attendance'!ET39:ET39, "P")+COUNTIF('Detailed Attendance'!FF39:FF39, "P")+COUNTIF('Detailed Attendance'!FV39:FV39, "P")+COUNTIF('Detailed Attendance'!GD39:GD39, "P")</f>
        <v/>
      </c>
      <c r="BG38" s="67">
        <f>COUNTIF('Detailed Attendance'!DO39:DO39, "A")+COUNTIF('Detailed Attendance'!DW39:DW39, "A")+COUNTIF('Detailed Attendance'!EL39:EL39, "A")+COUNTIF('Detailed Attendance'!ET39:ET39, "A")+COUNTIF('Detailed Attendance'!FF39:FF39, "A")+COUNTIF('Detailed Attendance'!FV39:FV39, "A")+COUNTIF('Detailed Attendance'!GD39:GD39, "A")</f>
        <v/>
      </c>
      <c r="BH38" s="68">
        <f>IF((BF38+BG38)=0,"", BF38/(BF38+BG38))</f>
        <v/>
      </c>
      <c r="BI38" s="67">
        <f>AT38+AW38+AZ38+BC38+BF38</f>
        <v/>
      </c>
      <c r="BJ38" s="67">
        <f>AU38+AX38+BA38+BD38+BG38</f>
        <v/>
      </c>
      <c r="BK38" s="68">
        <f>IF((BI38+BJ38)=0,"", BI38/(BI38+BJ38))</f>
        <v/>
      </c>
      <c r="BL38" s="69">
        <f>COUNTIF('Detailed Attendance'!DG39:DG39, "P")+COUNTIF('Detailed Attendance'!ED39:ED39, "P")+COUNTIF('Detailed Attendance'!EX39:EX39, "P")+COUNTIF('Detailed Attendance'!FN39:FN39, "P")+COUNTIF('Detailed Attendance'!DX39:DX39, "P")+COUNTIF('Detailed Attendance'!EU39:EU39, "P")+COUNTIF('Detailed Attendance'!GE39:GE39, "P")+COUNTIF('Detailed Attendance'!DE39:DE39, "P")+COUNTIF('Detailed Attendance'!EB39:EB39, "P")+COUNTIF('Detailed Attendance'!GI39:GI39, "P")</f>
        <v/>
      </c>
      <c r="BM38" s="69">
        <f>COUNTIF('Detailed Attendance'!DG39:DG39, "A")+COUNTIF('Detailed Attendance'!ED39:ED39, "A")+COUNTIF('Detailed Attendance'!EX39:EX39, "A")+COUNTIF('Detailed Attendance'!FN39:FN39, "A")+COUNTIF('Detailed Attendance'!DX39:DX39, "A")+COUNTIF('Detailed Attendance'!EU39:EU39, "A")+COUNTIF('Detailed Attendance'!GE39:GE39, "A")+COUNTIF('Detailed Attendance'!DE39:DE39, "A")+COUNTIF('Detailed Attendance'!EB39:EB39, "A")+COUNTIF('Detailed Attendance'!GI39:GI39, "A")</f>
        <v/>
      </c>
      <c r="BN38" s="70">
        <f>IF((BL38+BM38)=0,"", BL38/(BL38+BM38))</f>
        <v/>
      </c>
      <c r="BO38" s="67">
        <f>D38+Y38+AT38</f>
        <v/>
      </c>
      <c r="BP38" s="67">
        <f>E38+Z38+AU38</f>
        <v/>
      </c>
      <c r="BQ38" s="68">
        <f>IF((BO38+BP38)=0,"", BO38/(BO38+BP38))</f>
        <v/>
      </c>
      <c r="BR38" s="67">
        <f>G38+AB38+AW38</f>
        <v/>
      </c>
      <c r="BS38" s="67">
        <f>H38+AC38+AX38</f>
        <v/>
      </c>
      <c r="BT38" s="68">
        <f>IF((BR38+BS38)=0,"", BR38/(BR38+BS38))</f>
        <v/>
      </c>
      <c r="BU38" s="67">
        <f>J38+AE38+AZ38</f>
        <v/>
      </c>
      <c r="BV38" s="67">
        <f>K38+AF38+BA38</f>
        <v/>
      </c>
      <c r="BW38" s="68">
        <f>IF((BU38+BV38)=0,"", BU38/(BU38+BV38))</f>
        <v/>
      </c>
      <c r="BX38" s="67">
        <f>M38+AH38+BC38</f>
        <v/>
      </c>
      <c r="BY38" s="67">
        <f>N38+AI38+BD38</f>
        <v/>
      </c>
      <c r="BZ38" s="68">
        <f>IF((BX38+BY38)=0,"", BX38/(BX38+BY38))</f>
        <v/>
      </c>
      <c r="CA38" s="67">
        <f>P38+AK38+BF38</f>
        <v/>
      </c>
      <c r="CB38" s="67">
        <f>Q38+AL38+BG38</f>
        <v/>
      </c>
      <c r="CC38" s="68">
        <f>IF((CA38+CB38)=0,"", CA38/(CA38+CB38))</f>
        <v/>
      </c>
      <c r="CD38" s="67">
        <f>S38+AN38+BI38</f>
        <v/>
      </c>
      <c r="CE38" s="67">
        <f>T38+AO38+BJ38</f>
        <v/>
      </c>
      <c r="CF38" s="68">
        <f>IF((CD38+CE38)=0,"", CD38/(CD38+CE38))</f>
        <v/>
      </c>
      <c r="CG38" s="69">
        <f>V38+AQ38+BL38</f>
        <v/>
      </c>
      <c r="CH38" s="69">
        <f>W38+AR38+BM38</f>
        <v/>
      </c>
      <c r="CI38" s="70">
        <f>IF((CG38+CH38)=0,"", CG38/(CG38+CH38))</f>
        <v/>
      </c>
      <c r="CJ38" s="67">
        <f>CD38+(CG38*2)</f>
        <v/>
      </c>
      <c r="CK38" s="67">
        <f>CE38+(CH38*2)</f>
        <v/>
      </c>
      <c r="CL38" s="68">
        <f>IF((CJ38+CK38)=0,"", CJ38/(CJ38+CK38))</f>
        <v/>
      </c>
      <c r="CM38" s="67" t="inlineStr">
        <is>
          <t>Batch 1</t>
        </is>
      </c>
    </row>
    <row r="39" ht="14.25" customHeight="1" s="34">
      <c r="A39" s="46" t="n">
        <v>37</v>
      </c>
      <c r="B39" s="46" t="inlineStr">
        <is>
          <t>325106410037</t>
        </is>
      </c>
      <c r="C39" s="46" t="inlineStr">
        <is>
          <t>VINAY KUMAR PANCHADI</t>
        </is>
      </c>
      <c r="D39" s="63" t="n">
        <v>0</v>
      </c>
      <c r="E39" s="63" t="n">
        <v>0</v>
      </c>
      <c r="F39" s="64">
        <f>IF((D39+E39)=0,"", D39/(D39+E39))</f>
        <v/>
      </c>
      <c r="G39" s="63">
        <f>COUNTIF('Detailed Attendance'!I40:I40, "P")</f>
        <v/>
      </c>
      <c r="H39" s="63">
        <f>COUNTIF('Detailed Attendance'!I40:I40, "A")</f>
        <v/>
      </c>
      <c r="I39" s="64">
        <f>IF((G39+H39)=0,"", G39/(G39+H39))</f>
        <v/>
      </c>
      <c r="J39" s="63" t="n">
        <v>0</v>
      </c>
      <c r="K39" s="63" t="n">
        <v>0</v>
      </c>
      <c r="L39" s="64">
        <f>IF((J39+K39)=0,"", J39/(J39+K39))</f>
        <v/>
      </c>
      <c r="M39" s="63">
        <f>COUNTIF('Detailed Attendance'!D40:D40, "P")</f>
        <v/>
      </c>
      <c r="N39" s="63">
        <f>COUNTIF('Detailed Attendance'!D40:D40, "A")</f>
        <v/>
      </c>
      <c r="O39" s="64">
        <f>IF((M39+N39)=0,"", M39/(M39+N39))</f>
        <v/>
      </c>
      <c r="P39" s="63" t="n">
        <v>0</v>
      </c>
      <c r="Q39" s="63" t="n">
        <v>0</v>
      </c>
      <c r="R39" s="64">
        <f>IF((P39+Q39)=0,"", P39/(P39+Q39))</f>
        <v/>
      </c>
      <c r="S39" s="63">
        <f>D39+G39+J39+M39+P39</f>
        <v/>
      </c>
      <c r="T39" s="63">
        <f>E39+H39+K39+N39+Q39</f>
        <v/>
      </c>
      <c r="U39" s="64">
        <f>IF((S39+T39)=0,"", S39/(S39+T39))</f>
        <v/>
      </c>
      <c r="V39" s="65">
        <f>COUNTIF('Detailed Attendance'!E40:E40, "P")</f>
        <v/>
      </c>
      <c r="W39" s="65">
        <f>COUNTIF('Detailed Attendance'!E40:E40, "A")</f>
        <v/>
      </c>
      <c r="X39" s="66">
        <f>IF((V39+W39)=0,"", V39/(V39+W39))</f>
        <v/>
      </c>
      <c r="Y39" s="63">
        <f>COUNTIF('Detailed Attendance'!R40:R40, "P")+COUNTIF('Detailed Attendance'!X40:X40, "P")+COUNTIF('Detailed Attendance'!AL40:AL40, "P")+COUNTIF('Detailed Attendance'!BF40:BF40, "P")+COUNTIF('Detailed Attendance'!BL40:BL40, "P")+COUNTIF('Detailed Attendance'!BZ40:BZ40, "P")+COUNTIF('Detailed Attendance'!CI40:CI40, "P")+COUNTIF('Detailed Attendance'!CW40:CW40, "P")</f>
        <v/>
      </c>
      <c r="Z39" s="63">
        <f>COUNTIF('Detailed Attendance'!R40:R40, "A")+COUNTIF('Detailed Attendance'!X40:X40, "A")+COUNTIF('Detailed Attendance'!AL40:AL40, "A")+COUNTIF('Detailed Attendance'!BF40:BF40, "A")+COUNTIF('Detailed Attendance'!BL40:BL40, "A")+COUNTIF('Detailed Attendance'!BZ40:BZ40, "A")+COUNTIF('Detailed Attendance'!CI40:CI40, "A")+COUNTIF('Detailed Attendance'!CW40:CW40, "A")</f>
        <v/>
      </c>
      <c r="AA39" s="64">
        <f>IF((Y39+Z39)=0,"", Y39/(Y39+Z39))</f>
        <v/>
      </c>
      <c r="AB39" s="63">
        <f>COUNTIF('Detailed Attendance'!Q40:Q40, "P")+COUNTIF('Detailed Attendance'!AC40:AC40, "P")+COUNTIF('Detailed Attendance'!AK40:AK40, "P")+COUNTIF('Detailed Attendance'!AW40:AW40, "P")+COUNTIF('Detailed Attendance'!BE40:BE40, "P")+COUNTIF('Detailed Attendance'!BQ40:BQ40, "P")+COUNTIF('Detailed Attendance'!BY40:BY40, "P")+COUNTIF('Detailed Attendance'!CN40:CN40, "P")+COUNTIF('Detailed Attendance'!CV40:CV40, "P")</f>
        <v/>
      </c>
      <c r="AC39" s="63">
        <f>COUNTIF('Detailed Attendance'!Q40:Q40, "A")+COUNTIF('Detailed Attendance'!AC40:AC40, "A")+COUNTIF('Detailed Attendance'!AK40:AK40, "A")+COUNTIF('Detailed Attendance'!AW40:AW40, "A")+COUNTIF('Detailed Attendance'!BE40:BE40, "A")+COUNTIF('Detailed Attendance'!BQ40:BQ40, "A")+COUNTIF('Detailed Attendance'!BY40:BY40, "A")+COUNTIF('Detailed Attendance'!CN40:CN40, "A")+COUNTIF('Detailed Attendance'!CV40:CV40, "A")</f>
        <v/>
      </c>
      <c r="AD39" s="64">
        <f>IF((AB39+AC39)=0,"", AB39/(AB39+AC39))</f>
        <v/>
      </c>
      <c r="AE39" s="63">
        <f>COUNTIF('Detailed Attendance'!L40:L40, "P")+COUNTIF('Detailed Attendance'!P40:P40, "P")+COUNTIF('Detailed Attendance'!AF40:AF40, "P")+COUNTIF('Detailed Attendance'!AJ40:AJ40, "P")+COUNTIF('Detailed Attendance'!AZ40:AZ40, "P")+COUNTIF('Detailed Attendance'!BD40:BD40, "P")+COUNTIF('Detailed Attendance'!BT40:BT40, "P")+COUNTIF('Detailed Attendance'!BX40:BX40, "P")+COUNTIF('Detailed Attendance'!CQ40:CQ40, "P")+COUNTIF('Detailed Attendance'!CU40:CU40, "P")</f>
        <v/>
      </c>
      <c r="AF39" s="67">
        <f>COUNTIF('Detailed Attendance'!L40:L40, "A")+COUNTIF('Detailed Attendance'!P40:P40, "A")+COUNTIF('Detailed Attendance'!AF40:AF40, "A")+COUNTIF('Detailed Attendance'!AJ40:AJ40, "A")+COUNTIF('Detailed Attendance'!AZ40:AZ40, "A")+COUNTIF('Detailed Attendance'!BD40:BD40, "A")+COUNTIF('Detailed Attendance'!BT40:BT40, "A")+COUNTIF('Detailed Attendance'!BX40:BX40, "A")+COUNTIF('Detailed Attendance'!CQ40:CQ40, "A")+COUNTIF('Detailed Attendance'!CU40:CU40, "A")</f>
        <v/>
      </c>
      <c r="AG39" s="68">
        <f>IF((AE39+AF39)=0,"", AE39/(AE39+AF39))</f>
        <v/>
      </c>
      <c r="AH39" s="67">
        <f>COUNTIF('Detailed Attendance'!T40:T40, "P")+COUNTIF('Detailed Attendance'!AN40:AN40, "P")+COUNTIF('Detailed Attendance'!AR40:AR40, "P")+COUNTIF('Detailed Attendance'!BH40:BH40, "P")+COUNTIF('Detailed Attendance'!CB40:CB40, "P")+COUNTIF('Detailed Attendance'!CF40:CF40, "P")+COUNTIF('Detailed Attendance'!CY40:CY40, "P")</f>
        <v/>
      </c>
      <c r="AI39" s="67">
        <f>COUNTIF('Detailed Attendance'!T40:T40, "A")+COUNTIF('Detailed Attendance'!AN40:AN40, "A")+COUNTIF('Detailed Attendance'!AR40:AR40, "A")+COUNTIF('Detailed Attendance'!BH40:BH40, "A")+COUNTIF('Detailed Attendance'!CB40:CB40, "A")+COUNTIF('Detailed Attendance'!CF40:CF40, "A")+COUNTIF('Detailed Attendance'!CY40:CY40, "A")</f>
        <v/>
      </c>
      <c r="AJ39" s="68">
        <f>IF((AH39+AI39)=0,"", AH39/(AH39+AI39))</f>
        <v/>
      </c>
      <c r="AK39" s="67">
        <f>COUNTIF('Detailed Attendance'!M40:M40, "P")+COUNTIF('Detailed Attendance'!U40:U40, "P")+COUNTIF('Detailed Attendance'!AG40:AG40, "P")+COUNTIF('Detailed Attendance'!AO40:AO40, "P")+COUNTIF('Detailed Attendance'!BA40:BA40, "P")+COUNTIF('Detailed Attendance'!BI40:BI40, "P")+COUNTIF('Detailed Attendance'!BU40:BU40, "P")+COUNTIF('Detailed Attendance'!CC40:CC40, "P")+COUNTIF('Detailed Attendance'!CR40:CR40, "P")+COUNTIF('Detailed Attendance'!CZ40:CZ40, "P")</f>
        <v/>
      </c>
      <c r="AL39" s="67">
        <f>COUNTIF('Detailed Attendance'!M40:M40, "A")+COUNTIF('Detailed Attendance'!U40:U40, "A")+COUNTIF('Detailed Attendance'!AG40:AG40, "A")+COUNTIF('Detailed Attendance'!AO40:AO40, "A")+COUNTIF('Detailed Attendance'!BA40:BA40, "A")+COUNTIF('Detailed Attendance'!BI40:BI40, "A")+COUNTIF('Detailed Attendance'!BU40:BU40, "A")+COUNTIF('Detailed Attendance'!CC40:CC40, "A")+COUNTIF('Detailed Attendance'!CR40:CR40, "A")+COUNTIF('Detailed Attendance'!CZ40:CZ40, "A")</f>
        <v/>
      </c>
      <c r="AM39" s="68">
        <f>IF((AK39+AL39)=0,"", AK39/(AK39+AL39))</f>
        <v/>
      </c>
      <c r="AN39" s="67">
        <f>Y39+AB39+AE39+AH39+AK39</f>
        <v/>
      </c>
      <c r="AO39" s="67">
        <f>Z39+AC39+AF39+AI39+AL39</f>
        <v/>
      </c>
      <c r="AP39" s="68">
        <f>IF((AN39+AO39)=0,"", AN39/(AN39+AO39))</f>
        <v/>
      </c>
      <c r="AQ39" s="69">
        <f>COUNTIF('Detailed Attendance'!Y40:Y40, "P")+COUNTIF('Detailed Attendance'!AS40:AS40, "P")+COUNTIF('Detailed Attendance'!BM40:BM40, "P")+COUNTIF('Detailed Attendance'!CJ40:CJ40, "P")+COUNTIF('Detailed Attendance'!V40:V40, "P")+COUNTIF('Detailed Attendance'!AP40:AP40, "P")+COUNTIF('Detailed Attendance'!BJ40:BJ40, "P")+COUNTIF('Detailed Attendance'!CD40:CD40, "P")+COUNTIF('Detailed Attendance'!DA40:DA40, "P")+COUNTIF('Detailed Attendance'!CH40:CH40, "P")</f>
        <v/>
      </c>
      <c r="AR39" s="69">
        <f>COUNTIF('Detailed Attendance'!Y40:Y40, "A")+COUNTIF('Detailed Attendance'!AS40:AS40, "A")+COUNTIF('Detailed Attendance'!BM40:BM40, "A")+COUNTIF('Detailed Attendance'!CJ40:CJ40, "A")+COUNTIF('Detailed Attendance'!V40:V40, "A")+COUNTIF('Detailed Attendance'!AP40:AP40, "A")+COUNTIF('Detailed Attendance'!BJ40:BJ40, "A")+COUNTIF('Detailed Attendance'!CD40:CD40, "A")+COUNTIF('Detailed Attendance'!DA40:DA40, "A")+COUNTIF('Detailed Attendance'!CH40:CH40, "A")</f>
        <v/>
      </c>
      <c r="AS39" s="70">
        <f>IF((AQ39+AR39)=0,"", AQ39/(AQ39+AR39))</f>
        <v/>
      </c>
      <c r="AT39" s="67">
        <f>COUNTIF('Detailed Attendance'!DF40:DF40, "P")+COUNTIF('Detailed Attendance'!DT40:DT40, "P")+COUNTIF('Detailed Attendance'!EC40:EC40, "P")+COUNTIF('Detailed Attendance'!EQ40:EQ40, "P")+COUNTIF('Detailed Attendance'!EW40:EW40, "P")+COUNTIF('Detailed Attendance'!FK40:FK40, "P")+COUNTIF('Detailed Attendance'!FM40:FM40, "P")+COUNTIF('Detailed Attendance'!GA40:GA40, "P")</f>
        <v/>
      </c>
      <c r="AU39" s="67">
        <f>COUNTIF('Detailed Attendance'!DF40:DF40, "A")+COUNTIF('Detailed Attendance'!DT40:DT40, "A")+COUNTIF('Detailed Attendance'!EC40:EC40, "A")+COUNTIF('Detailed Attendance'!EQ40:EQ40, "A")+COUNTIF('Detailed Attendance'!EW40:EW40, "A")+COUNTIF('Detailed Attendance'!FK40:FK40, "A")+COUNTIF('Detailed Attendance'!FM40:FM40, "A")+COUNTIF('Detailed Attendance'!GA40:GA40, "A")</f>
        <v/>
      </c>
      <c r="AV39" s="68">
        <f>IF((AT39+AU39)=0,"", AT39/(AT39+AU39))</f>
        <v/>
      </c>
      <c r="AW39" s="67">
        <f>COUNTIF('Detailed Attendance'!DK40:DK40, "P")+COUNTIF('Detailed Attendance'!DS40:DS40, "P")+COUNTIF('Detailed Attendance'!EH40:EH40, "P")+COUNTIF('Detailed Attendance'!EP40:EP40, "P")+COUNTIF('Detailed Attendance'!FB40:FB40, "P")+COUNTIF('Detailed Attendance'!FJ40:FJ40, "P")+COUNTIF('Detailed Attendance'!FR40:FR40, "P")+COUNTIF('Detailed Attendance'!FZ40:FZ40, "P")</f>
        <v/>
      </c>
      <c r="AX39" s="67">
        <f>COUNTIF('Detailed Attendance'!DK40:DK40, "A")+COUNTIF('Detailed Attendance'!DS40:DS40, "A")+COUNTIF('Detailed Attendance'!EH40:EH40, "A")+COUNTIF('Detailed Attendance'!EP40:EP40, "A")+COUNTIF('Detailed Attendance'!FB40:FB40, "A")+COUNTIF('Detailed Attendance'!FJ40:FJ40, "A")+COUNTIF('Detailed Attendance'!FR40:FR40, "A")+COUNTIF('Detailed Attendance'!FZ40:FZ40, "A")</f>
        <v/>
      </c>
      <c r="AY39" s="68">
        <f>IF((AW39+AX39)=0,"", AW39/(AW39+AX39))</f>
        <v/>
      </c>
      <c r="AZ39" s="67">
        <f>COUNTIF('Detailed Attendance'!DN40:DN40, "P")+COUNTIF('Detailed Attendance'!DR40:DR40, "P")+COUNTIF('Detailed Attendance'!EK40:EK40, "P")+COUNTIF('Detailed Attendance'!EO40:EO40, "P")+COUNTIF('Detailed Attendance'!FE40:FE40, "P")+COUNTIF('Detailed Attendance'!FI40:FI40, "P")+COUNTIF('Detailed Attendance'!FU40:FU40, "P")+COUNTIF('Detailed Attendance'!FY40:FY40, "P")</f>
        <v/>
      </c>
      <c r="BA39" s="67">
        <f>COUNTIF('Detailed Attendance'!DN40:DN40, "A")+COUNTIF('Detailed Attendance'!DR40:DR40, "A")+COUNTIF('Detailed Attendance'!EK40:EK40, "A")+COUNTIF('Detailed Attendance'!EO40:EO40, "A")+COUNTIF('Detailed Attendance'!FE40:FE40, "A")+COUNTIF('Detailed Attendance'!FI40:FI40, "A")+COUNTIF('Detailed Attendance'!FU40:FU40, "A")+COUNTIF('Detailed Attendance'!FY40:FY40, "A")</f>
        <v/>
      </c>
      <c r="BB39" s="68">
        <f>IF((AZ39+BA39)=0,"", AZ39/(AZ39+BA39))</f>
        <v/>
      </c>
      <c r="BC39" s="67">
        <f>COUNTIF('Detailed Attendance'!DC40:DC40, "P")+COUNTIF('Detailed Attendance'!DV40:DV40, "P")+COUNTIF('Detailed Attendance'!DZ40:DZ40, "P")+COUNTIF('Detailed Attendance'!ES40:ES40, "P")+COUNTIF('Detailed Attendance'!GC40:GC40, "P")+COUNTIF('Detailed Attendance'!GG40:GG40, "P")</f>
        <v/>
      </c>
      <c r="BD39" s="67">
        <f>COUNTIF('Detailed Attendance'!DC40:DC40, "A")+COUNTIF('Detailed Attendance'!DV40:DV40, "A")+COUNTIF('Detailed Attendance'!DZ40:DZ40, "A")+COUNTIF('Detailed Attendance'!ES40:ES40, "A")+COUNTIF('Detailed Attendance'!GC40:GC40, "A")+COUNTIF('Detailed Attendance'!GG40:GG40, "A")</f>
        <v/>
      </c>
      <c r="BE39" s="68">
        <f>IF((BC39+BD39)=0,"", BC39/(BC39+BD39))</f>
        <v/>
      </c>
      <c r="BF39" s="67">
        <f>COUNTIF('Detailed Attendance'!DO40:DO40, "P")+COUNTIF('Detailed Attendance'!DW40:DW40, "P")+COUNTIF('Detailed Attendance'!EL40:EL40, "P")+COUNTIF('Detailed Attendance'!ET40:ET40, "P")+COUNTIF('Detailed Attendance'!FF40:FF40, "P")+COUNTIF('Detailed Attendance'!FV40:FV40, "P")+COUNTIF('Detailed Attendance'!GD40:GD40, "P")</f>
        <v/>
      </c>
      <c r="BG39" s="67">
        <f>COUNTIF('Detailed Attendance'!DO40:DO40, "A")+COUNTIF('Detailed Attendance'!DW40:DW40, "A")+COUNTIF('Detailed Attendance'!EL40:EL40, "A")+COUNTIF('Detailed Attendance'!ET40:ET40, "A")+COUNTIF('Detailed Attendance'!FF40:FF40, "A")+COUNTIF('Detailed Attendance'!FV40:FV40, "A")+COUNTIF('Detailed Attendance'!GD40:GD40, "A")</f>
        <v/>
      </c>
      <c r="BH39" s="68">
        <f>IF((BF39+BG39)=0,"", BF39/(BF39+BG39))</f>
        <v/>
      </c>
      <c r="BI39" s="67">
        <f>AT39+AW39+AZ39+BC39+BF39</f>
        <v/>
      </c>
      <c r="BJ39" s="67">
        <f>AU39+AX39+BA39+BD39+BG39</f>
        <v/>
      </c>
      <c r="BK39" s="68">
        <f>IF((BI39+BJ39)=0,"", BI39/(BI39+BJ39))</f>
        <v/>
      </c>
      <c r="BL39" s="69">
        <f>COUNTIF('Detailed Attendance'!DG40:DG40, "P")+COUNTIF('Detailed Attendance'!ED40:ED40, "P")+COUNTIF('Detailed Attendance'!EX40:EX40, "P")+COUNTIF('Detailed Attendance'!FN40:FN40, "P")+COUNTIF('Detailed Attendance'!DX40:DX40, "P")+COUNTIF('Detailed Attendance'!EU40:EU40, "P")+COUNTIF('Detailed Attendance'!GE40:GE40, "P")+COUNTIF('Detailed Attendance'!DE40:DE40, "P")+COUNTIF('Detailed Attendance'!EB40:EB40, "P")+COUNTIF('Detailed Attendance'!GI40:GI40, "P")</f>
        <v/>
      </c>
      <c r="BM39" s="69">
        <f>COUNTIF('Detailed Attendance'!DG40:DG40, "A")+COUNTIF('Detailed Attendance'!ED40:ED40, "A")+COUNTIF('Detailed Attendance'!EX40:EX40, "A")+COUNTIF('Detailed Attendance'!FN40:FN40, "A")+COUNTIF('Detailed Attendance'!DX40:DX40, "A")+COUNTIF('Detailed Attendance'!EU40:EU40, "A")+COUNTIF('Detailed Attendance'!GE40:GE40, "A")+COUNTIF('Detailed Attendance'!DE40:DE40, "A")+COUNTIF('Detailed Attendance'!EB40:EB40, "A")+COUNTIF('Detailed Attendance'!GI40:GI40, "A")</f>
        <v/>
      </c>
      <c r="BN39" s="70">
        <f>IF((BL39+BM39)=0,"", BL39/(BL39+BM39))</f>
        <v/>
      </c>
      <c r="BO39" s="67">
        <f>D39+Y39+AT39</f>
        <v/>
      </c>
      <c r="BP39" s="67">
        <f>E39+Z39+AU39</f>
        <v/>
      </c>
      <c r="BQ39" s="68">
        <f>IF((BO39+BP39)=0,"", BO39/(BO39+BP39))</f>
        <v/>
      </c>
      <c r="BR39" s="67">
        <f>G39+AB39+AW39</f>
        <v/>
      </c>
      <c r="BS39" s="67">
        <f>H39+AC39+AX39</f>
        <v/>
      </c>
      <c r="BT39" s="68">
        <f>IF((BR39+BS39)=0,"", BR39/(BR39+BS39))</f>
        <v/>
      </c>
      <c r="BU39" s="67">
        <f>J39+AE39+AZ39</f>
        <v/>
      </c>
      <c r="BV39" s="67">
        <f>K39+AF39+BA39</f>
        <v/>
      </c>
      <c r="BW39" s="68">
        <f>IF((BU39+BV39)=0,"", BU39/(BU39+BV39))</f>
        <v/>
      </c>
      <c r="BX39" s="67">
        <f>M39+AH39+BC39</f>
        <v/>
      </c>
      <c r="BY39" s="67">
        <f>N39+AI39+BD39</f>
        <v/>
      </c>
      <c r="BZ39" s="68">
        <f>IF((BX39+BY39)=0,"", BX39/(BX39+BY39))</f>
        <v/>
      </c>
      <c r="CA39" s="67">
        <f>P39+AK39+BF39</f>
        <v/>
      </c>
      <c r="CB39" s="67">
        <f>Q39+AL39+BG39</f>
        <v/>
      </c>
      <c r="CC39" s="68">
        <f>IF((CA39+CB39)=0,"", CA39/(CA39+CB39))</f>
        <v/>
      </c>
      <c r="CD39" s="67">
        <f>S39+AN39+BI39</f>
        <v/>
      </c>
      <c r="CE39" s="67">
        <f>T39+AO39+BJ39</f>
        <v/>
      </c>
      <c r="CF39" s="68">
        <f>IF((CD39+CE39)=0,"", CD39/(CD39+CE39))</f>
        <v/>
      </c>
      <c r="CG39" s="69">
        <f>V39+AQ39+BL39</f>
        <v/>
      </c>
      <c r="CH39" s="69">
        <f>W39+AR39+BM39</f>
        <v/>
      </c>
      <c r="CI39" s="70">
        <f>IF((CG39+CH39)=0,"", CG39/(CG39+CH39))</f>
        <v/>
      </c>
      <c r="CJ39" s="67">
        <f>CD39+(CG39*2)</f>
        <v/>
      </c>
      <c r="CK39" s="67">
        <f>CE39+(CH39*2)</f>
        <v/>
      </c>
      <c r="CL39" s="68">
        <f>IF((CJ39+CK39)=0,"", CJ39/(CJ39+CK39))</f>
        <v/>
      </c>
      <c r="CM39" s="67" t="inlineStr">
        <is>
          <t>Batch 1</t>
        </is>
      </c>
    </row>
    <row r="40" ht="14.25" customHeight="1" s="34">
      <c r="A40" s="46" t="n">
        <v>38</v>
      </c>
      <c r="B40" s="46" t="inlineStr">
        <is>
          <t>325106410038</t>
        </is>
      </c>
      <c r="C40" s="46" t="inlineStr">
        <is>
          <t>KARTIKA HEMANTH REDDY POTAMSETTY</t>
        </is>
      </c>
      <c r="D40" s="63" t="n">
        <v>0</v>
      </c>
      <c r="E40" s="63" t="n">
        <v>0</v>
      </c>
      <c r="F40" s="64">
        <f>IF((D40+E40)=0,"", D40/(D40+E40))</f>
        <v/>
      </c>
      <c r="G40" s="63">
        <f>COUNTIF('Detailed Attendance'!I41:I41, "P")</f>
        <v/>
      </c>
      <c r="H40" s="63">
        <f>COUNTIF('Detailed Attendance'!I41:I41, "A")</f>
        <v/>
      </c>
      <c r="I40" s="64">
        <f>IF((G40+H40)=0,"", G40/(G40+H40))</f>
        <v/>
      </c>
      <c r="J40" s="63" t="n">
        <v>0</v>
      </c>
      <c r="K40" s="63" t="n">
        <v>0</v>
      </c>
      <c r="L40" s="64">
        <f>IF((J40+K40)=0,"", J40/(J40+K40))</f>
        <v/>
      </c>
      <c r="M40" s="63">
        <f>COUNTIF('Detailed Attendance'!D41:D41, "P")</f>
        <v/>
      </c>
      <c r="N40" s="63">
        <f>COUNTIF('Detailed Attendance'!D41:D41, "A")</f>
        <v/>
      </c>
      <c r="O40" s="64">
        <f>IF((M40+N40)=0,"", M40/(M40+N40))</f>
        <v/>
      </c>
      <c r="P40" s="63" t="n">
        <v>0</v>
      </c>
      <c r="Q40" s="63" t="n">
        <v>0</v>
      </c>
      <c r="R40" s="64">
        <f>IF((P40+Q40)=0,"", P40/(P40+Q40))</f>
        <v/>
      </c>
      <c r="S40" s="63">
        <f>D40+G40+J40+M40+P40</f>
        <v/>
      </c>
      <c r="T40" s="63">
        <f>E40+H40+K40+N40+Q40</f>
        <v/>
      </c>
      <c r="U40" s="64">
        <f>IF((S40+T40)=0,"", S40/(S40+T40))</f>
        <v/>
      </c>
      <c r="V40" s="65">
        <f>COUNTIF('Detailed Attendance'!E41:E41, "P")</f>
        <v/>
      </c>
      <c r="W40" s="65">
        <f>COUNTIF('Detailed Attendance'!E41:E41, "A")</f>
        <v/>
      </c>
      <c r="X40" s="66">
        <f>IF((V40+W40)=0,"", V40/(V40+W40))</f>
        <v/>
      </c>
      <c r="Y40" s="63">
        <f>COUNTIF('Detailed Attendance'!R41:R41, "P")+COUNTIF('Detailed Attendance'!X41:X41, "P")+COUNTIF('Detailed Attendance'!AL41:AL41, "P")+COUNTIF('Detailed Attendance'!BF41:BF41, "P")+COUNTIF('Detailed Attendance'!BL41:BL41, "P")+COUNTIF('Detailed Attendance'!BZ41:BZ41, "P")+COUNTIF('Detailed Attendance'!CI41:CI41, "P")+COUNTIF('Detailed Attendance'!CW41:CW41, "P")</f>
        <v/>
      </c>
      <c r="Z40" s="63">
        <f>COUNTIF('Detailed Attendance'!R41:R41, "A")+COUNTIF('Detailed Attendance'!X41:X41, "A")+COUNTIF('Detailed Attendance'!AL41:AL41, "A")+COUNTIF('Detailed Attendance'!BF41:BF41, "A")+COUNTIF('Detailed Attendance'!BL41:BL41, "A")+COUNTIF('Detailed Attendance'!BZ41:BZ41, "A")+COUNTIF('Detailed Attendance'!CI41:CI41, "A")+COUNTIF('Detailed Attendance'!CW41:CW41, "A")</f>
        <v/>
      </c>
      <c r="AA40" s="64">
        <f>IF((Y40+Z40)=0,"", Y40/(Y40+Z40))</f>
        <v/>
      </c>
      <c r="AB40" s="63">
        <f>COUNTIF('Detailed Attendance'!Q41:Q41, "P")+COUNTIF('Detailed Attendance'!AC41:AC41, "P")+COUNTIF('Detailed Attendance'!AK41:AK41, "P")+COUNTIF('Detailed Attendance'!AW41:AW41, "P")+COUNTIF('Detailed Attendance'!BE41:BE41, "P")+COUNTIF('Detailed Attendance'!BQ41:BQ41, "P")+COUNTIF('Detailed Attendance'!BY41:BY41, "P")+COUNTIF('Detailed Attendance'!CN41:CN41, "P")+COUNTIF('Detailed Attendance'!CV41:CV41, "P")</f>
        <v/>
      </c>
      <c r="AC40" s="63">
        <f>COUNTIF('Detailed Attendance'!Q41:Q41, "A")+COUNTIF('Detailed Attendance'!AC41:AC41, "A")+COUNTIF('Detailed Attendance'!AK41:AK41, "A")+COUNTIF('Detailed Attendance'!AW41:AW41, "A")+COUNTIF('Detailed Attendance'!BE41:BE41, "A")+COUNTIF('Detailed Attendance'!BQ41:BQ41, "A")+COUNTIF('Detailed Attendance'!BY41:BY41, "A")+COUNTIF('Detailed Attendance'!CN41:CN41, "A")+COUNTIF('Detailed Attendance'!CV41:CV41, "A")</f>
        <v/>
      </c>
      <c r="AD40" s="64">
        <f>IF((AB40+AC40)=0,"", AB40/(AB40+AC40))</f>
        <v/>
      </c>
      <c r="AE40" s="63">
        <f>COUNTIF('Detailed Attendance'!L41:L41, "P")+COUNTIF('Detailed Attendance'!P41:P41, "P")+COUNTIF('Detailed Attendance'!AF41:AF41, "P")+COUNTIF('Detailed Attendance'!AJ41:AJ41, "P")+COUNTIF('Detailed Attendance'!AZ41:AZ41, "P")+COUNTIF('Detailed Attendance'!BD41:BD41, "P")+COUNTIF('Detailed Attendance'!BT41:BT41, "P")+COUNTIF('Detailed Attendance'!BX41:BX41, "P")+COUNTIF('Detailed Attendance'!CQ41:CQ41, "P")+COUNTIF('Detailed Attendance'!CU41:CU41, "P")</f>
        <v/>
      </c>
      <c r="AF40" s="67">
        <f>COUNTIF('Detailed Attendance'!L41:L41, "A")+COUNTIF('Detailed Attendance'!P41:P41, "A")+COUNTIF('Detailed Attendance'!AF41:AF41, "A")+COUNTIF('Detailed Attendance'!AJ41:AJ41, "A")+COUNTIF('Detailed Attendance'!AZ41:AZ41, "A")+COUNTIF('Detailed Attendance'!BD41:BD41, "A")+COUNTIF('Detailed Attendance'!BT41:BT41, "A")+COUNTIF('Detailed Attendance'!BX41:BX41, "A")+COUNTIF('Detailed Attendance'!CQ41:CQ41, "A")+COUNTIF('Detailed Attendance'!CU41:CU41, "A")</f>
        <v/>
      </c>
      <c r="AG40" s="68">
        <f>IF((AE40+AF40)=0,"", AE40/(AE40+AF40))</f>
        <v/>
      </c>
      <c r="AH40" s="67">
        <f>COUNTIF('Detailed Attendance'!T41:T41, "P")+COUNTIF('Detailed Attendance'!AN41:AN41, "P")+COUNTIF('Detailed Attendance'!AR41:AR41, "P")+COUNTIF('Detailed Attendance'!BH41:BH41, "P")+COUNTIF('Detailed Attendance'!CB41:CB41, "P")+COUNTIF('Detailed Attendance'!CF41:CF41, "P")+COUNTIF('Detailed Attendance'!CY41:CY41, "P")</f>
        <v/>
      </c>
      <c r="AI40" s="67">
        <f>COUNTIF('Detailed Attendance'!T41:T41, "A")+COUNTIF('Detailed Attendance'!AN41:AN41, "A")+COUNTIF('Detailed Attendance'!AR41:AR41, "A")+COUNTIF('Detailed Attendance'!BH41:BH41, "A")+COUNTIF('Detailed Attendance'!CB41:CB41, "A")+COUNTIF('Detailed Attendance'!CF41:CF41, "A")+COUNTIF('Detailed Attendance'!CY41:CY41, "A")</f>
        <v/>
      </c>
      <c r="AJ40" s="68">
        <f>IF((AH40+AI40)=0,"", AH40/(AH40+AI40))</f>
        <v/>
      </c>
      <c r="AK40" s="67">
        <f>COUNTIF('Detailed Attendance'!M41:M41, "P")+COUNTIF('Detailed Attendance'!U41:U41, "P")+COUNTIF('Detailed Attendance'!AG41:AG41, "P")+COUNTIF('Detailed Attendance'!AO41:AO41, "P")+COUNTIF('Detailed Attendance'!BA41:BA41, "P")+COUNTIF('Detailed Attendance'!BI41:BI41, "P")+COUNTIF('Detailed Attendance'!BU41:BU41, "P")+COUNTIF('Detailed Attendance'!CC41:CC41, "P")+COUNTIF('Detailed Attendance'!CR41:CR41, "P")+COUNTIF('Detailed Attendance'!CZ41:CZ41, "P")</f>
        <v/>
      </c>
      <c r="AL40" s="67">
        <f>COUNTIF('Detailed Attendance'!M41:M41, "A")+COUNTIF('Detailed Attendance'!U41:U41, "A")+COUNTIF('Detailed Attendance'!AG41:AG41, "A")+COUNTIF('Detailed Attendance'!AO41:AO41, "A")+COUNTIF('Detailed Attendance'!BA41:BA41, "A")+COUNTIF('Detailed Attendance'!BI41:BI41, "A")+COUNTIF('Detailed Attendance'!BU41:BU41, "A")+COUNTIF('Detailed Attendance'!CC41:CC41, "A")+COUNTIF('Detailed Attendance'!CR41:CR41, "A")+COUNTIF('Detailed Attendance'!CZ41:CZ41, "A")</f>
        <v/>
      </c>
      <c r="AM40" s="68">
        <f>IF((AK40+AL40)=0,"", AK40/(AK40+AL40))</f>
        <v/>
      </c>
      <c r="AN40" s="67">
        <f>Y40+AB40+AE40+AH40+AK40</f>
        <v/>
      </c>
      <c r="AO40" s="67">
        <f>Z40+AC40+AF40+AI40+AL40</f>
        <v/>
      </c>
      <c r="AP40" s="68">
        <f>IF((AN40+AO40)=0,"", AN40/(AN40+AO40))</f>
        <v/>
      </c>
      <c r="AQ40" s="69">
        <f>COUNTIF('Detailed Attendance'!Y41:Y41, "P")+COUNTIF('Detailed Attendance'!AS41:AS41, "P")+COUNTIF('Detailed Attendance'!BM41:BM41, "P")+COUNTIF('Detailed Attendance'!CJ41:CJ41, "P")+COUNTIF('Detailed Attendance'!V41:V41, "P")+COUNTIF('Detailed Attendance'!AP41:AP41, "P")+COUNTIF('Detailed Attendance'!BJ41:BJ41, "P")+COUNTIF('Detailed Attendance'!CD41:CD41, "P")+COUNTIF('Detailed Attendance'!DA41:DA41, "P")+COUNTIF('Detailed Attendance'!CH41:CH41, "P")</f>
        <v/>
      </c>
      <c r="AR40" s="69">
        <f>COUNTIF('Detailed Attendance'!Y41:Y41, "A")+COUNTIF('Detailed Attendance'!AS41:AS41, "A")+COUNTIF('Detailed Attendance'!BM41:BM41, "A")+COUNTIF('Detailed Attendance'!CJ41:CJ41, "A")+COUNTIF('Detailed Attendance'!V41:V41, "A")+COUNTIF('Detailed Attendance'!AP41:AP41, "A")+COUNTIF('Detailed Attendance'!BJ41:BJ41, "A")+COUNTIF('Detailed Attendance'!CD41:CD41, "A")+COUNTIF('Detailed Attendance'!DA41:DA41, "A")+COUNTIF('Detailed Attendance'!CH41:CH41, "A")</f>
        <v/>
      </c>
      <c r="AS40" s="70">
        <f>IF((AQ40+AR40)=0,"", AQ40/(AQ40+AR40))</f>
        <v/>
      </c>
      <c r="AT40" s="67">
        <f>COUNTIF('Detailed Attendance'!DF41:DF41, "P")+COUNTIF('Detailed Attendance'!DT41:DT41, "P")+COUNTIF('Detailed Attendance'!EC41:EC41, "P")+COUNTIF('Detailed Attendance'!EQ41:EQ41, "P")+COUNTIF('Detailed Attendance'!EW41:EW41, "P")+COUNTIF('Detailed Attendance'!FK41:FK41, "P")+COUNTIF('Detailed Attendance'!FM41:FM41, "P")+COUNTIF('Detailed Attendance'!GA41:GA41, "P")</f>
        <v/>
      </c>
      <c r="AU40" s="67">
        <f>COUNTIF('Detailed Attendance'!DF41:DF41, "A")+COUNTIF('Detailed Attendance'!DT41:DT41, "A")+COUNTIF('Detailed Attendance'!EC41:EC41, "A")+COUNTIF('Detailed Attendance'!EQ41:EQ41, "A")+COUNTIF('Detailed Attendance'!EW41:EW41, "A")+COUNTIF('Detailed Attendance'!FK41:FK41, "A")+COUNTIF('Detailed Attendance'!FM41:FM41, "A")+COUNTIF('Detailed Attendance'!GA41:GA41, "A")</f>
        <v/>
      </c>
      <c r="AV40" s="68">
        <f>IF((AT40+AU40)=0,"", AT40/(AT40+AU40))</f>
        <v/>
      </c>
      <c r="AW40" s="67">
        <f>COUNTIF('Detailed Attendance'!DK41:DK41, "P")+COUNTIF('Detailed Attendance'!DS41:DS41, "P")+COUNTIF('Detailed Attendance'!EH41:EH41, "P")+COUNTIF('Detailed Attendance'!EP41:EP41, "P")+COUNTIF('Detailed Attendance'!FB41:FB41, "P")+COUNTIF('Detailed Attendance'!FJ41:FJ41, "P")+COUNTIF('Detailed Attendance'!FR41:FR41, "P")+COUNTIF('Detailed Attendance'!FZ41:FZ41, "P")</f>
        <v/>
      </c>
      <c r="AX40" s="67">
        <f>COUNTIF('Detailed Attendance'!DK41:DK41, "A")+COUNTIF('Detailed Attendance'!DS41:DS41, "A")+COUNTIF('Detailed Attendance'!EH41:EH41, "A")+COUNTIF('Detailed Attendance'!EP41:EP41, "A")+COUNTIF('Detailed Attendance'!FB41:FB41, "A")+COUNTIF('Detailed Attendance'!FJ41:FJ41, "A")+COUNTIF('Detailed Attendance'!FR41:FR41, "A")+COUNTIF('Detailed Attendance'!FZ41:FZ41, "A")</f>
        <v/>
      </c>
      <c r="AY40" s="68">
        <f>IF((AW40+AX40)=0,"", AW40/(AW40+AX40))</f>
        <v/>
      </c>
      <c r="AZ40" s="67">
        <f>COUNTIF('Detailed Attendance'!DN41:DN41, "P")+COUNTIF('Detailed Attendance'!DR41:DR41, "P")+COUNTIF('Detailed Attendance'!EK41:EK41, "P")+COUNTIF('Detailed Attendance'!EO41:EO41, "P")+COUNTIF('Detailed Attendance'!FE41:FE41, "P")+COUNTIF('Detailed Attendance'!FI41:FI41, "P")+COUNTIF('Detailed Attendance'!FU41:FU41, "P")+COUNTIF('Detailed Attendance'!FY41:FY41, "P")</f>
        <v/>
      </c>
      <c r="BA40" s="67">
        <f>COUNTIF('Detailed Attendance'!DN41:DN41, "A")+COUNTIF('Detailed Attendance'!DR41:DR41, "A")+COUNTIF('Detailed Attendance'!EK41:EK41, "A")+COUNTIF('Detailed Attendance'!EO41:EO41, "A")+COUNTIF('Detailed Attendance'!FE41:FE41, "A")+COUNTIF('Detailed Attendance'!FI41:FI41, "A")+COUNTIF('Detailed Attendance'!FU41:FU41, "A")+COUNTIF('Detailed Attendance'!FY41:FY41, "A")</f>
        <v/>
      </c>
      <c r="BB40" s="68">
        <f>IF((AZ40+BA40)=0,"", AZ40/(AZ40+BA40))</f>
        <v/>
      </c>
      <c r="BC40" s="67">
        <f>COUNTIF('Detailed Attendance'!DC41:DC41, "P")+COUNTIF('Detailed Attendance'!DV41:DV41, "P")+COUNTIF('Detailed Attendance'!DZ41:DZ41, "P")+COUNTIF('Detailed Attendance'!ES41:ES41, "P")+COUNTIF('Detailed Attendance'!GC41:GC41, "P")+COUNTIF('Detailed Attendance'!GG41:GG41, "P")</f>
        <v/>
      </c>
      <c r="BD40" s="67">
        <f>COUNTIF('Detailed Attendance'!DC41:DC41, "A")+COUNTIF('Detailed Attendance'!DV41:DV41, "A")+COUNTIF('Detailed Attendance'!DZ41:DZ41, "A")+COUNTIF('Detailed Attendance'!ES41:ES41, "A")+COUNTIF('Detailed Attendance'!GC41:GC41, "A")+COUNTIF('Detailed Attendance'!GG41:GG41, "A")</f>
        <v/>
      </c>
      <c r="BE40" s="68">
        <f>IF((BC40+BD40)=0,"", BC40/(BC40+BD40))</f>
        <v/>
      </c>
      <c r="BF40" s="67">
        <f>COUNTIF('Detailed Attendance'!DO41:DO41, "P")+COUNTIF('Detailed Attendance'!DW41:DW41, "P")+COUNTIF('Detailed Attendance'!EL41:EL41, "P")+COUNTIF('Detailed Attendance'!ET41:ET41, "P")+COUNTIF('Detailed Attendance'!FF41:FF41, "P")+COUNTIF('Detailed Attendance'!FV41:FV41, "P")+COUNTIF('Detailed Attendance'!GD41:GD41, "P")</f>
        <v/>
      </c>
      <c r="BG40" s="67">
        <f>COUNTIF('Detailed Attendance'!DO41:DO41, "A")+COUNTIF('Detailed Attendance'!DW41:DW41, "A")+COUNTIF('Detailed Attendance'!EL41:EL41, "A")+COUNTIF('Detailed Attendance'!ET41:ET41, "A")+COUNTIF('Detailed Attendance'!FF41:FF41, "A")+COUNTIF('Detailed Attendance'!FV41:FV41, "A")+COUNTIF('Detailed Attendance'!GD41:GD41, "A")</f>
        <v/>
      </c>
      <c r="BH40" s="68">
        <f>IF((BF40+BG40)=0,"", BF40/(BF40+BG40))</f>
        <v/>
      </c>
      <c r="BI40" s="67">
        <f>AT40+AW40+AZ40+BC40+BF40</f>
        <v/>
      </c>
      <c r="BJ40" s="67">
        <f>AU40+AX40+BA40+BD40+BG40</f>
        <v/>
      </c>
      <c r="BK40" s="68">
        <f>IF((BI40+BJ40)=0,"", BI40/(BI40+BJ40))</f>
        <v/>
      </c>
      <c r="BL40" s="69">
        <f>COUNTIF('Detailed Attendance'!DG41:DG41, "P")+COUNTIF('Detailed Attendance'!ED41:ED41, "P")+COUNTIF('Detailed Attendance'!EX41:EX41, "P")+COUNTIF('Detailed Attendance'!FN41:FN41, "P")+COUNTIF('Detailed Attendance'!DX41:DX41, "P")+COUNTIF('Detailed Attendance'!EU41:EU41, "P")+COUNTIF('Detailed Attendance'!GE41:GE41, "P")+COUNTIF('Detailed Attendance'!DE41:DE41, "P")+COUNTIF('Detailed Attendance'!EB41:EB41, "P")+COUNTIF('Detailed Attendance'!GI41:GI41, "P")</f>
        <v/>
      </c>
      <c r="BM40" s="69">
        <f>COUNTIF('Detailed Attendance'!DG41:DG41, "A")+COUNTIF('Detailed Attendance'!ED41:ED41, "A")+COUNTIF('Detailed Attendance'!EX41:EX41, "A")+COUNTIF('Detailed Attendance'!FN41:FN41, "A")+COUNTIF('Detailed Attendance'!DX41:DX41, "A")+COUNTIF('Detailed Attendance'!EU41:EU41, "A")+COUNTIF('Detailed Attendance'!GE41:GE41, "A")+COUNTIF('Detailed Attendance'!DE41:DE41, "A")+COUNTIF('Detailed Attendance'!EB41:EB41, "A")+COUNTIF('Detailed Attendance'!GI41:GI41, "A")</f>
        <v/>
      </c>
      <c r="BN40" s="70">
        <f>IF((BL40+BM40)=0,"", BL40/(BL40+BM40))</f>
        <v/>
      </c>
      <c r="BO40" s="67">
        <f>D40+Y40+AT40</f>
        <v/>
      </c>
      <c r="BP40" s="67">
        <f>E40+Z40+AU40</f>
        <v/>
      </c>
      <c r="BQ40" s="68">
        <f>IF((BO40+BP40)=0,"", BO40/(BO40+BP40))</f>
        <v/>
      </c>
      <c r="BR40" s="67">
        <f>G40+AB40+AW40</f>
        <v/>
      </c>
      <c r="BS40" s="67">
        <f>H40+AC40+AX40</f>
        <v/>
      </c>
      <c r="BT40" s="68">
        <f>IF((BR40+BS40)=0,"", BR40/(BR40+BS40))</f>
        <v/>
      </c>
      <c r="BU40" s="67">
        <f>J40+AE40+AZ40</f>
        <v/>
      </c>
      <c r="BV40" s="67">
        <f>K40+AF40+BA40</f>
        <v/>
      </c>
      <c r="BW40" s="68">
        <f>IF((BU40+BV40)=0,"", BU40/(BU40+BV40))</f>
        <v/>
      </c>
      <c r="BX40" s="67">
        <f>M40+AH40+BC40</f>
        <v/>
      </c>
      <c r="BY40" s="67">
        <f>N40+AI40+BD40</f>
        <v/>
      </c>
      <c r="BZ40" s="68">
        <f>IF((BX40+BY40)=0,"", BX40/(BX40+BY40))</f>
        <v/>
      </c>
      <c r="CA40" s="67">
        <f>P40+AK40+BF40</f>
        <v/>
      </c>
      <c r="CB40" s="67">
        <f>Q40+AL40+BG40</f>
        <v/>
      </c>
      <c r="CC40" s="68">
        <f>IF((CA40+CB40)=0,"", CA40/(CA40+CB40))</f>
        <v/>
      </c>
      <c r="CD40" s="67">
        <f>S40+AN40+BI40</f>
        <v/>
      </c>
      <c r="CE40" s="67">
        <f>T40+AO40+BJ40</f>
        <v/>
      </c>
      <c r="CF40" s="68">
        <f>IF((CD40+CE40)=0,"", CD40/(CD40+CE40))</f>
        <v/>
      </c>
      <c r="CG40" s="69">
        <f>V40+AQ40+BL40</f>
        <v/>
      </c>
      <c r="CH40" s="69">
        <f>W40+AR40+BM40</f>
        <v/>
      </c>
      <c r="CI40" s="70">
        <f>IF((CG40+CH40)=0,"", CG40/(CG40+CH40))</f>
        <v/>
      </c>
      <c r="CJ40" s="67">
        <f>CD40+(CG40*2)</f>
        <v/>
      </c>
      <c r="CK40" s="67">
        <f>CE40+(CH40*2)</f>
        <v/>
      </c>
      <c r="CL40" s="68">
        <f>IF((CJ40+CK40)=0,"", CJ40/(CJ40+CK40))</f>
        <v/>
      </c>
      <c r="CM40" s="67" t="inlineStr">
        <is>
          <t>Batch 1</t>
        </is>
      </c>
    </row>
    <row r="41" ht="14.25" customHeight="1" s="34">
      <c r="A41" s="46" t="n">
        <v>39</v>
      </c>
      <c r="B41" s="46" t="inlineStr">
        <is>
          <t>325106410039</t>
        </is>
      </c>
      <c r="C41" s="46" t="inlineStr">
        <is>
          <t>PRUDHVI POTUPUREDDI</t>
        </is>
      </c>
      <c r="D41" s="63" t="n">
        <v>0</v>
      </c>
      <c r="E41" s="63" t="n">
        <v>0</v>
      </c>
      <c r="F41" s="64">
        <f>IF((D41+E41)=0,"", D41/(D41+E41))</f>
        <v/>
      </c>
      <c r="G41" s="63">
        <f>COUNTIF('Detailed Attendance'!I42:I42, "P")</f>
        <v/>
      </c>
      <c r="H41" s="63">
        <f>COUNTIF('Detailed Attendance'!I42:I42, "A")</f>
        <v/>
      </c>
      <c r="I41" s="64">
        <f>IF((G41+H41)=0,"", G41/(G41+H41))</f>
        <v/>
      </c>
      <c r="J41" s="63" t="n">
        <v>0</v>
      </c>
      <c r="K41" s="63" t="n">
        <v>0</v>
      </c>
      <c r="L41" s="64">
        <f>IF((J41+K41)=0,"", J41/(J41+K41))</f>
        <v/>
      </c>
      <c r="M41" s="63">
        <f>COUNTIF('Detailed Attendance'!D42:D42, "P")</f>
        <v/>
      </c>
      <c r="N41" s="63">
        <f>COUNTIF('Detailed Attendance'!D42:D42, "A")</f>
        <v/>
      </c>
      <c r="O41" s="64">
        <f>IF((M41+N41)=0,"", M41/(M41+N41))</f>
        <v/>
      </c>
      <c r="P41" s="63" t="n">
        <v>0</v>
      </c>
      <c r="Q41" s="63" t="n">
        <v>0</v>
      </c>
      <c r="R41" s="64">
        <f>IF((P41+Q41)=0,"", P41/(P41+Q41))</f>
        <v/>
      </c>
      <c r="S41" s="63">
        <f>D41+G41+J41+M41+P41</f>
        <v/>
      </c>
      <c r="T41" s="63">
        <f>E41+H41+K41+N41+Q41</f>
        <v/>
      </c>
      <c r="U41" s="64">
        <f>IF((S41+T41)=0,"", S41/(S41+T41))</f>
        <v/>
      </c>
      <c r="V41" s="65">
        <f>COUNTIF('Detailed Attendance'!E42:E42, "P")</f>
        <v/>
      </c>
      <c r="W41" s="65">
        <f>COUNTIF('Detailed Attendance'!E42:E42, "A")</f>
        <v/>
      </c>
      <c r="X41" s="66">
        <f>IF((V41+W41)=0,"", V41/(V41+W41))</f>
        <v/>
      </c>
      <c r="Y41" s="63">
        <f>COUNTIF('Detailed Attendance'!R42:R42, "P")+COUNTIF('Detailed Attendance'!X42:X42, "P")+COUNTIF('Detailed Attendance'!AL42:AL42, "P")+COUNTIF('Detailed Attendance'!BF42:BF42, "P")+COUNTIF('Detailed Attendance'!BL42:BL42, "P")+COUNTIF('Detailed Attendance'!BZ42:BZ42, "P")+COUNTIF('Detailed Attendance'!CI42:CI42, "P")+COUNTIF('Detailed Attendance'!CW42:CW42, "P")</f>
        <v/>
      </c>
      <c r="Z41" s="63">
        <f>COUNTIF('Detailed Attendance'!R42:R42, "A")+COUNTIF('Detailed Attendance'!X42:X42, "A")+COUNTIF('Detailed Attendance'!AL42:AL42, "A")+COUNTIF('Detailed Attendance'!BF42:BF42, "A")+COUNTIF('Detailed Attendance'!BL42:BL42, "A")+COUNTIF('Detailed Attendance'!BZ42:BZ42, "A")+COUNTIF('Detailed Attendance'!CI42:CI42, "A")+COUNTIF('Detailed Attendance'!CW42:CW42, "A")</f>
        <v/>
      </c>
      <c r="AA41" s="64">
        <f>IF((Y41+Z41)=0,"", Y41/(Y41+Z41))</f>
        <v/>
      </c>
      <c r="AB41" s="63">
        <f>COUNTIF('Detailed Attendance'!Q42:Q42, "P")+COUNTIF('Detailed Attendance'!AC42:AC42, "P")+COUNTIF('Detailed Attendance'!AK42:AK42, "P")+COUNTIF('Detailed Attendance'!AW42:AW42, "P")+COUNTIF('Detailed Attendance'!BE42:BE42, "P")+COUNTIF('Detailed Attendance'!BQ42:BQ42, "P")+COUNTIF('Detailed Attendance'!BY42:BY42, "P")+COUNTIF('Detailed Attendance'!CN42:CN42, "P")+COUNTIF('Detailed Attendance'!CV42:CV42, "P")</f>
        <v/>
      </c>
      <c r="AC41" s="63">
        <f>COUNTIF('Detailed Attendance'!Q42:Q42, "A")+COUNTIF('Detailed Attendance'!AC42:AC42, "A")+COUNTIF('Detailed Attendance'!AK42:AK42, "A")+COUNTIF('Detailed Attendance'!AW42:AW42, "A")+COUNTIF('Detailed Attendance'!BE42:BE42, "A")+COUNTIF('Detailed Attendance'!BQ42:BQ42, "A")+COUNTIF('Detailed Attendance'!BY42:BY42, "A")+COUNTIF('Detailed Attendance'!CN42:CN42, "A")+COUNTIF('Detailed Attendance'!CV42:CV42, "A")</f>
        <v/>
      </c>
      <c r="AD41" s="64">
        <f>IF((AB41+AC41)=0,"", AB41/(AB41+AC41))</f>
        <v/>
      </c>
      <c r="AE41" s="63">
        <f>COUNTIF('Detailed Attendance'!L42:L42, "P")+COUNTIF('Detailed Attendance'!P42:P42, "P")+COUNTIF('Detailed Attendance'!AF42:AF42, "P")+COUNTIF('Detailed Attendance'!AJ42:AJ42, "P")+COUNTIF('Detailed Attendance'!AZ42:AZ42, "P")+COUNTIF('Detailed Attendance'!BD42:BD42, "P")+COUNTIF('Detailed Attendance'!BT42:BT42, "P")+COUNTIF('Detailed Attendance'!BX42:BX42, "P")+COUNTIF('Detailed Attendance'!CQ42:CQ42, "P")+COUNTIF('Detailed Attendance'!CU42:CU42, "P")</f>
        <v/>
      </c>
      <c r="AF41" s="67">
        <f>COUNTIF('Detailed Attendance'!L42:L42, "A")+COUNTIF('Detailed Attendance'!P42:P42, "A")+COUNTIF('Detailed Attendance'!AF42:AF42, "A")+COUNTIF('Detailed Attendance'!AJ42:AJ42, "A")+COUNTIF('Detailed Attendance'!AZ42:AZ42, "A")+COUNTIF('Detailed Attendance'!BD42:BD42, "A")+COUNTIF('Detailed Attendance'!BT42:BT42, "A")+COUNTIF('Detailed Attendance'!BX42:BX42, "A")+COUNTIF('Detailed Attendance'!CQ42:CQ42, "A")+COUNTIF('Detailed Attendance'!CU42:CU42, "A")</f>
        <v/>
      </c>
      <c r="AG41" s="68">
        <f>IF((AE41+AF41)=0,"", AE41/(AE41+AF41))</f>
        <v/>
      </c>
      <c r="AH41" s="67">
        <f>COUNTIF('Detailed Attendance'!T42:T42, "P")+COUNTIF('Detailed Attendance'!AN42:AN42, "P")+COUNTIF('Detailed Attendance'!AR42:AR42, "P")+COUNTIF('Detailed Attendance'!BH42:BH42, "P")+COUNTIF('Detailed Attendance'!CB42:CB42, "P")+COUNTIF('Detailed Attendance'!CF42:CF42, "P")+COUNTIF('Detailed Attendance'!CY42:CY42, "P")</f>
        <v/>
      </c>
      <c r="AI41" s="67">
        <f>COUNTIF('Detailed Attendance'!T42:T42, "A")+COUNTIF('Detailed Attendance'!AN42:AN42, "A")+COUNTIF('Detailed Attendance'!AR42:AR42, "A")+COUNTIF('Detailed Attendance'!BH42:BH42, "A")+COUNTIF('Detailed Attendance'!CB42:CB42, "A")+COUNTIF('Detailed Attendance'!CF42:CF42, "A")+COUNTIF('Detailed Attendance'!CY42:CY42, "A")</f>
        <v/>
      </c>
      <c r="AJ41" s="68">
        <f>IF((AH41+AI41)=0,"", AH41/(AH41+AI41))</f>
        <v/>
      </c>
      <c r="AK41" s="67">
        <f>COUNTIF('Detailed Attendance'!M42:M42, "P")+COUNTIF('Detailed Attendance'!U42:U42, "P")+COUNTIF('Detailed Attendance'!AG42:AG42, "P")+COUNTIF('Detailed Attendance'!AO42:AO42, "P")+COUNTIF('Detailed Attendance'!BA42:BA42, "P")+COUNTIF('Detailed Attendance'!BI42:BI42, "P")+COUNTIF('Detailed Attendance'!BU42:BU42, "P")+COUNTIF('Detailed Attendance'!CC42:CC42, "P")+COUNTIF('Detailed Attendance'!CR42:CR42, "P")+COUNTIF('Detailed Attendance'!CZ42:CZ42, "P")</f>
        <v/>
      </c>
      <c r="AL41" s="67">
        <f>COUNTIF('Detailed Attendance'!M42:M42, "A")+COUNTIF('Detailed Attendance'!U42:U42, "A")+COUNTIF('Detailed Attendance'!AG42:AG42, "A")+COUNTIF('Detailed Attendance'!AO42:AO42, "A")+COUNTIF('Detailed Attendance'!BA42:BA42, "A")+COUNTIF('Detailed Attendance'!BI42:BI42, "A")+COUNTIF('Detailed Attendance'!BU42:BU42, "A")+COUNTIF('Detailed Attendance'!CC42:CC42, "A")+COUNTIF('Detailed Attendance'!CR42:CR42, "A")+COUNTIF('Detailed Attendance'!CZ42:CZ42, "A")</f>
        <v/>
      </c>
      <c r="AM41" s="68">
        <f>IF((AK41+AL41)=0,"", AK41/(AK41+AL41))</f>
        <v/>
      </c>
      <c r="AN41" s="67">
        <f>Y41+AB41+AE41+AH41+AK41</f>
        <v/>
      </c>
      <c r="AO41" s="67">
        <f>Z41+AC41+AF41+AI41+AL41</f>
        <v/>
      </c>
      <c r="AP41" s="68">
        <f>IF((AN41+AO41)=0,"", AN41/(AN41+AO41))</f>
        <v/>
      </c>
      <c r="AQ41" s="69">
        <f>COUNTIF('Detailed Attendance'!Y42:Y42, "P")+COUNTIF('Detailed Attendance'!AS42:AS42, "P")+COUNTIF('Detailed Attendance'!BM42:BM42, "P")+COUNTIF('Detailed Attendance'!CJ42:CJ42, "P")+COUNTIF('Detailed Attendance'!V42:V42, "P")+COUNTIF('Detailed Attendance'!AP42:AP42, "P")+COUNTIF('Detailed Attendance'!BJ42:BJ42, "P")+COUNTIF('Detailed Attendance'!CD42:CD42, "P")+COUNTIF('Detailed Attendance'!DA42:DA42, "P")+COUNTIF('Detailed Attendance'!CH42:CH42, "P")</f>
        <v/>
      </c>
      <c r="AR41" s="69">
        <f>COUNTIF('Detailed Attendance'!Y42:Y42, "A")+COUNTIF('Detailed Attendance'!AS42:AS42, "A")+COUNTIF('Detailed Attendance'!BM42:BM42, "A")+COUNTIF('Detailed Attendance'!CJ42:CJ42, "A")+COUNTIF('Detailed Attendance'!V42:V42, "A")+COUNTIF('Detailed Attendance'!AP42:AP42, "A")+COUNTIF('Detailed Attendance'!BJ42:BJ42, "A")+COUNTIF('Detailed Attendance'!CD42:CD42, "A")+COUNTIF('Detailed Attendance'!DA42:DA42, "A")+COUNTIF('Detailed Attendance'!CH42:CH42, "A")</f>
        <v/>
      </c>
      <c r="AS41" s="70">
        <f>IF((AQ41+AR41)=0,"", AQ41/(AQ41+AR41))</f>
        <v/>
      </c>
      <c r="AT41" s="67">
        <f>COUNTIF('Detailed Attendance'!DF42:DF42, "P")+COUNTIF('Detailed Attendance'!DT42:DT42, "P")+COUNTIF('Detailed Attendance'!EC42:EC42, "P")+COUNTIF('Detailed Attendance'!EQ42:EQ42, "P")+COUNTIF('Detailed Attendance'!EW42:EW42, "P")+COUNTIF('Detailed Attendance'!FK42:FK42, "P")+COUNTIF('Detailed Attendance'!FM42:FM42, "P")+COUNTIF('Detailed Attendance'!GA42:GA42, "P")</f>
        <v/>
      </c>
      <c r="AU41" s="67">
        <f>COUNTIF('Detailed Attendance'!DF42:DF42, "A")+COUNTIF('Detailed Attendance'!DT42:DT42, "A")+COUNTIF('Detailed Attendance'!EC42:EC42, "A")+COUNTIF('Detailed Attendance'!EQ42:EQ42, "A")+COUNTIF('Detailed Attendance'!EW42:EW42, "A")+COUNTIF('Detailed Attendance'!FK42:FK42, "A")+COUNTIF('Detailed Attendance'!FM42:FM42, "A")+COUNTIF('Detailed Attendance'!GA42:GA42, "A")</f>
        <v/>
      </c>
      <c r="AV41" s="68">
        <f>IF((AT41+AU41)=0,"", AT41/(AT41+AU41))</f>
        <v/>
      </c>
      <c r="AW41" s="67">
        <f>COUNTIF('Detailed Attendance'!DK42:DK42, "P")+COUNTIF('Detailed Attendance'!DS42:DS42, "P")+COUNTIF('Detailed Attendance'!EH42:EH42, "P")+COUNTIF('Detailed Attendance'!EP42:EP42, "P")+COUNTIF('Detailed Attendance'!FB42:FB42, "P")+COUNTIF('Detailed Attendance'!FJ42:FJ42, "P")+COUNTIF('Detailed Attendance'!FR42:FR42, "P")+COUNTIF('Detailed Attendance'!FZ42:FZ42, "P")</f>
        <v/>
      </c>
      <c r="AX41" s="67">
        <f>COUNTIF('Detailed Attendance'!DK42:DK42, "A")+COUNTIF('Detailed Attendance'!DS42:DS42, "A")+COUNTIF('Detailed Attendance'!EH42:EH42, "A")+COUNTIF('Detailed Attendance'!EP42:EP42, "A")+COUNTIF('Detailed Attendance'!FB42:FB42, "A")+COUNTIF('Detailed Attendance'!FJ42:FJ42, "A")+COUNTIF('Detailed Attendance'!FR42:FR42, "A")+COUNTIF('Detailed Attendance'!FZ42:FZ42, "A")</f>
        <v/>
      </c>
      <c r="AY41" s="68">
        <f>IF((AW41+AX41)=0,"", AW41/(AW41+AX41))</f>
        <v/>
      </c>
      <c r="AZ41" s="67">
        <f>COUNTIF('Detailed Attendance'!DN42:DN42, "P")+COUNTIF('Detailed Attendance'!DR42:DR42, "P")+COUNTIF('Detailed Attendance'!EK42:EK42, "P")+COUNTIF('Detailed Attendance'!EO42:EO42, "P")+COUNTIF('Detailed Attendance'!FE42:FE42, "P")+COUNTIF('Detailed Attendance'!FI42:FI42, "P")+COUNTIF('Detailed Attendance'!FU42:FU42, "P")+COUNTIF('Detailed Attendance'!FY42:FY42, "P")</f>
        <v/>
      </c>
      <c r="BA41" s="67">
        <f>COUNTIF('Detailed Attendance'!DN42:DN42, "A")+COUNTIF('Detailed Attendance'!DR42:DR42, "A")+COUNTIF('Detailed Attendance'!EK42:EK42, "A")+COUNTIF('Detailed Attendance'!EO42:EO42, "A")+COUNTIF('Detailed Attendance'!FE42:FE42, "A")+COUNTIF('Detailed Attendance'!FI42:FI42, "A")+COUNTIF('Detailed Attendance'!FU42:FU42, "A")+COUNTIF('Detailed Attendance'!FY42:FY42, "A")</f>
        <v/>
      </c>
      <c r="BB41" s="68">
        <f>IF((AZ41+BA41)=0,"", AZ41/(AZ41+BA41))</f>
        <v/>
      </c>
      <c r="BC41" s="67">
        <f>COUNTIF('Detailed Attendance'!DC42:DC42, "P")+COUNTIF('Detailed Attendance'!DV42:DV42, "P")+COUNTIF('Detailed Attendance'!DZ42:DZ42, "P")+COUNTIF('Detailed Attendance'!ES42:ES42, "P")+COUNTIF('Detailed Attendance'!GC42:GC42, "P")+COUNTIF('Detailed Attendance'!GG42:GG42, "P")</f>
        <v/>
      </c>
      <c r="BD41" s="67">
        <f>COUNTIF('Detailed Attendance'!DC42:DC42, "A")+COUNTIF('Detailed Attendance'!DV42:DV42, "A")+COUNTIF('Detailed Attendance'!DZ42:DZ42, "A")+COUNTIF('Detailed Attendance'!ES42:ES42, "A")+COUNTIF('Detailed Attendance'!GC42:GC42, "A")+COUNTIF('Detailed Attendance'!GG42:GG42, "A")</f>
        <v/>
      </c>
      <c r="BE41" s="68">
        <f>IF((BC41+BD41)=0,"", BC41/(BC41+BD41))</f>
        <v/>
      </c>
      <c r="BF41" s="67">
        <f>COUNTIF('Detailed Attendance'!DO42:DO42, "P")+COUNTIF('Detailed Attendance'!DW42:DW42, "P")+COUNTIF('Detailed Attendance'!EL42:EL42, "P")+COUNTIF('Detailed Attendance'!ET42:ET42, "P")+COUNTIF('Detailed Attendance'!FF42:FF42, "P")+COUNTIF('Detailed Attendance'!FV42:FV42, "P")+COUNTIF('Detailed Attendance'!GD42:GD42, "P")</f>
        <v/>
      </c>
      <c r="BG41" s="67">
        <f>COUNTIF('Detailed Attendance'!DO42:DO42, "A")+COUNTIF('Detailed Attendance'!DW42:DW42, "A")+COUNTIF('Detailed Attendance'!EL42:EL42, "A")+COUNTIF('Detailed Attendance'!ET42:ET42, "A")+COUNTIF('Detailed Attendance'!FF42:FF42, "A")+COUNTIF('Detailed Attendance'!FV42:FV42, "A")+COUNTIF('Detailed Attendance'!GD42:GD42, "A")</f>
        <v/>
      </c>
      <c r="BH41" s="68">
        <f>IF((BF41+BG41)=0,"", BF41/(BF41+BG41))</f>
        <v/>
      </c>
      <c r="BI41" s="67">
        <f>AT41+AW41+AZ41+BC41+BF41</f>
        <v/>
      </c>
      <c r="BJ41" s="67">
        <f>AU41+AX41+BA41+BD41+BG41</f>
        <v/>
      </c>
      <c r="BK41" s="68">
        <f>IF((BI41+BJ41)=0,"", BI41/(BI41+BJ41))</f>
        <v/>
      </c>
      <c r="BL41" s="69">
        <f>COUNTIF('Detailed Attendance'!DG42:DG42, "P")+COUNTIF('Detailed Attendance'!ED42:ED42, "P")+COUNTIF('Detailed Attendance'!EX42:EX42, "P")+COUNTIF('Detailed Attendance'!FN42:FN42, "P")+COUNTIF('Detailed Attendance'!DX42:DX42, "P")+COUNTIF('Detailed Attendance'!EU42:EU42, "P")+COUNTIF('Detailed Attendance'!GE42:GE42, "P")+COUNTIF('Detailed Attendance'!DE42:DE42, "P")+COUNTIF('Detailed Attendance'!EB42:EB42, "P")+COUNTIF('Detailed Attendance'!GI42:GI42, "P")</f>
        <v/>
      </c>
      <c r="BM41" s="69">
        <f>COUNTIF('Detailed Attendance'!DG42:DG42, "A")+COUNTIF('Detailed Attendance'!ED42:ED42, "A")+COUNTIF('Detailed Attendance'!EX42:EX42, "A")+COUNTIF('Detailed Attendance'!FN42:FN42, "A")+COUNTIF('Detailed Attendance'!DX42:DX42, "A")+COUNTIF('Detailed Attendance'!EU42:EU42, "A")+COUNTIF('Detailed Attendance'!GE42:GE42, "A")+COUNTIF('Detailed Attendance'!DE42:DE42, "A")+COUNTIF('Detailed Attendance'!EB42:EB42, "A")+COUNTIF('Detailed Attendance'!GI42:GI42, "A")</f>
        <v/>
      </c>
      <c r="BN41" s="70">
        <f>IF((BL41+BM41)=0,"", BL41/(BL41+BM41))</f>
        <v/>
      </c>
      <c r="BO41" s="67">
        <f>D41+Y41+AT41</f>
        <v/>
      </c>
      <c r="BP41" s="67">
        <f>E41+Z41+AU41</f>
        <v/>
      </c>
      <c r="BQ41" s="68">
        <f>IF((BO41+BP41)=0,"", BO41/(BO41+BP41))</f>
        <v/>
      </c>
      <c r="BR41" s="67">
        <f>G41+AB41+AW41</f>
        <v/>
      </c>
      <c r="BS41" s="67">
        <f>H41+AC41+AX41</f>
        <v/>
      </c>
      <c r="BT41" s="68">
        <f>IF((BR41+BS41)=0,"", BR41/(BR41+BS41))</f>
        <v/>
      </c>
      <c r="BU41" s="67">
        <f>J41+AE41+AZ41</f>
        <v/>
      </c>
      <c r="BV41" s="67">
        <f>K41+AF41+BA41</f>
        <v/>
      </c>
      <c r="BW41" s="68">
        <f>IF((BU41+BV41)=0,"", BU41/(BU41+BV41))</f>
        <v/>
      </c>
      <c r="BX41" s="67">
        <f>M41+AH41+BC41</f>
        <v/>
      </c>
      <c r="BY41" s="67">
        <f>N41+AI41+BD41</f>
        <v/>
      </c>
      <c r="BZ41" s="68">
        <f>IF((BX41+BY41)=0,"", BX41/(BX41+BY41))</f>
        <v/>
      </c>
      <c r="CA41" s="67">
        <f>P41+AK41+BF41</f>
        <v/>
      </c>
      <c r="CB41" s="67">
        <f>Q41+AL41+BG41</f>
        <v/>
      </c>
      <c r="CC41" s="68">
        <f>IF((CA41+CB41)=0,"", CA41/(CA41+CB41))</f>
        <v/>
      </c>
      <c r="CD41" s="67">
        <f>S41+AN41+BI41</f>
        <v/>
      </c>
      <c r="CE41" s="67">
        <f>T41+AO41+BJ41</f>
        <v/>
      </c>
      <c r="CF41" s="68">
        <f>IF((CD41+CE41)=0,"", CD41/(CD41+CE41))</f>
        <v/>
      </c>
      <c r="CG41" s="69">
        <f>V41+AQ41+BL41</f>
        <v/>
      </c>
      <c r="CH41" s="69">
        <f>W41+AR41+BM41</f>
        <v/>
      </c>
      <c r="CI41" s="70">
        <f>IF((CG41+CH41)=0,"", CG41/(CG41+CH41))</f>
        <v/>
      </c>
      <c r="CJ41" s="67">
        <f>CD41+(CG41*2)</f>
        <v/>
      </c>
      <c r="CK41" s="67">
        <f>CE41+(CH41*2)</f>
        <v/>
      </c>
      <c r="CL41" s="68">
        <f>IF((CJ41+CK41)=0,"", CJ41/(CJ41+CK41))</f>
        <v/>
      </c>
      <c r="CM41" s="67" t="inlineStr">
        <is>
          <t>Batch 1</t>
        </is>
      </c>
    </row>
    <row r="42" ht="14.25" customHeight="1" s="34">
      <c r="A42" s="46" t="n">
        <v>40</v>
      </c>
      <c r="B42" s="46" t="inlineStr">
        <is>
          <t>325106410040</t>
        </is>
      </c>
      <c r="C42" s="46" t="inlineStr">
        <is>
          <t>JAYANTH PRATTIPATI</t>
        </is>
      </c>
      <c r="D42" s="63" t="n">
        <v>0</v>
      </c>
      <c r="E42" s="63" t="n">
        <v>0</v>
      </c>
      <c r="F42" s="64">
        <f>IF((D42+E42)=0,"", D42/(D42+E42))</f>
        <v/>
      </c>
      <c r="G42" s="63">
        <f>COUNTIF('Detailed Attendance'!I43:I43, "P")</f>
        <v/>
      </c>
      <c r="H42" s="63">
        <f>COUNTIF('Detailed Attendance'!I43:I43, "A")</f>
        <v/>
      </c>
      <c r="I42" s="64">
        <f>IF((G42+H42)=0,"", G42/(G42+H42))</f>
        <v/>
      </c>
      <c r="J42" s="63" t="n">
        <v>0</v>
      </c>
      <c r="K42" s="63" t="n">
        <v>0</v>
      </c>
      <c r="L42" s="64">
        <f>IF((J42+K42)=0,"", J42/(J42+K42))</f>
        <v/>
      </c>
      <c r="M42" s="63">
        <f>COUNTIF('Detailed Attendance'!D43:D43, "P")</f>
        <v/>
      </c>
      <c r="N42" s="63">
        <f>COUNTIF('Detailed Attendance'!D43:D43, "A")</f>
        <v/>
      </c>
      <c r="O42" s="64">
        <f>IF((M42+N42)=0,"", M42/(M42+N42))</f>
        <v/>
      </c>
      <c r="P42" s="63" t="n">
        <v>0</v>
      </c>
      <c r="Q42" s="63" t="n">
        <v>0</v>
      </c>
      <c r="R42" s="64">
        <f>IF((P42+Q42)=0,"", P42/(P42+Q42))</f>
        <v/>
      </c>
      <c r="S42" s="63">
        <f>D42+G42+J42+M42+P42</f>
        <v/>
      </c>
      <c r="T42" s="63">
        <f>E42+H42+K42+N42+Q42</f>
        <v/>
      </c>
      <c r="U42" s="64">
        <f>IF((S42+T42)=0,"", S42/(S42+T42))</f>
        <v/>
      </c>
      <c r="V42" s="65">
        <f>COUNTIF('Detailed Attendance'!E43:E43, "P")</f>
        <v/>
      </c>
      <c r="W42" s="65">
        <f>COUNTIF('Detailed Attendance'!E43:E43, "A")</f>
        <v/>
      </c>
      <c r="X42" s="66">
        <f>IF((V42+W42)=0,"", V42/(V42+W42))</f>
        <v/>
      </c>
      <c r="Y42" s="63">
        <f>COUNTIF('Detailed Attendance'!R43:R43, "P")+COUNTIF('Detailed Attendance'!X43:X43, "P")+COUNTIF('Detailed Attendance'!AL43:AL43, "P")+COUNTIF('Detailed Attendance'!BF43:BF43, "P")+COUNTIF('Detailed Attendance'!BL43:BL43, "P")+COUNTIF('Detailed Attendance'!BZ43:BZ43, "P")+COUNTIF('Detailed Attendance'!CI43:CI43, "P")+COUNTIF('Detailed Attendance'!CW43:CW43, "P")</f>
        <v/>
      </c>
      <c r="Z42" s="63">
        <f>COUNTIF('Detailed Attendance'!R43:R43, "A")+COUNTIF('Detailed Attendance'!X43:X43, "A")+COUNTIF('Detailed Attendance'!AL43:AL43, "A")+COUNTIF('Detailed Attendance'!BF43:BF43, "A")+COUNTIF('Detailed Attendance'!BL43:BL43, "A")+COUNTIF('Detailed Attendance'!BZ43:BZ43, "A")+COUNTIF('Detailed Attendance'!CI43:CI43, "A")+COUNTIF('Detailed Attendance'!CW43:CW43, "A")</f>
        <v/>
      </c>
      <c r="AA42" s="64">
        <f>IF((Y42+Z42)=0,"", Y42/(Y42+Z42))</f>
        <v/>
      </c>
      <c r="AB42" s="63">
        <f>COUNTIF('Detailed Attendance'!Q43:Q43, "P")+COUNTIF('Detailed Attendance'!AC43:AC43, "P")+COUNTIF('Detailed Attendance'!AK43:AK43, "P")+COUNTIF('Detailed Attendance'!AW43:AW43, "P")+COUNTIF('Detailed Attendance'!BE43:BE43, "P")+COUNTIF('Detailed Attendance'!BQ43:BQ43, "P")+COUNTIF('Detailed Attendance'!BY43:BY43, "P")+COUNTIF('Detailed Attendance'!CN43:CN43, "P")+COUNTIF('Detailed Attendance'!CV43:CV43, "P")</f>
        <v/>
      </c>
      <c r="AC42" s="63">
        <f>COUNTIF('Detailed Attendance'!Q43:Q43, "A")+COUNTIF('Detailed Attendance'!AC43:AC43, "A")+COUNTIF('Detailed Attendance'!AK43:AK43, "A")+COUNTIF('Detailed Attendance'!AW43:AW43, "A")+COUNTIF('Detailed Attendance'!BE43:BE43, "A")+COUNTIF('Detailed Attendance'!BQ43:BQ43, "A")+COUNTIF('Detailed Attendance'!BY43:BY43, "A")+COUNTIF('Detailed Attendance'!CN43:CN43, "A")+COUNTIF('Detailed Attendance'!CV43:CV43, "A")</f>
        <v/>
      </c>
      <c r="AD42" s="64">
        <f>IF((AB42+AC42)=0,"", AB42/(AB42+AC42))</f>
        <v/>
      </c>
      <c r="AE42" s="63">
        <f>COUNTIF('Detailed Attendance'!L43:L43, "P")+COUNTIF('Detailed Attendance'!P43:P43, "P")+COUNTIF('Detailed Attendance'!AF43:AF43, "P")+COUNTIF('Detailed Attendance'!AJ43:AJ43, "P")+COUNTIF('Detailed Attendance'!AZ43:AZ43, "P")+COUNTIF('Detailed Attendance'!BD43:BD43, "P")+COUNTIF('Detailed Attendance'!BT43:BT43, "P")+COUNTIF('Detailed Attendance'!BX43:BX43, "P")+COUNTIF('Detailed Attendance'!CQ43:CQ43, "P")+COUNTIF('Detailed Attendance'!CU43:CU43, "P")</f>
        <v/>
      </c>
      <c r="AF42" s="67">
        <f>COUNTIF('Detailed Attendance'!L43:L43, "A")+COUNTIF('Detailed Attendance'!P43:P43, "A")+COUNTIF('Detailed Attendance'!AF43:AF43, "A")+COUNTIF('Detailed Attendance'!AJ43:AJ43, "A")+COUNTIF('Detailed Attendance'!AZ43:AZ43, "A")+COUNTIF('Detailed Attendance'!BD43:BD43, "A")+COUNTIF('Detailed Attendance'!BT43:BT43, "A")+COUNTIF('Detailed Attendance'!BX43:BX43, "A")+COUNTIF('Detailed Attendance'!CQ43:CQ43, "A")+COUNTIF('Detailed Attendance'!CU43:CU43, "A")</f>
        <v/>
      </c>
      <c r="AG42" s="68">
        <f>IF((AE42+AF42)=0,"", AE42/(AE42+AF42))</f>
        <v/>
      </c>
      <c r="AH42" s="67">
        <f>COUNTIF('Detailed Attendance'!T43:T43, "P")+COUNTIF('Detailed Attendance'!AN43:AN43, "P")+COUNTIF('Detailed Attendance'!AR43:AR43, "P")+COUNTIF('Detailed Attendance'!BH43:BH43, "P")+COUNTIF('Detailed Attendance'!CB43:CB43, "P")+COUNTIF('Detailed Attendance'!CF43:CF43, "P")+COUNTIF('Detailed Attendance'!CY43:CY43, "P")</f>
        <v/>
      </c>
      <c r="AI42" s="67">
        <f>COUNTIF('Detailed Attendance'!T43:T43, "A")+COUNTIF('Detailed Attendance'!AN43:AN43, "A")+COUNTIF('Detailed Attendance'!AR43:AR43, "A")+COUNTIF('Detailed Attendance'!BH43:BH43, "A")+COUNTIF('Detailed Attendance'!CB43:CB43, "A")+COUNTIF('Detailed Attendance'!CF43:CF43, "A")+COUNTIF('Detailed Attendance'!CY43:CY43, "A")</f>
        <v/>
      </c>
      <c r="AJ42" s="68">
        <f>IF((AH42+AI42)=0,"", AH42/(AH42+AI42))</f>
        <v/>
      </c>
      <c r="AK42" s="67">
        <f>COUNTIF('Detailed Attendance'!M43:M43, "P")+COUNTIF('Detailed Attendance'!U43:U43, "P")+COUNTIF('Detailed Attendance'!AG43:AG43, "P")+COUNTIF('Detailed Attendance'!AO43:AO43, "P")+COUNTIF('Detailed Attendance'!BA43:BA43, "P")+COUNTIF('Detailed Attendance'!BI43:BI43, "P")+COUNTIF('Detailed Attendance'!BU43:BU43, "P")+COUNTIF('Detailed Attendance'!CC43:CC43, "P")+COUNTIF('Detailed Attendance'!CR43:CR43, "P")+COUNTIF('Detailed Attendance'!CZ43:CZ43, "P")</f>
        <v/>
      </c>
      <c r="AL42" s="67">
        <f>COUNTIF('Detailed Attendance'!M43:M43, "A")+COUNTIF('Detailed Attendance'!U43:U43, "A")+COUNTIF('Detailed Attendance'!AG43:AG43, "A")+COUNTIF('Detailed Attendance'!AO43:AO43, "A")+COUNTIF('Detailed Attendance'!BA43:BA43, "A")+COUNTIF('Detailed Attendance'!BI43:BI43, "A")+COUNTIF('Detailed Attendance'!BU43:BU43, "A")+COUNTIF('Detailed Attendance'!CC43:CC43, "A")+COUNTIF('Detailed Attendance'!CR43:CR43, "A")+COUNTIF('Detailed Attendance'!CZ43:CZ43, "A")</f>
        <v/>
      </c>
      <c r="AM42" s="68">
        <f>IF((AK42+AL42)=0,"", AK42/(AK42+AL42))</f>
        <v/>
      </c>
      <c r="AN42" s="67">
        <f>Y42+AB42+AE42+AH42+AK42</f>
        <v/>
      </c>
      <c r="AO42" s="67">
        <f>Z42+AC42+AF42+AI42+AL42</f>
        <v/>
      </c>
      <c r="AP42" s="68">
        <f>IF((AN42+AO42)=0,"", AN42/(AN42+AO42))</f>
        <v/>
      </c>
      <c r="AQ42" s="69">
        <f>COUNTIF('Detailed Attendance'!Y43:Y43, "P")+COUNTIF('Detailed Attendance'!AS43:AS43, "P")+COUNTIF('Detailed Attendance'!BM43:BM43, "P")+COUNTIF('Detailed Attendance'!CJ43:CJ43, "P")+COUNTIF('Detailed Attendance'!V43:V43, "P")+COUNTIF('Detailed Attendance'!AP43:AP43, "P")+COUNTIF('Detailed Attendance'!BJ43:BJ43, "P")+COUNTIF('Detailed Attendance'!CD43:CD43, "P")+COUNTIF('Detailed Attendance'!DA43:DA43, "P")+COUNTIF('Detailed Attendance'!CH43:CH43, "P")</f>
        <v/>
      </c>
      <c r="AR42" s="69">
        <f>COUNTIF('Detailed Attendance'!Y43:Y43, "A")+COUNTIF('Detailed Attendance'!AS43:AS43, "A")+COUNTIF('Detailed Attendance'!BM43:BM43, "A")+COUNTIF('Detailed Attendance'!CJ43:CJ43, "A")+COUNTIF('Detailed Attendance'!V43:V43, "A")+COUNTIF('Detailed Attendance'!AP43:AP43, "A")+COUNTIF('Detailed Attendance'!BJ43:BJ43, "A")+COUNTIF('Detailed Attendance'!CD43:CD43, "A")+COUNTIF('Detailed Attendance'!DA43:DA43, "A")+COUNTIF('Detailed Attendance'!CH43:CH43, "A")</f>
        <v/>
      </c>
      <c r="AS42" s="70">
        <f>IF((AQ42+AR42)=0,"", AQ42/(AQ42+AR42))</f>
        <v/>
      </c>
      <c r="AT42" s="67">
        <f>COUNTIF('Detailed Attendance'!DF43:DF43, "P")+COUNTIF('Detailed Attendance'!DT43:DT43, "P")+COUNTIF('Detailed Attendance'!EC43:EC43, "P")+COUNTIF('Detailed Attendance'!EQ43:EQ43, "P")+COUNTIF('Detailed Attendance'!EW43:EW43, "P")+COUNTIF('Detailed Attendance'!FK43:FK43, "P")+COUNTIF('Detailed Attendance'!FM43:FM43, "P")+COUNTIF('Detailed Attendance'!GA43:GA43, "P")</f>
        <v/>
      </c>
      <c r="AU42" s="67">
        <f>COUNTIF('Detailed Attendance'!DF43:DF43, "A")+COUNTIF('Detailed Attendance'!DT43:DT43, "A")+COUNTIF('Detailed Attendance'!EC43:EC43, "A")+COUNTIF('Detailed Attendance'!EQ43:EQ43, "A")+COUNTIF('Detailed Attendance'!EW43:EW43, "A")+COUNTIF('Detailed Attendance'!FK43:FK43, "A")+COUNTIF('Detailed Attendance'!FM43:FM43, "A")+COUNTIF('Detailed Attendance'!GA43:GA43, "A")</f>
        <v/>
      </c>
      <c r="AV42" s="68">
        <f>IF((AT42+AU42)=0,"", AT42/(AT42+AU42))</f>
        <v/>
      </c>
      <c r="AW42" s="67">
        <f>COUNTIF('Detailed Attendance'!DK43:DK43, "P")+COUNTIF('Detailed Attendance'!DS43:DS43, "P")+COUNTIF('Detailed Attendance'!EH43:EH43, "P")+COUNTIF('Detailed Attendance'!EP43:EP43, "P")+COUNTIF('Detailed Attendance'!FB43:FB43, "P")+COUNTIF('Detailed Attendance'!FJ43:FJ43, "P")+COUNTIF('Detailed Attendance'!FR43:FR43, "P")+COUNTIF('Detailed Attendance'!FZ43:FZ43, "P")</f>
        <v/>
      </c>
      <c r="AX42" s="67">
        <f>COUNTIF('Detailed Attendance'!DK43:DK43, "A")+COUNTIF('Detailed Attendance'!DS43:DS43, "A")+COUNTIF('Detailed Attendance'!EH43:EH43, "A")+COUNTIF('Detailed Attendance'!EP43:EP43, "A")+COUNTIF('Detailed Attendance'!FB43:FB43, "A")+COUNTIF('Detailed Attendance'!FJ43:FJ43, "A")+COUNTIF('Detailed Attendance'!FR43:FR43, "A")+COUNTIF('Detailed Attendance'!FZ43:FZ43, "A")</f>
        <v/>
      </c>
      <c r="AY42" s="68">
        <f>IF((AW42+AX42)=0,"", AW42/(AW42+AX42))</f>
        <v/>
      </c>
      <c r="AZ42" s="67">
        <f>COUNTIF('Detailed Attendance'!DN43:DN43, "P")+COUNTIF('Detailed Attendance'!DR43:DR43, "P")+COUNTIF('Detailed Attendance'!EK43:EK43, "P")+COUNTIF('Detailed Attendance'!EO43:EO43, "P")+COUNTIF('Detailed Attendance'!FE43:FE43, "P")+COUNTIF('Detailed Attendance'!FI43:FI43, "P")+COUNTIF('Detailed Attendance'!FU43:FU43, "P")+COUNTIF('Detailed Attendance'!FY43:FY43, "P")</f>
        <v/>
      </c>
      <c r="BA42" s="67">
        <f>COUNTIF('Detailed Attendance'!DN43:DN43, "A")+COUNTIF('Detailed Attendance'!DR43:DR43, "A")+COUNTIF('Detailed Attendance'!EK43:EK43, "A")+COUNTIF('Detailed Attendance'!EO43:EO43, "A")+COUNTIF('Detailed Attendance'!FE43:FE43, "A")+COUNTIF('Detailed Attendance'!FI43:FI43, "A")+COUNTIF('Detailed Attendance'!FU43:FU43, "A")+COUNTIF('Detailed Attendance'!FY43:FY43, "A")</f>
        <v/>
      </c>
      <c r="BB42" s="68">
        <f>IF((AZ42+BA42)=0,"", AZ42/(AZ42+BA42))</f>
        <v/>
      </c>
      <c r="BC42" s="67">
        <f>COUNTIF('Detailed Attendance'!DC43:DC43, "P")+COUNTIF('Detailed Attendance'!DV43:DV43, "P")+COUNTIF('Detailed Attendance'!DZ43:DZ43, "P")+COUNTIF('Detailed Attendance'!ES43:ES43, "P")+COUNTIF('Detailed Attendance'!GC43:GC43, "P")+COUNTIF('Detailed Attendance'!GG43:GG43, "P")</f>
        <v/>
      </c>
      <c r="BD42" s="67">
        <f>COUNTIF('Detailed Attendance'!DC43:DC43, "A")+COUNTIF('Detailed Attendance'!DV43:DV43, "A")+COUNTIF('Detailed Attendance'!DZ43:DZ43, "A")+COUNTIF('Detailed Attendance'!ES43:ES43, "A")+COUNTIF('Detailed Attendance'!GC43:GC43, "A")+COUNTIF('Detailed Attendance'!GG43:GG43, "A")</f>
        <v/>
      </c>
      <c r="BE42" s="68">
        <f>IF((BC42+BD42)=0,"", BC42/(BC42+BD42))</f>
        <v/>
      </c>
      <c r="BF42" s="67">
        <f>COUNTIF('Detailed Attendance'!DO43:DO43, "P")+COUNTIF('Detailed Attendance'!DW43:DW43, "P")+COUNTIF('Detailed Attendance'!EL43:EL43, "P")+COUNTIF('Detailed Attendance'!ET43:ET43, "P")+COUNTIF('Detailed Attendance'!FF43:FF43, "P")+COUNTIF('Detailed Attendance'!FV43:FV43, "P")+COUNTIF('Detailed Attendance'!GD43:GD43, "P")</f>
        <v/>
      </c>
      <c r="BG42" s="67">
        <f>COUNTIF('Detailed Attendance'!DO43:DO43, "A")+COUNTIF('Detailed Attendance'!DW43:DW43, "A")+COUNTIF('Detailed Attendance'!EL43:EL43, "A")+COUNTIF('Detailed Attendance'!ET43:ET43, "A")+COUNTIF('Detailed Attendance'!FF43:FF43, "A")+COUNTIF('Detailed Attendance'!FV43:FV43, "A")+COUNTIF('Detailed Attendance'!GD43:GD43, "A")</f>
        <v/>
      </c>
      <c r="BH42" s="68">
        <f>IF((BF42+BG42)=0,"", BF42/(BF42+BG42))</f>
        <v/>
      </c>
      <c r="BI42" s="67">
        <f>AT42+AW42+AZ42+BC42+BF42</f>
        <v/>
      </c>
      <c r="BJ42" s="67">
        <f>AU42+AX42+BA42+BD42+BG42</f>
        <v/>
      </c>
      <c r="BK42" s="68">
        <f>IF((BI42+BJ42)=0,"", BI42/(BI42+BJ42))</f>
        <v/>
      </c>
      <c r="BL42" s="69">
        <f>COUNTIF('Detailed Attendance'!DG43:DG43, "P")+COUNTIF('Detailed Attendance'!ED43:ED43, "P")+COUNTIF('Detailed Attendance'!EX43:EX43, "P")+COUNTIF('Detailed Attendance'!FN43:FN43, "P")+COUNTIF('Detailed Attendance'!DX43:DX43, "P")+COUNTIF('Detailed Attendance'!EU43:EU43, "P")+COUNTIF('Detailed Attendance'!GE43:GE43, "P")+COUNTIF('Detailed Attendance'!DE43:DE43, "P")+COUNTIF('Detailed Attendance'!EB43:EB43, "P")+COUNTIF('Detailed Attendance'!GI43:GI43, "P")</f>
        <v/>
      </c>
      <c r="BM42" s="69">
        <f>COUNTIF('Detailed Attendance'!DG43:DG43, "A")+COUNTIF('Detailed Attendance'!ED43:ED43, "A")+COUNTIF('Detailed Attendance'!EX43:EX43, "A")+COUNTIF('Detailed Attendance'!FN43:FN43, "A")+COUNTIF('Detailed Attendance'!DX43:DX43, "A")+COUNTIF('Detailed Attendance'!EU43:EU43, "A")+COUNTIF('Detailed Attendance'!GE43:GE43, "A")+COUNTIF('Detailed Attendance'!DE43:DE43, "A")+COUNTIF('Detailed Attendance'!EB43:EB43, "A")+COUNTIF('Detailed Attendance'!GI43:GI43, "A")</f>
        <v/>
      </c>
      <c r="BN42" s="70">
        <f>IF((BL42+BM42)=0,"", BL42/(BL42+BM42))</f>
        <v/>
      </c>
      <c r="BO42" s="67">
        <f>D42+Y42+AT42</f>
        <v/>
      </c>
      <c r="BP42" s="67">
        <f>E42+Z42+AU42</f>
        <v/>
      </c>
      <c r="BQ42" s="68">
        <f>IF((BO42+BP42)=0,"", BO42/(BO42+BP42))</f>
        <v/>
      </c>
      <c r="BR42" s="67">
        <f>G42+AB42+AW42</f>
        <v/>
      </c>
      <c r="BS42" s="67">
        <f>H42+AC42+AX42</f>
        <v/>
      </c>
      <c r="BT42" s="68">
        <f>IF((BR42+BS42)=0,"", BR42/(BR42+BS42))</f>
        <v/>
      </c>
      <c r="BU42" s="67">
        <f>J42+AE42+AZ42</f>
        <v/>
      </c>
      <c r="BV42" s="67">
        <f>K42+AF42+BA42</f>
        <v/>
      </c>
      <c r="BW42" s="68">
        <f>IF((BU42+BV42)=0,"", BU42/(BU42+BV42))</f>
        <v/>
      </c>
      <c r="BX42" s="67">
        <f>M42+AH42+BC42</f>
        <v/>
      </c>
      <c r="BY42" s="67">
        <f>N42+AI42+BD42</f>
        <v/>
      </c>
      <c r="BZ42" s="68">
        <f>IF((BX42+BY42)=0,"", BX42/(BX42+BY42))</f>
        <v/>
      </c>
      <c r="CA42" s="67">
        <f>P42+AK42+BF42</f>
        <v/>
      </c>
      <c r="CB42" s="67">
        <f>Q42+AL42+BG42</f>
        <v/>
      </c>
      <c r="CC42" s="68">
        <f>IF((CA42+CB42)=0,"", CA42/(CA42+CB42))</f>
        <v/>
      </c>
      <c r="CD42" s="67">
        <f>S42+AN42+BI42</f>
        <v/>
      </c>
      <c r="CE42" s="67">
        <f>T42+AO42+BJ42</f>
        <v/>
      </c>
      <c r="CF42" s="68">
        <f>IF((CD42+CE42)=0,"", CD42/(CD42+CE42))</f>
        <v/>
      </c>
      <c r="CG42" s="69">
        <f>V42+AQ42+BL42</f>
        <v/>
      </c>
      <c r="CH42" s="69">
        <f>W42+AR42+BM42</f>
        <v/>
      </c>
      <c r="CI42" s="70">
        <f>IF((CG42+CH42)=0,"", CG42/(CG42+CH42))</f>
        <v/>
      </c>
      <c r="CJ42" s="67">
        <f>CD42+(CG42*2)</f>
        <v/>
      </c>
      <c r="CK42" s="67">
        <f>CE42+(CH42*2)</f>
        <v/>
      </c>
      <c r="CL42" s="68">
        <f>IF((CJ42+CK42)=0,"", CJ42/(CJ42+CK42))</f>
        <v/>
      </c>
      <c r="CM42" s="67" t="inlineStr">
        <is>
          <t>Batch 1</t>
        </is>
      </c>
    </row>
    <row r="43" ht="14.25" customHeight="1" s="34">
      <c r="A43" s="46" t="n">
        <v>41</v>
      </c>
      <c r="B43" s="46" t="inlineStr">
        <is>
          <t>325106410041</t>
        </is>
      </c>
      <c r="C43" s="46" t="inlineStr">
        <is>
          <t>PAVAN SAI PUVVALA</t>
        </is>
      </c>
      <c r="D43" s="63" t="n">
        <v>0</v>
      </c>
      <c r="E43" s="63" t="n">
        <v>0</v>
      </c>
      <c r="F43" s="64">
        <f>IF((D43+E43)=0,"", D43/(D43+E43))</f>
        <v/>
      </c>
      <c r="G43" s="63">
        <f>COUNTIF('Detailed Attendance'!I44:I44, "P")</f>
        <v/>
      </c>
      <c r="H43" s="63">
        <f>COUNTIF('Detailed Attendance'!I44:I44, "A")</f>
        <v/>
      </c>
      <c r="I43" s="64">
        <f>IF((G43+H43)=0,"", G43/(G43+H43))</f>
        <v/>
      </c>
      <c r="J43" s="63" t="n">
        <v>0</v>
      </c>
      <c r="K43" s="63" t="n">
        <v>0</v>
      </c>
      <c r="L43" s="64">
        <f>IF((J43+K43)=0,"", J43/(J43+K43))</f>
        <v/>
      </c>
      <c r="M43" s="63">
        <f>COUNTIF('Detailed Attendance'!D44:D44, "P")</f>
        <v/>
      </c>
      <c r="N43" s="63">
        <f>COUNTIF('Detailed Attendance'!D44:D44, "A")</f>
        <v/>
      </c>
      <c r="O43" s="64">
        <f>IF((M43+N43)=0,"", M43/(M43+N43))</f>
        <v/>
      </c>
      <c r="P43" s="63" t="n">
        <v>0</v>
      </c>
      <c r="Q43" s="63" t="n">
        <v>0</v>
      </c>
      <c r="R43" s="64">
        <f>IF((P43+Q43)=0,"", P43/(P43+Q43))</f>
        <v/>
      </c>
      <c r="S43" s="63">
        <f>D43+G43+J43+M43+P43</f>
        <v/>
      </c>
      <c r="T43" s="63">
        <f>E43+H43+K43+N43+Q43</f>
        <v/>
      </c>
      <c r="U43" s="64">
        <f>IF((S43+T43)=0,"", S43/(S43+T43))</f>
        <v/>
      </c>
      <c r="V43" s="65">
        <f>COUNTIF('Detailed Attendance'!E44:E44, "P")</f>
        <v/>
      </c>
      <c r="W43" s="65">
        <f>COUNTIF('Detailed Attendance'!E44:E44, "A")</f>
        <v/>
      </c>
      <c r="X43" s="66">
        <f>IF((V43+W43)=0,"", V43/(V43+W43))</f>
        <v/>
      </c>
      <c r="Y43" s="63">
        <f>COUNTIF('Detailed Attendance'!R44:R44, "P")+COUNTIF('Detailed Attendance'!X44:X44, "P")+COUNTIF('Detailed Attendance'!AL44:AL44, "P")+COUNTIF('Detailed Attendance'!BF44:BF44, "P")+COUNTIF('Detailed Attendance'!BL44:BL44, "P")+COUNTIF('Detailed Attendance'!BZ44:BZ44, "P")+COUNTIF('Detailed Attendance'!CI44:CI44, "P")+COUNTIF('Detailed Attendance'!CW44:CW44, "P")</f>
        <v/>
      </c>
      <c r="Z43" s="63">
        <f>COUNTIF('Detailed Attendance'!R44:R44, "A")+COUNTIF('Detailed Attendance'!X44:X44, "A")+COUNTIF('Detailed Attendance'!AL44:AL44, "A")+COUNTIF('Detailed Attendance'!BF44:BF44, "A")+COUNTIF('Detailed Attendance'!BL44:BL44, "A")+COUNTIF('Detailed Attendance'!BZ44:BZ44, "A")+COUNTIF('Detailed Attendance'!CI44:CI44, "A")+COUNTIF('Detailed Attendance'!CW44:CW44, "A")</f>
        <v/>
      </c>
      <c r="AA43" s="64">
        <f>IF((Y43+Z43)=0,"", Y43/(Y43+Z43))</f>
        <v/>
      </c>
      <c r="AB43" s="63">
        <f>COUNTIF('Detailed Attendance'!Q44:Q44, "P")+COUNTIF('Detailed Attendance'!AC44:AC44, "P")+COUNTIF('Detailed Attendance'!AK44:AK44, "P")+COUNTIF('Detailed Attendance'!AW44:AW44, "P")+COUNTIF('Detailed Attendance'!BE44:BE44, "P")+COUNTIF('Detailed Attendance'!BQ44:BQ44, "P")+COUNTIF('Detailed Attendance'!BY44:BY44, "P")+COUNTIF('Detailed Attendance'!CN44:CN44, "P")+COUNTIF('Detailed Attendance'!CV44:CV44, "P")</f>
        <v/>
      </c>
      <c r="AC43" s="63">
        <f>COUNTIF('Detailed Attendance'!Q44:Q44, "A")+COUNTIF('Detailed Attendance'!AC44:AC44, "A")+COUNTIF('Detailed Attendance'!AK44:AK44, "A")+COUNTIF('Detailed Attendance'!AW44:AW44, "A")+COUNTIF('Detailed Attendance'!BE44:BE44, "A")+COUNTIF('Detailed Attendance'!BQ44:BQ44, "A")+COUNTIF('Detailed Attendance'!BY44:BY44, "A")+COUNTIF('Detailed Attendance'!CN44:CN44, "A")+COUNTIF('Detailed Attendance'!CV44:CV44, "A")</f>
        <v/>
      </c>
      <c r="AD43" s="64">
        <f>IF((AB43+AC43)=0,"", AB43/(AB43+AC43))</f>
        <v/>
      </c>
      <c r="AE43" s="63">
        <f>COUNTIF('Detailed Attendance'!L44:L44, "P")+COUNTIF('Detailed Attendance'!P44:P44, "P")+COUNTIF('Detailed Attendance'!AF44:AF44, "P")+COUNTIF('Detailed Attendance'!AJ44:AJ44, "P")+COUNTIF('Detailed Attendance'!AZ44:AZ44, "P")+COUNTIF('Detailed Attendance'!BD44:BD44, "P")+COUNTIF('Detailed Attendance'!BT44:BT44, "P")+COUNTIF('Detailed Attendance'!BX44:BX44, "P")+COUNTIF('Detailed Attendance'!CQ44:CQ44, "P")+COUNTIF('Detailed Attendance'!CU44:CU44, "P")</f>
        <v/>
      </c>
      <c r="AF43" s="67">
        <f>COUNTIF('Detailed Attendance'!L44:L44, "A")+COUNTIF('Detailed Attendance'!P44:P44, "A")+COUNTIF('Detailed Attendance'!AF44:AF44, "A")+COUNTIF('Detailed Attendance'!AJ44:AJ44, "A")+COUNTIF('Detailed Attendance'!AZ44:AZ44, "A")+COUNTIF('Detailed Attendance'!BD44:BD44, "A")+COUNTIF('Detailed Attendance'!BT44:BT44, "A")+COUNTIF('Detailed Attendance'!BX44:BX44, "A")+COUNTIF('Detailed Attendance'!CQ44:CQ44, "A")+COUNTIF('Detailed Attendance'!CU44:CU44, "A")</f>
        <v/>
      </c>
      <c r="AG43" s="68">
        <f>IF((AE43+AF43)=0,"", AE43/(AE43+AF43))</f>
        <v/>
      </c>
      <c r="AH43" s="67">
        <f>COUNTIF('Detailed Attendance'!T44:T44, "P")+COUNTIF('Detailed Attendance'!AN44:AN44, "P")+COUNTIF('Detailed Attendance'!AR44:AR44, "P")+COUNTIF('Detailed Attendance'!BH44:BH44, "P")+COUNTIF('Detailed Attendance'!CB44:CB44, "P")+COUNTIF('Detailed Attendance'!CF44:CF44, "P")+COUNTIF('Detailed Attendance'!CY44:CY44, "P")</f>
        <v/>
      </c>
      <c r="AI43" s="67">
        <f>COUNTIF('Detailed Attendance'!T44:T44, "A")+COUNTIF('Detailed Attendance'!AN44:AN44, "A")+COUNTIF('Detailed Attendance'!AR44:AR44, "A")+COUNTIF('Detailed Attendance'!BH44:BH44, "A")+COUNTIF('Detailed Attendance'!CB44:CB44, "A")+COUNTIF('Detailed Attendance'!CF44:CF44, "A")+COUNTIF('Detailed Attendance'!CY44:CY44, "A")</f>
        <v/>
      </c>
      <c r="AJ43" s="68">
        <f>IF((AH43+AI43)=0,"", AH43/(AH43+AI43))</f>
        <v/>
      </c>
      <c r="AK43" s="67">
        <f>COUNTIF('Detailed Attendance'!M44:M44, "P")+COUNTIF('Detailed Attendance'!U44:U44, "P")+COUNTIF('Detailed Attendance'!AG44:AG44, "P")+COUNTIF('Detailed Attendance'!AO44:AO44, "P")+COUNTIF('Detailed Attendance'!BA44:BA44, "P")+COUNTIF('Detailed Attendance'!BI44:BI44, "P")+COUNTIF('Detailed Attendance'!BU44:BU44, "P")+COUNTIF('Detailed Attendance'!CC44:CC44, "P")+COUNTIF('Detailed Attendance'!CR44:CR44, "P")+COUNTIF('Detailed Attendance'!CZ44:CZ44, "P")</f>
        <v/>
      </c>
      <c r="AL43" s="67">
        <f>COUNTIF('Detailed Attendance'!M44:M44, "A")+COUNTIF('Detailed Attendance'!U44:U44, "A")+COUNTIF('Detailed Attendance'!AG44:AG44, "A")+COUNTIF('Detailed Attendance'!AO44:AO44, "A")+COUNTIF('Detailed Attendance'!BA44:BA44, "A")+COUNTIF('Detailed Attendance'!BI44:BI44, "A")+COUNTIF('Detailed Attendance'!BU44:BU44, "A")+COUNTIF('Detailed Attendance'!CC44:CC44, "A")+COUNTIF('Detailed Attendance'!CR44:CR44, "A")+COUNTIF('Detailed Attendance'!CZ44:CZ44, "A")</f>
        <v/>
      </c>
      <c r="AM43" s="68">
        <f>IF((AK43+AL43)=0,"", AK43/(AK43+AL43))</f>
        <v/>
      </c>
      <c r="AN43" s="67">
        <f>Y43+AB43+AE43+AH43+AK43</f>
        <v/>
      </c>
      <c r="AO43" s="67">
        <f>Z43+AC43+AF43+AI43+AL43</f>
        <v/>
      </c>
      <c r="AP43" s="68">
        <f>IF((AN43+AO43)=0,"", AN43/(AN43+AO43))</f>
        <v/>
      </c>
      <c r="AQ43" s="69">
        <f>COUNTIF('Detailed Attendance'!Y44:Y44, "P")+COUNTIF('Detailed Attendance'!AS44:AS44, "P")+COUNTIF('Detailed Attendance'!BM44:BM44, "P")+COUNTIF('Detailed Attendance'!CJ44:CJ44, "P")+COUNTIF('Detailed Attendance'!V44:V44, "P")+COUNTIF('Detailed Attendance'!AP44:AP44, "P")+COUNTIF('Detailed Attendance'!BJ44:BJ44, "P")+COUNTIF('Detailed Attendance'!CD44:CD44, "P")+COUNTIF('Detailed Attendance'!DA44:DA44, "P")+COUNTIF('Detailed Attendance'!CH44:CH44, "P")</f>
        <v/>
      </c>
      <c r="AR43" s="69">
        <f>COUNTIF('Detailed Attendance'!Y44:Y44, "A")+COUNTIF('Detailed Attendance'!AS44:AS44, "A")+COUNTIF('Detailed Attendance'!BM44:BM44, "A")+COUNTIF('Detailed Attendance'!CJ44:CJ44, "A")+COUNTIF('Detailed Attendance'!V44:V44, "A")+COUNTIF('Detailed Attendance'!AP44:AP44, "A")+COUNTIF('Detailed Attendance'!BJ44:BJ44, "A")+COUNTIF('Detailed Attendance'!CD44:CD44, "A")+COUNTIF('Detailed Attendance'!DA44:DA44, "A")+COUNTIF('Detailed Attendance'!CH44:CH44, "A")</f>
        <v/>
      </c>
      <c r="AS43" s="70">
        <f>IF((AQ43+AR43)=0,"", AQ43/(AQ43+AR43))</f>
        <v/>
      </c>
      <c r="AT43" s="67">
        <f>COUNTIF('Detailed Attendance'!DF44:DF44, "P")+COUNTIF('Detailed Attendance'!DT44:DT44, "P")+COUNTIF('Detailed Attendance'!EC44:EC44, "P")+COUNTIF('Detailed Attendance'!EQ44:EQ44, "P")+COUNTIF('Detailed Attendance'!EW44:EW44, "P")+COUNTIF('Detailed Attendance'!FK44:FK44, "P")+COUNTIF('Detailed Attendance'!FM44:FM44, "P")+COUNTIF('Detailed Attendance'!GA44:GA44, "P")</f>
        <v/>
      </c>
      <c r="AU43" s="67">
        <f>COUNTIF('Detailed Attendance'!DF44:DF44, "A")+COUNTIF('Detailed Attendance'!DT44:DT44, "A")+COUNTIF('Detailed Attendance'!EC44:EC44, "A")+COUNTIF('Detailed Attendance'!EQ44:EQ44, "A")+COUNTIF('Detailed Attendance'!EW44:EW44, "A")+COUNTIF('Detailed Attendance'!FK44:FK44, "A")+COUNTIF('Detailed Attendance'!FM44:FM44, "A")+COUNTIF('Detailed Attendance'!GA44:GA44, "A")</f>
        <v/>
      </c>
      <c r="AV43" s="68">
        <f>IF((AT43+AU43)=0,"", AT43/(AT43+AU43))</f>
        <v/>
      </c>
      <c r="AW43" s="67">
        <f>COUNTIF('Detailed Attendance'!DK44:DK44, "P")+COUNTIF('Detailed Attendance'!DS44:DS44, "P")+COUNTIF('Detailed Attendance'!EH44:EH44, "P")+COUNTIF('Detailed Attendance'!EP44:EP44, "P")+COUNTIF('Detailed Attendance'!FB44:FB44, "P")+COUNTIF('Detailed Attendance'!FJ44:FJ44, "P")+COUNTIF('Detailed Attendance'!FR44:FR44, "P")+COUNTIF('Detailed Attendance'!FZ44:FZ44, "P")</f>
        <v/>
      </c>
      <c r="AX43" s="67">
        <f>COUNTIF('Detailed Attendance'!DK44:DK44, "A")+COUNTIF('Detailed Attendance'!DS44:DS44, "A")+COUNTIF('Detailed Attendance'!EH44:EH44, "A")+COUNTIF('Detailed Attendance'!EP44:EP44, "A")+COUNTIF('Detailed Attendance'!FB44:FB44, "A")+COUNTIF('Detailed Attendance'!FJ44:FJ44, "A")+COUNTIF('Detailed Attendance'!FR44:FR44, "A")+COUNTIF('Detailed Attendance'!FZ44:FZ44, "A")</f>
        <v/>
      </c>
      <c r="AY43" s="68">
        <f>IF((AW43+AX43)=0,"", AW43/(AW43+AX43))</f>
        <v/>
      </c>
      <c r="AZ43" s="67">
        <f>COUNTIF('Detailed Attendance'!DN44:DN44, "P")+COUNTIF('Detailed Attendance'!DR44:DR44, "P")+COUNTIF('Detailed Attendance'!EK44:EK44, "P")+COUNTIF('Detailed Attendance'!EO44:EO44, "P")+COUNTIF('Detailed Attendance'!FE44:FE44, "P")+COUNTIF('Detailed Attendance'!FI44:FI44, "P")+COUNTIF('Detailed Attendance'!FU44:FU44, "P")+COUNTIF('Detailed Attendance'!FY44:FY44, "P")</f>
        <v/>
      </c>
      <c r="BA43" s="67">
        <f>COUNTIF('Detailed Attendance'!DN44:DN44, "A")+COUNTIF('Detailed Attendance'!DR44:DR44, "A")+COUNTIF('Detailed Attendance'!EK44:EK44, "A")+COUNTIF('Detailed Attendance'!EO44:EO44, "A")+COUNTIF('Detailed Attendance'!FE44:FE44, "A")+COUNTIF('Detailed Attendance'!FI44:FI44, "A")+COUNTIF('Detailed Attendance'!FU44:FU44, "A")+COUNTIF('Detailed Attendance'!FY44:FY44, "A")</f>
        <v/>
      </c>
      <c r="BB43" s="68">
        <f>IF((AZ43+BA43)=0,"", AZ43/(AZ43+BA43))</f>
        <v/>
      </c>
      <c r="BC43" s="67">
        <f>COUNTIF('Detailed Attendance'!DC44:DC44, "P")+COUNTIF('Detailed Attendance'!DV44:DV44, "P")+COUNTIF('Detailed Attendance'!DZ44:DZ44, "P")+COUNTIF('Detailed Attendance'!ES44:ES44, "P")+COUNTIF('Detailed Attendance'!GC44:GC44, "P")+COUNTIF('Detailed Attendance'!GG44:GG44, "P")</f>
        <v/>
      </c>
      <c r="BD43" s="67">
        <f>COUNTIF('Detailed Attendance'!DC44:DC44, "A")+COUNTIF('Detailed Attendance'!DV44:DV44, "A")+COUNTIF('Detailed Attendance'!DZ44:DZ44, "A")+COUNTIF('Detailed Attendance'!ES44:ES44, "A")+COUNTIF('Detailed Attendance'!GC44:GC44, "A")+COUNTIF('Detailed Attendance'!GG44:GG44, "A")</f>
        <v/>
      </c>
      <c r="BE43" s="68">
        <f>IF((BC43+BD43)=0,"", BC43/(BC43+BD43))</f>
        <v/>
      </c>
      <c r="BF43" s="67">
        <f>COUNTIF('Detailed Attendance'!DO44:DO44, "P")+COUNTIF('Detailed Attendance'!DW44:DW44, "P")+COUNTIF('Detailed Attendance'!EL44:EL44, "P")+COUNTIF('Detailed Attendance'!ET44:ET44, "P")+COUNTIF('Detailed Attendance'!FF44:FF44, "P")+COUNTIF('Detailed Attendance'!FV44:FV44, "P")+COUNTIF('Detailed Attendance'!GD44:GD44, "P")</f>
        <v/>
      </c>
      <c r="BG43" s="67">
        <f>COUNTIF('Detailed Attendance'!DO44:DO44, "A")+COUNTIF('Detailed Attendance'!DW44:DW44, "A")+COUNTIF('Detailed Attendance'!EL44:EL44, "A")+COUNTIF('Detailed Attendance'!ET44:ET44, "A")+COUNTIF('Detailed Attendance'!FF44:FF44, "A")+COUNTIF('Detailed Attendance'!FV44:FV44, "A")+COUNTIF('Detailed Attendance'!GD44:GD44, "A")</f>
        <v/>
      </c>
      <c r="BH43" s="68">
        <f>IF((BF43+BG43)=0,"", BF43/(BF43+BG43))</f>
        <v/>
      </c>
      <c r="BI43" s="67">
        <f>AT43+AW43+AZ43+BC43+BF43</f>
        <v/>
      </c>
      <c r="BJ43" s="67">
        <f>AU43+AX43+BA43+BD43+BG43</f>
        <v/>
      </c>
      <c r="BK43" s="68">
        <f>IF((BI43+BJ43)=0,"", BI43/(BI43+BJ43))</f>
        <v/>
      </c>
      <c r="BL43" s="69">
        <f>COUNTIF('Detailed Attendance'!DG44:DG44, "P")+COUNTIF('Detailed Attendance'!ED44:ED44, "P")+COUNTIF('Detailed Attendance'!EX44:EX44, "P")+COUNTIF('Detailed Attendance'!FN44:FN44, "P")+COUNTIF('Detailed Attendance'!DX44:DX44, "P")+COUNTIF('Detailed Attendance'!EU44:EU44, "P")+COUNTIF('Detailed Attendance'!GE44:GE44, "P")+COUNTIF('Detailed Attendance'!DE44:DE44, "P")+COUNTIF('Detailed Attendance'!EB44:EB44, "P")+COUNTIF('Detailed Attendance'!GI44:GI44, "P")</f>
        <v/>
      </c>
      <c r="BM43" s="69">
        <f>COUNTIF('Detailed Attendance'!DG44:DG44, "A")+COUNTIF('Detailed Attendance'!ED44:ED44, "A")+COUNTIF('Detailed Attendance'!EX44:EX44, "A")+COUNTIF('Detailed Attendance'!FN44:FN44, "A")+COUNTIF('Detailed Attendance'!DX44:DX44, "A")+COUNTIF('Detailed Attendance'!EU44:EU44, "A")+COUNTIF('Detailed Attendance'!GE44:GE44, "A")+COUNTIF('Detailed Attendance'!DE44:DE44, "A")+COUNTIF('Detailed Attendance'!EB44:EB44, "A")+COUNTIF('Detailed Attendance'!GI44:GI44, "A")</f>
        <v/>
      </c>
      <c r="BN43" s="70">
        <f>IF((BL43+BM43)=0,"", BL43/(BL43+BM43))</f>
        <v/>
      </c>
      <c r="BO43" s="67">
        <f>D43+Y43+AT43</f>
        <v/>
      </c>
      <c r="BP43" s="67">
        <f>E43+Z43+AU43</f>
        <v/>
      </c>
      <c r="BQ43" s="68">
        <f>IF((BO43+BP43)=0,"", BO43/(BO43+BP43))</f>
        <v/>
      </c>
      <c r="BR43" s="67">
        <f>G43+AB43+AW43</f>
        <v/>
      </c>
      <c r="BS43" s="67">
        <f>H43+AC43+AX43</f>
        <v/>
      </c>
      <c r="BT43" s="68">
        <f>IF((BR43+BS43)=0,"", BR43/(BR43+BS43))</f>
        <v/>
      </c>
      <c r="BU43" s="67">
        <f>J43+AE43+AZ43</f>
        <v/>
      </c>
      <c r="BV43" s="67">
        <f>K43+AF43+BA43</f>
        <v/>
      </c>
      <c r="BW43" s="68">
        <f>IF((BU43+BV43)=0,"", BU43/(BU43+BV43))</f>
        <v/>
      </c>
      <c r="BX43" s="67">
        <f>M43+AH43+BC43</f>
        <v/>
      </c>
      <c r="BY43" s="67">
        <f>N43+AI43+BD43</f>
        <v/>
      </c>
      <c r="BZ43" s="68">
        <f>IF((BX43+BY43)=0,"", BX43/(BX43+BY43))</f>
        <v/>
      </c>
      <c r="CA43" s="67">
        <f>P43+AK43+BF43</f>
        <v/>
      </c>
      <c r="CB43" s="67">
        <f>Q43+AL43+BG43</f>
        <v/>
      </c>
      <c r="CC43" s="68">
        <f>IF((CA43+CB43)=0,"", CA43/(CA43+CB43))</f>
        <v/>
      </c>
      <c r="CD43" s="67">
        <f>S43+AN43+BI43</f>
        <v/>
      </c>
      <c r="CE43" s="67">
        <f>T43+AO43+BJ43</f>
        <v/>
      </c>
      <c r="CF43" s="68">
        <f>IF((CD43+CE43)=0,"", CD43/(CD43+CE43))</f>
        <v/>
      </c>
      <c r="CG43" s="69">
        <f>V43+AQ43+BL43</f>
        <v/>
      </c>
      <c r="CH43" s="69">
        <f>W43+AR43+BM43</f>
        <v/>
      </c>
      <c r="CI43" s="70">
        <f>IF((CG43+CH43)=0,"", CG43/(CG43+CH43))</f>
        <v/>
      </c>
      <c r="CJ43" s="67">
        <f>CD43+(CG43*2)</f>
        <v/>
      </c>
      <c r="CK43" s="67">
        <f>CE43+(CH43*2)</f>
        <v/>
      </c>
      <c r="CL43" s="68">
        <f>IF((CJ43+CK43)=0,"", CJ43/(CJ43+CK43))</f>
        <v/>
      </c>
      <c r="CM43" s="67" t="inlineStr">
        <is>
          <t>Batch 1</t>
        </is>
      </c>
    </row>
    <row r="44" ht="14.25" customHeight="1" s="34">
      <c r="A44" s="46" t="n">
        <v>42</v>
      </c>
      <c r="B44" s="46" t="inlineStr">
        <is>
          <t>325106410042</t>
        </is>
      </c>
      <c r="C44" s="46" t="inlineStr">
        <is>
          <t>SHANMUKHA RAO REDDI</t>
        </is>
      </c>
      <c r="D44" s="63" t="n">
        <v>0</v>
      </c>
      <c r="E44" s="63" t="n">
        <v>0</v>
      </c>
      <c r="F44" s="64">
        <f>IF((D44+E44)=0,"", D44/(D44+E44))</f>
        <v/>
      </c>
      <c r="G44" s="63">
        <f>COUNTIF('Detailed Attendance'!I45:I45, "P")</f>
        <v/>
      </c>
      <c r="H44" s="63">
        <f>COUNTIF('Detailed Attendance'!I45:I45, "A")</f>
        <v/>
      </c>
      <c r="I44" s="64">
        <f>IF((G44+H44)=0,"", G44/(G44+H44))</f>
        <v/>
      </c>
      <c r="J44" s="63" t="n">
        <v>0</v>
      </c>
      <c r="K44" s="63" t="n">
        <v>0</v>
      </c>
      <c r="L44" s="64">
        <f>IF((J44+K44)=0,"", J44/(J44+K44))</f>
        <v/>
      </c>
      <c r="M44" s="63">
        <f>COUNTIF('Detailed Attendance'!D45:D45, "P")</f>
        <v/>
      </c>
      <c r="N44" s="63">
        <f>COUNTIF('Detailed Attendance'!D45:D45, "A")</f>
        <v/>
      </c>
      <c r="O44" s="64">
        <f>IF((M44+N44)=0,"", M44/(M44+N44))</f>
        <v/>
      </c>
      <c r="P44" s="63" t="n">
        <v>0</v>
      </c>
      <c r="Q44" s="63" t="n">
        <v>0</v>
      </c>
      <c r="R44" s="64">
        <f>IF((P44+Q44)=0,"", P44/(P44+Q44))</f>
        <v/>
      </c>
      <c r="S44" s="63">
        <f>D44+G44+J44+M44+P44</f>
        <v/>
      </c>
      <c r="T44" s="63">
        <f>E44+H44+K44+N44+Q44</f>
        <v/>
      </c>
      <c r="U44" s="64">
        <f>IF((S44+T44)=0,"", S44/(S44+T44))</f>
        <v/>
      </c>
      <c r="V44" s="65" t="n">
        <v>0</v>
      </c>
      <c r="W44" s="65" t="n">
        <v>0</v>
      </c>
      <c r="X44" s="66">
        <f>IF((V44+W44)=0,"", V44/(V44+W44))</f>
        <v/>
      </c>
      <c r="Y44" s="63">
        <f>COUNTIF('Detailed Attendance'!R45:R45, "P")+COUNTIF('Detailed Attendance'!X45:X45, "P")+COUNTIF('Detailed Attendance'!AL45:AL45, "P")+COUNTIF('Detailed Attendance'!BF45:BF45, "P")+COUNTIF('Detailed Attendance'!BL45:BL45, "P")+COUNTIF('Detailed Attendance'!BZ45:BZ45, "P")+COUNTIF('Detailed Attendance'!CI45:CI45, "P")+COUNTIF('Detailed Attendance'!CW45:CW45, "P")</f>
        <v/>
      </c>
      <c r="Z44" s="63">
        <f>COUNTIF('Detailed Attendance'!R45:R45, "A")+COUNTIF('Detailed Attendance'!X45:X45, "A")+COUNTIF('Detailed Attendance'!AL45:AL45, "A")+COUNTIF('Detailed Attendance'!BF45:BF45, "A")+COUNTIF('Detailed Attendance'!BL45:BL45, "A")+COUNTIF('Detailed Attendance'!BZ45:BZ45, "A")+COUNTIF('Detailed Attendance'!CI45:CI45, "A")+COUNTIF('Detailed Attendance'!CW45:CW45, "A")</f>
        <v/>
      </c>
      <c r="AA44" s="64">
        <f>IF((Y44+Z44)=0,"", Y44/(Y44+Z44))</f>
        <v/>
      </c>
      <c r="AB44" s="63">
        <f>COUNTIF('Detailed Attendance'!Q45:Q45, "P")+COUNTIF('Detailed Attendance'!AC45:AC45, "P")+COUNTIF('Detailed Attendance'!AK45:AK45, "P")+COUNTIF('Detailed Attendance'!AW45:AW45, "P")+COUNTIF('Detailed Attendance'!BE45:BE45, "P")+COUNTIF('Detailed Attendance'!BQ45:BQ45, "P")+COUNTIF('Detailed Attendance'!BY45:BY45, "P")+COUNTIF('Detailed Attendance'!CN45:CN45, "P")+COUNTIF('Detailed Attendance'!CV45:CV45, "P")</f>
        <v/>
      </c>
      <c r="AC44" s="63">
        <f>COUNTIF('Detailed Attendance'!Q45:Q45, "A")+COUNTIF('Detailed Attendance'!AC45:AC45, "A")+COUNTIF('Detailed Attendance'!AK45:AK45, "A")+COUNTIF('Detailed Attendance'!AW45:AW45, "A")+COUNTIF('Detailed Attendance'!BE45:BE45, "A")+COUNTIF('Detailed Attendance'!BQ45:BQ45, "A")+COUNTIF('Detailed Attendance'!BY45:BY45, "A")+COUNTIF('Detailed Attendance'!CN45:CN45, "A")+COUNTIF('Detailed Attendance'!CV45:CV45, "A")</f>
        <v/>
      </c>
      <c r="AD44" s="64">
        <f>IF((AB44+AC44)=0,"", AB44/(AB44+AC44))</f>
        <v/>
      </c>
      <c r="AE44" s="63">
        <f>COUNTIF('Detailed Attendance'!L45:L45, "P")+COUNTIF('Detailed Attendance'!P45:P45, "P")+COUNTIF('Detailed Attendance'!AF45:AF45, "P")+COUNTIF('Detailed Attendance'!AJ45:AJ45, "P")+COUNTIF('Detailed Attendance'!AZ45:AZ45, "P")+COUNTIF('Detailed Attendance'!BD45:BD45, "P")+COUNTIF('Detailed Attendance'!BT45:BT45, "P")+COUNTIF('Detailed Attendance'!BX45:BX45, "P")+COUNTIF('Detailed Attendance'!CQ45:CQ45, "P")+COUNTIF('Detailed Attendance'!CU45:CU45, "P")</f>
        <v/>
      </c>
      <c r="AF44" s="67">
        <f>COUNTIF('Detailed Attendance'!L45:L45, "A")+COUNTIF('Detailed Attendance'!P45:P45, "A")+COUNTIF('Detailed Attendance'!AF45:AF45, "A")+COUNTIF('Detailed Attendance'!AJ45:AJ45, "A")+COUNTIF('Detailed Attendance'!AZ45:AZ45, "A")+COUNTIF('Detailed Attendance'!BD45:BD45, "A")+COUNTIF('Detailed Attendance'!BT45:BT45, "A")+COUNTIF('Detailed Attendance'!BX45:BX45, "A")+COUNTIF('Detailed Attendance'!CQ45:CQ45, "A")+COUNTIF('Detailed Attendance'!CU45:CU45, "A")</f>
        <v/>
      </c>
      <c r="AG44" s="68">
        <f>IF((AE44+AF44)=0,"", AE44/(AE44+AF44))</f>
        <v/>
      </c>
      <c r="AH44" s="67">
        <f>COUNTIF('Detailed Attendance'!T45:T45, "P")+COUNTIF('Detailed Attendance'!AN45:AN45, "P")+COUNTIF('Detailed Attendance'!AR45:AR45, "P")+COUNTIF('Detailed Attendance'!BH45:BH45, "P")+COUNTIF('Detailed Attendance'!CB45:CB45, "P")+COUNTIF('Detailed Attendance'!CF45:CF45, "P")+COUNTIF('Detailed Attendance'!CY45:CY45, "P")</f>
        <v/>
      </c>
      <c r="AI44" s="67">
        <f>COUNTIF('Detailed Attendance'!T45:T45, "A")+COUNTIF('Detailed Attendance'!AN45:AN45, "A")+COUNTIF('Detailed Attendance'!AR45:AR45, "A")+COUNTIF('Detailed Attendance'!BH45:BH45, "A")+COUNTIF('Detailed Attendance'!CB45:CB45, "A")+COUNTIF('Detailed Attendance'!CF45:CF45, "A")+COUNTIF('Detailed Attendance'!CY45:CY45, "A")</f>
        <v/>
      </c>
      <c r="AJ44" s="68">
        <f>IF((AH44+AI44)=0,"", AH44/(AH44+AI44))</f>
        <v/>
      </c>
      <c r="AK44" s="67">
        <f>COUNTIF('Detailed Attendance'!M45:M45, "P")+COUNTIF('Detailed Attendance'!U45:U45, "P")+COUNTIF('Detailed Attendance'!AG45:AG45, "P")+COUNTIF('Detailed Attendance'!AO45:AO45, "P")+COUNTIF('Detailed Attendance'!BA45:BA45, "P")+COUNTIF('Detailed Attendance'!BI45:BI45, "P")+COUNTIF('Detailed Attendance'!BU45:BU45, "P")+COUNTIF('Detailed Attendance'!CC45:CC45, "P")+COUNTIF('Detailed Attendance'!CR45:CR45, "P")+COUNTIF('Detailed Attendance'!CZ45:CZ45, "P")</f>
        <v/>
      </c>
      <c r="AL44" s="67">
        <f>COUNTIF('Detailed Attendance'!M45:M45, "A")+COUNTIF('Detailed Attendance'!U45:U45, "A")+COUNTIF('Detailed Attendance'!AG45:AG45, "A")+COUNTIF('Detailed Attendance'!AO45:AO45, "A")+COUNTIF('Detailed Attendance'!BA45:BA45, "A")+COUNTIF('Detailed Attendance'!BI45:BI45, "A")+COUNTIF('Detailed Attendance'!BU45:BU45, "A")+COUNTIF('Detailed Attendance'!CC45:CC45, "A")+COUNTIF('Detailed Attendance'!CR45:CR45, "A")+COUNTIF('Detailed Attendance'!CZ45:CZ45, "A")</f>
        <v/>
      </c>
      <c r="AM44" s="68">
        <f>IF((AK44+AL44)=0,"", AK44/(AK44+AL44))</f>
        <v/>
      </c>
      <c r="AN44" s="67">
        <f>Y44+AB44+AE44+AH44+AK44</f>
        <v/>
      </c>
      <c r="AO44" s="67">
        <f>Z44+AC44+AF44+AI44+AL44</f>
        <v/>
      </c>
      <c r="AP44" s="68">
        <f>IF((AN44+AO44)=0,"", AN44/(AN44+AO44))</f>
        <v/>
      </c>
      <c r="AQ44" s="69">
        <f>COUNTIF('Detailed Attendance'!CG45:CG45, "P")+COUNTIF('Detailed Attendance'!CH45:CH45, "P")+COUNTIF('Detailed Attendance'!V45:V45, "P")+COUNTIF('Detailed Attendance'!AP45:AP45, "P")+COUNTIF('Detailed Attendance'!BJ45:BJ45, "P")+COUNTIF('Detailed Attendance'!CD45:CD45, "P")+COUNTIF('Detailed Attendance'!DA45:DA45, "P")</f>
        <v/>
      </c>
      <c r="AR44" s="69">
        <f>COUNTIF('Detailed Attendance'!CG45:CG45, "A")+COUNTIF('Detailed Attendance'!CH45:CH45, "A")+COUNTIF('Detailed Attendance'!V45:V45, "A")+COUNTIF('Detailed Attendance'!AP45:AP45, "A")+COUNTIF('Detailed Attendance'!BJ45:BJ45, "A")+COUNTIF('Detailed Attendance'!CD45:CD45, "A")+COUNTIF('Detailed Attendance'!DA45:DA45, "A")</f>
        <v/>
      </c>
      <c r="AS44" s="70">
        <f>IF((AQ44+AR44)=0,"", AQ44/(AQ44+AR44))</f>
        <v/>
      </c>
      <c r="AT44" s="67">
        <f>COUNTIF('Detailed Attendance'!DF45:DF45, "P")+COUNTIF('Detailed Attendance'!DT45:DT45, "P")+COUNTIF('Detailed Attendance'!EC45:EC45, "P")+COUNTIF('Detailed Attendance'!EQ45:EQ45, "P")+COUNTIF('Detailed Attendance'!EW45:EW45, "P")+COUNTIF('Detailed Attendance'!FK45:FK45, "P")+COUNTIF('Detailed Attendance'!FM45:FM45, "P")+COUNTIF('Detailed Attendance'!GA45:GA45, "P")</f>
        <v/>
      </c>
      <c r="AU44" s="67">
        <f>COUNTIF('Detailed Attendance'!DF45:DF45, "A")+COUNTIF('Detailed Attendance'!DT45:DT45, "A")+COUNTIF('Detailed Attendance'!EC45:EC45, "A")+COUNTIF('Detailed Attendance'!EQ45:EQ45, "A")+COUNTIF('Detailed Attendance'!EW45:EW45, "A")+COUNTIF('Detailed Attendance'!FK45:FK45, "A")+COUNTIF('Detailed Attendance'!FM45:FM45, "A")+COUNTIF('Detailed Attendance'!GA45:GA45, "A")</f>
        <v/>
      </c>
      <c r="AV44" s="68">
        <f>IF((AT44+AU44)=0,"", AT44/(AT44+AU44))</f>
        <v/>
      </c>
      <c r="AW44" s="67">
        <f>COUNTIF('Detailed Attendance'!DK45:DK45, "P")+COUNTIF('Detailed Attendance'!DS45:DS45, "P")+COUNTIF('Detailed Attendance'!EH45:EH45, "P")+COUNTIF('Detailed Attendance'!EP45:EP45, "P")+COUNTIF('Detailed Attendance'!FB45:FB45, "P")+COUNTIF('Detailed Attendance'!FJ45:FJ45, "P")+COUNTIF('Detailed Attendance'!FR45:FR45, "P")+COUNTIF('Detailed Attendance'!FZ45:FZ45, "P")</f>
        <v/>
      </c>
      <c r="AX44" s="67">
        <f>COUNTIF('Detailed Attendance'!DK45:DK45, "A")+COUNTIF('Detailed Attendance'!DS45:DS45, "A")+COUNTIF('Detailed Attendance'!EH45:EH45, "A")+COUNTIF('Detailed Attendance'!EP45:EP45, "A")+COUNTIF('Detailed Attendance'!FB45:FB45, "A")+COUNTIF('Detailed Attendance'!FJ45:FJ45, "A")+COUNTIF('Detailed Attendance'!FR45:FR45, "A")+COUNTIF('Detailed Attendance'!FZ45:FZ45, "A")</f>
        <v/>
      </c>
      <c r="AY44" s="68">
        <f>IF((AW44+AX44)=0,"", AW44/(AW44+AX44))</f>
        <v/>
      </c>
      <c r="AZ44" s="67">
        <f>COUNTIF('Detailed Attendance'!DN45:DN45, "P")+COUNTIF('Detailed Attendance'!DR45:DR45, "P")+COUNTIF('Detailed Attendance'!EK45:EK45, "P")+COUNTIF('Detailed Attendance'!EO45:EO45, "P")+COUNTIF('Detailed Attendance'!FE45:FE45, "P")+COUNTIF('Detailed Attendance'!FI45:FI45, "P")+COUNTIF('Detailed Attendance'!FU45:FU45, "P")+COUNTIF('Detailed Attendance'!FY45:FY45, "P")</f>
        <v/>
      </c>
      <c r="BA44" s="67">
        <f>COUNTIF('Detailed Attendance'!DN45:DN45, "A")+COUNTIF('Detailed Attendance'!DR45:DR45, "A")+COUNTIF('Detailed Attendance'!EK45:EK45, "A")+COUNTIF('Detailed Attendance'!EO45:EO45, "A")+COUNTIF('Detailed Attendance'!FE45:FE45, "A")+COUNTIF('Detailed Attendance'!FI45:FI45, "A")+COUNTIF('Detailed Attendance'!FU45:FU45, "A")+COUNTIF('Detailed Attendance'!FY45:FY45, "A")</f>
        <v/>
      </c>
      <c r="BB44" s="68">
        <f>IF((AZ44+BA44)=0,"", AZ44/(AZ44+BA44))</f>
        <v/>
      </c>
      <c r="BC44" s="67">
        <f>COUNTIF('Detailed Attendance'!DC45:DC45, "P")+COUNTIF('Detailed Attendance'!DV45:DV45, "P")+COUNTIF('Detailed Attendance'!DZ45:DZ45, "P")+COUNTIF('Detailed Attendance'!ES45:ES45, "P")+COUNTIF('Detailed Attendance'!GC45:GC45, "P")+COUNTIF('Detailed Attendance'!GG45:GG45, "P")</f>
        <v/>
      </c>
      <c r="BD44" s="67">
        <f>COUNTIF('Detailed Attendance'!DC45:DC45, "A")+COUNTIF('Detailed Attendance'!DV45:DV45, "A")+COUNTIF('Detailed Attendance'!DZ45:DZ45, "A")+COUNTIF('Detailed Attendance'!ES45:ES45, "A")+COUNTIF('Detailed Attendance'!GC45:GC45, "A")+COUNTIF('Detailed Attendance'!GG45:GG45, "A")</f>
        <v/>
      </c>
      <c r="BE44" s="68">
        <f>IF((BC44+BD44)=0,"", BC44/(BC44+BD44))</f>
        <v/>
      </c>
      <c r="BF44" s="67">
        <f>COUNTIF('Detailed Attendance'!DO45:DO45, "P")+COUNTIF('Detailed Attendance'!DW45:DW45, "P")+COUNTIF('Detailed Attendance'!EL45:EL45, "P")+COUNTIF('Detailed Attendance'!ET45:ET45, "P")+COUNTIF('Detailed Attendance'!FF45:FF45, "P")+COUNTIF('Detailed Attendance'!FV45:FV45, "P")+COUNTIF('Detailed Attendance'!GD45:GD45, "P")</f>
        <v/>
      </c>
      <c r="BG44" s="67">
        <f>COUNTIF('Detailed Attendance'!DO45:DO45, "A")+COUNTIF('Detailed Attendance'!DW45:DW45, "A")+COUNTIF('Detailed Attendance'!EL45:EL45, "A")+COUNTIF('Detailed Attendance'!ET45:ET45, "A")+COUNTIF('Detailed Attendance'!FF45:FF45, "A")+COUNTIF('Detailed Attendance'!FV45:FV45, "A")+COUNTIF('Detailed Attendance'!GD45:GD45, "A")</f>
        <v/>
      </c>
      <c r="BH44" s="68">
        <f>IF((BF44+BG44)=0,"", BF44/(BF44+BG44))</f>
        <v/>
      </c>
      <c r="BI44" s="67">
        <f>AT44+AW44+AZ44+BC44+BF44</f>
        <v/>
      </c>
      <c r="BJ44" s="67">
        <f>AU44+AX44+BA44+BD44+BG44</f>
        <v/>
      </c>
      <c r="BK44" s="68">
        <f>IF((BI44+BJ44)=0,"", BI44/(BI44+BJ44))</f>
        <v/>
      </c>
      <c r="BL44" s="69">
        <f>COUNTIF('Detailed Attendance'!DD45:DD45, "P")+COUNTIF('Detailed Attendance'!EA45:EA45, "P")+COUNTIF('Detailed Attendance'!GH45:GH45, "P")+COUNTIF('Detailed Attendance'!DE45:DE45, "P")+COUNTIF('Detailed Attendance'!EB45:EB45, "P")+COUNTIF('Detailed Attendance'!GI45:GI45, "P")+COUNTIF('Detailed Attendance'!DX45:DX45, "P")+COUNTIF('Detailed Attendance'!EU45:EU45, "P")+COUNTIF('Detailed Attendance'!GE45:GE45, "P")</f>
        <v/>
      </c>
      <c r="BM44" s="69">
        <f>COUNTIF('Detailed Attendance'!DD45:DD45, "A")+COUNTIF('Detailed Attendance'!EA45:EA45, "A")+COUNTIF('Detailed Attendance'!GH45:GH45, "A")+COUNTIF('Detailed Attendance'!DE45:DE45, "A")+COUNTIF('Detailed Attendance'!EB45:EB45, "A")+COUNTIF('Detailed Attendance'!GI45:GI45, "A")+COUNTIF('Detailed Attendance'!DX45:DX45, "A")+COUNTIF('Detailed Attendance'!EU45:EU45, "A")+COUNTIF('Detailed Attendance'!GE45:GE45, "A")</f>
        <v/>
      </c>
      <c r="BN44" s="70">
        <f>IF((BL44+BM44)=0,"", BL44/(BL44+BM44))</f>
        <v/>
      </c>
      <c r="BO44" s="67">
        <f>D44+Y44+AT44</f>
        <v/>
      </c>
      <c r="BP44" s="67">
        <f>E44+Z44+AU44</f>
        <v/>
      </c>
      <c r="BQ44" s="68">
        <f>IF((BO44+BP44)=0,"", BO44/(BO44+BP44))</f>
        <v/>
      </c>
      <c r="BR44" s="67">
        <f>G44+AB44+AW44</f>
        <v/>
      </c>
      <c r="BS44" s="67">
        <f>H44+AC44+AX44</f>
        <v/>
      </c>
      <c r="BT44" s="68">
        <f>IF((BR44+BS44)=0,"", BR44/(BR44+BS44))</f>
        <v/>
      </c>
      <c r="BU44" s="67">
        <f>J44+AE44+AZ44</f>
        <v/>
      </c>
      <c r="BV44" s="67">
        <f>K44+AF44+BA44</f>
        <v/>
      </c>
      <c r="BW44" s="68">
        <f>IF((BU44+BV44)=0,"", BU44/(BU44+BV44))</f>
        <v/>
      </c>
      <c r="BX44" s="67">
        <f>M44+AH44+BC44</f>
        <v/>
      </c>
      <c r="BY44" s="67">
        <f>N44+AI44+BD44</f>
        <v/>
      </c>
      <c r="BZ44" s="68">
        <f>IF((BX44+BY44)=0,"", BX44/(BX44+BY44))</f>
        <v/>
      </c>
      <c r="CA44" s="67">
        <f>P44+AK44+BF44</f>
        <v/>
      </c>
      <c r="CB44" s="67">
        <f>Q44+AL44+BG44</f>
        <v/>
      </c>
      <c r="CC44" s="68">
        <f>IF((CA44+CB44)=0,"", CA44/(CA44+CB44))</f>
        <v/>
      </c>
      <c r="CD44" s="67">
        <f>S44+AN44+BI44</f>
        <v/>
      </c>
      <c r="CE44" s="67">
        <f>T44+AO44+BJ44</f>
        <v/>
      </c>
      <c r="CF44" s="68">
        <f>IF((CD44+CE44)=0,"", CD44/(CD44+CE44))</f>
        <v/>
      </c>
      <c r="CG44" s="69">
        <f>V44+AQ44+BL44</f>
        <v/>
      </c>
      <c r="CH44" s="69">
        <f>W44+AR44+BM44</f>
        <v/>
      </c>
      <c r="CI44" s="70">
        <f>IF((CG44+CH44)=0,"", CG44/(CG44+CH44))</f>
        <v/>
      </c>
      <c r="CJ44" s="67">
        <f>CD44+(CG44*2)</f>
        <v/>
      </c>
      <c r="CK44" s="67">
        <f>CE44+(CH44*2)</f>
        <v/>
      </c>
      <c r="CL44" s="68">
        <f>IF((CJ44+CK44)=0,"", CJ44/(CJ44+CK44))</f>
        <v/>
      </c>
      <c r="CM44" s="67" t="inlineStr">
        <is>
          <t>Batch 2</t>
        </is>
      </c>
    </row>
    <row r="45" ht="14.25" customHeight="1" s="34">
      <c r="A45" s="46" t="n">
        <v>43</v>
      </c>
      <c r="B45" s="46" t="inlineStr">
        <is>
          <t>325106410043</t>
        </is>
      </c>
      <c r="C45" s="46" t="inlineStr">
        <is>
          <t>YASWANTH DURGA PRAVEEN REVADI</t>
        </is>
      </c>
      <c r="D45" s="63" t="n">
        <v>0</v>
      </c>
      <c r="E45" s="63" t="n">
        <v>0</v>
      </c>
      <c r="F45" s="64">
        <f>IF((D45+E45)=0,"", D45/(D45+E45))</f>
        <v/>
      </c>
      <c r="G45" s="63">
        <f>COUNTIF('Detailed Attendance'!I46:I46, "P")</f>
        <v/>
      </c>
      <c r="H45" s="63">
        <f>COUNTIF('Detailed Attendance'!I46:I46, "A")</f>
        <v/>
      </c>
      <c r="I45" s="64">
        <f>IF((G45+H45)=0,"", G45/(G45+H45))</f>
        <v/>
      </c>
      <c r="J45" s="63" t="n">
        <v>0</v>
      </c>
      <c r="K45" s="63" t="n">
        <v>0</v>
      </c>
      <c r="L45" s="64">
        <f>IF((J45+K45)=0,"", J45/(J45+K45))</f>
        <v/>
      </c>
      <c r="M45" s="63">
        <f>COUNTIF('Detailed Attendance'!D46:D46, "P")</f>
        <v/>
      </c>
      <c r="N45" s="63">
        <f>COUNTIF('Detailed Attendance'!D46:D46, "A")</f>
        <v/>
      </c>
      <c r="O45" s="64">
        <f>IF((M45+N45)=0,"", M45/(M45+N45))</f>
        <v/>
      </c>
      <c r="P45" s="63" t="n">
        <v>0</v>
      </c>
      <c r="Q45" s="63" t="n">
        <v>0</v>
      </c>
      <c r="R45" s="64">
        <f>IF((P45+Q45)=0,"", P45/(P45+Q45))</f>
        <v/>
      </c>
      <c r="S45" s="63">
        <f>D45+G45+J45+M45+P45</f>
        <v/>
      </c>
      <c r="T45" s="63">
        <f>E45+H45+K45+N45+Q45</f>
        <v/>
      </c>
      <c r="U45" s="64">
        <f>IF((S45+T45)=0,"", S45/(S45+T45))</f>
        <v/>
      </c>
      <c r="V45" s="65" t="n">
        <v>0</v>
      </c>
      <c r="W45" s="65" t="n">
        <v>0</v>
      </c>
      <c r="X45" s="66">
        <f>IF((V45+W45)=0,"", V45/(V45+W45))</f>
        <v/>
      </c>
      <c r="Y45" s="63">
        <f>COUNTIF('Detailed Attendance'!R46:R46, "P")+COUNTIF('Detailed Attendance'!X46:X46, "P")+COUNTIF('Detailed Attendance'!AL46:AL46, "P")+COUNTIF('Detailed Attendance'!BF46:BF46, "P")+COUNTIF('Detailed Attendance'!BL46:BL46, "P")+COUNTIF('Detailed Attendance'!BZ46:BZ46, "P")+COUNTIF('Detailed Attendance'!CI46:CI46, "P")+COUNTIF('Detailed Attendance'!CW46:CW46, "P")</f>
        <v/>
      </c>
      <c r="Z45" s="63">
        <f>COUNTIF('Detailed Attendance'!R46:R46, "A")+COUNTIF('Detailed Attendance'!X46:X46, "A")+COUNTIF('Detailed Attendance'!AL46:AL46, "A")+COUNTIF('Detailed Attendance'!BF46:BF46, "A")+COUNTIF('Detailed Attendance'!BL46:BL46, "A")+COUNTIF('Detailed Attendance'!BZ46:BZ46, "A")+COUNTIF('Detailed Attendance'!CI46:CI46, "A")+COUNTIF('Detailed Attendance'!CW46:CW46, "A")</f>
        <v/>
      </c>
      <c r="AA45" s="64">
        <f>IF((Y45+Z45)=0,"", Y45/(Y45+Z45))</f>
        <v/>
      </c>
      <c r="AB45" s="63">
        <f>COUNTIF('Detailed Attendance'!Q46:Q46, "P")+COUNTIF('Detailed Attendance'!AC46:AC46, "P")+COUNTIF('Detailed Attendance'!AK46:AK46, "P")+COUNTIF('Detailed Attendance'!AW46:AW46, "P")+COUNTIF('Detailed Attendance'!BE46:BE46, "P")+COUNTIF('Detailed Attendance'!BQ46:BQ46, "P")+COUNTIF('Detailed Attendance'!BY46:BY46, "P")+COUNTIF('Detailed Attendance'!CN46:CN46, "P")+COUNTIF('Detailed Attendance'!CV46:CV46, "P")</f>
        <v/>
      </c>
      <c r="AC45" s="63">
        <f>COUNTIF('Detailed Attendance'!Q46:Q46, "A")+COUNTIF('Detailed Attendance'!AC46:AC46, "A")+COUNTIF('Detailed Attendance'!AK46:AK46, "A")+COUNTIF('Detailed Attendance'!AW46:AW46, "A")+COUNTIF('Detailed Attendance'!BE46:BE46, "A")+COUNTIF('Detailed Attendance'!BQ46:BQ46, "A")+COUNTIF('Detailed Attendance'!BY46:BY46, "A")+COUNTIF('Detailed Attendance'!CN46:CN46, "A")+COUNTIF('Detailed Attendance'!CV46:CV46, "A")</f>
        <v/>
      </c>
      <c r="AD45" s="64">
        <f>IF((AB45+AC45)=0,"", AB45/(AB45+AC45))</f>
        <v/>
      </c>
      <c r="AE45" s="63">
        <f>COUNTIF('Detailed Attendance'!L46:L46, "P")+COUNTIF('Detailed Attendance'!P46:P46, "P")+COUNTIF('Detailed Attendance'!AF46:AF46, "P")+COUNTIF('Detailed Attendance'!AJ46:AJ46, "P")+COUNTIF('Detailed Attendance'!AZ46:AZ46, "P")+COUNTIF('Detailed Attendance'!BD46:BD46, "P")+COUNTIF('Detailed Attendance'!BT46:BT46, "P")+COUNTIF('Detailed Attendance'!BX46:BX46, "P")+COUNTIF('Detailed Attendance'!CQ46:CQ46, "P")+COUNTIF('Detailed Attendance'!CU46:CU46, "P")</f>
        <v/>
      </c>
      <c r="AF45" s="67">
        <f>COUNTIF('Detailed Attendance'!L46:L46, "A")+COUNTIF('Detailed Attendance'!P46:P46, "A")+COUNTIF('Detailed Attendance'!AF46:AF46, "A")+COUNTIF('Detailed Attendance'!AJ46:AJ46, "A")+COUNTIF('Detailed Attendance'!AZ46:AZ46, "A")+COUNTIF('Detailed Attendance'!BD46:BD46, "A")+COUNTIF('Detailed Attendance'!BT46:BT46, "A")+COUNTIF('Detailed Attendance'!BX46:BX46, "A")+COUNTIF('Detailed Attendance'!CQ46:CQ46, "A")+COUNTIF('Detailed Attendance'!CU46:CU46, "A")</f>
        <v/>
      </c>
      <c r="AG45" s="68">
        <f>IF((AE45+AF45)=0,"", AE45/(AE45+AF45))</f>
        <v/>
      </c>
      <c r="AH45" s="67">
        <f>COUNTIF('Detailed Attendance'!T46:T46, "P")+COUNTIF('Detailed Attendance'!AN46:AN46, "P")+COUNTIF('Detailed Attendance'!AR46:AR46, "P")+COUNTIF('Detailed Attendance'!BH46:BH46, "P")+COUNTIF('Detailed Attendance'!CB46:CB46, "P")+COUNTIF('Detailed Attendance'!CF46:CF46, "P")+COUNTIF('Detailed Attendance'!CY46:CY46, "P")</f>
        <v/>
      </c>
      <c r="AI45" s="67">
        <f>COUNTIF('Detailed Attendance'!T46:T46, "A")+COUNTIF('Detailed Attendance'!AN46:AN46, "A")+COUNTIF('Detailed Attendance'!AR46:AR46, "A")+COUNTIF('Detailed Attendance'!BH46:BH46, "A")+COUNTIF('Detailed Attendance'!CB46:CB46, "A")+COUNTIF('Detailed Attendance'!CF46:CF46, "A")+COUNTIF('Detailed Attendance'!CY46:CY46, "A")</f>
        <v/>
      </c>
      <c r="AJ45" s="68">
        <f>IF((AH45+AI45)=0,"", AH45/(AH45+AI45))</f>
        <v/>
      </c>
      <c r="AK45" s="67">
        <f>COUNTIF('Detailed Attendance'!M46:M46, "P")+COUNTIF('Detailed Attendance'!U46:U46, "P")+COUNTIF('Detailed Attendance'!AG46:AG46, "P")+COUNTIF('Detailed Attendance'!AO46:AO46, "P")+COUNTIF('Detailed Attendance'!BA46:BA46, "P")+COUNTIF('Detailed Attendance'!BI46:BI46, "P")+COUNTIF('Detailed Attendance'!BU46:BU46, "P")+COUNTIF('Detailed Attendance'!CC46:CC46, "P")+COUNTIF('Detailed Attendance'!CR46:CR46, "P")+COUNTIF('Detailed Attendance'!CZ46:CZ46, "P")</f>
        <v/>
      </c>
      <c r="AL45" s="67">
        <f>COUNTIF('Detailed Attendance'!M46:M46, "A")+COUNTIF('Detailed Attendance'!U46:U46, "A")+COUNTIF('Detailed Attendance'!AG46:AG46, "A")+COUNTIF('Detailed Attendance'!AO46:AO46, "A")+COUNTIF('Detailed Attendance'!BA46:BA46, "A")+COUNTIF('Detailed Attendance'!BI46:BI46, "A")+COUNTIF('Detailed Attendance'!BU46:BU46, "A")+COUNTIF('Detailed Attendance'!CC46:CC46, "A")+COUNTIF('Detailed Attendance'!CR46:CR46, "A")+COUNTIF('Detailed Attendance'!CZ46:CZ46, "A")</f>
        <v/>
      </c>
      <c r="AM45" s="68">
        <f>IF((AK45+AL45)=0,"", AK45/(AK45+AL45))</f>
        <v/>
      </c>
      <c r="AN45" s="67">
        <f>Y45+AB45+AE45+AH45+AK45</f>
        <v/>
      </c>
      <c r="AO45" s="67">
        <f>Z45+AC45+AF45+AI45+AL45</f>
        <v/>
      </c>
      <c r="AP45" s="68">
        <f>IF((AN45+AO45)=0,"", AN45/(AN45+AO45))</f>
        <v/>
      </c>
      <c r="AQ45" s="69">
        <f>COUNTIF('Detailed Attendance'!CG46:CG46, "P")+COUNTIF('Detailed Attendance'!CH46:CH46, "P")+COUNTIF('Detailed Attendance'!V46:V46, "P")+COUNTIF('Detailed Attendance'!AP46:AP46, "P")+COUNTIF('Detailed Attendance'!BJ46:BJ46, "P")+COUNTIF('Detailed Attendance'!CD46:CD46, "P")+COUNTIF('Detailed Attendance'!DA46:DA46, "P")</f>
        <v/>
      </c>
      <c r="AR45" s="69">
        <f>COUNTIF('Detailed Attendance'!CG46:CG46, "A")+COUNTIF('Detailed Attendance'!CH46:CH46, "A")+COUNTIF('Detailed Attendance'!V46:V46, "A")+COUNTIF('Detailed Attendance'!AP46:AP46, "A")+COUNTIF('Detailed Attendance'!BJ46:BJ46, "A")+COUNTIF('Detailed Attendance'!CD46:CD46, "A")+COUNTIF('Detailed Attendance'!DA46:DA46, "A")</f>
        <v/>
      </c>
      <c r="AS45" s="70">
        <f>IF((AQ45+AR45)=0,"", AQ45/(AQ45+AR45))</f>
        <v/>
      </c>
      <c r="AT45" s="67">
        <f>COUNTIF('Detailed Attendance'!DF46:DF46, "P")+COUNTIF('Detailed Attendance'!DT46:DT46, "P")+COUNTIF('Detailed Attendance'!EC46:EC46, "P")+COUNTIF('Detailed Attendance'!EQ46:EQ46, "P")+COUNTIF('Detailed Attendance'!EW46:EW46, "P")+COUNTIF('Detailed Attendance'!FK46:FK46, "P")+COUNTIF('Detailed Attendance'!FM46:FM46, "P")+COUNTIF('Detailed Attendance'!GA46:GA46, "P")</f>
        <v/>
      </c>
      <c r="AU45" s="67">
        <f>COUNTIF('Detailed Attendance'!DF46:DF46, "A")+COUNTIF('Detailed Attendance'!DT46:DT46, "A")+COUNTIF('Detailed Attendance'!EC46:EC46, "A")+COUNTIF('Detailed Attendance'!EQ46:EQ46, "A")+COUNTIF('Detailed Attendance'!EW46:EW46, "A")+COUNTIF('Detailed Attendance'!FK46:FK46, "A")+COUNTIF('Detailed Attendance'!FM46:FM46, "A")+COUNTIF('Detailed Attendance'!GA46:GA46, "A")</f>
        <v/>
      </c>
      <c r="AV45" s="68">
        <f>IF((AT45+AU45)=0,"", AT45/(AT45+AU45))</f>
        <v/>
      </c>
      <c r="AW45" s="67">
        <f>COUNTIF('Detailed Attendance'!DK46:DK46, "P")+COUNTIF('Detailed Attendance'!DS46:DS46, "P")+COUNTIF('Detailed Attendance'!EH46:EH46, "P")+COUNTIF('Detailed Attendance'!EP46:EP46, "P")+COUNTIF('Detailed Attendance'!FB46:FB46, "P")+COUNTIF('Detailed Attendance'!FJ46:FJ46, "P")+COUNTIF('Detailed Attendance'!FR46:FR46, "P")+COUNTIF('Detailed Attendance'!FZ46:FZ46, "P")</f>
        <v/>
      </c>
      <c r="AX45" s="67">
        <f>COUNTIF('Detailed Attendance'!DK46:DK46, "A")+COUNTIF('Detailed Attendance'!DS46:DS46, "A")+COUNTIF('Detailed Attendance'!EH46:EH46, "A")+COUNTIF('Detailed Attendance'!EP46:EP46, "A")+COUNTIF('Detailed Attendance'!FB46:FB46, "A")+COUNTIF('Detailed Attendance'!FJ46:FJ46, "A")+COUNTIF('Detailed Attendance'!FR46:FR46, "A")+COUNTIF('Detailed Attendance'!FZ46:FZ46, "A")</f>
        <v/>
      </c>
      <c r="AY45" s="68">
        <f>IF((AW45+AX45)=0,"", AW45/(AW45+AX45))</f>
        <v/>
      </c>
      <c r="AZ45" s="67">
        <f>COUNTIF('Detailed Attendance'!DN46:DN46, "P")+COUNTIF('Detailed Attendance'!DR46:DR46, "P")+COUNTIF('Detailed Attendance'!EK46:EK46, "P")+COUNTIF('Detailed Attendance'!EO46:EO46, "P")+COUNTIF('Detailed Attendance'!FE46:FE46, "P")+COUNTIF('Detailed Attendance'!FI46:FI46, "P")+COUNTIF('Detailed Attendance'!FU46:FU46, "P")+COUNTIF('Detailed Attendance'!FY46:FY46, "P")</f>
        <v/>
      </c>
      <c r="BA45" s="67">
        <f>COUNTIF('Detailed Attendance'!DN46:DN46, "A")+COUNTIF('Detailed Attendance'!DR46:DR46, "A")+COUNTIF('Detailed Attendance'!EK46:EK46, "A")+COUNTIF('Detailed Attendance'!EO46:EO46, "A")+COUNTIF('Detailed Attendance'!FE46:FE46, "A")+COUNTIF('Detailed Attendance'!FI46:FI46, "A")+COUNTIF('Detailed Attendance'!FU46:FU46, "A")+COUNTIF('Detailed Attendance'!FY46:FY46, "A")</f>
        <v/>
      </c>
      <c r="BB45" s="68">
        <f>IF((AZ45+BA45)=0,"", AZ45/(AZ45+BA45))</f>
        <v/>
      </c>
      <c r="BC45" s="67">
        <f>COUNTIF('Detailed Attendance'!DC46:DC46, "P")+COUNTIF('Detailed Attendance'!DV46:DV46, "P")+COUNTIF('Detailed Attendance'!DZ46:DZ46, "P")+COUNTIF('Detailed Attendance'!ES46:ES46, "P")+COUNTIF('Detailed Attendance'!GC46:GC46, "P")+COUNTIF('Detailed Attendance'!GG46:GG46, "P")</f>
        <v/>
      </c>
      <c r="BD45" s="67">
        <f>COUNTIF('Detailed Attendance'!DC46:DC46, "A")+COUNTIF('Detailed Attendance'!DV46:DV46, "A")+COUNTIF('Detailed Attendance'!DZ46:DZ46, "A")+COUNTIF('Detailed Attendance'!ES46:ES46, "A")+COUNTIF('Detailed Attendance'!GC46:GC46, "A")+COUNTIF('Detailed Attendance'!GG46:GG46, "A")</f>
        <v/>
      </c>
      <c r="BE45" s="68">
        <f>IF((BC45+BD45)=0,"", BC45/(BC45+BD45))</f>
        <v/>
      </c>
      <c r="BF45" s="67">
        <f>COUNTIF('Detailed Attendance'!DO46:DO46, "P")+COUNTIF('Detailed Attendance'!DW46:DW46, "P")+COUNTIF('Detailed Attendance'!EL46:EL46, "P")+COUNTIF('Detailed Attendance'!ET46:ET46, "P")+COUNTIF('Detailed Attendance'!FF46:FF46, "P")+COUNTIF('Detailed Attendance'!FV46:FV46, "P")+COUNTIF('Detailed Attendance'!GD46:GD46, "P")</f>
        <v/>
      </c>
      <c r="BG45" s="67">
        <f>COUNTIF('Detailed Attendance'!DO46:DO46, "A")+COUNTIF('Detailed Attendance'!DW46:DW46, "A")+COUNTIF('Detailed Attendance'!EL46:EL46, "A")+COUNTIF('Detailed Attendance'!ET46:ET46, "A")+COUNTIF('Detailed Attendance'!FF46:FF46, "A")+COUNTIF('Detailed Attendance'!FV46:FV46, "A")+COUNTIF('Detailed Attendance'!GD46:GD46, "A")</f>
        <v/>
      </c>
      <c r="BH45" s="68">
        <f>IF((BF45+BG45)=0,"", BF45/(BF45+BG45))</f>
        <v/>
      </c>
      <c r="BI45" s="67">
        <f>AT45+AW45+AZ45+BC45+BF45</f>
        <v/>
      </c>
      <c r="BJ45" s="67">
        <f>AU45+AX45+BA45+BD45+BG45</f>
        <v/>
      </c>
      <c r="BK45" s="68">
        <f>IF((BI45+BJ45)=0,"", BI45/(BI45+BJ45))</f>
        <v/>
      </c>
      <c r="BL45" s="69">
        <f>COUNTIF('Detailed Attendance'!DD46:DD46, "P")+COUNTIF('Detailed Attendance'!EA46:EA46, "P")+COUNTIF('Detailed Attendance'!GH46:GH46, "P")+COUNTIF('Detailed Attendance'!DE46:DE46, "P")+COUNTIF('Detailed Attendance'!EB46:EB46, "P")+COUNTIF('Detailed Attendance'!GI46:GI46, "P")+COUNTIF('Detailed Attendance'!DX46:DX46, "P")+COUNTIF('Detailed Attendance'!EU46:EU46, "P")+COUNTIF('Detailed Attendance'!GE46:GE46, "P")</f>
        <v/>
      </c>
      <c r="BM45" s="69">
        <f>COUNTIF('Detailed Attendance'!DD46:DD46, "A")+COUNTIF('Detailed Attendance'!EA46:EA46, "A")+COUNTIF('Detailed Attendance'!GH46:GH46, "A")+COUNTIF('Detailed Attendance'!DE46:DE46, "A")+COUNTIF('Detailed Attendance'!EB46:EB46, "A")+COUNTIF('Detailed Attendance'!GI46:GI46, "A")+COUNTIF('Detailed Attendance'!DX46:DX46, "A")+COUNTIF('Detailed Attendance'!EU46:EU46, "A")+COUNTIF('Detailed Attendance'!GE46:GE46, "A")</f>
        <v/>
      </c>
      <c r="BN45" s="70">
        <f>IF((BL45+BM45)=0,"", BL45/(BL45+BM45))</f>
        <v/>
      </c>
      <c r="BO45" s="67">
        <f>D45+Y45+AT45</f>
        <v/>
      </c>
      <c r="BP45" s="67">
        <f>E45+Z45+AU45</f>
        <v/>
      </c>
      <c r="BQ45" s="68">
        <f>IF((BO45+BP45)=0,"", BO45/(BO45+BP45))</f>
        <v/>
      </c>
      <c r="BR45" s="67">
        <f>G45+AB45+AW45</f>
        <v/>
      </c>
      <c r="BS45" s="67">
        <f>H45+AC45+AX45</f>
        <v/>
      </c>
      <c r="BT45" s="68">
        <f>IF((BR45+BS45)=0,"", BR45/(BR45+BS45))</f>
        <v/>
      </c>
      <c r="BU45" s="67">
        <f>J45+AE45+AZ45</f>
        <v/>
      </c>
      <c r="BV45" s="67">
        <f>K45+AF45+BA45</f>
        <v/>
      </c>
      <c r="BW45" s="68">
        <f>IF((BU45+BV45)=0,"", BU45/(BU45+BV45))</f>
        <v/>
      </c>
      <c r="BX45" s="67">
        <f>M45+AH45+BC45</f>
        <v/>
      </c>
      <c r="BY45" s="67">
        <f>N45+AI45+BD45</f>
        <v/>
      </c>
      <c r="BZ45" s="68">
        <f>IF((BX45+BY45)=0,"", BX45/(BX45+BY45))</f>
        <v/>
      </c>
      <c r="CA45" s="67">
        <f>P45+AK45+BF45</f>
        <v/>
      </c>
      <c r="CB45" s="67">
        <f>Q45+AL45+BG45</f>
        <v/>
      </c>
      <c r="CC45" s="68">
        <f>IF((CA45+CB45)=0,"", CA45/(CA45+CB45))</f>
        <v/>
      </c>
      <c r="CD45" s="67">
        <f>S45+AN45+BI45</f>
        <v/>
      </c>
      <c r="CE45" s="67">
        <f>T45+AO45+BJ45</f>
        <v/>
      </c>
      <c r="CF45" s="68">
        <f>IF((CD45+CE45)=0,"", CD45/(CD45+CE45))</f>
        <v/>
      </c>
      <c r="CG45" s="69">
        <f>V45+AQ45+BL45</f>
        <v/>
      </c>
      <c r="CH45" s="69">
        <f>W45+AR45+BM45</f>
        <v/>
      </c>
      <c r="CI45" s="70">
        <f>IF((CG45+CH45)=0,"", CG45/(CG45+CH45))</f>
        <v/>
      </c>
      <c r="CJ45" s="67">
        <f>CD45+(CG45*2)</f>
        <v/>
      </c>
      <c r="CK45" s="67">
        <f>CE45+(CH45*2)</f>
        <v/>
      </c>
      <c r="CL45" s="68">
        <f>IF((CJ45+CK45)=0,"", CJ45/(CJ45+CK45))</f>
        <v/>
      </c>
      <c r="CM45" s="67" t="inlineStr">
        <is>
          <t>Batch 2</t>
        </is>
      </c>
    </row>
    <row r="46" ht="14.25" customHeight="1" s="34">
      <c r="A46" s="46" t="n">
        <v>44</v>
      </c>
      <c r="B46" s="46" t="inlineStr">
        <is>
          <t>325106410044</t>
        </is>
      </c>
      <c r="C46" s="46" t="inlineStr">
        <is>
          <t>TANUSREE ROUTHU</t>
        </is>
      </c>
      <c r="D46" s="63" t="n">
        <v>0</v>
      </c>
      <c r="E46" s="63" t="n">
        <v>0</v>
      </c>
      <c r="F46" s="64">
        <f>IF((D46+E46)=0,"", D46/(D46+E46))</f>
        <v/>
      </c>
      <c r="G46" s="63">
        <f>COUNTIF('Detailed Attendance'!I47:I47, "P")</f>
        <v/>
      </c>
      <c r="H46" s="63">
        <f>COUNTIF('Detailed Attendance'!I47:I47, "A")</f>
        <v/>
      </c>
      <c r="I46" s="64">
        <f>IF((G46+H46)=0,"", G46/(G46+H46))</f>
        <v/>
      </c>
      <c r="J46" s="63" t="n">
        <v>0</v>
      </c>
      <c r="K46" s="63" t="n">
        <v>0</v>
      </c>
      <c r="L46" s="64">
        <f>IF((J46+K46)=0,"", J46/(J46+K46))</f>
        <v/>
      </c>
      <c r="M46" s="63">
        <f>COUNTIF('Detailed Attendance'!D47:D47, "P")</f>
        <v/>
      </c>
      <c r="N46" s="63">
        <f>COUNTIF('Detailed Attendance'!D47:D47, "A")</f>
        <v/>
      </c>
      <c r="O46" s="64">
        <f>IF((M46+N46)=0,"", M46/(M46+N46))</f>
        <v/>
      </c>
      <c r="P46" s="63" t="n">
        <v>0</v>
      </c>
      <c r="Q46" s="63" t="n">
        <v>0</v>
      </c>
      <c r="R46" s="64">
        <f>IF((P46+Q46)=0,"", P46/(P46+Q46))</f>
        <v/>
      </c>
      <c r="S46" s="63">
        <f>D46+G46+J46+M46+P46</f>
        <v/>
      </c>
      <c r="T46" s="63">
        <f>E46+H46+K46+N46+Q46</f>
        <v/>
      </c>
      <c r="U46" s="64">
        <f>IF((S46+T46)=0,"", S46/(S46+T46))</f>
        <v/>
      </c>
      <c r="V46" s="65" t="n">
        <v>0</v>
      </c>
      <c r="W46" s="65" t="n">
        <v>0</v>
      </c>
      <c r="X46" s="66">
        <f>IF((V46+W46)=0,"", V46/(V46+W46))</f>
        <v/>
      </c>
      <c r="Y46" s="63">
        <f>COUNTIF('Detailed Attendance'!R47:R47, "P")+COUNTIF('Detailed Attendance'!X47:X47, "P")+COUNTIF('Detailed Attendance'!AL47:AL47, "P")+COUNTIF('Detailed Attendance'!BF47:BF47, "P")+COUNTIF('Detailed Attendance'!BL47:BL47, "P")+COUNTIF('Detailed Attendance'!BZ47:BZ47, "P")+COUNTIF('Detailed Attendance'!CI47:CI47, "P")+COUNTIF('Detailed Attendance'!CW47:CW47, "P")</f>
        <v/>
      </c>
      <c r="Z46" s="63">
        <f>COUNTIF('Detailed Attendance'!R47:R47, "A")+COUNTIF('Detailed Attendance'!X47:X47, "A")+COUNTIF('Detailed Attendance'!AL47:AL47, "A")+COUNTIF('Detailed Attendance'!BF47:BF47, "A")+COUNTIF('Detailed Attendance'!BL47:BL47, "A")+COUNTIF('Detailed Attendance'!BZ47:BZ47, "A")+COUNTIF('Detailed Attendance'!CI47:CI47, "A")+COUNTIF('Detailed Attendance'!CW47:CW47, "A")</f>
        <v/>
      </c>
      <c r="AA46" s="64">
        <f>IF((Y46+Z46)=0,"", Y46/(Y46+Z46))</f>
        <v/>
      </c>
      <c r="AB46" s="63">
        <f>COUNTIF('Detailed Attendance'!Q47:Q47, "P")+COUNTIF('Detailed Attendance'!AC47:AC47, "P")+COUNTIF('Detailed Attendance'!AK47:AK47, "P")+COUNTIF('Detailed Attendance'!AW47:AW47, "P")+COUNTIF('Detailed Attendance'!BE47:BE47, "P")+COUNTIF('Detailed Attendance'!BQ47:BQ47, "P")+COUNTIF('Detailed Attendance'!BY47:BY47, "P")+COUNTIF('Detailed Attendance'!CN47:CN47, "P")+COUNTIF('Detailed Attendance'!CV47:CV47, "P")</f>
        <v/>
      </c>
      <c r="AC46" s="63">
        <f>COUNTIF('Detailed Attendance'!Q47:Q47, "A")+COUNTIF('Detailed Attendance'!AC47:AC47, "A")+COUNTIF('Detailed Attendance'!AK47:AK47, "A")+COUNTIF('Detailed Attendance'!AW47:AW47, "A")+COUNTIF('Detailed Attendance'!BE47:BE47, "A")+COUNTIF('Detailed Attendance'!BQ47:BQ47, "A")+COUNTIF('Detailed Attendance'!BY47:BY47, "A")+COUNTIF('Detailed Attendance'!CN47:CN47, "A")+COUNTIF('Detailed Attendance'!CV47:CV47, "A")</f>
        <v/>
      </c>
      <c r="AD46" s="64">
        <f>IF((AB46+AC46)=0,"", AB46/(AB46+AC46))</f>
        <v/>
      </c>
      <c r="AE46" s="63">
        <f>COUNTIF('Detailed Attendance'!L47:L47, "P")+COUNTIF('Detailed Attendance'!P47:P47, "P")+COUNTIF('Detailed Attendance'!AF47:AF47, "P")+COUNTIF('Detailed Attendance'!AJ47:AJ47, "P")+COUNTIF('Detailed Attendance'!AZ47:AZ47, "P")+COUNTIF('Detailed Attendance'!BD47:BD47, "P")+COUNTIF('Detailed Attendance'!BT47:BT47, "P")+COUNTIF('Detailed Attendance'!BX47:BX47, "P")+COUNTIF('Detailed Attendance'!CQ47:CQ47, "P")+COUNTIF('Detailed Attendance'!CU47:CU47, "P")</f>
        <v/>
      </c>
      <c r="AF46" s="67">
        <f>COUNTIF('Detailed Attendance'!L47:L47, "A")+COUNTIF('Detailed Attendance'!P47:P47, "A")+COUNTIF('Detailed Attendance'!AF47:AF47, "A")+COUNTIF('Detailed Attendance'!AJ47:AJ47, "A")+COUNTIF('Detailed Attendance'!AZ47:AZ47, "A")+COUNTIF('Detailed Attendance'!BD47:BD47, "A")+COUNTIF('Detailed Attendance'!BT47:BT47, "A")+COUNTIF('Detailed Attendance'!BX47:BX47, "A")+COUNTIF('Detailed Attendance'!CQ47:CQ47, "A")+COUNTIF('Detailed Attendance'!CU47:CU47, "A")</f>
        <v/>
      </c>
      <c r="AG46" s="68">
        <f>IF((AE46+AF46)=0,"", AE46/(AE46+AF46))</f>
        <v/>
      </c>
      <c r="AH46" s="67">
        <f>COUNTIF('Detailed Attendance'!T47:T47, "P")+COUNTIF('Detailed Attendance'!AN47:AN47, "P")+COUNTIF('Detailed Attendance'!AR47:AR47, "P")+COUNTIF('Detailed Attendance'!BH47:BH47, "P")+COUNTIF('Detailed Attendance'!CB47:CB47, "P")+COUNTIF('Detailed Attendance'!CF47:CF47, "P")+COUNTIF('Detailed Attendance'!CY47:CY47, "P")</f>
        <v/>
      </c>
      <c r="AI46" s="67">
        <f>COUNTIF('Detailed Attendance'!T47:T47, "A")+COUNTIF('Detailed Attendance'!AN47:AN47, "A")+COUNTIF('Detailed Attendance'!AR47:AR47, "A")+COUNTIF('Detailed Attendance'!BH47:BH47, "A")+COUNTIF('Detailed Attendance'!CB47:CB47, "A")+COUNTIF('Detailed Attendance'!CF47:CF47, "A")+COUNTIF('Detailed Attendance'!CY47:CY47, "A")</f>
        <v/>
      </c>
      <c r="AJ46" s="68">
        <f>IF((AH46+AI46)=0,"", AH46/(AH46+AI46))</f>
        <v/>
      </c>
      <c r="AK46" s="67">
        <f>COUNTIF('Detailed Attendance'!M47:M47, "P")+COUNTIF('Detailed Attendance'!U47:U47, "P")+COUNTIF('Detailed Attendance'!AG47:AG47, "P")+COUNTIF('Detailed Attendance'!AO47:AO47, "P")+COUNTIF('Detailed Attendance'!BA47:BA47, "P")+COUNTIF('Detailed Attendance'!BI47:BI47, "P")+COUNTIF('Detailed Attendance'!BU47:BU47, "P")+COUNTIF('Detailed Attendance'!CC47:CC47, "P")+COUNTIF('Detailed Attendance'!CR47:CR47, "P")+COUNTIF('Detailed Attendance'!CZ47:CZ47, "P")</f>
        <v/>
      </c>
      <c r="AL46" s="67">
        <f>COUNTIF('Detailed Attendance'!M47:M47, "A")+COUNTIF('Detailed Attendance'!U47:U47, "A")+COUNTIF('Detailed Attendance'!AG47:AG47, "A")+COUNTIF('Detailed Attendance'!AO47:AO47, "A")+COUNTIF('Detailed Attendance'!BA47:BA47, "A")+COUNTIF('Detailed Attendance'!BI47:BI47, "A")+COUNTIF('Detailed Attendance'!BU47:BU47, "A")+COUNTIF('Detailed Attendance'!CC47:CC47, "A")+COUNTIF('Detailed Attendance'!CR47:CR47, "A")+COUNTIF('Detailed Attendance'!CZ47:CZ47, "A")</f>
        <v/>
      </c>
      <c r="AM46" s="68">
        <f>IF((AK46+AL46)=0,"", AK46/(AK46+AL46))</f>
        <v/>
      </c>
      <c r="AN46" s="67">
        <f>Y46+AB46+AE46+AH46+AK46</f>
        <v/>
      </c>
      <c r="AO46" s="67">
        <f>Z46+AC46+AF46+AI46+AL46</f>
        <v/>
      </c>
      <c r="AP46" s="68">
        <f>IF((AN46+AO46)=0,"", AN46/(AN46+AO46))</f>
        <v/>
      </c>
      <c r="AQ46" s="69">
        <f>COUNTIF('Detailed Attendance'!CG47:CG47, "P")+COUNTIF('Detailed Attendance'!CH47:CH47, "P")+COUNTIF('Detailed Attendance'!V47:V47, "P")+COUNTIF('Detailed Attendance'!AP47:AP47, "P")+COUNTIF('Detailed Attendance'!BJ47:BJ47, "P")+COUNTIF('Detailed Attendance'!CD47:CD47, "P")+COUNTIF('Detailed Attendance'!DA47:DA47, "P")</f>
        <v/>
      </c>
      <c r="AR46" s="69">
        <f>COUNTIF('Detailed Attendance'!CG47:CG47, "A")+COUNTIF('Detailed Attendance'!CH47:CH47, "A")+COUNTIF('Detailed Attendance'!V47:V47, "A")+COUNTIF('Detailed Attendance'!AP47:AP47, "A")+COUNTIF('Detailed Attendance'!BJ47:BJ47, "A")+COUNTIF('Detailed Attendance'!CD47:CD47, "A")+COUNTIF('Detailed Attendance'!DA47:DA47, "A")</f>
        <v/>
      </c>
      <c r="AS46" s="70">
        <f>IF((AQ46+AR46)=0,"", AQ46/(AQ46+AR46))</f>
        <v/>
      </c>
      <c r="AT46" s="67">
        <f>COUNTIF('Detailed Attendance'!DF47:DF47, "P")+COUNTIF('Detailed Attendance'!DT47:DT47, "P")+COUNTIF('Detailed Attendance'!EC47:EC47, "P")+COUNTIF('Detailed Attendance'!EQ47:EQ47, "P")+COUNTIF('Detailed Attendance'!EW47:EW47, "P")+COUNTIF('Detailed Attendance'!FK47:FK47, "P")+COUNTIF('Detailed Attendance'!FM47:FM47, "P")+COUNTIF('Detailed Attendance'!GA47:GA47, "P")</f>
        <v/>
      </c>
      <c r="AU46" s="67">
        <f>COUNTIF('Detailed Attendance'!DF47:DF47, "A")+COUNTIF('Detailed Attendance'!DT47:DT47, "A")+COUNTIF('Detailed Attendance'!EC47:EC47, "A")+COUNTIF('Detailed Attendance'!EQ47:EQ47, "A")+COUNTIF('Detailed Attendance'!EW47:EW47, "A")+COUNTIF('Detailed Attendance'!FK47:FK47, "A")+COUNTIF('Detailed Attendance'!FM47:FM47, "A")+COUNTIF('Detailed Attendance'!GA47:GA47, "A")</f>
        <v/>
      </c>
      <c r="AV46" s="68">
        <f>IF((AT46+AU46)=0,"", AT46/(AT46+AU46))</f>
        <v/>
      </c>
      <c r="AW46" s="67">
        <f>COUNTIF('Detailed Attendance'!DK47:DK47, "P")+COUNTIF('Detailed Attendance'!DS47:DS47, "P")+COUNTIF('Detailed Attendance'!EH47:EH47, "P")+COUNTIF('Detailed Attendance'!EP47:EP47, "P")+COUNTIF('Detailed Attendance'!FB47:FB47, "P")+COUNTIF('Detailed Attendance'!FJ47:FJ47, "P")+COUNTIF('Detailed Attendance'!FR47:FR47, "P")+COUNTIF('Detailed Attendance'!FZ47:FZ47, "P")</f>
        <v/>
      </c>
      <c r="AX46" s="67">
        <f>COUNTIF('Detailed Attendance'!DK47:DK47, "A")+COUNTIF('Detailed Attendance'!DS47:DS47, "A")+COUNTIF('Detailed Attendance'!EH47:EH47, "A")+COUNTIF('Detailed Attendance'!EP47:EP47, "A")+COUNTIF('Detailed Attendance'!FB47:FB47, "A")+COUNTIF('Detailed Attendance'!FJ47:FJ47, "A")+COUNTIF('Detailed Attendance'!FR47:FR47, "A")+COUNTIF('Detailed Attendance'!FZ47:FZ47, "A")</f>
        <v/>
      </c>
      <c r="AY46" s="68">
        <f>IF((AW46+AX46)=0,"", AW46/(AW46+AX46))</f>
        <v/>
      </c>
      <c r="AZ46" s="67">
        <f>COUNTIF('Detailed Attendance'!DN47:DN47, "P")+COUNTIF('Detailed Attendance'!DR47:DR47, "P")+COUNTIF('Detailed Attendance'!EK47:EK47, "P")+COUNTIF('Detailed Attendance'!EO47:EO47, "P")+COUNTIF('Detailed Attendance'!FE47:FE47, "P")+COUNTIF('Detailed Attendance'!FI47:FI47, "P")+COUNTIF('Detailed Attendance'!FU47:FU47, "P")+COUNTIF('Detailed Attendance'!FY47:FY47, "P")</f>
        <v/>
      </c>
      <c r="BA46" s="67">
        <f>COUNTIF('Detailed Attendance'!DN47:DN47, "A")+COUNTIF('Detailed Attendance'!DR47:DR47, "A")+COUNTIF('Detailed Attendance'!EK47:EK47, "A")+COUNTIF('Detailed Attendance'!EO47:EO47, "A")+COUNTIF('Detailed Attendance'!FE47:FE47, "A")+COUNTIF('Detailed Attendance'!FI47:FI47, "A")+COUNTIF('Detailed Attendance'!FU47:FU47, "A")+COUNTIF('Detailed Attendance'!FY47:FY47, "A")</f>
        <v/>
      </c>
      <c r="BB46" s="68">
        <f>IF((AZ46+BA46)=0,"", AZ46/(AZ46+BA46))</f>
        <v/>
      </c>
      <c r="BC46" s="67">
        <f>COUNTIF('Detailed Attendance'!DC47:DC47, "P")+COUNTIF('Detailed Attendance'!DV47:DV47, "P")+COUNTIF('Detailed Attendance'!DZ47:DZ47, "P")+COUNTIF('Detailed Attendance'!ES47:ES47, "P")+COUNTIF('Detailed Attendance'!GC47:GC47, "P")+COUNTIF('Detailed Attendance'!GG47:GG47, "P")</f>
        <v/>
      </c>
      <c r="BD46" s="67">
        <f>COUNTIF('Detailed Attendance'!DC47:DC47, "A")+COUNTIF('Detailed Attendance'!DV47:DV47, "A")+COUNTIF('Detailed Attendance'!DZ47:DZ47, "A")+COUNTIF('Detailed Attendance'!ES47:ES47, "A")+COUNTIF('Detailed Attendance'!GC47:GC47, "A")+COUNTIF('Detailed Attendance'!GG47:GG47, "A")</f>
        <v/>
      </c>
      <c r="BE46" s="68">
        <f>IF((BC46+BD46)=0,"", BC46/(BC46+BD46))</f>
        <v/>
      </c>
      <c r="BF46" s="67">
        <f>COUNTIF('Detailed Attendance'!DO47:DO47, "P")+COUNTIF('Detailed Attendance'!DW47:DW47, "P")+COUNTIF('Detailed Attendance'!EL47:EL47, "P")+COUNTIF('Detailed Attendance'!ET47:ET47, "P")+COUNTIF('Detailed Attendance'!FF47:FF47, "P")+COUNTIF('Detailed Attendance'!FV47:FV47, "P")+COUNTIF('Detailed Attendance'!GD47:GD47, "P")</f>
        <v/>
      </c>
      <c r="BG46" s="67">
        <f>COUNTIF('Detailed Attendance'!DO47:DO47, "A")+COUNTIF('Detailed Attendance'!DW47:DW47, "A")+COUNTIF('Detailed Attendance'!EL47:EL47, "A")+COUNTIF('Detailed Attendance'!ET47:ET47, "A")+COUNTIF('Detailed Attendance'!FF47:FF47, "A")+COUNTIF('Detailed Attendance'!FV47:FV47, "A")+COUNTIF('Detailed Attendance'!GD47:GD47, "A")</f>
        <v/>
      </c>
      <c r="BH46" s="68">
        <f>IF((BF46+BG46)=0,"", BF46/(BF46+BG46))</f>
        <v/>
      </c>
      <c r="BI46" s="67">
        <f>AT46+AW46+AZ46+BC46+BF46</f>
        <v/>
      </c>
      <c r="BJ46" s="67">
        <f>AU46+AX46+BA46+BD46+BG46</f>
        <v/>
      </c>
      <c r="BK46" s="68">
        <f>IF((BI46+BJ46)=0,"", BI46/(BI46+BJ46))</f>
        <v/>
      </c>
      <c r="BL46" s="69">
        <f>COUNTIF('Detailed Attendance'!DD47:DD47, "P")+COUNTIF('Detailed Attendance'!EA47:EA47, "P")+COUNTIF('Detailed Attendance'!GH47:GH47, "P")+COUNTIF('Detailed Attendance'!DE47:DE47, "P")+COUNTIF('Detailed Attendance'!EB47:EB47, "P")+COUNTIF('Detailed Attendance'!GI47:GI47, "P")+COUNTIF('Detailed Attendance'!DX47:DX47, "P")+COUNTIF('Detailed Attendance'!EU47:EU47, "P")+COUNTIF('Detailed Attendance'!GE47:GE47, "P")</f>
        <v/>
      </c>
      <c r="BM46" s="69">
        <f>COUNTIF('Detailed Attendance'!DD47:DD47, "A")+COUNTIF('Detailed Attendance'!EA47:EA47, "A")+COUNTIF('Detailed Attendance'!GH47:GH47, "A")+COUNTIF('Detailed Attendance'!DE47:DE47, "A")+COUNTIF('Detailed Attendance'!EB47:EB47, "A")+COUNTIF('Detailed Attendance'!GI47:GI47, "A")+COUNTIF('Detailed Attendance'!DX47:DX47, "A")+COUNTIF('Detailed Attendance'!EU47:EU47, "A")+COUNTIF('Detailed Attendance'!GE47:GE47, "A")</f>
        <v/>
      </c>
      <c r="BN46" s="70">
        <f>IF((BL46+BM46)=0,"", BL46/(BL46+BM46))</f>
        <v/>
      </c>
      <c r="BO46" s="67">
        <f>D46+Y46+AT46</f>
        <v/>
      </c>
      <c r="BP46" s="67">
        <f>E46+Z46+AU46</f>
        <v/>
      </c>
      <c r="BQ46" s="68">
        <f>IF((BO46+BP46)=0,"", BO46/(BO46+BP46))</f>
        <v/>
      </c>
      <c r="BR46" s="67">
        <f>G46+AB46+AW46</f>
        <v/>
      </c>
      <c r="BS46" s="67">
        <f>H46+AC46+AX46</f>
        <v/>
      </c>
      <c r="BT46" s="68">
        <f>IF((BR46+BS46)=0,"", BR46/(BR46+BS46))</f>
        <v/>
      </c>
      <c r="BU46" s="67">
        <f>J46+AE46+AZ46</f>
        <v/>
      </c>
      <c r="BV46" s="67">
        <f>K46+AF46+BA46</f>
        <v/>
      </c>
      <c r="BW46" s="68">
        <f>IF((BU46+BV46)=0,"", BU46/(BU46+BV46))</f>
        <v/>
      </c>
      <c r="BX46" s="67">
        <f>M46+AH46+BC46</f>
        <v/>
      </c>
      <c r="BY46" s="67">
        <f>N46+AI46+BD46</f>
        <v/>
      </c>
      <c r="BZ46" s="68">
        <f>IF((BX46+BY46)=0,"", BX46/(BX46+BY46))</f>
        <v/>
      </c>
      <c r="CA46" s="67">
        <f>P46+AK46+BF46</f>
        <v/>
      </c>
      <c r="CB46" s="67">
        <f>Q46+AL46+BG46</f>
        <v/>
      </c>
      <c r="CC46" s="68">
        <f>IF((CA46+CB46)=0,"", CA46/(CA46+CB46))</f>
        <v/>
      </c>
      <c r="CD46" s="67">
        <f>S46+AN46+BI46</f>
        <v/>
      </c>
      <c r="CE46" s="67">
        <f>T46+AO46+BJ46</f>
        <v/>
      </c>
      <c r="CF46" s="68">
        <f>IF((CD46+CE46)=0,"", CD46/(CD46+CE46))</f>
        <v/>
      </c>
      <c r="CG46" s="69">
        <f>V46+AQ46+BL46</f>
        <v/>
      </c>
      <c r="CH46" s="69">
        <f>W46+AR46+BM46</f>
        <v/>
      </c>
      <c r="CI46" s="70">
        <f>IF((CG46+CH46)=0,"", CG46/(CG46+CH46))</f>
        <v/>
      </c>
      <c r="CJ46" s="67">
        <f>CD46+(CG46*2)</f>
        <v/>
      </c>
      <c r="CK46" s="67">
        <f>CE46+(CH46*2)</f>
        <v/>
      </c>
      <c r="CL46" s="68">
        <f>IF((CJ46+CK46)=0,"", CJ46/(CJ46+CK46))</f>
        <v/>
      </c>
      <c r="CM46" s="67" t="inlineStr">
        <is>
          <t>Batch 2</t>
        </is>
      </c>
    </row>
    <row r="47" ht="14.25" customHeight="1" s="34">
      <c r="A47" s="46" t="n">
        <v>45</v>
      </c>
      <c r="B47" s="46" t="inlineStr">
        <is>
          <t>325106410045</t>
        </is>
      </c>
      <c r="C47" s="46" t="inlineStr">
        <is>
          <t>MOHANA LASYA SABBAVARAPU</t>
        </is>
      </c>
      <c r="D47" s="63" t="n">
        <v>0</v>
      </c>
      <c r="E47" s="63" t="n">
        <v>0</v>
      </c>
      <c r="F47" s="64">
        <f>IF((D47+E47)=0,"", D47/(D47+E47))</f>
        <v/>
      </c>
      <c r="G47" s="63">
        <f>COUNTIF('Detailed Attendance'!I48:I48, "P")</f>
        <v/>
      </c>
      <c r="H47" s="63">
        <f>COUNTIF('Detailed Attendance'!I48:I48, "A")</f>
        <v/>
      </c>
      <c r="I47" s="64">
        <f>IF((G47+H47)=0,"", G47/(G47+H47))</f>
        <v/>
      </c>
      <c r="J47" s="63" t="n">
        <v>0</v>
      </c>
      <c r="K47" s="63" t="n">
        <v>0</v>
      </c>
      <c r="L47" s="64">
        <f>IF((J47+K47)=0,"", J47/(J47+K47))</f>
        <v/>
      </c>
      <c r="M47" s="63">
        <f>COUNTIF('Detailed Attendance'!D48:D48, "P")</f>
        <v/>
      </c>
      <c r="N47" s="63">
        <f>COUNTIF('Detailed Attendance'!D48:D48, "A")</f>
        <v/>
      </c>
      <c r="O47" s="64">
        <f>IF((M47+N47)=0,"", M47/(M47+N47))</f>
        <v/>
      </c>
      <c r="P47" s="63" t="n">
        <v>0</v>
      </c>
      <c r="Q47" s="63" t="n">
        <v>0</v>
      </c>
      <c r="R47" s="64">
        <f>IF((P47+Q47)=0,"", P47/(P47+Q47))</f>
        <v/>
      </c>
      <c r="S47" s="63">
        <f>D47+G47+J47+M47+P47</f>
        <v/>
      </c>
      <c r="T47" s="63">
        <f>E47+H47+K47+N47+Q47</f>
        <v/>
      </c>
      <c r="U47" s="64">
        <f>IF((S47+T47)=0,"", S47/(S47+T47))</f>
        <v/>
      </c>
      <c r="V47" s="65" t="n">
        <v>0</v>
      </c>
      <c r="W47" s="65" t="n">
        <v>0</v>
      </c>
      <c r="X47" s="66">
        <f>IF((V47+W47)=0,"", V47/(V47+W47))</f>
        <v/>
      </c>
      <c r="Y47" s="63">
        <f>COUNTIF('Detailed Attendance'!R48:R48, "P")+COUNTIF('Detailed Attendance'!X48:X48, "P")+COUNTIF('Detailed Attendance'!AL48:AL48, "P")+COUNTIF('Detailed Attendance'!BF48:BF48, "P")+COUNTIF('Detailed Attendance'!BL48:BL48, "P")+COUNTIF('Detailed Attendance'!BZ48:BZ48, "P")+COUNTIF('Detailed Attendance'!CI48:CI48, "P")+COUNTIF('Detailed Attendance'!CW48:CW48, "P")</f>
        <v/>
      </c>
      <c r="Z47" s="63">
        <f>COUNTIF('Detailed Attendance'!R48:R48, "A")+COUNTIF('Detailed Attendance'!X48:X48, "A")+COUNTIF('Detailed Attendance'!AL48:AL48, "A")+COUNTIF('Detailed Attendance'!BF48:BF48, "A")+COUNTIF('Detailed Attendance'!BL48:BL48, "A")+COUNTIF('Detailed Attendance'!BZ48:BZ48, "A")+COUNTIF('Detailed Attendance'!CI48:CI48, "A")+COUNTIF('Detailed Attendance'!CW48:CW48, "A")</f>
        <v/>
      </c>
      <c r="AA47" s="64">
        <f>IF((Y47+Z47)=0,"", Y47/(Y47+Z47))</f>
        <v/>
      </c>
      <c r="AB47" s="63">
        <f>COUNTIF('Detailed Attendance'!Q48:Q48, "P")+COUNTIF('Detailed Attendance'!AC48:AC48, "P")+COUNTIF('Detailed Attendance'!AK48:AK48, "P")+COUNTIF('Detailed Attendance'!AW48:AW48, "P")+COUNTIF('Detailed Attendance'!BE48:BE48, "P")+COUNTIF('Detailed Attendance'!BQ48:BQ48, "P")+COUNTIF('Detailed Attendance'!BY48:BY48, "P")+COUNTIF('Detailed Attendance'!CN48:CN48, "P")+COUNTIF('Detailed Attendance'!CV48:CV48, "P")</f>
        <v/>
      </c>
      <c r="AC47" s="63">
        <f>COUNTIF('Detailed Attendance'!Q48:Q48, "A")+COUNTIF('Detailed Attendance'!AC48:AC48, "A")+COUNTIF('Detailed Attendance'!AK48:AK48, "A")+COUNTIF('Detailed Attendance'!AW48:AW48, "A")+COUNTIF('Detailed Attendance'!BE48:BE48, "A")+COUNTIF('Detailed Attendance'!BQ48:BQ48, "A")+COUNTIF('Detailed Attendance'!BY48:BY48, "A")+COUNTIF('Detailed Attendance'!CN48:CN48, "A")+COUNTIF('Detailed Attendance'!CV48:CV48, "A")</f>
        <v/>
      </c>
      <c r="AD47" s="64">
        <f>IF((AB47+AC47)=0,"", AB47/(AB47+AC47))</f>
        <v/>
      </c>
      <c r="AE47" s="63">
        <f>COUNTIF('Detailed Attendance'!L48:L48, "P")+COUNTIF('Detailed Attendance'!P48:P48, "P")+COUNTIF('Detailed Attendance'!AF48:AF48, "P")+COUNTIF('Detailed Attendance'!AJ48:AJ48, "P")+COUNTIF('Detailed Attendance'!AZ48:AZ48, "P")+COUNTIF('Detailed Attendance'!BD48:BD48, "P")+COUNTIF('Detailed Attendance'!BT48:BT48, "P")+COUNTIF('Detailed Attendance'!BX48:BX48, "P")+COUNTIF('Detailed Attendance'!CQ48:CQ48, "P")+COUNTIF('Detailed Attendance'!CU48:CU48, "P")</f>
        <v/>
      </c>
      <c r="AF47" s="67">
        <f>COUNTIF('Detailed Attendance'!L48:L48, "A")+COUNTIF('Detailed Attendance'!P48:P48, "A")+COUNTIF('Detailed Attendance'!AF48:AF48, "A")+COUNTIF('Detailed Attendance'!AJ48:AJ48, "A")+COUNTIF('Detailed Attendance'!AZ48:AZ48, "A")+COUNTIF('Detailed Attendance'!BD48:BD48, "A")+COUNTIF('Detailed Attendance'!BT48:BT48, "A")+COUNTIF('Detailed Attendance'!BX48:BX48, "A")+COUNTIF('Detailed Attendance'!CQ48:CQ48, "A")+COUNTIF('Detailed Attendance'!CU48:CU48, "A")</f>
        <v/>
      </c>
      <c r="AG47" s="68">
        <f>IF((AE47+AF47)=0,"", AE47/(AE47+AF47))</f>
        <v/>
      </c>
      <c r="AH47" s="67">
        <f>COUNTIF('Detailed Attendance'!T48:T48, "P")+COUNTIF('Detailed Attendance'!AN48:AN48, "P")+COUNTIF('Detailed Attendance'!AR48:AR48, "P")+COUNTIF('Detailed Attendance'!BH48:BH48, "P")+COUNTIF('Detailed Attendance'!CB48:CB48, "P")+COUNTIF('Detailed Attendance'!CF48:CF48, "P")+COUNTIF('Detailed Attendance'!CY48:CY48, "P")</f>
        <v/>
      </c>
      <c r="AI47" s="67">
        <f>COUNTIF('Detailed Attendance'!T48:T48, "A")+COUNTIF('Detailed Attendance'!AN48:AN48, "A")+COUNTIF('Detailed Attendance'!AR48:AR48, "A")+COUNTIF('Detailed Attendance'!BH48:BH48, "A")+COUNTIF('Detailed Attendance'!CB48:CB48, "A")+COUNTIF('Detailed Attendance'!CF48:CF48, "A")+COUNTIF('Detailed Attendance'!CY48:CY48, "A")</f>
        <v/>
      </c>
      <c r="AJ47" s="68">
        <f>IF((AH47+AI47)=0,"", AH47/(AH47+AI47))</f>
        <v/>
      </c>
      <c r="AK47" s="67">
        <f>COUNTIF('Detailed Attendance'!M48:M48, "P")+COUNTIF('Detailed Attendance'!U48:U48, "P")+COUNTIF('Detailed Attendance'!AG48:AG48, "P")+COUNTIF('Detailed Attendance'!AO48:AO48, "P")+COUNTIF('Detailed Attendance'!BA48:BA48, "P")+COUNTIF('Detailed Attendance'!BI48:BI48, "P")+COUNTIF('Detailed Attendance'!BU48:BU48, "P")+COUNTIF('Detailed Attendance'!CC48:CC48, "P")+COUNTIF('Detailed Attendance'!CR48:CR48, "P")+COUNTIF('Detailed Attendance'!CZ48:CZ48, "P")</f>
        <v/>
      </c>
      <c r="AL47" s="67">
        <f>COUNTIF('Detailed Attendance'!M48:M48, "A")+COUNTIF('Detailed Attendance'!U48:U48, "A")+COUNTIF('Detailed Attendance'!AG48:AG48, "A")+COUNTIF('Detailed Attendance'!AO48:AO48, "A")+COUNTIF('Detailed Attendance'!BA48:BA48, "A")+COUNTIF('Detailed Attendance'!BI48:BI48, "A")+COUNTIF('Detailed Attendance'!BU48:BU48, "A")+COUNTIF('Detailed Attendance'!CC48:CC48, "A")+COUNTIF('Detailed Attendance'!CR48:CR48, "A")+COUNTIF('Detailed Attendance'!CZ48:CZ48, "A")</f>
        <v/>
      </c>
      <c r="AM47" s="68">
        <f>IF((AK47+AL47)=0,"", AK47/(AK47+AL47))</f>
        <v/>
      </c>
      <c r="AN47" s="67">
        <f>Y47+AB47+AE47+AH47+AK47</f>
        <v/>
      </c>
      <c r="AO47" s="67">
        <f>Z47+AC47+AF47+AI47+AL47</f>
        <v/>
      </c>
      <c r="AP47" s="68">
        <f>IF((AN47+AO47)=0,"", AN47/(AN47+AO47))</f>
        <v/>
      </c>
      <c r="AQ47" s="69">
        <f>COUNTIF('Detailed Attendance'!CG48:CG48, "P")+COUNTIF('Detailed Attendance'!CH48:CH48, "P")+COUNTIF('Detailed Attendance'!V48:V48, "P")+COUNTIF('Detailed Attendance'!AP48:AP48, "P")+COUNTIF('Detailed Attendance'!BJ48:BJ48, "P")+COUNTIF('Detailed Attendance'!CD48:CD48, "P")+COUNTIF('Detailed Attendance'!DA48:DA48, "P")</f>
        <v/>
      </c>
      <c r="AR47" s="69">
        <f>COUNTIF('Detailed Attendance'!CG48:CG48, "A")+COUNTIF('Detailed Attendance'!CH48:CH48, "A")+COUNTIF('Detailed Attendance'!V48:V48, "A")+COUNTIF('Detailed Attendance'!AP48:AP48, "A")+COUNTIF('Detailed Attendance'!BJ48:BJ48, "A")+COUNTIF('Detailed Attendance'!CD48:CD48, "A")+COUNTIF('Detailed Attendance'!DA48:DA48, "A")</f>
        <v/>
      </c>
      <c r="AS47" s="70">
        <f>IF((AQ47+AR47)=0,"", AQ47/(AQ47+AR47))</f>
        <v/>
      </c>
      <c r="AT47" s="67">
        <f>COUNTIF('Detailed Attendance'!DF48:DF48, "P")+COUNTIF('Detailed Attendance'!DT48:DT48, "P")+COUNTIF('Detailed Attendance'!EC48:EC48, "P")+COUNTIF('Detailed Attendance'!EQ48:EQ48, "P")+COUNTIF('Detailed Attendance'!EW48:EW48, "P")+COUNTIF('Detailed Attendance'!FK48:FK48, "P")+COUNTIF('Detailed Attendance'!FM48:FM48, "P")+COUNTIF('Detailed Attendance'!GA48:GA48, "P")</f>
        <v/>
      </c>
      <c r="AU47" s="67">
        <f>COUNTIF('Detailed Attendance'!DF48:DF48, "A")+COUNTIF('Detailed Attendance'!DT48:DT48, "A")+COUNTIF('Detailed Attendance'!EC48:EC48, "A")+COUNTIF('Detailed Attendance'!EQ48:EQ48, "A")+COUNTIF('Detailed Attendance'!EW48:EW48, "A")+COUNTIF('Detailed Attendance'!FK48:FK48, "A")+COUNTIF('Detailed Attendance'!FM48:FM48, "A")+COUNTIF('Detailed Attendance'!GA48:GA48, "A")</f>
        <v/>
      </c>
      <c r="AV47" s="68">
        <f>IF((AT47+AU47)=0,"", AT47/(AT47+AU47))</f>
        <v/>
      </c>
      <c r="AW47" s="67">
        <f>COUNTIF('Detailed Attendance'!DK48:DK48, "P")+COUNTIF('Detailed Attendance'!DS48:DS48, "P")+COUNTIF('Detailed Attendance'!EH48:EH48, "P")+COUNTIF('Detailed Attendance'!EP48:EP48, "P")+COUNTIF('Detailed Attendance'!FB48:FB48, "P")+COUNTIF('Detailed Attendance'!FJ48:FJ48, "P")+COUNTIF('Detailed Attendance'!FR48:FR48, "P")+COUNTIF('Detailed Attendance'!FZ48:FZ48, "P")</f>
        <v/>
      </c>
      <c r="AX47" s="67">
        <f>COUNTIF('Detailed Attendance'!DK48:DK48, "A")+COUNTIF('Detailed Attendance'!DS48:DS48, "A")+COUNTIF('Detailed Attendance'!EH48:EH48, "A")+COUNTIF('Detailed Attendance'!EP48:EP48, "A")+COUNTIF('Detailed Attendance'!FB48:FB48, "A")+COUNTIF('Detailed Attendance'!FJ48:FJ48, "A")+COUNTIF('Detailed Attendance'!FR48:FR48, "A")+COUNTIF('Detailed Attendance'!FZ48:FZ48, "A")</f>
        <v/>
      </c>
      <c r="AY47" s="68">
        <f>IF((AW47+AX47)=0,"", AW47/(AW47+AX47))</f>
        <v/>
      </c>
      <c r="AZ47" s="67">
        <f>COUNTIF('Detailed Attendance'!DN48:DN48, "P")+COUNTIF('Detailed Attendance'!DR48:DR48, "P")+COUNTIF('Detailed Attendance'!EK48:EK48, "P")+COUNTIF('Detailed Attendance'!EO48:EO48, "P")+COUNTIF('Detailed Attendance'!FE48:FE48, "P")+COUNTIF('Detailed Attendance'!FI48:FI48, "P")+COUNTIF('Detailed Attendance'!FU48:FU48, "P")+COUNTIF('Detailed Attendance'!FY48:FY48, "P")</f>
        <v/>
      </c>
      <c r="BA47" s="67">
        <f>COUNTIF('Detailed Attendance'!DN48:DN48, "A")+COUNTIF('Detailed Attendance'!DR48:DR48, "A")+COUNTIF('Detailed Attendance'!EK48:EK48, "A")+COUNTIF('Detailed Attendance'!EO48:EO48, "A")+COUNTIF('Detailed Attendance'!FE48:FE48, "A")+COUNTIF('Detailed Attendance'!FI48:FI48, "A")+COUNTIF('Detailed Attendance'!FU48:FU48, "A")+COUNTIF('Detailed Attendance'!FY48:FY48, "A")</f>
        <v/>
      </c>
      <c r="BB47" s="68">
        <f>IF((AZ47+BA47)=0,"", AZ47/(AZ47+BA47))</f>
        <v/>
      </c>
      <c r="BC47" s="67">
        <f>COUNTIF('Detailed Attendance'!DC48:DC48, "P")+COUNTIF('Detailed Attendance'!DV48:DV48, "P")+COUNTIF('Detailed Attendance'!DZ48:DZ48, "P")+COUNTIF('Detailed Attendance'!ES48:ES48, "P")+COUNTIF('Detailed Attendance'!GC48:GC48, "P")+COUNTIF('Detailed Attendance'!GG48:GG48, "P")</f>
        <v/>
      </c>
      <c r="BD47" s="67">
        <f>COUNTIF('Detailed Attendance'!DC48:DC48, "A")+COUNTIF('Detailed Attendance'!DV48:DV48, "A")+COUNTIF('Detailed Attendance'!DZ48:DZ48, "A")+COUNTIF('Detailed Attendance'!ES48:ES48, "A")+COUNTIF('Detailed Attendance'!GC48:GC48, "A")+COUNTIF('Detailed Attendance'!GG48:GG48, "A")</f>
        <v/>
      </c>
      <c r="BE47" s="68">
        <f>IF((BC47+BD47)=0,"", BC47/(BC47+BD47))</f>
        <v/>
      </c>
      <c r="BF47" s="67">
        <f>COUNTIF('Detailed Attendance'!DO48:DO48, "P")+COUNTIF('Detailed Attendance'!DW48:DW48, "P")+COUNTIF('Detailed Attendance'!EL48:EL48, "P")+COUNTIF('Detailed Attendance'!ET48:ET48, "P")+COUNTIF('Detailed Attendance'!FF48:FF48, "P")+COUNTIF('Detailed Attendance'!FV48:FV48, "P")+COUNTIF('Detailed Attendance'!GD48:GD48, "P")</f>
        <v/>
      </c>
      <c r="BG47" s="67">
        <f>COUNTIF('Detailed Attendance'!DO48:DO48, "A")+COUNTIF('Detailed Attendance'!DW48:DW48, "A")+COUNTIF('Detailed Attendance'!EL48:EL48, "A")+COUNTIF('Detailed Attendance'!ET48:ET48, "A")+COUNTIF('Detailed Attendance'!FF48:FF48, "A")+COUNTIF('Detailed Attendance'!FV48:FV48, "A")+COUNTIF('Detailed Attendance'!GD48:GD48, "A")</f>
        <v/>
      </c>
      <c r="BH47" s="68">
        <f>IF((BF47+BG47)=0,"", BF47/(BF47+BG47))</f>
        <v/>
      </c>
      <c r="BI47" s="67">
        <f>AT47+AW47+AZ47+BC47+BF47</f>
        <v/>
      </c>
      <c r="BJ47" s="67">
        <f>AU47+AX47+BA47+BD47+BG47</f>
        <v/>
      </c>
      <c r="BK47" s="68">
        <f>IF((BI47+BJ47)=0,"", BI47/(BI47+BJ47))</f>
        <v/>
      </c>
      <c r="BL47" s="69">
        <f>COUNTIF('Detailed Attendance'!DD48:DD48, "P")+COUNTIF('Detailed Attendance'!EA48:EA48, "P")+COUNTIF('Detailed Attendance'!GH48:GH48, "P")+COUNTIF('Detailed Attendance'!DE48:DE48, "P")+COUNTIF('Detailed Attendance'!EB48:EB48, "P")+COUNTIF('Detailed Attendance'!GI48:GI48, "P")+COUNTIF('Detailed Attendance'!DX48:DX48, "P")+COUNTIF('Detailed Attendance'!EU48:EU48, "P")+COUNTIF('Detailed Attendance'!GE48:GE48, "P")</f>
        <v/>
      </c>
      <c r="BM47" s="69">
        <f>COUNTIF('Detailed Attendance'!DD48:DD48, "A")+COUNTIF('Detailed Attendance'!EA48:EA48, "A")+COUNTIF('Detailed Attendance'!GH48:GH48, "A")+COUNTIF('Detailed Attendance'!DE48:DE48, "A")+COUNTIF('Detailed Attendance'!EB48:EB48, "A")+COUNTIF('Detailed Attendance'!GI48:GI48, "A")+COUNTIF('Detailed Attendance'!DX48:DX48, "A")+COUNTIF('Detailed Attendance'!EU48:EU48, "A")+COUNTIF('Detailed Attendance'!GE48:GE48, "A")</f>
        <v/>
      </c>
      <c r="BN47" s="70">
        <f>IF((BL47+BM47)=0,"", BL47/(BL47+BM47))</f>
        <v/>
      </c>
      <c r="BO47" s="67">
        <f>D47+Y47+AT47</f>
        <v/>
      </c>
      <c r="BP47" s="67">
        <f>E47+Z47+AU47</f>
        <v/>
      </c>
      <c r="BQ47" s="68">
        <f>IF((BO47+BP47)=0,"", BO47/(BO47+BP47))</f>
        <v/>
      </c>
      <c r="BR47" s="67">
        <f>G47+AB47+AW47</f>
        <v/>
      </c>
      <c r="BS47" s="67">
        <f>H47+AC47+AX47</f>
        <v/>
      </c>
      <c r="BT47" s="68">
        <f>IF((BR47+BS47)=0,"", BR47/(BR47+BS47))</f>
        <v/>
      </c>
      <c r="BU47" s="67">
        <f>J47+AE47+AZ47</f>
        <v/>
      </c>
      <c r="BV47" s="67">
        <f>K47+AF47+BA47</f>
        <v/>
      </c>
      <c r="BW47" s="68">
        <f>IF((BU47+BV47)=0,"", BU47/(BU47+BV47))</f>
        <v/>
      </c>
      <c r="BX47" s="67">
        <f>M47+AH47+BC47</f>
        <v/>
      </c>
      <c r="BY47" s="67">
        <f>N47+AI47+BD47</f>
        <v/>
      </c>
      <c r="BZ47" s="68">
        <f>IF((BX47+BY47)=0,"", BX47/(BX47+BY47))</f>
        <v/>
      </c>
      <c r="CA47" s="67">
        <f>P47+AK47+BF47</f>
        <v/>
      </c>
      <c r="CB47" s="67">
        <f>Q47+AL47+BG47</f>
        <v/>
      </c>
      <c r="CC47" s="68">
        <f>IF((CA47+CB47)=0,"", CA47/(CA47+CB47))</f>
        <v/>
      </c>
      <c r="CD47" s="67">
        <f>S47+AN47+BI47</f>
        <v/>
      </c>
      <c r="CE47" s="67">
        <f>T47+AO47+BJ47</f>
        <v/>
      </c>
      <c r="CF47" s="68">
        <f>IF((CD47+CE47)=0,"", CD47/(CD47+CE47))</f>
        <v/>
      </c>
      <c r="CG47" s="69">
        <f>V47+AQ47+BL47</f>
        <v/>
      </c>
      <c r="CH47" s="69">
        <f>W47+AR47+BM47</f>
        <v/>
      </c>
      <c r="CI47" s="70">
        <f>IF((CG47+CH47)=0,"", CG47/(CG47+CH47))</f>
        <v/>
      </c>
      <c r="CJ47" s="67">
        <f>CD47+(CG47*2)</f>
        <v/>
      </c>
      <c r="CK47" s="67">
        <f>CE47+(CH47*2)</f>
        <v/>
      </c>
      <c r="CL47" s="68">
        <f>IF((CJ47+CK47)=0,"", CJ47/(CJ47+CK47))</f>
        <v/>
      </c>
      <c r="CM47" s="67" t="inlineStr">
        <is>
          <t>Batch 2</t>
        </is>
      </c>
    </row>
    <row r="48" ht="14.25" customHeight="1" s="34">
      <c r="A48" s="46" t="n">
        <v>46</v>
      </c>
      <c r="B48" s="46" t="inlineStr">
        <is>
          <t>325106410046</t>
        </is>
      </c>
      <c r="C48" s="46" t="inlineStr">
        <is>
          <t>RONY JOEL</t>
        </is>
      </c>
      <c r="D48" s="63" t="n">
        <v>0</v>
      </c>
      <c r="E48" s="63" t="n">
        <v>0</v>
      </c>
      <c r="F48" s="64">
        <f>IF((D48+E48)=0,"", D48/(D48+E48))</f>
        <v/>
      </c>
      <c r="G48" s="63">
        <f>COUNTIF('Detailed Attendance'!I49:I49, "P")</f>
        <v/>
      </c>
      <c r="H48" s="63">
        <f>COUNTIF('Detailed Attendance'!I49:I49, "A")</f>
        <v/>
      </c>
      <c r="I48" s="64">
        <f>IF((G48+H48)=0,"", G48/(G48+H48))</f>
        <v/>
      </c>
      <c r="J48" s="63" t="n">
        <v>0</v>
      </c>
      <c r="K48" s="63" t="n">
        <v>0</v>
      </c>
      <c r="L48" s="64">
        <f>IF((J48+K48)=0,"", J48/(J48+K48))</f>
        <v/>
      </c>
      <c r="M48" s="63">
        <f>COUNTIF('Detailed Attendance'!D49:D49, "P")</f>
        <v/>
      </c>
      <c r="N48" s="63">
        <f>COUNTIF('Detailed Attendance'!D49:D49, "A")</f>
        <v/>
      </c>
      <c r="O48" s="64">
        <f>IF((M48+N48)=0,"", M48/(M48+N48))</f>
        <v/>
      </c>
      <c r="P48" s="63" t="n">
        <v>0</v>
      </c>
      <c r="Q48" s="63" t="n">
        <v>0</v>
      </c>
      <c r="R48" s="64">
        <f>IF((P48+Q48)=0,"", P48/(P48+Q48))</f>
        <v/>
      </c>
      <c r="S48" s="63">
        <f>D48+G48+J48+M48+P48</f>
        <v/>
      </c>
      <c r="T48" s="63">
        <f>E48+H48+K48+N48+Q48</f>
        <v/>
      </c>
      <c r="U48" s="64">
        <f>IF((S48+T48)=0,"", S48/(S48+T48))</f>
        <v/>
      </c>
      <c r="V48" s="65" t="n">
        <v>0</v>
      </c>
      <c r="W48" s="65" t="n">
        <v>0</v>
      </c>
      <c r="X48" s="66">
        <f>IF((V48+W48)=0,"", V48/(V48+W48))</f>
        <v/>
      </c>
      <c r="Y48" s="63">
        <f>COUNTIF('Detailed Attendance'!R49:R49, "P")+COUNTIF('Detailed Attendance'!X49:X49, "P")+COUNTIF('Detailed Attendance'!AL49:AL49, "P")+COUNTIF('Detailed Attendance'!BF49:BF49, "P")+COUNTIF('Detailed Attendance'!BL49:BL49, "P")+COUNTIF('Detailed Attendance'!BZ49:BZ49, "P")+COUNTIF('Detailed Attendance'!CI49:CI49, "P")+COUNTIF('Detailed Attendance'!CW49:CW49, "P")</f>
        <v/>
      </c>
      <c r="Z48" s="63">
        <f>COUNTIF('Detailed Attendance'!R49:R49, "A")+COUNTIF('Detailed Attendance'!X49:X49, "A")+COUNTIF('Detailed Attendance'!AL49:AL49, "A")+COUNTIF('Detailed Attendance'!BF49:BF49, "A")+COUNTIF('Detailed Attendance'!BL49:BL49, "A")+COUNTIF('Detailed Attendance'!BZ49:BZ49, "A")+COUNTIF('Detailed Attendance'!CI49:CI49, "A")+COUNTIF('Detailed Attendance'!CW49:CW49, "A")</f>
        <v/>
      </c>
      <c r="AA48" s="64">
        <f>IF((Y48+Z48)=0,"", Y48/(Y48+Z48))</f>
        <v/>
      </c>
      <c r="AB48" s="63">
        <f>COUNTIF('Detailed Attendance'!Q49:Q49, "P")+COUNTIF('Detailed Attendance'!AC49:AC49, "P")+COUNTIF('Detailed Attendance'!AK49:AK49, "P")+COUNTIF('Detailed Attendance'!AW49:AW49, "P")+COUNTIF('Detailed Attendance'!BE49:BE49, "P")+COUNTIF('Detailed Attendance'!BQ49:BQ49, "P")+COUNTIF('Detailed Attendance'!BY49:BY49, "P")+COUNTIF('Detailed Attendance'!CN49:CN49, "P")+COUNTIF('Detailed Attendance'!CV49:CV49, "P")</f>
        <v/>
      </c>
      <c r="AC48" s="63">
        <f>COUNTIF('Detailed Attendance'!Q49:Q49, "A")+COUNTIF('Detailed Attendance'!AC49:AC49, "A")+COUNTIF('Detailed Attendance'!AK49:AK49, "A")+COUNTIF('Detailed Attendance'!AW49:AW49, "A")+COUNTIF('Detailed Attendance'!BE49:BE49, "A")+COUNTIF('Detailed Attendance'!BQ49:BQ49, "A")+COUNTIF('Detailed Attendance'!BY49:BY49, "A")+COUNTIF('Detailed Attendance'!CN49:CN49, "A")+COUNTIF('Detailed Attendance'!CV49:CV49, "A")</f>
        <v/>
      </c>
      <c r="AD48" s="64">
        <f>IF((AB48+AC48)=0,"", AB48/(AB48+AC48))</f>
        <v/>
      </c>
      <c r="AE48" s="63">
        <f>COUNTIF('Detailed Attendance'!L49:L49, "P")+COUNTIF('Detailed Attendance'!P49:P49, "P")+COUNTIF('Detailed Attendance'!AF49:AF49, "P")+COUNTIF('Detailed Attendance'!AJ49:AJ49, "P")+COUNTIF('Detailed Attendance'!AZ49:AZ49, "P")+COUNTIF('Detailed Attendance'!BD49:BD49, "P")+COUNTIF('Detailed Attendance'!BT49:BT49, "P")+COUNTIF('Detailed Attendance'!BX49:BX49, "P")+COUNTIF('Detailed Attendance'!CQ49:CQ49, "P")+COUNTIF('Detailed Attendance'!CU49:CU49, "P")</f>
        <v/>
      </c>
      <c r="AF48" s="67">
        <f>COUNTIF('Detailed Attendance'!L49:L49, "A")+COUNTIF('Detailed Attendance'!P49:P49, "A")+COUNTIF('Detailed Attendance'!AF49:AF49, "A")+COUNTIF('Detailed Attendance'!AJ49:AJ49, "A")+COUNTIF('Detailed Attendance'!AZ49:AZ49, "A")+COUNTIF('Detailed Attendance'!BD49:BD49, "A")+COUNTIF('Detailed Attendance'!BT49:BT49, "A")+COUNTIF('Detailed Attendance'!BX49:BX49, "A")+COUNTIF('Detailed Attendance'!CQ49:CQ49, "A")+COUNTIF('Detailed Attendance'!CU49:CU49, "A")</f>
        <v/>
      </c>
      <c r="AG48" s="68">
        <f>IF((AE48+AF48)=0,"", AE48/(AE48+AF48))</f>
        <v/>
      </c>
      <c r="AH48" s="67">
        <f>COUNTIF('Detailed Attendance'!T49:T49, "P")+COUNTIF('Detailed Attendance'!AN49:AN49, "P")+COUNTIF('Detailed Attendance'!AR49:AR49, "P")+COUNTIF('Detailed Attendance'!BH49:BH49, "P")+COUNTIF('Detailed Attendance'!CB49:CB49, "P")+COUNTIF('Detailed Attendance'!CF49:CF49, "P")+COUNTIF('Detailed Attendance'!CY49:CY49, "P")</f>
        <v/>
      </c>
      <c r="AI48" s="67">
        <f>COUNTIF('Detailed Attendance'!T49:T49, "A")+COUNTIF('Detailed Attendance'!AN49:AN49, "A")+COUNTIF('Detailed Attendance'!AR49:AR49, "A")+COUNTIF('Detailed Attendance'!BH49:BH49, "A")+COUNTIF('Detailed Attendance'!CB49:CB49, "A")+COUNTIF('Detailed Attendance'!CF49:CF49, "A")+COUNTIF('Detailed Attendance'!CY49:CY49, "A")</f>
        <v/>
      </c>
      <c r="AJ48" s="68">
        <f>IF((AH48+AI48)=0,"", AH48/(AH48+AI48))</f>
        <v/>
      </c>
      <c r="AK48" s="67">
        <f>COUNTIF('Detailed Attendance'!M49:M49, "P")+COUNTIF('Detailed Attendance'!U49:U49, "P")+COUNTIF('Detailed Attendance'!AG49:AG49, "P")+COUNTIF('Detailed Attendance'!AO49:AO49, "P")+COUNTIF('Detailed Attendance'!BA49:BA49, "P")+COUNTIF('Detailed Attendance'!BI49:BI49, "P")+COUNTIF('Detailed Attendance'!BU49:BU49, "P")+COUNTIF('Detailed Attendance'!CC49:CC49, "P")+COUNTIF('Detailed Attendance'!CR49:CR49, "P")+COUNTIF('Detailed Attendance'!CZ49:CZ49, "P")</f>
        <v/>
      </c>
      <c r="AL48" s="67">
        <f>COUNTIF('Detailed Attendance'!M49:M49, "A")+COUNTIF('Detailed Attendance'!U49:U49, "A")+COUNTIF('Detailed Attendance'!AG49:AG49, "A")+COUNTIF('Detailed Attendance'!AO49:AO49, "A")+COUNTIF('Detailed Attendance'!BA49:BA49, "A")+COUNTIF('Detailed Attendance'!BI49:BI49, "A")+COUNTIF('Detailed Attendance'!BU49:BU49, "A")+COUNTIF('Detailed Attendance'!CC49:CC49, "A")+COUNTIF('Detailed Attendance'!CR49:CR49, "A")+COUNTIF('Detailed Attendance'!CZ49:CZ49, "A")</f>
        <v/>
      </c>
      <c r="AM48" s="68">
        <f>IF((AK48+AL48)=0,"", AK48/(AK48+AL48))</f>
        <v/>
      </c>
      <c r="AN48" s="67">
        <f>Y48+AB48+AE48+AH48+AK48</f>
        <v/>
      </c>
      <c r="AO48" s="67">
        <f>Z48+AC48+AF48+AI48+AL48</f>
        <v/>
      </c>
      <c r="AP48" s="68">
        <f>IF((AN48+AO48)=0,"", AN48/(AN48+AO48))</f>
        <v/>
      </c>
      <c r="AQ48" s="69">
        <f>COUNTIF('Detailed Attendance'!CG49:CG49, "P")+COUNTIF('Detailed Attendance'!CH49:CH49, "P")+COUNTIF('Detailed Attendance'!V49:V49, "P")+COUNTIF('Detailed Attendance'!AP49:AP49, "P")+COUNTIF('Detailed Attendance'!BJ49:BJ49, "P")+COUNTIF('Detailed Attendance'!CD49:CD49, "P")+COUNTIF('Detailed Attendance'!DA49:DA49, "P")</f>
        <v/>
      </c>
      <c r="AR48" s="69">
        <f>COUNTIF('Detailed Attendance'!CG49:CG49, "A")+COUNTIF('Detailed Attendance'!CH49:CH49, "A")+COUNTIF('Detailed Attendance'!V49:V49, "A")+COUNTIF('Detailed Attendance'!AP49:AP49, "A")+COUNTIF('Detailed Attendance'!BJ49:BJ49, "A")+COUNTIF('Detailed Attendance'!CD49:CD49, "A")+COUNTIF('Detailed Attendance'!DA49:DA49, "A")</f>
        <v/>
      </c>
      <c r="AS48" s="70">
        <f>IF((AQ48+AR48)=0,"", AQ48/(AQ48+AR48))</f>
        <v/>
      </c>
      <c r="AT48" s="67">
        <f>COUNTIF('Detailed Attendance'!DF49:DF49, "P")+COUNTIF('Detailed Attendance'!DT49:DT49, "P")+COUNTIF('Detailed Attendance'!EC49:EC49, "P")+COUNTIF('Detailed Attendance'!EQ49:EQ49, "P")+COUNTIF('Detailed Attendance'!EW49:EW49, "P")+COUNTIF('Detailed Attendance'!FK49:FK49, "P")+COUNTIF('Detailed Attendance'!FM49:FM49, "P")+COUNTIF('Detailed Attendance'!GA49:GA49, "P")</f>
        <v/>
      </c>
      <c r="AU48" s="67">
        <f>COUNTIF('Detailed Attendance'!DF49:DF49, "A")+COUNTIF('Detailed Attendance'!DT49:DT49, "A")+COUNTIF('Detailed Attendance'!EC49:EC49, "A")+COUNTIF('Detailed Attendance'!EQ49:EQ49, "A")+COUNTIF('Detailed Attendance'!EW49:EW49, "A")+COUNTIF('Detailed Attendance'!FK49:FK49, "A")+COUNTIF('Detailed Attendance'!FM49:FM49, "A")+COUNTIF('Detailed Attendance'!GA49:GA49, "A")</f>
        <v/>
      </c>
      <c r="AV48" s="68">
        <f>IF((AT48+AU48)=0,"", AT48/(AT48+AU48))</f>
        <v/>
      </c>
      <c r="AW48" s="67">
        <f>COUNTIF('Detailed Attendance'!DK49:DK49, "P")+COUNTIF('Detailed Attendance'!DS49:DS49, "P")+COUNTIF('Detailed Attendance'!EH49:EH49, "P")+COUNTIF('Detailed Attendance'!EP49:EP49, "P")+COUNTIF('Detailed Attendance'!FB49:FB49, "P")+COUNTIF('Detailed Attendance'!FJ49:FJ49, "P")+COUNTIF('Detailed Attendance'!FR49:FR49, "P")+COUNTIF('Detailed Attendance'!FZ49:FZ49, "P")</f>
        <v/>
      </c>
      <c r="AX48" s="67">
        <f>COUNTIF('Detailed Attendance'!DK49:DK49, "A")+COUNTIF('Detailed Attendance'!DS49:DS49, "A")+COUNTIF('Detailed Attendance'!EH49:EH49, "A")+COUNTIF('Detailed Attendance'!EP49:EP49, "A")+COUNTIF('Detailed Attendance'!FB49:FB49, "A")+COUNTIF('Detailed Attendance'!FJ49:FJ49, "A")+COUNTIF('Detailed Attendance'!FR49:FR49, "A")+COUNTIF('Detailed Attendance'!FZ49:FZ49, "A")</f>
        <v/>
      </c>
      <c r="AY48" s="68">
        <f>IF((AW48+AX48)=0,"", AW48/(AW48+AX48))</f>
        <v/>
      </c>
      <c r="AZ48" s="67">
        <f>COUNTIF('Detailed Attendance'!DN49:DN49, "P")+COUNTIF('Detailed Attendance'!DR49:DR49, "P")+COUNTIF('Detailed Attendance'!EK49:EK49, "P")+COUNTIF('Detailed Attendance'!EO49:EO49, "P")+COUNTIF('Detailed Attendance'!FE49:FE49, "P")+COUNTIF('Detailed Attendance'!FI49:FI49, "P")+COUNTIF('Detailed Attendance'!FU49:FU49, "P")+COUNTIF('Detailed Attendance'!FY49:FY49, "P")</f>
        <v/>
      </c>
      <c r="BA48" s="67">
        <f>COUNTIF('Detailed Attendance'!DN49:DN49, "A")+COUNTIF('Detailed Attendance'!DR49:DR49, "A")+COUNTIF('Detailed Attendance'!EK49:EK49, "A")+COUNTIF('Detailed Attendance'!EO49:EO49, "A")+COUNTIF('Detailed Attendance'!FE49:FE49, "A")+COUNTIF('Detailed Attendance'!FI49:FI49, "A")+COUNTIF('Detailed Attendance'!FU49:FU49, "A")+COUNTIF('Detailed Attendance'!FY49:FY49, "A")</f>
        <v/>
      </c>
      <c r="BB48" s="68">
        <f>IF((AZ48+BA48)=0,"", AZ48/(AZ48+BA48))</f>
        <v/>
      </c>
      <c r="BC48" s="67">
        <f>COUNTIF('Detailed Attendance'!DC49:DC49, "P")+COUNTIF('Detailed Attendance'!DV49:DV49, "P")+COUNTIF('Detailed Attendance'!DZ49:DZ49, "P")+COUNTIF('Detailed Attendance'!ES49:ES49, "P")+COUNTIF('Detailed Attendance'!GC49:GC49, "P")+COUNTIF('Detailed Attendance'!GG49:GG49, "P")</f>
        <v/>
      </c>
      <c r="BD48" s="67">
        <f>COUNTIF('Detailed Attendance'!DC49:DC49, "A")+COUNTIF('Detailed Attendance'!DV49:DV49, "A")+COUNTIF('Detailed Attendance'!DZ49:DZ49, "A")+COUNTIF('Detailed Attendance'!ES49:ES49, "A")+COUNTIF('Detailed Attendance'!GC49:GC49, "A")+COUNTIF('Detailed Attendance'!GG49:GG49, "A")</f>
        <v/>
      </c>
      <c r="BE48" s="68">
        <f>IF((BC48+BD48)=0,"", BC48/(BC48+BD48))</f>
        <v/>
      </c>
      <c r="BF48" s="67">
        <f>COUNTIF('Detailed Attendance'!DO49:DO49, "P")+COUNTIF('Detailed Attendance'!DW49:DW49, "P")+COUNTIF('Detailed Attendance'!EL49:EL49, "P")+COUNTIF('Detailed Attendance'!ET49:ET49, "P")+COUNTIF('Detailed Attendance'!FF49:FF49, "P")+COUNTIF('Detailed Attendance'!FV49:FV49, "P")+COUNTIF('Detailed Attendance'!GD49:GD49, "P")</f>
        <v/>
      </c>
      <c r="BG48" s="67">
        <f>COUNTIF('Detailed Attendance'!DO49:DO49, "A")+COUNTIF('Detailed Attendance'!DW49:DW49, "A")+COUNTIF('Detailed Attendance'!EL49:EL49, "A")+COUNTIF('Detailed Attendance'!ET49:ET49, "A")+COUNTIF('Detailed Attendance'!FF49:FF49, "A")+COUNTIF('Detailed Attendance'!FV49:FV49, "A")+COUNTIF('Detailed Attendance'!GD49:GD49, "A")</f>
        <v/>
      </c>
      <c r="BH48" s="68">
        <f>IF((BF48+BG48)=0,"", BF48/(BF48+BG48))</f>
        <v/>
      </c>
      <c r="BI48" s="67">
        <f>AT48+AW48+AZ48+BC48+BF48</f>
        <v/>
      </c>
      <c r="BJ48" s="67">
        <f>AU48+AX48+BA48+BD48+BG48</f>
        <v/>
      </c>
      <c r="BK48" s="68">
        <f>IF((BI48+BJ48)=0,"", BI48/(BI48+BJ48))</f>
        <v/>
      </c>
      <c r="BL48" s="69">
        <f>COUNTIF('Detailed Attendance'!DD49:DD49, "P")+COUNTIF('Detailed Attendance'!EA49:EA49, "P")+COUNTIF('Detailed Attendance'!GH49:GH49, "P")+COUNTIF('Detailed Attendance'!DE49:DE49, "P")+COUNTIF('Detailed Attendance'!EB49:EB49, "P")+COUNTIF('Detailed Attendance'!GI49:GI49, "P")+COUNTIF('Detailed Attendance'!DX49:DX49, "P")+COUNTIF('Detailed Attendance'!EU49:EU49, "P")+COUNTIF('Detailed Attendance'!GE49:GE49, "P")</f>
        <v/>
      </c>
      <c r="BM48" s="69">
        <f>COUNTIF('Detailed Attendance'!DD49:DD49, "A")+COUNTIF('Detailed Attendance'!EA49:EA49, "A")+COUNTIF('Detailed Attendance'!GH49:GH49, "A")+COUNTIF('Detailed Attendance'!DE49:DE49, "A")+COUNTIF('Detailed Attendance'!EB49:EB49, "A")+COUNTIF('Detailed Attendance'!GI49:GI49, "A")+COUNTIF('Detailed Attendance'!DX49:DX49, "A")+COUNTIF('Detailed Attendance'!EU49:EU49, "A")+COUNTIF('Detailed Attendance'!GE49:GE49, "A")</f>
        <v/>
      </c>
      <c r="BN48" s="70">
        <f>IF((BL48+BM48)=0,"", BL48/(BL48+BM48))</f>
        <v/>
      </c>
      <c r="BO48" s="67">
        <f>D48+Y48+AT48</f>
        <v/>
      </c>
      <c r="BP48" s="67">
        <f>E48+Z48+AU48</f>
        <v/>
      </c>
      <c r="BQ48" s="68">
        <f>IF((BO48+BP48)=0,"", BO48/(BO48+BP48))</f>
        <v/>
      </c>
      <c r="BR48" s="67">
        <f>G48+AB48+AW48</f>
        <v/>
      </c>
      <c r="BS48" s="67">
        <f>H48+AC48+AX48</f>
        <v/>
      </c>
      <c r="BT48" s="68">
        <f>IF((BR48+BS48)=0,"", BR48/(BR48+BS48))</f>
        <v/>
      </c>
      <c r="BU48" s="67">
        <f>J48+AE48+AZ48</f>
        <v/>
      </c>
      <c r="BV48" s="67">
        <f>K48+AF48+BA48</f>
        <v/>
      </c>
      <c r="BW48" s="68">
        <f>IF((BU48+BV48)=0,"", BU48/(BU48+BV48))</f>
        <v/>
      </c>
      <c r="BX48" s="67">
        <f>M48+AH48+BC48</f>
        <v/>
      </c>
      <c r="BY48" s="67">
        <f>N48+AI48+BD48</f>
        <v/>
      </c>
      <c r="BZ48" s="68">
        <f>IF((BX48+BY48)=0,"", BX48/(BX48+BY48))</f>
        <v/>
      </c>
      <c r="CA48" s="67">
        <f>P48+AK48+BF48</f>
        <v/>
      </c>
      <c r="CB48" s="67">
        <f>Q48+AL48+BG48</f>
        <v/>
      </c>
      <c r="CC48" s="68">
        <f>IF((CA48+CB48)=0,"", CA48/(CA48+CB48))</f>
        <v/>
      </c>
      <c r="CD48" s="67">
        <f>S48+AN48+BI48</f>
        <v/>
      </c>
      <c r="CE48" s="67">
        <f>T48+AO48+BJ48</f>
        <v/>
      </c>
      <c r="CF48" s="68">
        <f>IF((CD48+CE48)=0,"", CD48/(CD48+CE48))</f>
        <v/>
      </c>
      <c r="CG48" s="69">
        <f>V48+AQ48+BL48</f>
        <v/>
      </c>
      <c r="CH48" s="69">
        <f>W48+AR48+BM48</f>
        <v/>
      </c>
      <c r="CI48" s="70">
        <f>IF((CG48+CH48)=0,"", CG48/(CG48+CH48))</f>
        <v/>
      </c>
      <c r="CJ48" s="67">
        <f>CD48+(CG48*2)</f>
        <v/>
      </c>
      <c r="CK48" s="67">
        <f>CE48+(CH48*2)</f>
        <v/>
      </c>
      <c r="CL48" s="68">
        <f>IF((CJ48+CK48)=0,"", CJ48/(CJ48+CK48))</f>
        <v/>
      </c>
      <c r="CM48" s="67" t="inlineStr">
        <is>
          <t>Batch 2</t>
        </is>
      </c>
    </row>
    <row r="49" ht="14.25" customHeight="1" s="34">
      <c r="A49" s="46" t="n">
        <v>47</v>
      </c>
      <c r="B49" s="46" t="inlineStr">
        <is>
          <t>325106410047</t>
        </is>
      </c>
      <c r="C49" s="46" t="inlineStr">
        <is>
          <t>NAGA HASINI SAYIMPU</t>
        </is>
      </c>
      <c r="D49" s="63" t="n">
        <v>0</v>
      </c>
      <c r="E49" s="63" t="n">
        <v>0</v>
      </c>
      <c r="F49" s="64">
        <f>IF((D49+E49)=0,"", D49/(D49+E49))</f>
        <v/>
      </c>
      <c r="G49" s="63">
        <f>COUNTIF('Detailed Attendance'!I50:I50, "P")</f>
        <v/>
      </c>
      <c r="H49" s="63">
        <f>COUNTIF('Detailed Attendance'!I50:I50, "A")</f>
        <v/>
      </c>
      <c r="I49" s="64">
        <f>IF((G49+H49)=0,"", G49/(G49+H49))</f>
        <v/>
      </c>
      <c r="J49" s="63" t="n">
        <v>0</v>
      </c>
      <c r="K49" s="63" t="n">
        <v>0</v>
      </c>
      <c r="L49" s="64">
        <f>IF((J49+K49)=0,"", J49/(J49+K49))</f>
        <v/>
      </c>
      <c r="M49" s="63">
        <f>COUNTIF('Detailed Attendance'!D50:D50, "P")</f>
        <v/>
      </c>
      <c r="N49" s="63">
        <f>COUNTIF('Detailed Attendance'!D50:D50, "A")</f>
        <v/>
      </c>
      <c r="O49" s="64">
        <f>IF((M49+N49)=0,"", M49/(M49+N49))</f>
        <v/>
      </c>
      <c r="P49" s="63" t="n">
        <v>0</v>
      </c>
      <c r="Q49" s="63" t="n">
        <v>0</v>
      </c>
      <c r="R49" s="64">
        <f>IF((P49+Q49)=0,"", P49/(P49+Q49))</f>
        <v/>
      </c>
      <c r="S49" s="63">
        <f>D49+G49+J49+M49+P49</f>
        <v/>
      </c>
      <c r="T49" s="63">
        <f>E49+H49+K49+N49+Q49</f>
        <v/>
      </c>
      <c r="U49" s="64">
        <f>IF((S49+T49)=0,"", S49/(S49+T49))</f>
        <v/>
      </c>
      <c r="V49" s="65" t="n">
        <v>0</v>
      </c>
      <c r="W49" s="65" t="n">
        <v>0</v>
      </c>
      <c r="X49" s="66">
        <f>IF((V49+W49)=0,"", V49/(V49+W49))</f>
        <v/>
      </c>
      <c r="Y49" s="63">
        <f>COUNTIF('Detailed Attendance'!R50:R50, "P")+COUNTIF('Detailed Attendance'!X50:X50, "P")+COUNTIF('Detailed Attendance'!AL50:AL50, "P")+COUNTIF('Detailed Attendance'!BF50:BF50, "P")+COUNTIF('Detailed Attendance'!BL50:BL50, "P")+COUNTIF('Detailed Attendance'!BZ50:BZ50, "P")+COUNTIF('Detailed Attendance'!CI50:CI50, "P")+COUNTIF('Detailed Attendance'!CW50:CW50, "P")</f>
        <v/>
      </c>
      <c r="Z49" s="63">
        <f>COUNTIF('Detailed Attendance'!R50:R50, "A")+COUNTIF('Detailed Attendance'!X50:X50, "A")+COUNTIF('Detailed Attendance'!AL50:AL50, "A")+COUNTIF('Detailed Attendance'!BF50:BF50, "A")+COUNTIF('Detailed Attendance'!BL50:BL50, "A")+COUNTIF('Detailed Attendance'!BZ50:BZ50, "A")+COUNTIF('Detailed Attendance'!CI50:CI50, "A")+COUNTIF('Detailed Attendance'!CW50:CW50, "A")</f>
        <v/>
      </c>
      <c r="AA49" s="64">
        <f>IF((Y49+Z49)=0,"", Y49/(Y49+Z49))</f>
        <v/>
      </c>
      <c r="AB49" s="63">
        <f>COUNTIF('Detailed Attendance'!Q50:Q50, "P")+COUNTIF('Detailed Attendance'!AC50:AC50, "P")+COUNTIF('Detailed Attendance'!AK50:AK50, "P")+COUNTIF('Detailed Attendance'!AW50:AW50, "P")+COUNTIF('Detailed Attendance'!BE50:BE50, "P")+COUNTIF('Detailed Attendance'!BQ50:BQ50, "P")+COUNTIF('Detailed Attendance'!BY50:BY50, "P")+COUNTIF('Detailed Attendance'!CN50:CN50, "P")+COUNTIF('Detailed Attendance'!CV50:CV50, "P")</f>
        <v/>
      </c>
      <c r="AC49" s="63">
        <f>COUNTIF('Detailed Attendance'!Q50:Q50, "A")+COUNTIF('Detailed Attendance'!AC50:AC50, "A")+COUNTIF('Detailed Attendance'!AK50:AK50, "A")+COUNTIF('Detailed Attendance'!AW50:AW50, "A")+COUNTIF('Detailed Attendance'!BE50:BE50, "A")+COUNTIF('Detailed Attendance'!BQ50:BQ50, "A")+COUNTIF('Detailed Attendance'!BY50:BY50, "A")+COUNTIF('Detailed Attendance'!CN50:CN50, "A")+COUNTIF('Detailed Attendance'!CV50:CV50, "A")</f>
        <v/>
      </c>
      <c r="AD49" s="64">
        <f>IF((AB49+AC49)=0,"", AB49/(AB49+AC49))</f>
        <v/>
      </c>
      <c r="AE49" s="63">
        <f>COUNTIF('Detailed Attendance'!L50:L50, "P")+COUNTIF('Detailed Attendance'!P50:P50, "P")+COUNTIF('Detailed Attendance'!AF50:AF50, "P")+COUNTIF('Detailed Attendance'!AJ50:AJ50, "P")+COUNTIF('Detailed Attendance'!AZ50:AZ50, "P")+COUNTIF('Detailed Attendance'!BD50:BD50, "P")+COUNTIF('Detailed Attendance'!BT50:BT50, "P")+COUNTIF('Detailed Attendance'!BX50:BX50, "P")+COUNTIF('Detailed Attendance'!CQ50:CQ50, "P")+COUNTIF('Detailed Attendance'!CU50:CU50, "P")</f>
        <v/>
      </c>
      <c r="AF49" s="67">
        <f>COUNTIF('Detailed Attendance'!L50:L50, "A")+COUNTIF('Detailed Attendance'!P50:P50, "A")+COUNTIF('Detailed Attendance'!AF50:AF50, "A")+COUNTIF('Detailed Attendance'!AJ50:AJ50, "A")+COUNTIF('Detailed Attendance'!AZ50:AZ50, "A")+COUNTIF('Detailed Attendance'!BD50:BD50, "A")+COUNTIF('Detailed Attendance'!BT50:BT50, "A")+COUNTIF('Detailed Attendance'!BX50:BX50, "A")+COUNTIF('Detailed Attendance'!CQ50:CQ50, "A")+COUNTIF('Detailed Attendance'!CU50:CU50, "A")</f>
        <v/>
      </c>
      <c r="AG49" s="68">
        <f>IF((AE49+AF49)=0,"", AE49/(AE49+AF49))</f>
        <v/>
      </c>
      <c r="AH49" s="67">
        <f>COUNTIF('Detailed Attendance'!T50:T50, "P")+COUNTIF('Detailed Attendance'!AN50:AN50, "P")+COUNTIF('Detailed Attendance'!AR50:AR50, "P")+COUNTIF('Detailed Attendance'!BH50:BH50, "P")+COUNTIF('Detailed Attendance'!CB50:CB50, "P")+COUNTIF('Detailed Attendance'!CF50:CF50, "P")+COUNTIF('Detailed Attendance'!CY50:CY50, "P")</f>
        <v/>
      </c>
      <c r="AI49" s="67">
        <f>COUNTIF('Detailed Attendance'!T50:T50, "A")+COUNTIF('Detailed Attendance'!AN50:AN50, "A")+COUNTIF('Detailed Attendance'!AR50:AR50, "A")+COUNTIF('Detailed Attendance'!BH50:BH50, "A")+COUNTIF('Detailed Attendance'!CB50:CB50, "A")+COUNTIF('Detailed Attendance'!CF50:CF50, "A")+COUNTIF('Detailed Attendance'!CY50:CY50, "A")</f>
        <v/>
      </c>
      <c r="AJ49" s="68">
        <f>IF((AH49+AI49)=0,"", AH49/(AH49+AI49))</f>
        <v/>
      </c>
      <c r="AK49" s="67">
        <f>COUNTIF('Detailed Attendance'!M50:M50, "P")+COUNTIF('Detailed Attendance'!U50:U50, "P")+COUNTIF('Detailed Attendance'!AG50:AG50, "P")+COUNTIF('Detailed Attendance'!AO50:AO50, "P")+COUNTIF('Detailed Attendance'!BA50:BA50, "P")+COUNTIF('Detailed Attendance'!BI50:BI50, "P")+COUNTIF('Detailed Attendance'!BU50:BU50, "P")+COUNTIF('Detailed Attendance'!CC50:CC50, "P")+COUNTIF('Detailed Attendance'!CR50:CR50, "P")+COUNTIF('Detailed Attendance'!CZ50:CZ50, "P")</f>
        <v/>
      </c>
      <c r="AL49" s="67">
        <f>COUNTIF('Detailed Attendance'!M50:M50, "A")+COUNTIF('Detailed Attendance'!U50:U50, "A")+COUNTIF('Detailed Attendance'!AG50:AG50, "A")+COUNTIF('Detailed Attendance'!AO50:AO50, "A")+COUNTIF('Detailed Attendance'!BA50:BA50, "A")+COUNTIF('Detailed Attendance'!BI50:BI50, "A")+COUNTIF('Detailed Attendance'!BU50:BU50, "A")+COUNTIF('Detailed Attendance'!CC50:CC50, "A")+COUNTIF('Detailed Attendance'!CR50:CR50, "A")+COUNTIF('Detailed Attendance'!CZ50:CZ50, "A")</f>
        <v/>
      </c>
      <c r="AM49" s="68">
        <f>IF((AK49+AL49)=0,"", AK49/(AK49+AL49))</f>
        <v/>
      </c>
      <c r="AN49" s="67">
        <f>Y49+AB49+AE49+AH49+AK49</f>
        <v/>
      </c>
      <c r="AO49" s="67">
        <f>Z49+AC49+AF49+AI49+AL49</f>
        <v/>
      </c>
      <c r="AP49" s="68">
        <f>IF((AN49+AO49)=0,"", AN49/(AN49+AO49))</f>
        <v/>
      </c>
      <c r="AQ49" s="69">
        <f>COUNTIF('Detailed Attendance'!CG50:CG50, "P")+COUNTIF('Detailed Attendance'!CH50:CH50, "P")+COUNTIF('Detailed Attendance'!V50:V50, "P")+COUNTIF('Detailed Attendance'!AP50:AP50, "P")+COUNTIF('Detailed Attendance'!BJ50:BJ50, "P")+COUNTIF('Detailed Attendance'!CD50:CD50, "P")+COUNTIF('Detailed Attendance'!DA50:DA50, "P")</f>
        <v/>
      </c>
      <c r="AR49" s="69">
        <f>COUNTIF('Detailed Attendance'!CG50:CG50, "A")+COUNTIF('Detailed Attendance'!CH50:CH50, "A")+COUNTIF('Detailed Attendance'!V50:V50, "A")+COUNTIF('Detailed Attendance'!AP50:AP50, "A")+COUNTIF('Detailed Attendance'!BJ50:BJ50, "A")+COUNTIF('Detailed Attendance'!CD50:CD50, "A")+COUNTIF('Detailed Attendance'!DA50:DA50, "A")</f>
        <v/>
      </c>
      <c r="AS49" s="70">
        <f>IF((AQ49+AR49)=0,"", AQ49/(AQ49+AR49))</f>
        <v/>
      </c>
      <c r="AT49" s="67">
        <f>COUNTIF('Detailed Attendance'!DF50:DF50, "P")+COUNTIF('Detailed Attendance'!DT50:DT50, "P")+COUNTIF('Detailed Attendance'!EC50:EC50, "P")+COUNTIF('Detailed Attendance'!EQ50:EQ50, "P")+COUNTIF('Detailed Attendance'!EW50:EW50, "P")+COUNTIF('Detailed Attendance'!FK50:FK50, "P")+COUNTIF('Detailed Attendance'!FM50:FM50, "P")+COUNTIF('Detailed Attendance'!GA50:GA50, "P")</f>
        <v/>
      </c>
      <c r="AU49" s="67">
        <f>COUNTIF('Detailed Attendance'!DF50:DF50, "A")+COUNTIF('Detailed Attendance'!DT50:DT50, "A")+COUNTIF('Detailed Attendance'!EC50:EC50, "A")+COUNTIF('Detailed Attendance'!EQ50:EQ50, "A")+COUNTIF('Detailed Attendance'!EW50:EW50, "A")+COUNTIF('Detailed Attendance'!FK50:FK50, "A")+COUNTIF('Detailed Attendance'!FM50:FM50, "A")+COUNTIF('Detailed Attendance'!GA50:GA50, "A")</f>
        <v/>
      </c>
      <c r="AV49" s="68">
        <f>IF((AT49+AU49)=0,"", AT49/(AT49+AU49))</f>
        <v/>
      </c>
      <c r="AW49" s="67">
        <f>COUNTIF('Detailed Attendance'!DK50:DK50, "P")+COUNTIF('Detailed Attendance'!DS50:DS50, "P")+COUNTIF('Detailed Attendance'!EH50:EH50, "P")+COUNTIF('Detailed Attendance'!EP50:EP50, "P")+COUNTIF('Detailed Attendance'!FB50:FB50, "P")+COUNTIF('Detailed Attendance'!FJ50:FJ50, "P")+COUNTIF('Detailed Attendance'!FR50:FR50, "P")+COUNTIF('Detailed Attendance'!FZ50:FZ50, "P")</f>
        <v/>
      </c>
      <c r="AX49" s="67">
        <f>COUNTIF('Detailed Attendance'!DK50:DK50, "A")+COUNTIF('Detailed Attendance'!DS50:DS50, "A")+COUNTIF('Detailed Attendance'!EH50:EH50, "A")+COUNTIF('Detailed Attendance'!EP50:EP50, "A")+COUNTIF('Detailed Attendance'!FB50:FB50, "A")+COUNTIF('Detailed Attendance'!FJ50:FJ50, "A")+COUNTIF('Detailed Attendance'!FR50:FR50, "A")+COUNTIF('Detailed Attendance'!FZ50:FZ50, "A")</f>
        <v/>
      </c>
      <c r="AY49" s="68">
        <f>IF((AW49+AX49)=0,"", AW49/(AW49+AX49))</f>
        <v/>
      </c>
      <c r="AZ49" s="67">
        <f>COUNTIF('Detailed Attendance'!DN50:DN50, "P")+COUNTIF('Detailed Attendance'!DR50:DR50, "P")+COUNTIF('Detailed Attendance'!EK50:EK50, "P")+COUNTIF('Detailed Attendance'!EO50:EO50, "P")+COUNTIF('Detailed Attendance'!FE50:FE50, "P")+COUNTIF('Detailed Attendance'!FI50:FI50, "P")+COUNTIF('Detailed Attendance'!FU50:FU50, "P")+COUNTIF('Detailed Attendance'!FY50:FY50, "P")</f>
        <v/>
      </c>
      <c r="BA49" s="67">
        <f>COUNTIF('Detailed Attendance'!DN50:DN50, "A")+COUNTIF('Detailed Attendance'!DR50:DR50, "A")+COUNTIF('Detailed Attendance'!EK50:EK50, "A")+COUNTIF('Detailed Attendance'!EO50:EO50, "A")+COUNTIF('Detailed Attendance'!FE50:FE50, "A")+COUNTIF('Detailed Attendance'!FI50:FI50, "A")+COUNTIF('Detailed Attendance'!FU50:FU50, "A")+COUNTIF('Detailed Attendance'!FY50:FY50, "A")</f>
        <v/>
      </c>
      <c r="BB49" s="68">
        <f>IF((AZ49+BA49)=0,"", AZ49/(AZ49+BA49))</f>
        <v/>
      </c>
      <c r="BC49" s="67">
        <f>COUNTIF('Detailed Attendance'!DC50:DC50, "P")+COUNTIF('Detailed Attendance'!DV50:DV50, "P")+COUNTIF('Detailed Attendance'!DZ50:DZ50, "P")+COUNTIF('Detailed Attendance'!ES50:ES50, "P")+COUNTIF('Detailed Attendance'!GC50:GC50, "P")+COUNTIF('Detailed Attendance'!GG50:GG50, "P")</f>
        <v/>
      </c>
      <c r="BD49" s="67">
        <f>COUNTIF('Detailed Attendance'!DC50:DC50, "A")+COUNTIF('Detailed Attendance'!DV50:DV50, "A")+COUNTIF('Detailed Attendance'!DZ50:DZ50, "A")+COUNTIF('Detailed Attendance'!ES50:ES50, "A")+COUNTIF('Detailed Attendance'!GC50:GC50, "A")+COUNTIF('Detailed Attendance'!GG50:GG50, "A")</f>
        <v/>
      </c>
      <c r="BE49" s="68">
        <f>IF((BC49+BD49)=0,"", BC49/(BC49+BD49))</f>
        <v/>
      </c>
      <c r="BF49" s="67">
        <f>COUNTIF('Detailed Attendance'!DO50:DO50, "P")+COUNTIF('Detailed Attendance'!DW50:DW50, "P")+COUNTIF('Detailed Attendance'!EL50:EL50, "P")+COUNTIF('Detailed Attendance'!ET50:ET50, "P")+COUNTIF('Detailed Attendance'!FF50:FF50, "P")+COUNTIF('Detailed Attendance'!FV50:FV50, "P")+COUNTIF('Detailed Attendance'!GD50:GD50, "P")</f>
        <v/>
      </c>
      <c r="BG49" s="67">
        <f>COUNTIF('Detailed Attendance'!DO50:DO50, "A")+COUNTIF('Detailed Attendance'!DW50:DW50, "A")+COUNTIF('Detailed Attendance'!EL50:EL50, "A")+COUNTIF('Detailed Attendance'!ET50:ET50, "A")+COUNTIF('Detailed Attendance'!FF50:FF50, "A")+COUNTIF('Detailed Attendance'!FV50:FV50, "A")+COUNTIF('Detailed Attendance'!GD50:GD50, "A")</f>
        <v/>
      </c>
      <c r="BH49" s="68">
        <f>IF((BF49+BG49)=0,"", BF49/(BF49+BG49))</f>
        <v/>
      </c>
      <c r="BI49" s="67">
        <f>AT49+AW49+AZ49+BC49+BF49</f>
        <v/>
      </c>
      <c r="BJ49" s="67">
        <f>AU49+AX49+BA49+BD49+BG49</f>
        <v/>
      </c>
      <c r="BK49" s="68">
        <f>IF((BI49+BJ49)=0,"", BI49/(BI49+BJ49))</f>
        <v/>
      </c>
      <c r="BL49" s="69">
        <f>COUNTIF('Detailed Attendance'!DD50:DD50, "P")+COUNTIF('Detailed Attendance'!EA50:EA50, "P")+COUNTIF('Detailed Attendance'!GH50:GH50, "P")+COUNTIF('Detailed Attendance'!DE50:DE50, "P")+COUNTIF('Detailed Attendance'!EB50:EB50, "P")+COUNTIF('Detailed Attendance'!GI50:GI50, "P")+COUNTIF('Detailed Attendance'!DX50:DX50, "P")+COUNTIF('Detailed Attendance'!EU50:EU50, "P")+COUNTIF('Detailed Attendance'!GE50:GE50, "P")</f>
        <v/>
      </c>
      <c r="BM49" s="69">
        <f>COUNTIF('Detailed Attendance'!DD50:DD50, "A")+COUNTIF('Detailed Attendance'!EA50:EA50, "A")+COUNTIF('Detailed Attendance'!GH50:GH50, "A")+COUNTIF('Detailed Attendance'!DE50:DE50, "A")+COUNTIF('Detailed Attendance'!EB50:EB50, "A")+COUNTIF('Detailed Attendance'!GI50:GI50, "A")+COUNTIF('Detailed Attendance'!DX50:DX50, "A")+COUNTIF('Detailed Attendance'!EU50:EU50, "A")+COUNTIF('Detailed Attendance'!GE50:GE50, "A")</f>
        <v/>
      </c>
      <c r="BN49" s="70">
        <f>IF((BL49+BM49)=0,"", BL49/(BL49+BM49))</f>
        <v/>
      </c>
      <c r="BO49" s="67">
        <f>D49+Y49+AT49</f>
        <v/>
      </c>
      <c r="BP49" s="67">
        <f>E49+Z49+AU49</f>
        <v/>
      </c>
      <c r="BQ49" s="68">
        <f>IF((BO49+BP49)=0,"", BO49/(BO49+BP49))</f>
        <v/>
      </c>
      <c r="BR49" s="67">
        <f>G49+AB49+AW49</f>
        <v/>
      </c>
      <c r="BS49" s="67">
        <f>H49+AC49+AX49</f>
        <v/>
      </c>
      <c r="BT49" s="68">
        <f>IF((BR49+BS49)=0,"", BR49/(BR49+BS49))</f>
        <v/>
      </c>
      <c r="BU49" s="67">
        <f>J49+AE49+AZ49</f>
        <v/>
      </c>
      <c r="BV49" s="67">
        <f>K49+AF49+BA49</f>
        <v/>
      </c>
      <c r="BW49" s="68">
        <f>IF((BU49+BV49)=0,"", BU49/(BU49+BV49))</f>
        <v/>
      </c>
      <c r="BX49" s="67">
        <f>M49+AH49+BC49</f>
        <v/>
      </c>
      <c r="BY49" s="67">
        <f>N49+AI49+BD49</f>
        <v/>
      </c>
      <c r="BZ49" s="68">
        <f>IF((BX49+BY49)=0,"", BX49/(BX49+BY49))</f>
        <v/>
      </c>
      <c r="CA49" s="67">
        <f>P49+AK49+BF49</f>
        <v/>
      </c>
      <c r="CB49" s="67">
        <f>Q49+AL49+BG49</f>
        <v/>
      </c>
      <c r="CC49" s="68">
        <f>IF((CA49+CB49)=0,"", CA49/(CA49+CB49))</f>
        <v/>
      </c>
      <c r="CD49" s="67">
        <f>S49+AN49+BI49</f>
        <v/>
      </c>
      <c r="CE49" s="67">
        <f>T49+AO49+BJ49</f>
        <v/>
      </c>
      <c r="CF49" s="68">
        <f>IF((CD49+CE49)=0,"", CD49/(CD49+CE49))</f>
        <v/>
      </c>
      <c r="CG49" s="69">
        <f>V49+AQ49+BL49</f>
        <v/>
      </c>
      <c r="CH49" s="69">
        <f>W49+AR49+BM49</f>
        <v/>
      </c>
      <c r="CI49" s="70">
        <f>IF((CG49+CH49)=0,"", CG49/(CG49+CH49))</f>
        <v/>
      </c>
      <c r="CJ49" s="67">
        <f>CD49+(CG49*2)</f>
        <v/>
      </c>
      <c r="CK49" s="67">
        <f>CE49+(CH49*2)</f>
        <v/>
      </c>
      <c r="CL49" s="68">
        <f>IF((CJ49+CK49)=0,"", CJ49/(CJ49+CK49))</f>
        <v/>
      </c>
      <c r="CM49" s="67" t="inlineStr">
        <is>
          <t>Batch 2</t>
        </is>
      </c>
    </row>
    <row r="50" ht="14.25" customHeight="1" s="34">
      <c r="A50" s="46" t="n">
        <v>48</v>
      </c>
      <c r="B50" s="46" t="inlineStr">
        <is>
          <t>325106410048</t>
        </is>
      </c>
      <c r="C50" s="46" t="inlineStr">
        <is>
          <t>SHEHNAAZ BEGUM SHAIK</t>
        </is>
      </c>
      <c r="D50" s="63" t="n">
        <v>0</v>
      </c>
      <c r="E50" s="63" t="n">
        <v>0</v>
      </c>
      <c r="F50" s="64">
        <f>IF((D50+E50)=0,"", D50/(D50+E50))</f>
        <v/>
      </c>
      <c r="G50" s="63">
        <f>COUNTIF('Detailed Attendance'!I51:I51, "P")</f>
        <v/>
      </c>
      <c r="H50" s="63">
        <f>COUNTIF('Detailed Attendance'!I51:I51, "A")</f>
        <v/>
      </c>
      <c r="I50" s="64">
        <f>IF((G50+H50)=0,"", G50/(G50+H50))</f>
        <v/>
      </c>
      <c r="J50" s="63" t="n">
        <v>0</v>
      </c>
      <c r="K50" s="63" t="n">
        <v>0</v>
      </c>
      <c r="L50" s="64">
        <f>IF((J50+K50)=0,"", J50/(J50+K50))</f>
        <v/>
      </c>
      <c r="M50" s="63">
        <f>COUNTIF('Detailed Attendance'!D51:D51, "P")</f>
        <v/>
      </c>
      <c r="N50" s="63">
        <f>COUNTIF('Detailed Attendance'!D51:D51, "A")</f>
        <v/>
      </c>
      <c r="O50" s="64">
        <f>IF((M50+N50)=0,"", M50/(M50+N50))</f>
        <v/>
      </c>
      <c r="P50" s="63" t="n">
        <v>0</v>
      </c>
      <c r="Q50" s="63" t="n">
        <v>0</v>
      </c>
      <c r="R50" s="64">
        <f>IF((P50+Q50)=0,"", P50/(P50+Q50))</f>
        <v/>
      </c>
      <c r="S50" s="63">
        <f>D50+G50+J50+M50+P50</f>
        <v/>
      </c>
      <c r="T50" s="63">
        <f>E50+H50+K50+N50+Q50</f>
        <v/>
      </c>
      <c r="U50" s="64">
        <f>IF((S50+T50)=0,"", S50/(S50+T50))</f>
        <v/>
      </c>
      <c r="V50" s="65" t="n">
        <v>0</v>
      </c>
      <c r="W50" s="65" t="n">
        <v>0</v>
      </c>
      <c r="X50" s="66">
        <f>IF((V50+W50)=0,"", V50/(V50+W50))</f>
        <v/>
      </c>
      <c r="Y50" s="63">
        <f>COUNTIF('Detailed Attendance'!R51:R51, "P")+COUNTIF('Detailed Attendance'!X51:X51, "P")+COUNTIF('Detailed Attendance'!AL51:AL51, "P")+COUNTIF('Detailed Attendance'!BF51:BF51, "P")+COUNTIF('Detailed Attendance'!BL51:BL51, "P")+COUNTIF('Detailed Attendance'!BZ51:BZ51, "P")+COUNTIF('Detailed Attendance'!CI51:CI51, "P")+COUNTIF('Detailed Attendance'!CW51:CW51, "P")</f>
        <v/>
      </c>
      <c r="Z50" s="63">
        <f>COUNTIF('Detailed Attendance'!R51:R51, "A")+COUNTIF('Detailed Attendance'!X51:X51, "A")+COUNTIF('Detailed Attendance'!AL51:AL51, "A")+COUNTIF('Detailed Attendance'!BF51:BF51, "A")+COUNTIF('Detailed Attendance'!BL51:BL51, "A")+COUNTIF('Detailed Attendance'!BZ51:BZ51, "A")+COUNTIF('Detailed Attendance'!CI51:CI51, "A")+COUNTIF('Detailed Attendance'!CW51:CW51, "A")</f>
        <v/>
      </c>
      <c r="AA50" s="64">
        <f>IF((Y50+Z50)=0,"", Y50/(Y50+Z50))</f>
        <v/>
      </c>
      <c r="AB50" s="63">
        <f>COUNTIF('Detailed Attendance'!Q51:Q51, "P")+COUNTIF('Detailed Attendance'!AC51:AC51, "P")+COUNTIF('Detailed Attendance'!AK51:AK51, "P")+COUNTIF('Detailed Attendance'!AW51:AW51, "P")+COUNTIF('Detailed Attendance'!BE51:BE51, "P")+COUNTIF('Detailed Attendance'!BQ51:BQ51, "P")+COUNTIF('Detailed Attendance'!BY51:BY51, "P")+COUNTIF('Detailed Attendance'!CN51:CN51, "P")+COUNTIF('Detailed Attendance'!CV51:CV51, "P")</f>
        <v/>
      </c>
      <c r="AC50" s="63">
        <f>COUNTIF('Detailed Attendance'!Q51:Q51, "A")+COUNTIF('Detailed Attendance'!AC51:AC51, "A")+COUNTIF('Detailed Attendance'!AK51:AK51, "A")+COUNTIF('Detailed Attendance'!AW51:AW51, "A")+COUNTIF('Detailed Attendance'!BE51:BE51, "A")+COUNTIF('Detailed Attendance'!BQ51:BQ51, "A")+COUNTIF('Detailed Attendance'!BY51:BY51, "A")+COUNTIF('Detailed Attendance'!CN51:CN51, "A")+COUNTIF('Detailed Attendance'!CV51:CV51, "A")</f>
        <v/>
      </c>
      <c r="AD50" s="64">
        <f>IF((AB50+AC50)=0,"", AB50/(AB50+AC50))</f>
        <v/>
      </c>
      <c r="AE50" s="63">
        <f>COUNTIF('Detailed Attendance'!L51:L51, "P")+COUNTIF('Detailed Attendance'!P51:P51, "P")+COUNTIF('Detailed Attendance'!AF51:AF51, "P")+COUNTIF('Detailed Attendance'!AJ51:AJ51, "P")+COUNTIF('Detailed Attendance'!AZ51:AZ51, "P")+COUNTIF('Detailed Attendance'!BD51:BD51, "P")+COUNTIF('Detailed Attendance'!BT51:BT51, "P")+COUNTIF('Detailed Attendance'!BX51:BX51, "P")+COUNTIF('Detailed Attendance'!CQ51:CQ51, "P")+COUNTIF('Detailed Attendance'!CU51:CU51, "P")</f>
        <v/>
      </c>
      <c r="AF50" s="67">
        <f>COUNTIF('Detailed Attendance'!L51:L51, "A")+COUNTIF('Detailed Attendance'!P51:P51, "A")+COUNTIF('Detailed Attendance'!AF51:AF51, "A")+COUNTIF('Detailed Attendance'!AJ51:AJ51, "A")+COUNTIF('Detailed Attendance'!AZ51:AZ51, "A")+COUNTIF('Detailed Attendance'!BD51:BD51, "A")+COUNTIF('Detailed Attendance'!BT51:BT51, "A")+COUNTIF('Detailed Attendance'!BX51:BX51, "A")+COUNTIF('Detailed Attendance'!CQ51:CQ51, "A")+COUNTIF('Detailed Attendance'!CU51:CU51, "A")</f>
        <v/>
      </c>
      <c r="AG50" s="68">
        <f>IF((AE50+AF50)=0,"", AE50/(AE50+AF50))</f>
        <v/>
      </c>
      <c r="AH50" s="67">
        <f>COUNTIF('Detailed Attendance'!T51:T51, "P")+COUNTIF('Detailed Attendance'!AN51:AN51, "P")+COUNTIF('Detailed Attendance'!AR51:AR51, "P")+COUNTIF('Detailed Attendance'!BH51:BH51, "P")+COUNTIF('Detailed Attendance'!CB51:CB51, "P")+COUNTIF('Detailed Attendance'!CF51:CF51, "P")+COUNTIF('Detailed Attendance'!CY51:CY51, "P")</f>
        <v/>
      </c>
      <c r="AI50" s="67">
        <f>COUNTIF('Detailed Attendance'!T51:T51, "A")+COUNTIF('Detailed Attendance'!AN51:AN51, "A")+COUNTIF('Detailed Attendance'!AR51:AR51, "A")+COUNTIF('Detailed Attendance'!BH51:BH51, "A")+COUNTIF('Detailed Attendance'!CB51:CB51, "A")+COUNTIF('Detailed Attendance'!CF51:CF51, "A")+COUNTIF('Detailed Attendance'!CY51:CY51, "A")</f>
        <v/>
      </c>
      <c r="AJ50" s="68">
        <f>IF((AH50+AI50)=0,"", AH50/(AH50+AI50))</f>
        <v/>
      </c>
      <c r="AK50" s="67">
        <f>COUNTIF('Detailed Attendance'!M51:M51, "P")+COUNTIF('Detailed Attendance'!U51:U51, "P")+COUNTIF('Detailed Attendance'!AG51:AG51, "P")+COUNTIF('Detailed Attendance'!AO51:AO51, "P")+COUNTIF('Detailed Attendance'!BA51:BA51, "P")+COUNTIF('Detailed Attendance'!BI51:BI51, "P")+COUNTIF('Detailed Attendance'!BU51:BU51, "P")+COUNTIF('Detailed Attendance'!CC51:CC51, "P")+COUNTIF('Detailed Attendance'!CR51:CR51, "P")+COUNTIF('Detailed Attendance'!CZ51:CZ51, "P")</f>
        <v/>
      </c>
      <c r="AL50" s="67">
        <f>COUNTIF('Detailed Attendance'!M51:M51, "A")+COUNTIF('Detailed Attendance'!U51:U51, "A")+COUNTIF('Detailed Attendance'!AG51:AG51, "A")+COUNTIF('Detailed Attendance'!AO51:AO51, "A")+COUNTIF('Detailed Attendance'!BA51:BA51, "A")+COUNTIF('Detailed Attendance'!BI51:BI51, "A")+COUNTIF('Detailed Attendance'!BU51:BU51, "A")+COUNTIF('Detailed Attendance'!CC51:CC51, "A")+COUNTIF('Detailed Attendance'!CR51:CR51, "A")+COUNTIF('Detailed Attendance'!CZ51:CZ51, "A")</f>
        <v/>
      </c>
      <c r="AM50" s="68">
        <f>IF((AK50+AL50)=0,"", AK50/(AK50+AL50))</f>
        <v/>
      </c>
      <c r="AN50" s="67">
        <f>Y50+AB50+AE50+AH50+AK50</f>
        <v/>
      </c>
      <c r="AO50" s="67">
        <f>Z50+AC50+AF50+AI50+AL50</f>
        <v/>
      </c>
      <c r="AP50" s="68">
        <f>IF((AN50+AO50)=0,"", AN50/(AN50+AO50))</f>
        <v/>
      </c>
      <c r="AQ50" s="69">
        <f>COUNTIF('Detailed Attendance'!CG51:CG51, "P")+COUNTIF('Detailed Attendance'!CH51:CH51, "P")+COUNTIF('Detailed Attendance'!V51:V51, "P")+COUNTIF('Detailed Attendance'!AP51:AP51, "P")+COUNTIF('Detailed Attendance'!BJ51:BJ51, "P")+COUNTIF('Detailed Attendance'!CD51:CD51, "P")+COUNTIF('Detailed Attendance'!DA51:DA51, "P")</f>
        <v/>
      </c>
      <c r="AR50" s="69">
        <f>COUNTIF('Detailed Attendance'!CG51:CG51, "A")+COUNTIF('Detailed Attendance'!CH51:CH51, "A")+COUNTIF('Detailed Attendance'!V51:V51, "A")+COUNTIF('Detailed Attendance'!AP51:AP51, "A")+COUNTIF('Detailed Attendance'!BJ51:BJ51, "A")+COUNTIF('Detailed Attendance'!CD51:CD51, "A")+COUNTIF('Detailed Attendance'!DA51:DA51, "A")</f>
        <v/>
      </c>
      <c r="AS50" s="70">
        <f>IF((AQ50+AR50)=0,"", AQ50/(AQ50+AR50))</f>
        <v/>
      </c>
      <c r="AT50" s="67">
        <f>COUNTIF('Detailed Attendance'!DF51:DF51, "P")+COUNTIF('Detailed Attendance'!DT51:DT51, "P")+COUNTIF('Detailed Attendance'!EC51:EC51, "P")+COUNTIF('Detailed Attendance'!EQ51:EQ51, "P")+COUNTIF('Detailed Attendance'!EW51:EW51, "P")+COUNTIF('Detailed Attendance'!FK51:FK51, "P")+COUNTIF('Detailed Attendance'!FM51:FM51, "P")+COUNTIF('Detailed Attendance'!GA51:GA51, "P")</f>
        <v/>
      </c>
      <c r="AU50" s="67">
        <f>COUNTIF('Detailed Attendance'!DF51:DF51, "A")+COUNTIF('Detailed Attendance'!DT51:DT51, "A")+COUNTIF('Detailed Attendance'!EC51:EC51, "A")+COUNTIF('Detailed Attendance'!EQ51:EQ51, "A")+COUNTIF('Detailed Attendance'!EW51:EW51, "A")+COUNTIF('Detailed Attendance'!FK51:FK51, "A")+COUNTIF('Detailed Attendance'!FM51:FM51, "A")+COUNTIF('Detailed Attendance'!GA51:GA51, "A")</f>
        <v/>
      </c>
      <c r="AV50" s="68">
        <f>IF((AT50+AU50)=0,"", AT50/(AT50+AU50))</f>
        <v/>
      </c>
      <c r="AW50" s="67">
        <f>COUNTIF('Detailed Attendance'!DK51:DK51, "P")+COUNTIF('Detailed Attendance'!DS51:DS51, "P")+COUNTIF('Detailed Attendance'!EH51:EH51, "P")+COUNTIF('Detailed Attendance'!EP51:EP51, "P")+COUNTIF('Detailed Attendance'!FB51:FB51, "P")+COUNTIF('Detailed Attendance'!FJ51:FJ51, "P")+COUNTIF('Detailed Attendance'!FR51:FR51, "P")+COUNTIF('Detailed Attendance'!FZ51:FZ51, "P")</f>
        <v/>
      </c>
      <c r="AX50" s="67">
        <f>COUNTIF('Detailed Attendance'!DK51:DK51, "A")+COUNTIF('Detailed Attendance'!DS51:DS51, "A")+COUNTIF('Detailed Attendance'!EH51:EH51, "A")+COUNTIF('Detailed Attendance'!EP51:EP51, "A")+COUNTIF('Detailed Attendance'!FB51:FB51, "A")+COUNTIF('Detailed Attendance'!FJ51:FJ51, "A")+COUNTIF('Detailed Attendance'!FR51:FR51, "A")+COUNTIF('Detailed Attendance'!FZ51:FZ51, "A")</f>
        <v/>
      </c>
      <c r="AY50" s="68">
        <f>IF((AW50+AX50)=0,"", AW50/(AW50+AX50))</f>
        <v/>
      </c>
      <c r="AZ50" s="67">
        <f>COUNTIF('Detailed Attendance'!DN51:DN51, "P")+COUNTIF('Detailed Attendance'!DR51:DR51, "P")+COUNTIF('Detailed Attendance'!EK51:EK51, "P")+COUNTIF('Detailed Attendance'!EO51:EO51, "P")+COUNTIF('Detailed Attendance'!FE51:FE51, "P")+COUNTIF('Detailed Attendance'!FI51:FI51, "P")+COUNTIF('Detailed Attendance'!FU51:FU51, "P")+COUNTIF('Detailed Attendance'!FY51:FY51, "P")</f>
        <v/>
      </c>
      <c r="BA50" s="67">
        <f>COUNTIF('Detailed Attendance'!DN51:DN51, "A")+COUNTIF('Detailed Attendance'!DR51:DR51, "A")+COUNTIF('Detailed Attendance'!EK51:EK51, "A")+COUNTIF('Detailed Attendance'!EO51:EO51, "A")+COUNTIF('Detailed Attendance'!FE51:FE51, "A")+COUNTIF('Detailed Attendance'!FI51:FI51, "A")+COUNTIF('Detailed Attendance'!FU51:FU51, "A")+COUNTIF('Detailed Attendance'!FY51:FY51, "A")</f>
        <v/>
      </c>
      <c r="BB50" s="68">
        <f>IF((AZ50+BA50)=0,"", AZ50/(AZ50+BA50))</f>
        <v/>
      </c>
      <c r="BC50" s="67">
        <f>COUNTIF('Detailed Attendance'!DC51:DC51, "P")+COUNTIF('Detailed Attendance'!DV51:DV51, "P")+COUNTIF('Detailed Attendance'!DZ51:DZ51, "P")+COUNTIF('Detailed Attendance'!ES51:ES51, "P")+COUNTIF('Detailed Attendance'!GC51:GC51, "P")+COUNTIF('Detailed Attendance'!GG51:GG51, "P")</f>
        <v/>
      </c>
      <c r="BD50" s="67">
        <f>COUNTIF('Detailed Attendance'!DC51:DC51, "A")+COUNTIF('Detailed Attendance'!DV51:DV51, "A")+COUNTIF('Detailed Attendance'!DZ51:DZ51, "A")+COUNTIF('Detailed Attendance'!ES51:ES51, "A")+COUNTIF('Detailed Attendance'!GC51:GC51, "A")+COUNTIF('Detailed Attendance'!GG51:GG51, "A")</f>
        <v/>
      </c>
      <c r="BE50" s="68">
        <f>IF((BC50+BD50)=0,"", BC50/(BC50+BD50))</f>
        <v/>
      </c>
      <c r="BF50" s="67">
        <f>COUNTIF('Detailed Attendance'!DO51:DO51, "P")+COUNTIF('Detailed Attendance'!DW51:DW51, "P")+COUNTIF('Detailed Attendance'!EL51:EL51, "P")+COUNTIF('Detailed Attendance'!ET51:ET51, "P")+COUNTIF('Detailed Attendance'!FF51:FF51, "P")+COUNTIF('Detailed Attendance'!FV51:FV51, "P")+COUNTIF('Detailed Attendance'!GD51:GD51, "P")</f>
        <v/>
      </c>
      <c r="BG50" s="67">
        <f>COUNTIF('Detailed Attendance'!DO51:DO51, "A")+COUNTIF('Detailed Attendance'!DW51:DW51, "A")+COUNTIF('Detailed Attendance'!EL51:EL51, "A")+COUNTIF('Detailed Attendance'!ET51:ET51, "A")+COUNTIF('Detailed Attendance'!FF51:FF51, "A")+COUNTIF('Detailed Attendance'!FV51:FV51, "A")+COUNTIF('Detailed Attendance'!GD51:GD51, "A")</f>
        <v/>
      </c>
      <c r="BH50" s="68">
        <f>IF((BF50+BG50)=0,"", BF50/(BF50+BG50))</f>
        <v/>
      </c>
      <c r="BI50" s="67">
        <f>AT50+AW50+AZ50+BC50+BF50</f>
        <v/>
      </c>
      <c r="BJ50" s="67">
        <f>AU50+AX50+BA50+BD50+BG50</f>
        <v/>
      </c>
      <c r="BK50" s="68">
        <f>IF((BI50+BJ50)=0,"", BI50/(BI50+BJ50))</f>
        <v/>
      </c>
      <c r="BL50" s="69">
        <f>COUNTIF('Detailed Attendance'!DD51:DD51, "P")+COUNTIF('Detailed Attendance'!EA51:EA51, "P")+COUNTIF('Detailed Attendance'!GH51:GH51, "P")+COUNTIF('Detailed Attendance'!DE51:DE51, "P")+COUNTIF('Detailed Attendance'!EB51:EB51, "P")+COUNTIF('Detailed Attendance'!GI51:GI51, "P")+COUNTIF('Detailed Attendance'!DX51:DX51, "P")+COUNTIF('Detailed Attendance'!EU51:EU51, "P")+COUNTIF('Detailed Attendance'!GE51:GE51, "P")</f>
        <v/>
      </c>
      <c r="BM50" s="69">
        <f>COUNTIF('Detailed Attendance'!DD51:DD51, "A")+COUNTIF('Detailed Attendance'!EA51:EA51, "A")+COUNTIF('Detailed Attendance'!GH51:GH51, "A")+COUNTIF('Detailed Attendance'!DE51:DE51, "A")+COUNTIF('Detailed Attendance'!EB51:EB51, "A")+COUNTIF('Detailed Attendance'!GI51:GI51, "A")+COUNTIF('Detailed Attendance'!DX51:DX51, "A")+COUNTIF('Detailed Attendance'!EU51:EU51, "A")+COUNTIF('Detailed Attendance'!GE51:GE51, "A")</f>
        <v/>
      </c>
      <c r="BN50" s="70">
        <f>IF((BL50+BM50)=0,"", BL50/(BL50+BM50))</f>
        <v/>
      </c>
      <c r="BO50" s="67">
        <f>D50+Y50+AT50</f>
        <v/>
      </c>
      <c r="BP50" s="67">
        <f>E50+Z50+AU50</f>
        <v/>
      </c>
      <c r="BQ50" s="68">
        <f>IF((BO50+BP50)=0,"", BO50/(BO50+BP50))</f>
        <v/>
      </c>
      <c r="BR50" s="67">
        <f>G50+AB50+AW50</f>
        <v/>
      </c>
      <c r="BS50" s="67">
        <f>H50+AC50+AX50</f>
        <v/>
      </c>
      <c r="BT50" s="68">
        <f>IF((BR50+BS50)=0,"", BR50/(BR50+BS50))</f>
        <v/>
      </c>
      <c r="BU50" s="67">
        <f>J50+AE50+AZ50</f>
        <v/>
      </c>
      <c r="BV50" s="67">
        <f>K50+AF50+BA50</f>
        <v/>
      </c>
      <c r="BW50" s="68">
        <f>IF((BU50+BV50)=0,"", BU50/(BU50+BV50))</f>
        <v/>
      </c>
      <c r="BX50" s="67">
        <f>M50+AH50+BC50</f>
        <v/>
      </c>
      <c r="BY50" s="67">
        <f>N50+AI50+BD50</f>
        <v/>
      </c>
      <c r="BZ50" s="68">
        <f>IF((BX50+BY50)=0,"", BX50/(BX50+BY50))</f>
        <v/>
      </c>
      <c r="CA50" s="67">
        <f>P50+AK50+BF50</f>
        <v/>
      </c>
      <c r="CB50" s="67">
        <f>Q50+AL50+BG50</f>
        <v/>
      </c>
      <c r="CC50" s="68">
        <f>IF((CA50+CB50)=0,"", CA50/(CA50+CB50))</f>
        <v/>
      </c>
      <c r="CD50" s="67">
        <f>S50+AN50+BI50</f>
        <v/>
      </c>
      <c r="CE50" s="67">
        <f>T50+AO50+BJ50</f>
        <v/>
      </c>
      <c r="CF50" s="68">
        <f>IF((CD50+CE50)=0,"", CD50/(CD50+CE50))</f>
        <v/>
      </c>
      <c r="CG50" s="69">
        <f>V50+AQ50+BL50</f>
        <v/>
      </c>
      <c r="CH50" s="69">
        <f>W50+AR50+BM50</f>
        <v/>
      </c>
      <c r="CI50" s="70">
        <f>IF((CG50+CH50)=0,"", CG50/(CG50+CH50))</f>
        <v/>
      </c>
      <c r="CJ50" s="67">
        <f>CD50+(CG50*2)</f>
        <v/>
      </c>
      <c r="CK50" s="67">
        <f>CE50+(CH50*2)</f>
        <v/>
      </c>
      <c r="CL50" s="68">
        <f>IF((CJ50+CK50)=0,"", CJ50/(CJ50+CK50))</f>
        <v/>
      </c>
      <c r="CM50" s="67" t="inlineStr">
        <is>
          <t>Batch 2</t>
        </is>
      </c>
    </row>
    <row r="51" ht="14.25" customHeight="1" s="34">
      <c r="A51" s="46" t="n">
        <v>49</v>
      </c>
      <c r="B51" s="46" t="inlineStr">
        <is>
          <t>325106410049</t>
        </is>
      </c>
      <c r="C51" s="46" t="inlineStr">
        <is>
          <t>SONALI SIMHADRI</t>
        </is>
      </c>
      <c r="D51" s="63" t="n">
        <v>0</v>
      </c>
      <c r="E51" s="63" t="n">
        <v>0</v>
      </c>
      <c r="F51" s="64">
        <f>IF((D51+E51)=0,"", D51/(D51+E51))</f>
        <v/>
      </c>
      <c r="G51" s="63">
        <f>COUNTIF('Detailed Attendance'!I52:I52, "P")</f>
        <v/>
      </c>
      <c r="H51" s="63">
        <f>COUNTIF('Detailed Attendance'!I52:I52, "A")</f>
        <v/>
      </c>
      <c r="I51" s="64">
        <f>IF((G51+H51)=0,"", G51/(G51+H51))</f>
        <v/>
      </c>
      <c r="J51" s="63" t="n">
        <v>0</v>
      </c>
      <c r="K51" s="63" t="n">
        <v>0</v>
      </c>
      <c r="L51" s="64">
        <f>IF((J51+K51)=0,"", J51/(J51+K51))</f>
        <v/>
      </c>
      <c r="M51" s="63">
        <f>COUNTIF('Detailed Attendance'!D52:D52, "P")</f>
        <v/>
      </c>
      <c r="N51" s="63">
        <f>COUNTIF('Detailed Attendance'!D52:D52, "A")</f>
        <v/>
      </c>
      <c r="O51" s="64">
        <f>IF((M51+N51)=0,"", M51/(M51+N51))</f>
        <v/>
      </c>
      <c r="P51" s="63" t="n">
        <v>0</v>
      </c>
      <c r="Q51" s="63" t="n">
        <v>0</v>
      </c>
      <c r="R51" s="64">
        <f>IF((P51+Q51)=0,"", P51/(P51+Q51))</f>
        <v/>
      </c>
      <c r="S51" s="63">
        <f>D51+G51+J51+M51+P51</f>
        <v/>
      </c>
      <c r="T51" s="63">
        <f>E51+H51+K51+N51+Q51</f>
        <v/>
      </c>
      <c r="U51" s="64">
        <f>IF((S51+T51)=0,"", S51/(S51+T51))</f>
        <v/>
      </c>
      <c r="V51" s="65" t="n">
        <v>0</v>
      </c>
      <c r="W51" s="65" t="n">
        <v>0</v>
      </c>
      <c r="X51" s="66">
        <f>IF((V51+W51)=0,"", V51/(V51+W51))</f>
        <v/>
      </c>
      <c r="Y51" s="63">
        <f>COUNTIF('Detailed Attendance'!R52:R52, "P")+COUNTIF('Detailed Attendance'!X52:X52, "P")+COUNTIF('Detailed Attendance'!AL52:AL52, "P")+COUNTIF('Detailed Attendance'!BF52:BF52, "P")+COUNTIF('Detailed Attendance'!BL52:BL52, "P")+COUNTIF('Detailed Attendance'!BZ52:BZ52, "P")+COUNTIF('Detailed Attendance'!CI52:CI52, "P")+COUNTIF('Detailed Attendance'!CW52:CW52, "P")</f>
        <v/>
      </c>
      <c r="Z51" s="63">
        <f>COUNTIF('Detailed Attendance'!R52:R52, "A")+COUNTIF('Detailed Attendance'!X52:X52, "A")+COUNTIF('Detailed Attendance'!AL52:AL52, "A")+COUNTIF('Detailed Attendance'!BF52:BF52, "A")+COUNTIF('Detailed Attendance'!BL52:BL52, "A")+COUNTIF('Detailed Attendance'!BZ52:BZ52, "A")+COUNTIF('Detailed Attendance'!CI52:CI52, "A")+COUNTIF('Detailed Attendance'!CW52:CW52, "A")</f>
        <v/>
      </c>
      <c r="AA51" s="64">
        <f>IF((Y51+Z51)=0,"", Y51/(Y51+Z51))</f>
        <v/>
      </c>
      <c r="AB51" s="63">
        <f>COUNTIF('Detailed Attendance'!Q52:Q52, "P")+COUNTIF('Detailed Attendance'!AC52:AC52, "P")+COUNTIF('Detailed Attendance'!AK52:AK52, "P")+COUNTIF('Detailed Attendance'!AW52:AW52, "P")+COUNTIF('Detailed Attendance'!BE52:BE52, "P")+COUNTIF('Detailed Attendance'!BQ52:BQ52, "P")+COUNTIF('Detailed Attendance'!BY52:BY52, "P")+COUNTIF('Detailed Attendance'!CN52:CN52, "P")+COUNTIF('Detailed Attendance'!CV52:CV52, "P")</f>
        <v/>
      </c>
      <c r="AC51" s="63">
        <f>COUNTIF('Detailed Attendance'!Q52:Q52, "A")+COUNTIF('Detailed Attendance'!AC52:AC52, "A")+COUNTIF('Detailed Attendance'!AK52:AK52, "A")+COUNTIF('Detailed Attendance'!AW52:AW52, "A")+COUNTIF('Detailed Attendance'!BE52:BE52, "A")+COUNTIF('Detailed Attendance'!BQ52:BQ52, "A")+COUNTIF('Detailed Attendance'!BY52:BY52, "A")+COUNTIF('Detailed Attendance'!CN52:CN52, "A")+COUNTIF('Detailed Attendance'!CV52:CV52, "A")</f>
        <v/>
      </c>
      <c r="AD51" s="64">
        <f>IF((AB51+AC51)=0,"", AB51/(AB51+AC51))</f>
        <v/>
      </c>
      <c r="AE51" s="63">
        <f>COUNTIF('Detailed Attendance'!L52:L52, "P")+COUNTIF('Detailed Attendance'!P52:P52, "P")+COUNTIF('Detailed Attendance'!AF52:AF52, "P")+COUNTIF('Detailed Attendance'!AJ52:AJ52, "P")+COUNTIF('Detailed Attendance'!AZ52:AZ52, "P")+COUNTIF('Detailed Attendance'!BD52:BD52, "P")+COUNTIF('Detailed Attendance'!BT52:BT52, "P")+COUNTIF('Detailed Attendance'!BX52:BX52, "P")+COUNTIF('Detailed Attendance'!CQ52:CQ52, "P")+COUNTIF('Detailed Attendance'!CU52:CU52, "P")</f>
        <v/>
      </c>
      <c r="AF51" s="67">
        <f>COUNTIF('Detailed Attendance'!L52:L52, "A")+COUNTIF('Detailed Attendance'!P52:P52, "A")+COUNTIF('Detailed Attendance'!AF52:AF52, "A")+COUNTIF('Detailed Attendance'!AJ52:AJ52, "A")+COUNTIF('Detailed Attendance'!AZ52:AZ52, "A")+COUNTIF('Detailed Attendance'!BD52:BD52, "A")+COUNTIF('Detailed Attendance'!BT52:BT52, "A")+COUNTIF('Detailed Attendance'!BX52:BX52, "A")+COUNTIF('Detailed Attendance'!CQ52:CQ52, "A")+COUNTIF('Detailed Attendance'!CU52:CU52, "A")</f>
        <v/>
      </c>
      <c r="AG51" s="68">
        <f>IF((AE51+AF51)=0,"", AE51/(AE51+AF51))</f>
        <v/>
      </c>
      <c r="AH51" s="67">
        <f>COUNTIF('Detailed Attendance'!T52:T52, "P")+COUNTIF('Detailed Attendance'!AN52:AN52, "P")+COUNTIF('Detailed Attendance'!AR52:AR52, "P")+COUNTIF('Detailed Attendance'!BH52:BH52, "P")+COUNTIF('Detailed Attendance'!CB52:CB52, "P")+COUNTIF('Detailed Attendance'!CF52:CF52, "P")+COUNTIF('Detailed Attendance'!CY52:CY52, "P")</f>
        <v/>
      </c>
      <c r="AI51" s="67">
        <f>COUNTIF('Detailed Attendance'!T52:T52, "A")+COUNTIF('Detailed Attendance'!AN52:AN52, "A")+COUNTIF('Detailed Attendance'!AR52:AR52, "A")+COUNTIF('Detailed Attendance'!BH52:BH52, "A")+COUNTIF('Detailed Attendance'!CB52:CB52, "A")+COUNTIF('Detailed Attendance'!CF52:CF52, "A")+COUNTIF('Detailed Attendance'!CY52:CY52, "A")</f>
        <v/>
      </c>
      <c r="AJ51" s="68">
        <f>IF((AH51+AI51)=0,"", AH51/(AH51+AI51))</f>
        <v/>
      </c>
      <c r="AK51" s="67">
        <f>COUNTIF('Detailed Attendance'!M52:M52, "P")+COUNTIF('Detailed Attendance'!U52:U52, "P")+COUNTIF('Detailed Attendance'!AG52:AG52, "P")+COUNTIF('Detailed Attendance'!AO52:AO52, "P")+COUNTIF('Detailed Attendance'!BA52:BA52, "P")+COUNTIF('Detailed Attendance'!BI52:BI52, "P")+COUNTIF('Detailed Attendance'!BU52:BU52, "P")+COUNTIF('Detailed Attendance'!CC52:CC52, "P")+COUNTIF('Detailed Attendance'!CR52:CR52, "P")+COUNTIF('Detailed Attendance'!CZ52:CZ52, "P")</f>
        <v/>
      </c>
      <c r="AL51" s="67">
        <f>COUNTIF('Detailed Attendance'!M52:M52, "A")+COUNTIF('Detailed Attendance'!U52:U52, "A")+COUNTIF('Detailed Attendance'!AG52:AG52, "A")+COUNTIF('Detailed Attendance'!AO52:AO52, "A")+COUNTIF('Detailed Attendance'!BA52:BA52, "A")+COUNTIF('Detailed Attendance'!BI52:BI52, "A")+COUNTIF('Detailed Attendance'!BU52:BU52, "A")+COUNTIF('Detailed Attendance'!CC52:CC52, "A")+COUNTIF('Detailed Attendance'!CR52:CR52, "A")+COUNTIF('Detailed Attendance'!CZ52:CZ52, "A")</f>
        <v/>
      </c>
      <c r="AM51" s="68">
        <f>IF((AK51+AL51)=0,"", AK51/(AK51+AL51))</f>
        <v/>
      </c>
      <c r="AN51" s="67">
        <f>Y51+AB51+AE51+AH51+AK51</f>
        <v/>
      </c>
      <c r="AO51" s="67">
        <f>Z51+AC51+AF51+AI51+AL51</f>
        <v/>
      </c>
      <c r="AP51" s="68">
        <f>IF((AN51+AO51)=0,"", AN51/(AN51+AO51))</f>
        <v/>
      </c>
      <c r="AQ51" s="69">
        <f>COUNTIF('Detailed Attendance'!CG52:CG52, "P")+COUNTIF('Detailed Attendance'!CH52:CH52, "P")+COUNTIF('Detailed Attendance'!V52:V52, "P")+COUNTIF('Detailed Attendance'!AP52:AP52, "P")+COUNTIF('Detailed Attendance'!BJ52:BJ52, "P")+COUNTIF('Detailed Attendance'!CD52:CD52, "P")+COUNTIF('Detailed Attendance'!DA52:DA52, "P")</f>
        <v/>
      </c>
      <c r="AR51" s="69">
        <f>COUNTIF('Detailed Attendance'!CG52:CG52, "A")+COUNTIF('Detailed Attendance'!CH52:CH52, "A")+COUNTIF('Detailed Attendance'!V52:V52, "A")+COUNTIF('Detailed Attendance'!AP52:AP52, "A")+COUNTIF('Detailed Attendance'!BJ52:BJ52, "A")+COUNTIF('Detailed Attendance'!CD52:CD52, "A")+COUNTIF('Detailed Attendance'!DA52:DA52, "A")</f>
        <v/>
      </c>
      <c r="AS51" s="70">
        <f>IF((AQ51+AR51)=0,"", AQ51/(AQ51+AR51))</f>
        <v/>
      </c>
      <c r="AT51" s="67">
        <f>COUNTIF('Detailed Attendance'!DF52:DF52, "P")+COUNTIF('Detailed Attendance'!DT52:DT52, "P")+COUNTIF('Detailed Attendance'!EC52:EC52, "P")+COUNTIF('Detailed Attendance'!EQ52:EQ52, "P")+COUNTIF('Detailed Attendance'!EW52:EW52, "P")+COUNTIF('Detailed Attendance'!FK52:FK52, "P")+COUNTIF('Detailed Attendance'!FM52:FM52, "P")+COUNTIF('Detailed Attendance'!GA52:GA52, "P")</f>
        <v/>
      </c>
      <c r="AU51" s="67">
        <f>COUNTIF('Detailed Attendance'!DF52:DF52, "A")+COUNTIF('Detailed Attendance'!DT52:DT52, "A")+COUNTIF('Detailed Attendance'!EC52:EC52, "A")+COUNTIF('Detailed Attendance'!EQ52:EQ52, "A")+COUNTIF('Detailed Attendance'!EW52:EW52, "A")+COUNTIF('Detailed Attendance'!FK52:FK52, "A")+COUNTIF('Detailed Attendance'!FM52:FM52, "A")+COUNTIF('Detailed Attendance'!GA52:GA52, "A")</f>
        <v/>
      </c>
      <c r="AV51" s="68">
        <f>IF((AT51+AU51)=0,"", AT51/(AT51+AU51))</f>
        <v/>
      </c>
      <c r="AW51" s="67">
        <f>COUNTIF('Detailed Attendance'!DK52:DK52, "P")+COUNTIF('Detailed Attendance'!DS52:DS52, "P")+COUNTIF('Detailed Attendance'!EH52:EH52, "P")+COUNTIF('Detailed Attendance'!EP52:EP52, "P")+COUNTIF('Detailed Attendance'!FB52:FB52, "P")+COUNTIF('Detailed Attendance'!FJ52:FJ52, "P")+COUNTIF('Detailed Attendance'!FR52:FR52, "P")+COUNTIF('Detailed Attendance'!FZ52:FZ52, "P")</f>
        <v/>
      </c>
      <c r="AX51" s="67">
        <f>COUNTIF('Detailed Attendance'!DK52:DK52, "A")+COUNTIF('Detailed Attendance'!DS52:DS52, "A")+COUNTIF('Detailed Attendance'!EH52:EH52, "A")+COUNTIF('Detailed Attendance'!EP52:EP52, "A")+COUNTIF('Detailed Attendance'!FB52:FB52, "A")+COUNTIF('Detailed Attendance'!FJ52:FJ52, "A")+COUNTIF('Detailed Attendance'!FR52:FR52, "A")+COUNTIF('Detailed Attendance'!FZ52:FZ52, "A")</f>
        <v/>
      </c>
      <c r="AY51" s="68">
        <f>IF((AW51+AX51)=0,"", AW51/(AW51+AX51))</f>
        <v/>
      </c>
      <c r="AZ51" s="67">
        <f>COUNTIF('Detailed Attendance'!DN52:DN52, "P")+COUNTIF('Detailed Attendance'!DR52:DR52, "P")+COUNTIF('Detailed Attendance'!EK52:EK52, "P")+COUNTIF('Detailed Attendance'!EO52:EO52, "P")+COUNTIF('Detailed Attendance'!FE52:FE52, "P")+COUNTIF('Detailed Attendance'!FI52:FI52, "P")+COUNTIF('Detailed Attendance'!FU52:FU52, "P")+COUNTIF('Detailed Attendance'!FY52:FY52, "P")</f>
        <v/>
      </c>
      <c r="BA51" s="67">
        <f>COUNTIF('Detailed Attendance'!DN52:DN52, "A")+COUNTIF('Detailed Attendance'!DR52:DR52, "A")+COUNTIF('Detailed Attendance'!EK52:EK52, "A")+COUNTIF('Detailed Attendance'!EO52:EO52, "A")+COUNTIF('Detailed Attendance'!FE52:FE52, "A")+COUNTIF('Detailed Attendance'!FI52:FI52, "A")+COUNTIF('Detailed Attendance'!FU52:FU52, "A")+COUNTIF('Detailed Attendance'!FY52:FY52, "A")</f>
        <v/>
      </c>
      <c r="BB51" s="68">
        <f>IF((AZ51+BA51)=0,"", AZ51/(AZ51+BA51))</f>
        <v/>
      </c>
      <c r="BC51" s="67">
        <f>COUNTIF('Detailed Attendance'!DC52:DC52, "P")+COUNTIF('Detailed Attendance'!DV52:DV52, "P")+COUNTIF('Detailed Attendance'!DZ52:DZ52, "P")+COUNTIF('Detailed Attendance'!ES52:ES52, "P")+COUNTIF('Detailed Attendance'!GC52:GC52, "P")+COUNTIF('Detailed Attendance'!GG52:GG52, "P")</f>
        <v/>
      </c>
      <c r="BD51" s="67">
        <f>COUNTIF('Detailed Attendance'!DC52:DC52, "A")+COUNTIF('Detailed Attendance'!DV52:DV52, "A")+COUNTIF('Detailed Attendance'!DZ52:DZ52, "A")+COUNTIF('Detailed Attendance'!ES52:ES52, "A")+COUNTIF('Detailed Attendance'!GC52:GC52, "A")+COUNTIF('Detailed Attendance'!GG52:GG52, "A")</f>
        <v/>
      </c>
      <c r="BE51" s="68">
        <f>IF((BC51+BD51)=0,"", BC51/(BC51+BD51))</f>
        <v/>
      </c>
      <c r="BF51" s="67">
        <f>COUNTIF('Detailed Attendance'!DO52:DO52, "P")+COUNTIF('Detailed Attendance'!DW52:DW52, "P")+COUNTIF('Detailed Attendance'!EL52:EL52, "P")+COUNTIF('Detailed Attendance'!ET52:ET52, "P")+COUNTIF('Detailed Attendance'!FF52:FF52, "P")+COUNTIF('Detailed Attendance'!FV52:FV52, "P")+COUNTIF('Detailed Attendance'!GD52:GD52, "P")</f>
        <v/>
      </c>
      <c r="BG51" s="67">
        <f>COUNTIF('Detailed Attendance'!DO52:DO52, "A")+COUNTIF('Detailed Attendance'!DW52:DW52, "A")+COUNTIF('Detailed Attendance'!EL52:EL52, "A")+COUNTIF('Detailed Attendance'!ET52:ET52, "A")+COUNTIF('Detailed Attendance'!FF52:FF52, "A")+COUNTIF('Detailed Attendance'!FV52:FV52, "A")+COUNTIF('Detailed Attendance'!GD52:GD52, "A")</f>
        <v/>
      </c>
      <c r="BH51" s="68">
        <f>IF((BF51+BG51)=0,"", BF51/(BF51+BG51))</f>
        <v/>
      </c>
      <c r="BI51" s="67">
        <f>AT51+AW51+AZ51+BC51+BF51</f>
        <v/>
      </c>
      <c r="BJ51" s="67">
        <f>AU51+AX51+BA51+BD51+BG51</f>
        <v/>
      </c>
      <c r="BK51" s="68">
        <f>IF((BI51+BJ51)=0,"", BI51/(BI51+BJ51))</f>
        <v/>
      </c>
      <c r="BL51" s="69">
        <f>COUNTIF('Detailed Attendance'!DD52:DD52, "P")+COUNTIF('Detailed Attendance'!EA52:EA52, "P")+COUNTIF('Detailed Attendance'!GH52:GH52, "P")+COUNTIF('Detailed Attendance'!DE52:DE52, "P")+COUNTIF('Detailed Attendance'!EB52:EB52, "P")+COUNTIF('Detailed Attendance'!GI52:GI52, "P")+COUNTIF('Detailed Attendance'!DX52:DX52, "P")+COUNTIF('Detailed Attendance'!EU52:EU52, "P")+COUNTIF('Detailed Attendance'!GE52:GE52, "P")</f>
        <v/>
      </c>
      <c r="BM51" s="69">
        <f>COUNTIF('Detailed Attendance'!DD52:DD52, "A")+COUNTIF('Detailed Attendance'!EA52:EA52, "A")+COUNTIF('Detailed Attendance'!GH52:GH52, "A")+COUNTIF('Detailed Attendance'!DE52:DE52, "A")+COUNTIF('Detailed Attendance'!EB52:EB52, "A")+COUNTIF('Detailed Attendance'!GI52:GI52, "A")+COUNTIF('Detailed Attendance'!DX52:DX52, "A")+COUNTIF('Detailed Attendance'!EU52:EU52, "A")+COUNTIF('Detailed Attendance'!GE52:GE52, "A")</f>
        <v/>
      </c>
      <c r="BN51" s="70">
        <f>IF((BL51+BM51)=0,"", BL51/(BL51+BM51))</f>
        <v/>
      </c>
      <c r="BO51" s="67">
        <f>D51+Y51+AT51</f>
        <v/>
      </c>
      <c r="BP51" s="67">
        <f>E51+Z51+AU51</f>
        <v/>
      </c>
      <c r="BQ51" s="68">
        <f>IF((BO51+BP51)=0,"", BO51/(BO51+BP51))</f>
        <v/>
      </c>
      <c r="BR51" s="67">
        <f>G51+AB51+AW51</f>
        <v/>
      </c>
      <c r="BS51" s="67">
        <f>H51+AC51+AX51</f>
        <v/>
      </c>
      <c r="BT51" s="68">
        <f>IF((BR51+BS51)=0,"", BR51/(BR51+BS51))</f>
        <v/>
      </c>
      <c r="BU51" s="67">
        <f>J51+AE51+AZ51</f>
        <v/>
      </c>
      <c r="BV51" s="67">
        <f>K51+AF51+BA51</f>
        <v/>
      </c>
      <c r="BW51" s="68">
        <f>IF((BU51+BV51)=0,"", BU51/(BU51+BV51))</f>
        <v/>
      </c>
      <c r="BX51" s="67">
        <f>M51+AH51+BC51</f>
        <v/>
      </c>
      <c r="BY51" s="67">
        <f>N51+AI51+BD51</f>
        <v/>
      </c>
      <c r="BZ51" s="68">
        <f>IF((BX51+BY51)=0,"", BX51/(BX51+BY51))</f>
        <v/>
      </c>
      <c r="CA51" s="67">
        <f>P51+AK51+BF51</f>
        <v/>
      </c>
      <c r="CB51" s="67">
        <f>Q51+AL51+BG51</f>
        <v/>
      </c>
      <c r="CC51" s="68">
        <f>IF((CA51+CB51)=0,"", CA51/(CA51+CB51))</f>
        <v/>
      </c>
      <c r="CD51" s="67">
        <f>S51+AN51+BI51</f>
        <v/>
      </c>
      <c r="CE51" s="67">
        <f>T51+AO51+BJ51</f>
        <v/>
      </c>
      <c r="CF51" s="68">
        <f>IF((CD51+CE51)=0,"", CD51/(CD51+CE51))</f>
        <v/>
      </c>
      <c r="CG51" s="69">
        <f>V51+AQ51+BL51</f>
        <v/>
      </c>
      <c r="CH51" s="69">
        <f>W51+AR51+BM51</f>
        <v/>
      </c>
      <c r="CI51" s="70">
        <f>IF((CG51+CH51)=0,"", CG51/(CG51+CH51))</f>
        <v/>
      </c>
      <c r="CJ51" s="67">
        <f>CD51+(CG51*2)</f>
        <v/>
      </c>
      <c r="CK51" s="67">
        <f>CE51+(CH51*2)</f>
        <v/>
      </c>
      <c r="CL51" s="68">
        <f>IF((CJ51+CK51)=0,"", CJ51/(CJ51+CK51))</f>
        <v/>
      </c>
      <c r="CM51" s="67" t="inlineStr">
        <is>
          <t>Batch 2</t>
        </is>
      </c>
    </row>
    <row r="52" ht="14.25" customHeight="1" s="34">
      <c r="A52" s="46" t="n">
        <v>50</v>
      </c>
      <c r="B52" s="46" t="inlineStr">
        <is>
          <t>325106410050</t>
        </is>
      </c>
      <c r="C52" s="46" t="inlineStr">
        <is>
          <t>MOHAN TEJA TALUPULA</t>
        </is>
      </c>
      <c r="D52" s="63" t="n">
        <v>0</v>
      </c>
      <c r="E52" s="63" t="n">
        <v>0</v>
      </c>
      <c r="F52" s="64">
        <f>IF((D52+E52)=0,"", D52/(D52+E52))</f>
        <v/>
      </c>
      <c r="G52" s="63">
        <f>COUNTIF('Detailed Attendance'!I53:I53, "P")</f>
        <v/>
      </c>
      <c r="H52" s="63">
        <f>COUNTIF('Detailed Attendance'!I53:I53, "A")</f>
        <v/>
      </c>
      <c r="I52" s="64">
        <f>IF((G52+H52)=0,"", G52/(G52+H52))</f>
        <v/>
      </c>
      <c r="J52" s="63" t="n">
        <v>0</v>
      </c>
      <c r="K52" s="63" t="n">
        <v>0</v>
      </c>
      <c r="L52" s="64">
        <f>IF((J52+K52)=0,"", J52/(J52+K52))</f>
        <v/>
      </c>
      <c r="M52" s="63">
        <f>COUNTIF('Detailed Attendance'!D53:D53, "P")</f>
        <v/>
      </c>
      <c r="N52" s="63">
        <f>COUNTIF('Detailed Attendance'!D53:D53, "A")</f>
        <v/>
      </c>
      <c r="O52" s="64">
        <f>IF((M52+N52)=0,"", M52/(M52+N52))</f>
        <v/>
      </c>
      <c r="P52" s="63" t="n">
        <v>0</v>
      </c>
      <c r="Q52" s="63" t="n">
        <v>0</v>
      </c>
      <c r="R52" s="64">
        <f>IF((P52+Q52)=0,"", P52/(P52+Q52))</f>
        <v/>
      </c>
      <c r="S52" s="63">
        <f>D52+G52+J52+M52+P52</f>
        <v/>
      </c>
      <c r="T52" s="63">
        <f>E52+H52+K52+N52+Q52</f>
        <v/>
      </c>
      <c r="U52" s="64">
        <f>IF((S52+T52)=0,"", S52/(S52+T52))</f>
        <v/>
      </c>
      <c r="V52" s="65" t="n">
        <v>0</v>
      </c>
      <c r="W52" s="65" t="n">
        <v>0</v>
      </c>
      <c r="X52" s="66">
        <f>IF((V52+W52)=0,"", V52/(V52+W52))</f>
        <v/>
      </c>
      <c r="Y52" s="63">
        <f>COUNTIF('Detailed Attendance'!R53:R53, "P")+COUNTIF('Detailed Attendance'!X53:X53, "P")+COUNTIF('Detailed Attendance'!AL53:AL53, "P")+COUNTIF('Detailed Attendance'!BF53:BF53, "P")+COUNTIF('Detailed Attendance'!BL53:BL53, "P")+COUNTIF('Detailed Attendance'!BZ53:BZ53, "P")+COUNTIF('Detailed Attendance'!CI53:CI53, "P")+COUNTIF('Detailed Attendance'!CW53:CW53, "P")</f>
        <v/>
      </c>
      <c r="Z52" s="63">
        <f>COUNTIF('Detailed Attendance'!R53:R53, "A")+COUNTIF('Detailed Attendance'!X53:X53, "A")+COUNTIF('Detailed Attendance'!AL53:AL53, "A")+COUNTIF('Detailed Attendance'!BF53:BF53, "A")+COUNTIF('Detailed Attendance'!BL53:BL53, "A")+COUNTIF('Detailed Attendance'!BZ53:BZ53, "A")+COUNTIF('Detailed Attendance'!CI53:CI53, "A")+COUNTIF('Detailed Attendance'!CW53:CW53, "A")</f>
        <v/>
      </c>
      <c r="AA52" s="64">
        <f>IF((Y52+Z52)=0,"", Y52/(Y52+Z52))</f>
        <v/>
      </c>
      <c r="AB52" s="63">
        <f>COUNTIF('Detailed Attendance'!Q53:Q53, "P")+COUNTIF('Detailed Attendance'!AC53:AC53, "P")+COUNTIF('Detailed Attendance'!AK53:AK53, "P")+COUNTIF('Detailed Attendance'!AW53:AW53, "P")+COUNTIF('Detailed Attendance'!BE53:BE53, "P")+COUNTIF('Detailed Attendance'!BQ53:BQ53, "P")+COUNTIF('Detailed Attendance'!BY53:BY53, "P")+COUNTIF('Detailed Attendance'!CN53:CN53, "P")+COUNTIF('Detailed Attendance'!CV53:CV53, "P")</f>
        <v/>
      </c>
      <c r="AC52" s="63">
        <f>COUNTIF('Detailed Attendance'!Q53:Q53, "A")+COUNTIF('Detailed Attendance'!AC53:AC53, "A")+COUNTIF('Detailed Attendance'!AK53:AK53, "A")+COUNTIF('Detailed Attendance'!AW53:AW53, "A")+COUNTIF('Detailed Attendance'!BE53:BE53, "A")+COUNTIF('Detailed Attendance'!BQ53:BQ53, "A")+COUNTIF('Detailed Attendance'!BY53:BY53, "A")+COUNTIF('Detailed Attendance'!CN53:CN53, "A")+COUNTIF('Detailed Attendance'!CV53:CV53, "A")</f>
        <v/>
      </c>
      <c r="AD52" s="64">
        <f>IF((AB52+AC52)=0,"", AB52/(AB52+AC52))</f>
        <v/>
      </c>
      <c r="AE52" s="63">
        <f>COUNTIF('Detailed Attendance'!L53:L53, "P")+COUNTIF('Detailed Attendance'!P53:P53, "P")+COUNTIF('Detailed Attendance'!AF53:AF53, "P")+COUNTIF('Detailed Attendance'!AJ53:AJ53, "P")+COUNTIF('Detailed Attendance'!AZ53:AZ53, "P")+COUNTIF('Detailed Attendance'!BD53:BD53, "P")+COUNTIF('Detailed Attendance'!BT53:BT53, "P")+COUNTIF('Detailed Attendance'!BX53:BX53, "P")+COUNTIF('Detailed Attendance'!CQ53:CQ53, "P")+COUNTIF('Detailed Attendance'!CU53:CU53, "P")</f>
        <v/>
      </c>
      <c r="AF52" s="67">
        <f>COUNTIF('Detailed Attendance'!L53:L53, "A")+COUNTIF('Detailed Attendance'!P53:P53, "A")+COUNTIF('Detailed Attendance'!AF53:AF53, "A")+COUNTIF('Detailed Attendance'!AJ53:AJ53, "A")+COUNTIF('Detailed Attendance'!AZ53:AZ53, "A")+COUNTIF('Detailed Attendance'!BD53:BD53, "A")+COUNTIF('Detailed Attendance'!BT53:BT53, "A")+COUNTIF('Detailed Attendance'!BX53:BX53, "A")+COUNTIF('Detailed Attendance'!CQ53:CQ53, "A")+COUNTIF('Detailed Attendance'!CU53:CU53, "A")</f>
        <v/>
      </c>
      <c r="AG52" s="68">
        <f>IF((AE52+AF52)=0,"", AE52/(AE52+AF52))</f>
        <v/>
      </c>
      <c r="AH52" s="67">
        <f>COUNTIF('Detailed Attendance'!T53:T53, "P")+COUNTIF('Detailed Attendance'!AN53:AN53, "P")+COUNTIF('Detailed Attendance'!AR53:AR53, "P")+COUNTIF('Detailed Attendance'!BH53:BH53, "P")+COUNTIF('Detailed Attendance'!CB53:CB53, "P")+COUNTIF('Detailed Attendance'!CF53:CF53, "P")+COUNTIF('Detailed Attendance'!CY53:CY53, "P")</f>
        <v/>
      </c>
      <c r="AI52" s="67">
        <f>COUNTIF('Detailed Attendance'!T53:T53, "A")+COUNTIF('Detailed Attendance'!AN53:AN53, "A")+COUNTIF('Detailed Attendance'!AR53:AR53, "A")+COUNTIF('Detailed Attendance'!BH53:BH53, "A")+COUNTIF('Detailed Attendance'!CB53:CB53, "A")+COUNTIF('Detailed Attendance'!CF53:CF53, "A")+COUNTIF('Detailed Attendance'!CY53:CY53, "A")</f>
        <v/>
      </c>
      <c r="AJ52" s="68">
        <f>IF((AH52+AI52)=0,"", AH52/(AH52+AI52))</f>
        <v/>
      </c>
      <c r="AK52" s="67">
        <f>COUNTIF('Detailed Attendance'!M53:M53, "P")+COUNTIF('Detailed Attendance'!U53:U53, "P")+COUNTIF('Detailed Attendance'!AG53:AG53, "P")+COUNTIF('Detailed Attendance'!AO53:AO53, "P")+COUNTIF('Detailed Attendance'!BA53:BA53, "P")+COUNTIF('Detailed Attendance'!BI53:BI53, "P")+COUNTIF('Detailed Attendance'!BU53:BU53, "P")+COUNTIF('Detailed Attendance'!CC53:CC53, "P")+COUNTIF('Detailed Attendance'!CR53:CR53, "P")+COUNTIF('Detailed Attendance'!CZ53:CZ53, "P")</f>
        <v/>
      </c>
      <c r="AL52" s="67">
        <f>COUNTIF('Detailed Attendance'!M53:M53, "A")+COUNTIF('Detailed Attendance'!U53:U53, "A")+COUNTIF('Detailed Attendance'!AG53:AG53, "A")+COUNTIF('Detailed Attendance'!AO53:AO53, "A")+COUNTIF('Detailed Attendance'!BA53:BA53, "A")+COUNTIF('Detailed Attendance'!BI53:BI53, "A")+COUNTIF('Detailed Attendance'!BU53:BU53, "A")+COUNTIF('Detailed Attendance'!CC53:CC53, "A")+COUNTIF('Detailed Attendance'!CR53:CR53, "A")+COUNTIF('Detailed Attendance'!CZ53:CZ53, "A")</f>
        <v/>
      </c>
      <c r="AM52" s="68">
        <f>IF((AK52+AL52)=0,"", AK52/(AK52+AL52))</f>
        <v/>
      </c>
      <c r="AN52" s="67">
        <f>Y52+AB52+AE52+AH52+AK52</f>
        <v/>
      </c>
      <c r="AO52" s="67">
        <f>Z52+AC52+AF52+AI52+AL52</f>
        <v/>
      </c>
      <c r="AP52" s="68">
        <f>IF((AN52+AO52)=0,"", AN52/(AN52+AO52))</f>
        <v/>
      </c>
      <c r="AQ52" s="69">
        <f>COUNTIF('Detailed Attendance'!CG53:CG53, "P")+COUNTIF('Detailed Attendance'!CH53:CH53, "P")+COUNTIF('Detailed Attendance'!V53:V53, "P")+COUNTIF('Detailed Attendance'!AP53:AP53, "P")+COUNTIF('Detailed Attendance'!BJ53:BJ53, "P")+COUNTIF('Detailed Attendance'!CD53:CD53, "P")+COUNTIF('Detailed Attendance'!DA53:DA53, "P")</f>
        <v/>
      </c>
      <c r="AR52" s="69">
        <f>COUNTIF('Detailed Attendance'!CG53:CG53, "A")+COUNTIF('Detailed Attendance'!CH53:CH53, "A")+COUNTIF('Detailed Attendance'!V53:V53, "A")+COUNTIF('Detailed Attendance'!AP53:AP53, "A")+COUNTIF('Detailed Attendance'!BJ53:BJ53, "A")+COUNTIF('Detailed Attendance'!CD53:CD53, "A")+COUNTIF('Detailed Attendance'!DA53:DA53, "A")</f>
        <v/>
      </c>
      <c r="AS52" s="70">
        <f>IF((AQ52+AR52)=0,"", AQ52/(AQ52+AR52))</f>
        <v/>
      </c>
      <c r="AT52" s="67">
        <f>COUNTIF('Detailed Attendance'!DF53:DF53, "P")+COUNTIF('Detailed Attendance'!DT53:DT53, "P")+COUNTIF('Detailed Attendance'!EC53:EC53, "P")+COUNTIF('Detailed Attendance'!EQ53:EQ53, "P")+COUNTIF('Detailed Attendance'!EW53:EW53, "P")+COUNTIF('Detailed Attendance'!FK53:FK53, "P")+COUNTIF('Detailed Attendance'!FM53:FM53, "P")+COUNTIF('Detailed Attendance'!GA53:GA53, "P")</f>
        <v/>
      </c>
      <c r="AU52" s="67">
        <f>COUNTIF('Detailed Attendance'!DF53:DF53, "A")+COUNTIF('Detailed Attendance'!DT53:DT53, "A")+COUNTIF('Detailed Attendance'!EC53:EC53, "A")+COUNTIF('Detailed Attendance'!EQ53:EQ53, "A")+COUNTIF('Detailed Attendance'!EW53:EW53, "A")+COUNTIF('Detailed Attendance'!FK53:FK53, "A")+COUNTIF('Detailed Attendance'!FM53:FM53, "A")+COUNTIF('Detailed Attendance'!GA53:GA53, "A")</f>
        <v/>
      </c>
      <c r="AV52" s="68">
        <f>IF((AT52+AU52)=0,"", AT52/(AT52+AU52))</f>
        <v/>
      </c>
      <c r="AW52" s="67">
        <f>COUNTIF('Detailed Attendance'!DK53:DK53, "P")+COUNTIF('Detailed Attendance'!DS53:DS53, "P")+COUNTIF('Detailed Attendance'!EH53:EH53, "P")+COUNTIF('Detailed Attendance'!EP53:EP53, "P")+COUNTIF('Detailed Attendance'!FB53:FB53, "P")+COUNTIF('Detailed Attendance'!FJ53:FJ53, "P")+COUNTIF('Detailed Attendance'!FR53:FR53, "P")+COUNTIF('Detailed Attendance'!FZ53:FZ53, "P")</f>
        <v/>
      </c>
      <c r="AX52" s="67">
        <f>COUNTIF('Detailed Attendance'!DK53:DK53, "A")+COUNTIF('Detailed Attendance'!DS53:DS53, "A")+COUNTIF('Detailed Attendance'!EH53:EH53, "A")+COUNTIF('Detailed Attendance'!EP53:EP53, "A")+COUNTIF('Detailed Attendance'!FB53:FB53, "A")+COUNTIF('Detailed Attendance'!FJ53:FJ53, "A")+COUNTIF('Detailed Attendance'!FR53:FR53, "A")+COUNTIF('Detailed Attendance'!FZ53:FZ53, "A")</f>
        <v/>
      </c>
      <c r="AY52" s="68">
        <f>IF((AW52+AX52)=0,"", AW52/(AW52+AX52))</f>
        <v/>
      </c>
      <c r="AZ52" s="67">
        <f>COUNTIF('Detailed Attendance'!DN53:DN53, "P")+COUNTIF('Detailed Attendance'!DR53:DR53, "P")+COUNTIF('Detailed Attendance'!EK53:EK53, "P")+COUNTIF('Detailed Attendance'!EO53:EO53, "P")+COUNTIF('Detailed Attendance'!FE53:FE53, "P")+COUNTIF('Detailed Attendance'!FI53:FI53, "P")+COUNTIF('Detailed Attendance'!FU53:FU53, "P")+COUNTIF('Detailed Attendance'!FY53:FY53, "P")</f>
        <v/>
      </c>
      <c r="BA52" s="67">
        <f>COUNTIF('Detailed Attendance'!DN53:DN53, "A")+COUNTIF('Detailed Attendance'!DR53:DR53, "A")+COUNTIF('Detailed Attendance'!EK53:EK53, "A")+COUNTIF('Detailed Attendance'!EO53:EO53, "A")+COUNTIF('Detailed Attendance'!FE53:FE53, "A")+COUNTIF('Detailed Attendance'!FI53:FI53, "A")+COUNTIF('Detailed Attendance'!FU53:FU53, "A")+COUNTIF('Detailed Attendance'!FY53:FY53, "A")</f>
        <v/>
      </c>
      <c r="BB52" s="68">
        <f>IF((AZ52+BA52)=0,"", AZ52/(AZ52+BA52))</f>
        <v/>
      </c>
      <c r="BC52" s="67">
        <f>COUNTIF('Detailed Attendance'!DC53:DC53, "P")+COUNTIF('Detailed Attendance'!DV53:DV53, "P")+COUNTIF('Detailed Attendance'!DZ53:DZ53, "P")+COUNTIF('Detailed Attendance'!ES53:ES53, "P")+COUNTIF('Detailed Attendance'!GC53:GC53, "P")+COUNTIF('Detailed Attendance'!GG53:GG53, "P")</f>
        <v/>
      </c>
      <c r="BD52" s="67">
        <f>COUNTIF('Detailed Attendance'!DC53:DC53, "A")+COUNTIF('Detailed Attendance'!DV53:DV53, "A")+COUNTIF('Detailed Attendance'!DZ53:DZ53, "A")+COUNTIF('Detailed Attendance'!ES53:ES53, "A")+COUNTIF('Detailed Attendance'!GC53:GC53, "A")+COUNTIF('Detailed Attendance'!GG53:GG53, "A")</f>
        <v/>
      </c>
      <c r="BE52" s="68">
        <f>IF((BC52+BD52)=0,"", BC52/(BC52+BD52))</f>
        <v/>
      </c>
      <c r="BF52" s="67">
        <f>COUNTIF('Detailed Attendance'!DO53:DO53, "P")+COUNTIF('Detailed Attendance'!DW53:DW53, "P")+COUNTIF('Detailed Attendance'!EL53:EL53, "P")+COUNTIF('Detailed Attendance'!ET53:ET53, "P")+COUNTIF('Detailed Attendance'!FF53:FF53, "P")+COUNTIF('Detailed Attendance'!FV53:FV53, "P")+COUNTIF('Detailed Attendance'!GD53:GD53, "P")</f>
        <v/>
      </c>
      <c r="BG52" s="67">
        <f>COUNTIF('Detailed Attendance'!DO53:DO53, "A")+COUNTIF('Detailed Attendance'!DW53:DW53, "A")+COUNTIF('Detailed Attendance'!EL53:EL53, "A")+COUNTIF('Detailed Attendance'!ET53:ET53, "A")+COUNTIF('Detailed Attendance'!FF53:FF53, "A")+COUNTIF('Detailed Attendance'!FV53:FV53, "A")+COUNTIF('Detailed Attendance'!GD53:GD53, "A")</f>
        <v/>
      </c>
      <c r="BH52" s="68">
        <f>IF((BF52+BG52)=0,"", BF52/(BF52+BG52))</f>
        <v/>
      </c>
      <c r="BI52" s="67">
        <f>AT52+AW52+AZ52+BC52+BF52</f>
        <v/>
      </c>
      <c r="BJ52" s="67">
        <f>AU52+AX52+BA52+BD52+BG52</f>
        <v/>
      </c>
      <c r="BK52" s="68">
        <f>IF((BI52+BJ52)=0,"", BI52/(BI52+BJ52))</f>
        <v/>
      </c>
      <c r="BL52" s="69">
        <f>COUNTIF('Detailed Attendance'!DD53:DD53, "P")+COUNTIF('Detailed Attendance'!EA53:EA53, "P")+COUNTIF('Detailed Attendance'!GH53:GH53, "P")+COUNTIF('Detailed Attendance'!DE53:DE53, "P")+COUNTIF('Detailed Attendance'!EB53:EB53, "P")+COUNTIF('Detailed Attendance'!GI53:GI53, "P")+COUNTIF('Detailed Attendance'!DX53:DX53, "P")+COUNTIF('Detailed Attendance'!EU53:EU53, "P")+COUNTIF('Detailed Attendance'!GE53:GE53, "P")</f>
        <v/>
      </c>
      <c r="BM52" s="69">
        <f>COUNTIF('Detailed Attendance'!DD53:DD53, "A")+COUNTIF('Detailed Attendance'!EA53:EA53, "A")+COUNTIF('Detailed Attendance'!GH53:GH53, "A")+COUNTIF('Detailed Attendance'!DE53:DE53, "A")+COUNTIF('Detailed Attendance'!EB53:EB53, "A")+COUNTIF('Detailed Attendance'!GI53:GI53, "A")+COUNTIF('Detailed Attendance'!DX53:DX53, "A")+COUNTIF('Detailed Attendance'!EU53:EU53, "A")+COUNTIF('Detailed Attendance'!GE53:GE53, "A")</f>
        <v/>
      </c>
      <c r="BN52" s="70">
        <f>IF((BL52+BM52)=0,"", BL52/(BL52+BM52))</f>
        <v/>
      </c>
      <c r="BO52" s="67">
        <f>D52+Y52+AT52</f>
        <v/>
      </c>
      <c r="BP52" s="67">
        <f>E52+Z52+AU52</f>
        <v/>
      </c>
      <c r="BQ52" s="68">
        <f>IF((BO52+BP52)=0,"", BO52/(BO52+BP52))</f>
        <v/>
      </c>
      <c r="BR52" s="67">
        <f>G52+AB52+AW52</f>
        <v/>
      </c>
      <c r="BS52" s="67">
        <f>H52+AC52+AX52</f>
        <v/>
      </c>
      <c r="BT52" s="68">
        <f>IF((BR52+BS52)=0,"", BR52/(BR52+BS52))</f>
        <v/>
      </c>
      <c r="BU52" s="67">
        <f>J52+AE52+AZ52</f>
        <v/>
      </c>
      <c r="BV52" s="67">
        <f>K52+AF52+BA52</f>
        <v/>
      </c>
      <c r="BW52" s="68">
        <f>IF((BU52+BV52)=0,"", BU52/(BU52+BV52))</f>
        <v/>
      </c>
      <c r="BX52" s="67">
        <f>M52+AH52+BC52</f>
        <v/>
      </c>
      <c r="BY52" s="67">
        <f>N52+AI52+BD52</f>
        <v/>
      </c>
      <c r="BZ52" s="68">
        <f>IF((BX52+BY52)=0,"", BX52/(BX52+BY52))</f>
        <v/>
      </c>
      <c r="CA52" s="67">
        <f>P52+AK52+BF52</f>
        <v/>
      </c>
      <c r="CB52" s="67">
        <f>Q52+AL52+BG52</f>
        <v/>
      </c>
      <c r="CC52" s="68">
        <f>IF((CA52+CB52)=0,"", CA52/(CA52+CB52))</f>
        <v/>
      </c>
      <c r="CD52" s="67">
        <f>S52+AN52+BI52</f>
        <v/>
      </c>
      <c r="CE52" s="67">
        <f>T52+AO52+BJ52</f>
        <v/>
      </c>
      <c r="CF52" s="68">
        <f>IF((CD52+CE52)=0,"", CD52/(CD52+CE52))</f>
        <v/>
      </c>
      <c r="CG52" s="69">
        <f>V52+AQ52+BL52</f>
        <v/>
      </c>
      <c r="CH52" s="69">
        <f>W52+AR52+BM52</f>
        <v/>
      </c>
      <c r="CI52" s="70">
        <f>IF((CG52+CH52)=0,"", CG52/(CG52+CH52))</f>
        <v/>
      </c>
      <c r="CJ52" s="67">
        <f>CD52+(CG52*2)</f>
        <v/>
      </c>
      <c r="CK52" s="67">
        <f>CE52+(CH52*2)</f>
        <v/>
      </c>
      <c r="CL52" s="68">
        <f>IF((CJ52+CK52)=0,"", CJ52/(CJ52+CK52))</f>
        <v/>
      </c>
      <c r="CM52" s="67" t="inlineStr">
        <is>
          <t>Batch 2</t>
        </is>
      </c>
    </row>
    <row r="53" ht="14.25" customHeight="1" s="34">
      <c r="A53" s="46" t="n">
        <v>51</v>
      </c>
      <c r="B53" s="46" t="inlineStr">
        <is>
          <t>325106410051</t>
        </is>
      </c>
      <c r="C53" s="46" t="inlineStr">
        <is>
          <t>VINEETHKUMAR THENNETI</t>
        </is>
      </c>
      <c r="D53" s="63" t="n">
        <v>0</v>
      </c>
      <c r="E53" s="63" t="n">
        <v>0</v>
      </c>
      <c r="F53" s="64">
        <f>IF((D53+E53)=0,"", D53/(D53+E53))</f>
        <v/>
      </c>
      <c r="G53" s="63">
        <f>COUNTIF('Detailed Attendance'!I54:I54, "P")</f>
        <v/>
      </c>
      <c r="H53" s="63">
        <f>COUNTIF('Detailed Attendance'!I54:I54, "A")</f>
        <v/>
      </c>
      <c r="I53" s="64">
        <f>IF((G53+H53)=0,"", G53/(G53+H53))</f>
        <v/>
      </c>
      <c r="J53" s="63" t="n">
        <v>0</v>
      </c>
      <c r="K53" s="63" t="n">
        <v>0</v>
      </c>
      <c r="L53" s="64">
        <f>IF((J53+K53)=0,"", J53/(J53+K53))</f>
        <v/>
      </c>
      <c r="M53" s="63">
        <f>COUNTIF('Detailed Attendance'!D54:D54, "P")</f>
        <v/>
      </c>
      <c r="N53" s="63">
        <f>COUNTIF('Detailed Attendance'!D54:D54, "A")</f>
        <v/>
      </c>
      <c r="O53" s="64">
        <f>IF((M53+N53)=0,"", M53/(M53+N53))</f>
        <v/>
      </c>
      <c r="P53" s="63" t="n">
        <v>0</v>
      </c>
      <c r="Q53" s="63" t="n">
        <v>0</v>
      </c>
      <c r="R53" s="64">
        <f>IF((P53+Q53)=0,"", P53/(P53+Q53))</f>
        <v/>
      </c>
      <c r="S53" s="63">
        <f>D53+G53+J53+M53+P53</f>
        <v/>
      </c>
      <c r="T53" s="63">
        <f>E53+H53+K53+N53+Q53</f>
        <v/>
      </c>
      <c r="U53" s="64">
        <f>IF((S53+T53)=0,"", S53/(S53+T53))</f>
        <v/>
      </c>
      <c r="V53" s="65" t="n">
        <v>0</v>
      </c>
      <c r="W53" s="65" t="n">
        <v>0</v>
      </c>
      <c r="X53" s="66">
        <f>IF((V53+W53)=0,"", V53/(V53+W53))</f>
        <v/>
      </c>
      <c r="Y53" s="63">
        <f>COUNTIF('Detailed Attendance'!R54:R54, "P")+COUNTIF('Detailed Attendance'!X54:X54, "P")+COUNTIF('Detailed Attendance'!AL54:AL54, "P")+COUNTIF('Detailed Attendance'!BF54:BF54, "P")+COUNTIF('Detailed Attendance'!BL54:BL54, "P")+COUNTIF('Detailed Attendance'!BZ54:BZ54, "P")+COUNTIF('Detailed Attendance'!CI54:CI54, "P")+COUNTIF('Detailed Attendance'!CW54:CW54, "P")</f>
        <v/>
      </c>
      <c r="Z53" s="63">
        <f>COUNTIF('Detailed Attendance'!R54:R54, "A")+COUNTIF('Detailed Attendance'!X54:X54, "A")+COUNTIF('Detailed Attendance'!AL54:AL54, "A")+COUNTIF('Detailed Attendance'!BF54:BF54, "A")+COUNTIF('Detailed Attendance'!BL54:BL54, "A")+COUNTIF('Detailed Attendance'!BZ54:BZ54, "A")+COUNTIF('Detailed Attendance'!CI54:CI54, "A")+COUNTIF('Detailed Attendance'!CW54:CW54, "A")</f>
        <v/>
      </c>
      <c r="AA53" s="64">
        <f>IF((Y53+Z53)=0,"", Y53/(Y53+Z53))</f>
        <v/>
      </c>
      <c r="AB53" s="63">
        <f>COUNTIF('Detailed Attendance'!Q54:Q54, "P")+COUNTIF('Detailed Attendance'!AC54:AC54, "P")+COUNTIF('Detailed Attendance'!AK54:AK54, "P")+COUNTIF('Detailed Attendance'!AW54:AW54, "P")+COUNTIF('Detailed Attendance'!BE54:BE54, "P")+COUNTIF('Detailed Attendance'!BQ54:BQ54, "P")+COUNTIF('Detailed Attendance'!BY54:BY54, "P")+COUNTIF('Detailed Attendance'!CN54:CN54, "P")+COUNTIF('Detailed Attendance'!CV54:CV54, "P")</f>
        <v/>
      </c>
      <c r="AC53" s="63">
        <f>COUNTIF('Detailed Attendance'!Q54:Q54, "A")+COUNTIF('Detailed Attendance'!AC54:AC54, "A")+COUNTIF('Detailed Attendance'!AK54:AK54, "A")+COUNTIF('Detailed Attendance'!AW54:AW54, "A")+COUNTIF('Detailed Attendance'!BE54:BE54, "A")+COUNTIF('Detailed Attendance'!BQ54:BQ54, "A")+COUNTIF('Detailed Attendance'!BY54:BY54, "A")+COUNTIF('Detailed Attendance'!CN54:CN54, "A")+COUNTIF('Detailed Attendance'!CV54:CV54, "A")</f>
        <v/>
      </c>
      <c r="AD53" s="64">
        <f>IF((AB53+AC53)=0,"", AB53/(AB53+AC53))</f>
        <v/>
      </c>
      <c r="AE53" s="63">
        <f>COUNTIF('Detailed Attendance'!L54:L54, "P")+COUNTIF('Detailed Attendance'!P54:P54, "P")+COUNTIF('Detailed Attendance'!AF54:AF54, "P")+COUNTIF('Detailed Attendance'!AJ54:AJ54, "P")+COUNTIF('Detailed Attendance'!AZ54:AZ54, "P")+COUNTIF('Detailed Attendance'!BD54:BD54, "P")+COUNTIF('Detailed Attendance'!BT54:BT54, "P")+COUNTIF('Detailed Attendance'!BX54:BX54, "P")+COUNTIF('Detailed Attendance'!CQ54:CQ54, "P")+COUNTIF('Detailed Attendance'!CU54:CU54, "P")</f>
        <v/>
      </c>
      <c r="AF53" s="67">
        <f>COUNTIF('Detailed Attendance'!L54:L54, "A")+COUNTIF('Detailed Attendance'!P54:P54, "A")+COUNTIF('Detailed Attendance'!AF54:AF54, "A")+COUNTIF('Detailed Attendance'!AJ54:AJ54, "A")+COUNTIF('Detailed Attendance'!AZ54:AZ54, "A")+COUNTIF('Detailed Attendance'!BD54:BD54, "A")+COUNTIF('Detailed Attendance'!BT54:BT54, "A")+COUNTIF('Detailed Attendance'!BX54:BX54, "A")+COUNTIF('Detailed Attendance'!CQ54:CQ54, "A")+COUNTIF('Detailed Attendance'!CU54:CU54, "A")</f>
        <v/>
      </c>
      <c r="AG53" s="68">
        <f>IF((AE53+AF53)=0,"", AE53/(AE53+AF53))</f>
        <v/>
      </c>
      <c r="AH53" s="67">
        <f>COUNTIF('Detailed Attendance'!T54:T54, "P")+COUNTIF('Detailed Attendance'!AN54:AN54, "P")+COUNTIF('Detailed Attendance'!AR54:AR54, "P")+COUNTIF('Detailed Attendance'!BH54:BH54, "P")+COUNTIF('Detailed Attendance'!CB54:CB54, "P")+COUNTIF('Detailed Attendance'!CF54:CF54, "P")+COUNTIF('Detailed Attendance'!CY54:CY54, "P")</f>
        <v/>
      </c>
      <c r="AI53" s="67">
        <f>COUNTIF('Detailed Attendance'!T54:T54, "A")+COUNTIF('Detailed Attendance'!AN54:AN54, "A")+COUNTIF('Detailed Attendance'!AR54:AR54, "A")+COUNTIF('Detailed Attendance'!BH54:BH54, "A")+COUNTIF('Detailed Attendance'!CB54:CB54, "A")+COUNTIF('Detailed Attendance'!CF54:CF54, "A")+COUNTIF('Detailed Attendance'!CY54:CY54, "A")</f>
        <v/>
      </c>
      <c r="AJ53" s="68">
        <f>IF((AH53+AI53)=0,"", AH53/(AH53+AI53))</f>
        <v/>
      </c>
      <c r="AK53" s="67">
        <f>COUNTIF('Detailed Attendance'!M54:M54, "P")+COUNTIF('Detailed Attendance'!U54:U54, "P")+COUNTIF('Detailed Attendance'!AG54:AG54, "P")+COUNTIF('Detailed Attendance'!AO54:AO54, "P")+COUNTIF('Detailed Attendance'!BA54:BA54, "P")+COUNTIF('Detailed Attendance'!BI54:BI54, "P")+COUNTIF('Detailed Attendance'!BU54:BU54, "P")+COUNTIF('Detailed Attendance'!CC54:CC54, "P")+COUNTIF('Detailed Attendance'!CR54:CR54, "P")+COUNTIF('Detailed Attendance'!CZ54:CZ54, "P")</f>
        <v/>
      </c>
      <c r="AL53" s="67">
        <f>COUNTIF('Detailed Attendance'!M54:M54, "A")+COUNTIF('Detailed Attendance'!U54:U54, "A")+COUNTIF('Detailed Attendance'!AG54:AG54, "A")+COUNTIF('Detailed Attendance'!AO54:AO54, "A")+COUNTIF('Detailed Attendance'!BA54:BA54, "A")+COUNTIF('Detailed Attendance'!BI54:BI54, "A")+COUNTIF('Detailed Attendance'!BU54:BU54, "A")+COUNTIF('Detailed Attendance'!CC54:CC54, "A")+COUNTIF('Detailed Attendance'!CR54:CR54, "A")+COUNTIF('Detailed Attendance'!CZ54:CZ54, "A")</f>
        <v/>
      </c>
      <c r="AM53" s="68">
        <f>IF((AK53+AL53)=0,"", AK53/(AK53+AL53))</f>
        <v/>
      </c>
      <c r="AN53" s="67">
        <f>Y53+AB53+AE53+AH53+AK53</f>
        <v/>
      </c>
      <c r="AO53" s="67">
        <f>Z53+AC53+AF53+AI53+AL53</f>
        <v/>
      </c>
      <c r="AP53" s="68">
        <f>IF((AN53+AO53)=0,"", AN53/(AN53+AO53))</f>
        <v/>
      </c>
      <c r="AQ53" s="69">
        <f>COUNTIF('Detailed Attendance'!CG54:CG54, "P")+COUNTIF('Detailed Attendance'!CH54:CH54, "P")+COUNTIF('Detailed Attendance'!V54:V54, "P")+COUNTIF('Detailed Attendance'!AP54:AP54, "P")+COUNTIF('Detailed Attendance'!BJ54:BJ54, "P")+COUNTIF('Detailed Attendance'!CD54:CD54, "P")+COUNTIF('Detailed Attendance'!DA54:DA54, "P")</f>
        <v/>
      </c>
      <c r="AR53" s="69">
        <f>COUNTIF('Detailed Attendance'!CG54:CG54, "A")+COUNTIF('Detailed Attendance'!CH54:CH54, "A")+COUNTIF('Detailed Attendance'!V54:V54, "A")+COUNTIF('Detailed Attendance'!AP54:AP54, "A")+COUNTIF('Detailed Attendance'!BJ54:BJ54, "A")+COUNTIF('Detailed Attendance'!CD54:CD54, "A")+COUNTIF('Detailed Attendance'!DA54:DA54, "A")</f>
        <v/>
      </c>
      <c r="AS53" s="70">
        <f>IF((AQ53+AR53)=0,"", AQ53/(AQ53+AR53))</f>
        <v/>
      </c>
      <c r="AT53" s="67">
        <f>COUNTIF('Detailed Attendance'!DF54:DF54, "P")+COUNTIF('Detailed Attendance'!DT54:DT54, "P")+COUNTIF('Detailed Attendance'!EC54:EC54, "P")+COUNTIF('Detailed Attendance'!EQ54:EQ54, "P")+COUNTIF('Detailed Attendance'!EW54:EW54, "P")+COUNTIF('Detailed Attendance'!FK54:FK54, "P")+COUNTIF('Detailed Attendance'!FM54:FM54, "P")+COUNTIF('Detailed Attendance'!GA54:GA54, "P")</f>
        <v/>
      </c>
      <c r="AU53" s="67">
        <f>COUNTIF('Detailed Attendance'!DF54:DF54, "A")+COUNTIF('Detailed Attendance'!DT54:DT54, "A")+COUNTIF('Detailed Attendance'!EC54:EC54, "A")+COUNTIF('Detailed Attendance'!EQ54:EQ54, "A")+COUNTIF('Detailed Attendance'!EW54:EW54, "A")+COUNTIF('Detailed Attendance'!FK54:FK54, "A")+COUNTIF('Detailed Attendance'!FM54:FM54, "A")+COUNTIF('Detailed Attendance'!GA54:GA54, "A")</f>
        <v/>
      </c>
      <c r="AV53" s="68">
        <f>IF((AT53+AU53)=0,"", AT53/(AT53+AU53))</f>
        <v/>
      </c>
      <c r="AW53" s="67">
        <f>COUNTIF('Detailed Attendance'!DK54:DK54, "P")+COUNTIF('Detailed Attendance'!DS54:DS54, "P")+COUNTIF('Detailed Attendance'!EH54:EH54, "P")+COUNTIF('Detailed Attendance'!EP54:EP54, "P")+COUNTIF('Detailed Attendance'!FB54:FB54, "P")+COUNTIF('Detailed Attendance'!FJ54:FJ54, "P")+COUNTIF('Detailed Attendance'!FR54:FR54, "P")+COUNTIF('Detailed Attendance'!FZ54:FZ54, "P")</f>
        <v/>
      </c>
      <c r="AX53" s="67">
        <f>COUNTIF('Detailed Attendance'!DK54:DK54, "A")+COUNTIF('Detailed Attendance'!DS54:DS54, "A")+COUNTIF('Detailed Attendance'!EH54:EH54, "A")+COUNTIF('Detailed Attendance'!EP54:EP54, "A")+COUNTIF('Detailed Attendance'!FB54:FB54, "A")+COUNTIF('Detailed Attendance'!FJ54:FJ54, "A")+COUNTIF('Detailed Attendance'!FR54:FR54, "A")+COUNTIF('Detailed Attendance'!FZ54:FZ54, "A")</f>
        <v/>
      </c>
      <c r="AY53" s="68">
        <f>IF((AW53+AX53)=0,"", AW53/(AW53+AX53))</f>
        <v/>
      </c>
      <c r="AZ53" s="67">
        <f>COUNTIF('Detailed Attendance'!DN54:DN54, "P")+COUNTIF('Detailed Attendance'!DR54:DR54, "P")+COUNTIF('Detailed Attendance'!EK54:EK54, "P")+COUNTIF('Detailed Attendance'!EO54:EO54, "P")+COUNTIF('Detailed Attendance'!FE54:FE54, "P")+COUNTIF('Detailed Attendance'!FI54:FI54, "P")+COUNTIF('Detailed Attendance'!FU54:FU54, "P")+COUNTIF('Detailed Attendance'!FY54:FY54, "P")</f>
        <v/>
      </c>
      <c r="BA53" s="67">
        <f>COUNTIF('Detailed Attendance'!DN54:DN54, "A")+COUNTIF('Detailed Attendance'!DR54:DR54, "A")+COUNTIF('Detailed Attendance'!EK54:EK54, "A")+COUNTIF('Detailed Attendance'!EO54:EO54, "A")+COUNTIF('Detailed Attendance'!FE54:FE54, "A")+COUNTIF('Detailed Attendance'!FI54:FI54, "A")+COUNTIF('Detailed Attendance'!FU54:FU54, "A")+COUNTIF('Detailed Attendance'!FY54:FY54, "A")</f>
        <v/>
      </c>
      <c r="BB53" s="68">
        <f>IF((AZ53+BA53)=0,"", AZ53/(AZ53+BA53))</f>
        <v/>
      </c>
      <c r="BC53" s="67">
        <f>COUNTIF('Detailed Attendance'!DC54:DC54, "P")+COUNTIF('Detailed Attendance'!DV54:DV54, "P")+COUNTIF('Detailed Attendance'!DZ54:DZ54, "P")+COUNTIF('Detailed Attendance'!ES54:ES54, "P")+COUNTIF('Detailed Attendance'!GC54:GC54, "P")+COUNTIF('Detailed Attendance'!GG54:GG54, "P")</f>
        <v/>
      </c>
      <c r="BD53" s="67">
        <f>COUNTIF('Detailed Attendance'!DC54:DC54, "A")+COUNTIF('Detailed Attendance'!DV54:DV54, "A")+COUNTIF('Detailed Attendance'!DZ54:DZ54, "A")+COUNTIF('Detailed Attendance'!ES54:ES54, "A")+COUNTIF('Detailed Attendance'!GC54:GC54, "A")+COUNTIF('Detailed Attendance'!GG54:GG54, "A")</f>
        <v/>
      </c>
      <c r="BE53" s="68">
        <f>IF((BC53+BD53)=0,"", BC53/(BC53+BD53))</f>
        <v/>
      </c>
      <c r="BF53" s="67">
        <f>COUNTIF('Detailed Attendance'!DO54:DO54, "P")+COUNTIF('Detailed Attendance'!DW54:DW54, "P")+COUNTIF('Detailed Attendance'!EL54:EL54, "P")+COUNTIF('Detailed Attendance'!ET54:ET54, "P")+COUNTIF('Detailed Attendance'!FF54:FF54, "P")+COUNTIF('Detailed Attendance'!FV54:FV54, "P")+COUNTIF('Detailed Attendance'!GD54:GD54, "P")</f>
        <v/>
      </c>
      <c r="BG53" s="67">
        <f>COUNTIF('Detailed Attendance'!DO54:DO54, "A")+COUNTIF('Detailed Attendance'!DW54:DW54, "A")+COUNTIF('Detailed Attendance'!EL54:EL54, "A")+COUNTIF('Detailed Attendance'!ET54:ET54, "A")+COUNTIF('Detailed Attendance'!FF54:FF54, "A")+COUNTIF('Detailed Attendance'!FV54:FV54, "A")+COUNTIF('Detailed Attendance'!GD54:GD54, "A")</f>
        <v/>
      </c>
      <c r="BH53" s="68">
        <f>IF((BF53+BG53)=0,"", BF53/(BF53+BG53))</f>
        <v/>
      </c>
      <c r="BI53" s="67">
        <f>AT53+AW53+AZ53+BC53+BF53</f>
        <v/>
      </c>
      <c r="BJ53" s="67">
        <f>AU53+AX53+BA53+BD53+BG53</f>
        <v/>
      </c>
      <c r="BK53" s="68">
        <f>IF((BI53+BJ53)=0,"", BI53/(BI53+BJ53))</f>
        <v/>
      </c>
      <c r="BL53" s="69">
        <f>COUNTIF('Detailed Attendance'!DD54:DD54, "P")+COUNTIF('Detailed Attendance'!EA54:EA54, "P")+COUNTIF('Detailed Attendance'!GH54:GH54, "P")+COUNTIF('Detailed Attendance'!DE54:DE54, "P")+COUNTIF('Detailed Attendance'!EB54:EB54, "P")+COUNTIF('Detailed Attendance'!GI54:GI54, "P")+COUNTIF('Detailed Attendance'!DX54:DX54, "P")+COUNTIF('Detailed Attendance'!EU54:EU54, "P")+COUNTIF('Detailed Attendance'!GE54:GE54, "P")</f>
        <v/>
      </c>
      <c r="BM53" s="69">
        <f>COUNTIF('Detailed Attendance'!DD54:DD54, "A")+COUNTIF('Detailed Attendance'!EA54:EA54, "A")+COUNTIF('Detailed Attendance'!GH54:GH54, "A")+COUNTIF('Detailed Attendance'!DE54:DE54, "A")+COUNTIF('Detailed Attendance'!EB54:EB54, "A")+COUNTIF('Detailed Attendance'!GI54:GI54, "A")+COUNTIF('Detailed Attendance'!DX54:DX54, "A")+COUNTIF('Detailed Attendance'!EU54:EU54, "A")+COUNTIF('Detailed Attendance'!GE54:GE54, "A")</f>
        <v/>
      </c>
      <c r="BN53" s="70">
        <f>IF((BL53+BM53)=0,"", BL53/(BL53+BM53))</f>
        <v/>
      </c>
      <c r="BO53" s="67">
        <f>D53+Y53+AT53</f>
        <v/>
      </c>
      <c r="BP53" s="67">
        <f>E53+Z53+AU53</f>
        <v/>
      </c>
      <c r="BQ53" s="68">
        <f>IF((BO53+BP53)=0,"", BO53/(BO53+BP53))</f>
        <v/>
      </c>
      <c r="BR53" s="67">
        <f>G53+AB53+AW53</f>
        <v/>
      </c>
      <c r="BS53" s="67">
        <f>H53+AC53+AX53</f>
        <v/>
      </c>
      <c r="BT53" s="68">
        <f>IF((BR53+BS53)=0,"", BR53/(BR53+BS53))</f>
        <v/>
      </c>
      <c r="BU53" s="67">
        <f>J53+AE53+AZ53</f>
        <v/>
      </c>
      <c r="BV53" s="67">
        <f>K53+AF53+BA53</f>
        <v/>
      </c>
      <c r="BW53" s="68">
        <f>IF((BU53+BV53)=0,"", BU53/(BU53+BV53))</f>
        <v/>
      </c>
      <c r="BX53" s="67">
        <f>M53+AH53+BC53</f>
        <v/>
      </c>
      <c r="BY53" s="67">
        <f>N53+AI53+BD53</f>
        <v/>
      </c>
      <c r="BZ53" s="68">
        <f>IF((BX53+BY53)=0,"", BX53/(BX53+BY53))</f>
        <v/>
      </c>
      <c r="CA53" s="67">
        <f>P53+AK53+BF53</f>
        <v/>
      </c>
      <c r="CB53" s="67">
        <f>Q53+AL53+BG53</f>
        <v/>
      </c>
      <c r="CC53" s="68">
        <f>IF((CA53+CB53)=0,"", CA53/(CA53+CB53))</f>
        <v/>
      </c>
      <c r="CD53" s="67">
        <f>S53+AN53+BI53</f>
        <v/>
      </c>
      <c r="CE53" s="67">
        <f>T53+AO53+BJ53</f>
        <v/>
      </c>
      <c r="CF53" s="68">
        <f>IF((CD53+CE53)=0,"", CD53/(CD53+CE53))</f>
        <v/>
      </c>
      <c r="CG53" s="69">
        <f>V53+AQ53+BL53</f>
        <v/>
      </c>
      <c r="CH53" s="69">
        <f>W53+AR53+BM53</f>
        <v/>
      </c>
      <c r="CI53" s="70">
        <f>IF((CG53+CH53)=0,"", CG53/(CG53+CH53))</f>
        <v/>
      </c>
      <c r="CJ53" s="67">
        <f>CD53+(CG53*2)</f>
        <v/>
      </c>
      <c r="CK53" s="67">
        <f>CE53+(CH53*2)</f>
        <v/>
      </c>
      <c r="CL53" s="68">
        <f>IF((CJ53+CK53)=0,"", CJ53/(CJ53+CK53))</f>
        <v/>
      </c>
      <c r="CM53" s="67" t="inlineStr">
        <is>
          <t>Batch 2</t>
        </is>
      </c>
    </row>
    <row r="54" ht="14.25" customHeight="1" s="34">
      <c r="A54" s="46" t="n">
        <v>52</v>
      </c>
      <c r="B54" s="46" t="inlineStr">
        <is>
          <t>325106410052</t>
        </is>
      </c>
      <c r="C54" s="46" t="inlineStr">
        <is>
          <t>GAYATRI TIPPANA</t>
        </is>
      </c>
      <c r="D54" s="63" t="n">
        <v>0</v>
      </c>
      <c r="E54" s="63" t="n">
        <v>0</v>
      </c>
      <c r="F54" s="64">
        <f>IF((D54+E54)=0,"", D54/(D54+E54))</f>
        <v/>
      </c>
      <c r="G54" s="63">
        <f>COUNTIF('Detailed Attendance'!I55:I55, "P")</f>
        <v/>
      </c>
      <c r="H54" s="63">
        <f>COUNTIF('Detailed Attendance'!I55:I55, "A")</f>
        <v/>
      </c>
      <c r="I54" s="64">
        <f>IF((G54+H54)=0,"", G54/(G54+H54))</f>
        <v/>
      </c>
      <c r="J54" s="63" t="n">
        <v>0</v>
      </c>
      <c r="K54" s="63" t="n">
        <v>0</v>
      </c>
      <c r="L54" s="64">
        <f>IF((J54+K54)=0,"", J54/(J54+K54))</f>
        <v/>
      </c>
      <c r="M54" s="63">
        <f>COUNTIF('Detailed Attendance'!D55:D55, "P")</f>
        <v/>
      </c>
      <c r="N54" s="63">
        <f>COUNTIF('Detailed Attendance'!D55:D55, "A")</f>
        <v/>
      </c>
      <c r="O54" s="64">
        <f>IF((M54+N54)=0,"", M54/(M54+N54))</f>
        <v/>
      </c>
      <c r="P54" s="63" t="n">
        <v>0</v>
      </c>
      <c r="Q54" s="63" t="n">
        <v>0</v>
      </c>
      <c r="R54" s="64">
        <f>IF((P54+Q54)=0,"", P54/(P54+Q54))</f>
        <v/>
      </c>
      <c r="S54" s="63">
        <f>D54+G54+J54+M54+P54</f>
        <v/>
      </c>
      <c r="T54" s="63">
        <f>E54+H54+K54+N54+Q54</f>
        <v/>
      </c>
      <c r="U54" s="64">
        <f>IF((S54+T54)=0,"", S54/(S54+T54))</f>
        <v/>
      </c>
      <c r="V54" s="65" t="n">
        <v>0</v>
      </c>
      <c r="W54" s="65" t="n">
        <v>0</v>
      </c>
      <c r="X54" s="66">
        <f>IF((V54+W54)=0,"", V54/(V54+W54))</f>
        <v/>
      </c>
      <c r="Y54" s="63">
        <f>COUNTIF('Detailed Attendance'!R55:R55, "P")+COUNTIF('Detailed Attendance'!X55:X55, "P")+COUNTIF('Detailed Attendance'!AL55:AL55, "P")+COUNTIF('Detailed Attendance'!BF55:BF55, "P")+COUNTIF('Detailed Attendance'!BL55:BL55, "P")+COUNTIF('Detailed Attendance'!BZ55:BZ55, "P")+COUNTIF('Detailed Attendance'!CI55:CI55, "P")+COUNTIF('Detailed Attendance'!CW55:CW55, "P")</f>
        <v/>
      </c>
      <c r="Z54" s="63">
        <f>COUNTIF('Detailed Attendance'!R55:R55, "A")+COUNTIF('Detailed Attendance'!X55:X55, "A")+COUNTIF('Detailed Attendance'!AL55:AL55, "A")+COUNTIF('Detailed Attendance'!BF55:BF55, "A")+COUNTIF('Detailed Attendance'!BL55:BL55, "A")+COUNTIF('Detailed Attendance'!BZ55:BZ55, "A")+COUNTIF('Detailed Attendance'!CI55:CI55, "A")+COUNTIF('Detailed Attendance'!CW55:CW55, "A")</f>
        <v/>
      </c>
      <c r="AA54" s="64">
        <f>IF((Y54+Z54)=0,"", Y54/(Y54+Z54))</f>
        <v/>
      </c>
      <c r="AB54" s="63">
        <f>COUNTIF('Detailed Attendance'!Q55:Q55, "P")+COUNTIF('Detailed Attendance'!AC55:AC55, "P")+COUNTIF('Detailed Attendance'!AK55:AK55, "P")+COUNTIF('Detailed Attendance'!AW55:AW55, "P")+COUNTIF('Detailed Attendance'!BE55:BE55, "P")+COUNTIF('Detailed Attendance'!BQ55:BQ55, "P")+COUNTIF('Detailed Attendance'!BY55:BY55, "P")+COUNTIF('Detailed Attendance'!CN55:CN55, "P")+COUNTIF('Detailed Attendance'!CV55:CV55, "P")</f>
        <v/>
      </c>
      <c r="AC54" s="63">
        <f>COUNTIF('Detailed Attendance'!Q55:Q55, "A")+COUNTIF('Detailed Attendance'!AC55:AC55, "A")+COUNTIF('Detailed Attendance'!AK55:AK55, "A")+COUNTIF('Detailed Attendance'!AW55:AW55, "A")+COUNTIF('Detailed Attendance'!BE55:BE55, "A")+COUNTIF('Detailed Attendance'!BQ55:BQ55, "A")+COUNTIF('Detailed Attendance'!BY55:BY55, "A")+COUNTIF('Detailed Attendance'!CN55:CN55, "A")+COUNTIF('Detailed Attendance'!CV55:CV55, "A")</f>
        <v/>
      </c>
      <c r="AD54" s="64">
        <f>IF((AB54+AC54)=0,"", AB54/(AB54+AC54))</f>
        <v/>
      </c>
      <c r="AE54" s="63">
        <f>COUNTIF('Detailed Attendance'!L55:L55, "P")+COUNTIF('Detailed Attendance'!P55:P55, "P")+COUNTIF('Detailed Attendance'!AF55:AF55, "P")+COUNTIF('Detailed Attendance'!AJ55:AJ55, "P")+COUNTIF('Detailed Attendance'!AZ55:AZ55, "P")+COUNTIF('Detailed Attendance'!BD55:BD55, "P")+COUNTIF('Detailed Attendance'!BT55:BT55, "P")+COUNTIF('Detailed Attendance'!BX55:BX55, "P")+COUNTIF('Detailed Attendance'!CQ55:CQ55, "P")+COUNTIF('Detailed Attendance'!CU55:CU55, "P")</f>
        <v/>
      </c>
      <c r="AF54" s="67">
        <f>COUNTIF('Detailed Attendance'!L55:L55, "A")+COUNTIF('Detailed Attendance'!P55:P55, "A")+COUNTIF('Detailed Attendance'!AF55:AF55, "A")+COUNTIF('Detailed Attendance'!AJ55:AJ55, "A")+COUNTIF('Detailed Attendance'!AZ55:AZ55, "A")+COUNTIF('Detailed Attendance'!BD55:BD55, "A")+COUNTIF('Detailed Attendance'!BT55:BT55, "A")+COUNTIF('Detailed Attendance'!BX55:BX55, "A")+COUNTIF('Detailed Attendance'!CQ55:CQ55, "A")+COUNTIF('Detailed Attendance'!CU55:CU55, "A")</f>
        <v/>
      </c>
      <c r="AG54" s="68">
        <f>IF((AE54+AF54)=0,"", AE54/(AE54+AF54))</f>
        <v/>
      </c>
      <c r="AH54" s="67">
        <f>COUNTIF('Detailed Attendance'!T55:T55, "P")+COUNTIF('Detailed Attendance'!AN55:AN55, "P")+COUNTIF('Detailed Attendance'!AR55:AR55, "P")+COUNTIF('Detailed Attendance'!BH55:BH55, "P")+COUNTIF('Detailed Attendance'!CB55:CB55, "P")+COUNTIF('Detailed Attendance'!CF55:CF55, "P")+COUNTIF('Detailed Attendance'!CY55:CY55, "P")</f>
        <v/>
      </c>
      <c r="AI54" s="67">
        <f>COUNTIF('Detailed Attendance'!T55:T55, "A")+COUNTIF('Detailed Attendance'!AN55:AN55, "A")+COUNTIF('Detailed Attendance'!AR55:AR55, "A")+COUNTIF('Detailed Attendance'!BH55:BH55, "A")+COUNTIF('Detailed Attendance'!CB55:CB55, "A")+COUNTIF('Detailed Attendance'!CF55:CF55, "A")+COUNTIF('Detailed Attendance'!CY55:CY55, "A")</f>
        <v/>
      </c>
      <c r="AJ54" s="68">
        <f>IF((AH54+AI54)=0,"", AH54/(AH54+AI54))</f>
        <v/>
      </c>
      <c r="AK54" s="67">
        <f>COUNTIF('Detailed Attendance'!M55:M55, "P")+COUNTIF('Detailed Attendance'!U55:U55, "P")+COUNTIF('Detailed Attendance'!AG55:AG55, "P")+COUNTIF('Detailed Attendance'!AO55:AO55, "P")+COUNTIF('Detailed Attendance'!BA55:BA55, "P")+COUNTIF('Detailed Attendance'!BI55:BI55, "P")+COUNTIF('Detailed Attendance'!BU55:BU55, "P")+COUNTIF('Detailed Attendance'!CC55:CC55, "P")+COUNTIF('Detailed Attendance'!CR55:CR55, "P")+COUNTIF('Detailed Attendance'!CZ55:CZ55, "P")</f>
        <v/>
      </c>
      <c r="AL54" s="67">
        <f>COUNTIF('Detailed Attendance'!M55:M55, "A")+COUNTIF('Detailed Attendance'!U55:U55, "A")+COUNTIF('Detailed Attendance'!AG55:AG55, "A")+COUNTIF('Detailed Attendance'!AO55:AO55, "A")+COUNTIF('Detailed Attendance'!BA55:BA55, "A")+COUNTIF('Detailed Attendance'!BI55:BI55, "A")+COUNTIF('Detailed Attendance'!BU55:BU55, "A")+COUNTIF('Detailed Attendance'!CC55:CC55, "A")+COUNTIF('Detailed Attendance'!CR55:CR55, "A")+COUNTIF('Detailed Attendance'!CZ55:CZ55, "A")</f>
        <v/>
      </c>
      <c r="AM54" s="68">
        <f>IF((AK54+AL54)=0,"", AK54/(AK54+AL54))</f>
        <v/>
      </c>
      <c r="AN54" s="67">
        <f>Y54+AB54+AE54+AH54+AK54</f>
        <v/>
      </c>
      <c r="AO54" s="67">
        <f>Z54+AC54+AF54+AI54+AL54</f>
        <v/>
      </c>
      <c r="AP54" s="68">
        <f>IF((AN54+AO54)=0,"", AN54/(AN54+AO54))</f>
        <v/>
      </c>
      <c r="AQ54" s="69">
        <f>COUNTIF('Detailed Attendance'!CG55:CG55, "P")+COUNTIF('Detailed Attendance'!CH55:CH55, "P")+COUNTIF('Detailed Attendance'!V55:V55, "P")+COUNTIF('Detailed Attendance'!AP55:AP55, "P")+COUNTIF('Detailed Attendance'!BJ55:BJ55, "P")+COUNTIF('Detailed Attendance'!CD55:CD55, "P")+COUNTIF('Detailed Attendance'!DA55:DA55, "P")</f>
        <v/>
      </c>
      <c r="AR54" s="69">
        <f>COUNTIF('Detailed Attendance'!CG55:CG55, "A")+COUNTIF('Detailed Attendance'!CH55:CH55, "A")+COUNTIF('Detailed Attendance'!V55:V55, "A")+COUNTIF('Detailed Attendance'!AP55:AP55, "A")+COUNTIF('Detailed Attendance'!BJ55:BJ55, "A")+COUNTIF('Detailed Attendance'!CD55:CD55, "A")+COUNTIF('Detailed Attendance'!DA55:DA55, "A")</f>
        <v/>
      </c>
      <c r="AS54" s="70">
        <f>IF((AQ54+AR54)=0,"", AQ54/(AQ54+AR54))</f>
        <v/>
      </c>
      <c r="AT54" s="67">
        <f>COUNTIF('Detailed Attendance'!DF55:DF55, "P")+COUNTIF('Detailed Attendance'!DT55:DT55, "P")+COUNTIF('Detailed Attendance'!EC55:EC55, "P")+COUNTIF('Detailed Attendance'!EQ55:EQ55, "P")+COUNTIF('Detailed Attendance'!EW55:EW55, "P")+COUNTIF('Detailed Attendance'!FK55:FK55, "P")+COUNTIF('Detailed Attendance'!FM55:FM55, "P")+COUNTIF('Detailed Attendance'!GA55:GA55, "P")</f>
        <v/>
      </c>
      <c r="AU54" s="67">
        <f>COUNTIF('Detailed Attendance'!DF55:DF55, "A")+COUNTIF('Detailed Attendance'!DT55:DT55, "A")+COUNTIF('Detailed Attendance'!EC55:EC55, "A")+COUNTIF('Detailed Attendance'!EQ55:EQ55, "A")+COUNTIF('Detailed Attendance'!EW55:EW55, "A")+COUNTIF('Detailed Attendance'!FK55:FK55, "A")+COUNTIF('Detailed Attendance'!FM55:FM55, "A")+COUNTIF('Detailed Attendance'!GA55:GA55, "A")</f>
        <v/>
      </c>
      <c r="AV54" s="68">
        <f>IF((AT54+AU54)=0,"", AT54/(AT54+AU54))</f>
        <v/>
      </c>
      <c r="AW54" s="67">
        <f>COUNTIF('Detailed Attendance'!DK55:DK55, "P")+COUNTIF('Detailed Attendance'!DS55:DS55, "P")+COUNTIF('Detailed Attendance'!EH55:EH55, "P")+COUNTIF('Detailed Attendance'!EP55:EP55, "P")+COUNTIF('Detailed Attendance'!FB55:FB55, "P")+COUNTIF('Detailed Attendance'!FJ55:FJ55, "P")+COUNTIF('Detailed Attendance'!FR55:FR55, "P")+COUNTIF('Detailed Attendance'!FZ55:FZ55, "P")</f>
        <v/>
      </c>
      <c r="AX54" s="67">
        <f>COUNTIF('Detailed Attendance'!DK55:DK55, "A")+COUNTIF('Detailed Attendance'!DS55:DS55, "A")+COUNTIF('Detailed Attendance'!EH55:EH55, "A")+COUNTIF('Detailed Attendance'!EP55:EP55, "A")+COUNTIF('Detailed Attendance'!FB55:FB55, "A")+COUNTIF('Detailed Attendance'!FJ55:FJ55, "A")+COUNTIF('Detailed Attendance'!FR55:FR55, "A")+COUNTIF('Detailed Attendance'!FZ55:FZ55, "A")</f>
        <v/>
      </c>
      <c r="AY54" s="68">
        <f>IF((AW54+AX54)=0,"", AW54/(AW54+AX54))</f>
        <v/>
      </c>
      <c r="AZ54" s="67">
        <f>COUNTIF('Detailed Attendance'!DN55:DN55, "P")+COUNTIF('Detailed Attendance'!DR55:DR55, "P")+COUNTIF('Detailed Attendance'!EK55:EK55, "P")+COUNTIF('Detailed Attendance'!EO55:EO55, "P")+COUNTIF('Detailed Attendance'!FE55:FE55, "P")+COUNTIF('Detailed Attendance'!FI55:FI55, "P")+COUNTIF('Detailed Attendance'!FU55:FU55, "P")+COUNTIF('Detailed Attendance'!FY55:FY55, "P")</f>
        <v/>
      </c>
      <c r="BA54" s="67">
        <f>COUNTIF('Detailed Attendance'!DN55:DN55, "A")+COUNTIF('Detailed Attendance'!DR55:DR55, "A")+COUNTIF('Detailed Attendance'!EK55:EK55, "A")+COUNTIF('Detailed Attendance'!EO55:EO55, "A")+COUNTIF('Detailed Attendance'!FE55:FE55, "A")+COUNTIF('Detailed Attendance'!FI55:FI55, "A")+COUNTIF('Detailed Attendance'!FU55:FU55, "A")+COUNTIF('Detailed Attendance'!FY55:FY55, "A")</f>
        <v/>
      </c>
      <c r="BB54" s="68">
        <f>IF((AZ54+BA54)=0,"", AZ54/(AZ54+BA54))</f>
        <v/>
      </c>
      <c r="BC54" s="67">
        <f>COUNTIF('Detailed Attendance'!DC55:DC55, "P")+COUNTIF('Detailed Attendance'!DV55:DV55, "P")+COUNTIF('Detailed Attendance'!DZ55:DZ55, "P")+COUNTIF('Detailed Attendance'!ES55:ES55, "P")+COUNTIF('Detailed Attendance'!GC55:GC55, "P")+COUNTIF('Detailed Attendance'!GG55:GG55, "P")</f>
        <v/>
      </c>
      <c r="BD54" s="67">
        <f>COUNTIF('Detailed Attendance'!DC55:DC55, "A")+COUNTIF('Detailed Attendance'!DV55:DV55, "A")+COUNTIF('Detailed Attendance'!DZ55:DZ55, "A")+COUNTIF('Detailed Attendance'!ES55:ES55, "A")+COUNTIF('Detailed Attendance'!GC55:GC55, "A")+COUNTIF('Detailed Attendance'!GG55:GG55, "A")</f>
        <v/>
      </c>
      <c r="BE54" s="68">
        <f>IF((BC54+BD54)=0,"", BC54/(BC54+BD54))</f>
        <v/>
      </c>
      <c r="BF54" s="67">
        <f>COUNTIF('Detailed Attendance'!DO55:DO55, "P")+COUNTIF('Detailed Attendance'!DW55:DW55, "P")+COUNTIF('Detailed Attendance'!EL55:EL55, "P")+COUNTIF('Detailed Attendance'!ET55:ET55, "P")+COUNTIF('Detailed Attendance'!FF55:FF55, "P")+COUNTIF('Detailed Attendance'!FV55:FV55, "P")+COUNTIF('Detailed Attendance'!GD55:GD55, "P")</f>
        <v/>
      </c>
      <c r="BG54" s="67">
        <f>COUNTIF('Detailed Attendance'!DO55:DO55, "A")+COUNTIF('Detailed Attendance'!DW55:DW55, "A")+COUNTIF('Detailed Attendance'!EL55:EL55, "A")+COUNTIF('Detailed Attendance'!ET55:ET55, "A")+COUNTIF('Detailed Attendance'!FF55:FF55, "A")+COUNTIF('Detailed Attendance'!FV55:FV55, "A")+COUNTIF('Detailed Attendance'!GD55:GD55, "A")</f>
        <v/>
      </c>
      <c r="BH54" s="68">
        <f>IF((BF54+BG54)=0,"", BF54/(BF54+BG54))</f>
        <v/>
      </c>
      <c r="BI54" s="67">
        <f>AT54+AW54+AZ54+BC54+BF54</f>
        <v/>
      </c>
      <c r="BJ54" s="67">
        <f>AU54+AX54+BA54+BD54+BG54</f>
        <v/>
      </c>
      <c r="BK54" s="68">
        <f>IF((BI54+BJ54)=0,"", BI54/(BI54+BJ54))</f>
        <v/>
      </c>
      <c r="BL54" s="69">
        <f>COUNTIF('Detailed Attendance'!DD55:DD55, "P")+COUNTIF('Detailed Attendance'!EA55:EA55, "P")+COUNTIF('Detailed Attendance'!GH55:GH55, "P")+COUNTIF('Detailed Attendance'!DE55:DE55, "P")+COUNTIF('Detailed Attendance'!EB55:EB55, "P")+COUNTIF('Detailed Attendance'!GI55:GI55, "P")+COUNTIF('Detailed Attendance'!DX55:DX55, "P")+COUNTIF('Detailed Attendance'!EU55:EU55, "P")+COUNTIF('Detailed Attendance'!GE55:GE55, "P")</f>
        <v/>
      </c>
      <c r="BM54" s="69">
        <f>COUNTIF('Detailed Attendance'!DD55:DD55, "A")+COUNTIF('Detailed Attendance'!EA55:EA55, "A")+COUNTIF('Detailed Attendance'!GH55:GH55, "A")+COUNTIF('Detailed Attendance'!DE55:DE55, "A")+COUNTIF('Detailed Attendance'!EB55:EB55, "A")+COUNTIF('Detailed Attendance'!GI55:GI55, "A")+COUNTIF('Detailed Attendance'!DX55:DX55, "A")+COUNTIF('Detailed Attendance'!EU55:EU55, "A")+COUNTIF('Detailed Attendance'!GE55:GE55, "A")</f>
        <v/>
      </c>
      <c r="BN54" s="70">
        <f>IF((BL54+BM54)=0,"", BL54/(BL54+BM54))</f>
        <v/>
      </c>
      <c r="BO54" s="67">
        <f>D54+Y54+AT54</f>
        <v/>
      </c>
      <c r="BP54" s="67">
        <f>E54+Z54+AU54</f>
        <v/>
      </c>
      <c r="BQ54" s="68">
        <f>IF((BO54+BP54)=0,"", BO54/(BO54+BP54))</f>
        <v/>
      </c>
      <c r="BR54" s="67">
        <f>G54+AB54+AW54</f>
        <v/>
      </c>
      <c r="BS54" s="67">
        <f>H54+AC54+AX54</f>
        <v/>
      </c>
      <c r="BT54" s="68">
        <f>IF((BR54+BS54)=0,"", BR54/(BR54+BS54))</f>
        <v/>
      </c>
      <c r="BU54" s="67">
        <f>J54+AE54+AZ54</f>
        <v/>
      </c>
      <c r="BV54" s="67">
        <f>K54+AF54+BA54</f>
        <v/>
      </c>
      <c r="BW54" s="68">
        <f>IF((BU54+BV54)=0,"", BU54/(BU54+BV54))</f>
        <v/>
      </c>
      <c r="BX54" s="67">
        <f>M54+AH54+BC54</f>
        <v/>
      </c>
      <c r="BY54" s="67">
        <f>N54+AI54+BD54</f>
        <v/>
      </c>
      <c r="BZ54" s="68">
        <f>IF((BX54+BY54)=0,"", BX54/(BX54+BY54))</f>
        <v/>
      </c>
      <c r="CA54" s="67">
        <f>P54+AK54+BF54</f>
        <v/>
      </c>
      <c r="CB54" s="67">
        <f>Q54+AL54+BG54</f>
        <v/>
      </c>
      <c r="CC54" s="68">
        <f>IF((CA54+CB54)=0,"", CA54/(CA54+CB54))</f>
        <v/>
      </c>
      <c r="CD54" s="67">
        <f>S54+AN54+BI54</f>
        <v/>
      </c>
      <c r="CE54" s="67">
        <f>T54+AO54+BJ54</f>
        <v/>
      </c>
      <c r="CF54" s="68">
        <f>IF((CD54+CE54)=0,"", CD54/(CD54+CE54))</f>
        <v/>
      </c>
      <c r="CG54" s="69">
        <f>V54+AQ54+BL54</f>
        <v/>
      </c>
      <c r="CH54" s="69">
        <f>W54+AR54+BM54</f>
        <v/>
      </c>
      <c r="CI54" s="70">
        <f>IF((CG54+CH54)=0,"", CG54/(CG54+CH54))</f>
        <v/>
      </c>
      <c r="CJ54" s="67">
        <f>CD54+(CG54*2)</f>
        <v/>
      </c>
      <c r="CK54" s="67">
        <f>CE54+(CH54*2)</f>
        <v/>
      </c>
      <c r="CL54" s="68">
        <f>IF((CJ54+CK54)=0,"", CJ54/(CJ54+CK54))</f>
        <v/>
      </c>
      <c r="CM54" s="67" t="inlineStr">
        <is>
          <t>Batch 2</t>
        </is>
      </c>
    </row>
    <row r="55" ht="14.25" customHeight="1" s="34">
      <c r="A55" s="46" t="n">
        <v>53</v>
      </c>
      <c r="B55" s="46" t="inlineStr">
        <is>
          <t>325106410053</t>
        </is>
      </c>
      <c r="C55" s="46" t="inlineStr">
        <is>
          <t>SURYA VENKATA SRINIVAS TIRANDI</t>
        </is>
      </c>
      <c r="D55" s="63" t="n">
        <v>0</v>
      </c>
      <c r="E55" s="63" t="n">
        <v>0</v>
      </c>
      <c r="F55" s="64">
        <f>IF((D55+E55)=0,"", D55/(D55+E55))</f>
        <v/>
      </c>
      <c r="G55" s="63">
        <f>COUNTIF('Detailed Attendance'!I56:I56, "P")</f>
        <v/>
      </c>
      <c r="H55" s="63">
        <f>COUNTIF('Detailed Attendance'!I56:I56, "A")</f>
        <v/>
      </c>
      <c r="I55" s="64">
        <f>IF((G55+H55)=0,"", G55/(G55+H55))</f>
        <v/>
      </c>
      <c r="J55" s="63" t="n">
        <v>0</v>
      </c>
      <c r="K55" s="63" t="n">
        <v>0</v>
      </c>
      <c r="L55" s="64">
        <f>IF((J55+K55)=0,"", J55/(J55+K55))</f>
        <v/>
      </c>
      <c r="M55" s="63">
        <f>COUNTIF('Detailed Attendance'!D56:D56, "P")</f>
        <v/>
      </c>
      <c r="N55" s="63">
        <f>COUNTIF('Detailed Attendance'!D56:D56, "A")</f>
        <v/>
      </c>
      <c r="O55" s="64">
        <f>IF((M55+N55)=0,"", M55/(M55+N55))</f>
        <v/>
      </c>
      <c r="P55" s="63" t="n">
        <v>0</v>
      </c>
      <c r="Q55" s="63" t="n">
        <v>0</v>
      </c>
      <c r="R55" s="64">
        <f>IF((P55+Q55)=0,"", P55/(P55+Q55))</f>
        <v/>
      </c>
      <c r="S55" s="63">
        <f>D55+G55+J55+M55+P55</f>
        <v/>
      </c>
      <c r="T55" s="63">
        <f>E55+H55+K55+N55+Q55</f>
        <v/>
      </c>
      <c r="U55" s="64">
        <f>IF((S55+T55)=0,"", S55/(S55+T55))</f>
        <v/>
      </c>
      <c r="V55" s="65" t="n">
        <v>0</v>
      </c>
      <c r="W55" s="65" t="n">
        <v>0</v>
      </c>
      <c r="X55" s="66">
        <f>IF((V55+W55)=0,"", V55/(V55+W55))</f>
        <v/>
      </c>
      <c r="Y55" s="63">
        <f>COUNTIF('Detailed Attendance'!R56:R56, "P")+COUNTIF('Detailed Attendance'!X56:X56, "P")+COUNTIF('Detailed Attendance'!AL56:AL56, "P")+COUNTIF('Detailed Attendance'!BF56:BF56, "P")+COUNTIF('Detailed Attendance'!BL56:BL56, "P")+COUNTIF('Detailed Attendance'!BZ56:BZ56, "P")+COUNTIF('Detailed Attendance'!CI56:CI56, "P")+COUNTIF('Detailed Attendance'!CW56:CW56, "P")</f>
        <v/>
      </c>
      <c r="Z55" s="63">
        <f>COUNTIF('Detailed Attendance'!R56:R56, "A")+COUNTIF('Detailed Attendance'!X56:X56, "A")+COUNTIF('Detailed Attendance'!AL56:AL56, "A")+COUNTIF('Detailed Attendance'!BF56:BF56, "A")+COUNTIF('Detailed Attendance'!BL56:BL56, "A")+COUNTIF('Detailed Attendance'!BZ56:BZ56, "A")+COUNTIF('Detailed Attendance'!CI56:CI56, "A")+COUNTIF('Detailed Attendance'!CW56:CW56, "A")</f>
        <v/>
      </c>
      <c r="AA55" s="64">
        <f>IF((Y55+Z55)=0,"", Y55/(Y55+Z55))</f>
        <v/>
      </c>
      <c r="AB55" s="63">
        <f>COUNTIF('Detailed Attendance'!Q56:Q56, "P")+COUNTIF('Detailed Attendance'!AC56:AC56, "P")+COUNTIF('Detailed Attendance'!AK56:AK56, "P")+COUNTIF('Detailed Attendance'!AW56:AW56, "P")+COUNTIF('Detailed Attendance'!BE56:BE56, "P")+COUNTIF('Detailed Attendance'!BQ56:BQ56, "P")+COUNTIF('Detailed Attendance'!BY56:BY56, "P")+COUNTIF('Detailed Attendance'!CN56:CN56, "P")+COUNTIF('Detailed Attendance'!CV56:CV56, "P")</f>
        <v/>
      </c>
      <c r="AC55" s="63">
        <f>COUNTIF('Detailed Attendance'!Q56:Q56, "A")+COUNTIF('Detailed Attendance'!AC56:AC56, "A")+COUNTIF('Detailed Attendance'!AK56:AK56, "A")+COUNTIF('Detailed Attendance'!AW56:AW56, "A")+COUNTIF('Detailed Attendance'!BE56:BE56, "A")+COUNTIF('Detailed Attendance'!BQ56:BQ56, "A")+COUNTIF('Detailed Attendance'!BY56:BY56, "A")+COUNTIF('Detailed Attendance'!CN56:CN56, "A")+COUNTIF('Detailed Attendance'!CV56:CV56, "A")</f>
        <v/>
      </c>
      <c r="AD55" s="64">
        <f>IF((AB55+AC55)=0,"", AB55/(AB55+AC55))</f>
        <v/>
      </c>
      <c r="AE55" s="63">
        <f>COUNTIF('Detailed Attendance'!L56:L56, "P")+COUNTIF('Detailed Attendance'!P56:P56, "P")+COUNTIF('Detailed Attendance'!AF56:AF56, "P")+COUNTIF('Detailed Attendance'!AJ56:AJ56, "P")+COUNTIF('Detailed Attendance'!AZ56:AZ56, "P")+COUNTIF('Detailed Attendance'!BD56:BD56, "P")+COUNTIF('Detailed Attendance'!BT56:BT56, "P")+COUNTIF('Detailed Attendance'!BX56:BX56, "P")+COUNTIF('Detailed Attendance'!CQ56:CQ56, "P")+COUNTIF('Detailed Attendance'!CU56:CU56, "P")</f>
        <v/>
      </c>
      <c r="AF55" s="67">
        <f>COUNTIF('Detailed Attendance'!L56:L56, "A")+COUNTIF('Detailed Attendance'!P56:P56, "A")+COUNTIF('Detailed Attendance'!AF56:AF56, "A")+COUNTIF('Detailed Attendance'!AJ56:AJ56, "A")+COUNTIF('Detailed Attendance'!AZ56:AZ56, "A")+COUNTIF('Detailed Attendance'!BD56:BD56, "A")+COUNTIF('Detailed Attendance'!BT56:BT56, "A")+COUNTIF('Detailed Attendance'!BX56:BX56, "A")+COUNTIF('Detailed Attendance'!CQ56:CQ56, "A")+COUNTIF('Detailed Attendance'!CU56:CU56, "A")</f>
        <v/>
      </c>
      <c r="AG55" s="68">
        <f>IF((AE55+AF55)=0,"", AE55/(AE55+AF55))</f>
        <v/>
      </c>
      <c r="AH55" s="67">
        <f>COUNTIF('Detailed Attendance'!T56:T56, "P")+COUNTIF('Detailed Attendance'!AN56:AN56, "P")+COUNTIF('Detailed Attendance'!AR56:AR56, "P")+COUNTIF('Detailed Attendance'!BH56:BH56, "P")+COUNTIF('Detailed Attendance'!CB56:CB56, "P")+COUNTIF('Detailed Attendance'!CF56:CF56, "P")+COUNTIF('Detailed Attendance'!CY56:CY56, "P")</f>
        <v/>
      </c>
      <c r="AI55" s="67">
        <f>COUNTIF('Detailed Attendance'!T56:T56, "A")+COUNTIF('Detailed Attendance'!AN56:AN56, "A")+COUNTIF('Detailed Attendance'!AR56:AR56, "A")+COUNTIF('Detailed Attendance'!BH56:BH56, "A")+COUNTIF('Detailed Attendance'!CB56:CB56, "A")+COUNTIF('Detailed Attendance'!CF56:CF56, "A")+COUNTIF('Detailed Attendance'!CY56:CY56, "A")</f>
        <v/>
      </c>
      <c r="AJ55" s="68">
        <f>IF((AH55+AI55)=0,"", AH55/(AH55+AI55))</f>
        <v/>
      </c>
      <c r="AK55" s="67">
        <f>COUNTIF('Detailed Attendance'!M56:M56, "P")+COUNTIF('Detailed Attendance'!U56:U56, "P")+COUNTIF('Detailed Attendance'!AG56:AG56, "P")+COUNTIF('Detailed Attendance'!AO56:AO56, "P")+COUNTIF('Detailed Attendance'!BA56:BA56, "P")+COUNTIF('Detailed Attendance'!BI56:BI56, "P")+COUNTIF('Detailed Attendance'!BU56:BU56, "P")+COUNTIF('Detailed Attendance'!CC56:CC56, "P")+COUNTIF('Detailed Attendance'!CR56:CR56, "P")+COUNTIF('Detailed Attendance'!CZ56:CZ56, "P")</f>
        <v/>
      </c>
      <c r="AL55" s="67">
        <f>COUNTIF('Detailed Attendance'!M56:M56, "A")+COUNTIF('Detailed Attendance'!U56:U56, "A")+COUNTIF('Detailed Attendance'!AG56:AG56, "A")+COUNTIF('Detailed Attendance'!AO56:AO56, "A")+COUNTIF('Detailed Attendance'!BA56:BA56, "A")+COUNTIF('Detailed Attendance'!BI56:BI56, "A")+COUNTIF('Detailed Attendance'!BU56:BU56, "A")+COUNTIF('Detailed Attendance'!CC56:CC56, "A")+COUNTIF('Detailed Attendance'!CR56:CR56, "A")+COUNTIF('Detailed Attendance'!CZ56:CZ56, "A")</f>
        <v/>
      </c>
      <c r="AM55" s="68">
        <f>IF((AK55+AL55)=0,"", AK55/(AK55+AL55))</f>
        <v/>
      </c>
      <c r="AN55" s="67">
        <f>Y55+AB55+AE55+AH55+AK55</f>
        <v/>
      </c>
      <c r="AO55" s="67">
        <f>Z55+AC55+AF55+AI55+AL55</f>
        <v/>
      </c>
      <c r="AP55" s="68">
        <f>IF((AN55+AO55)=0,"", AN55/(AN55+AO55))</f>
        <v/>
      </c>
      <c r="AQ55" s="69">
        <f>COUNTIF('Detailed Attendance'!CG56:CG56, "P")+COUNTIF('Detailed Attendance'!CH56:CH56, "P")+COUNTIF('Detailed Attendance'!V56:V56, "P")+COUNTIF('Detailed Attendance'!AP56:AP56, "P")+COUNTIF('Detailed Attendance'!BJ56:BJ56, "P")+COUNTIF('Detailed Attendance'!CD56:CD56, "P")+COUNTIF('Detailed Attendance'!DA56:DA56, "P")</f>
        <v/>
      </c>
      <c r="AR55" s="69">
        <f>COUNTIF('Detailed Attendance'!CG56:CG56, "A")+COUNTIF('Detailed Attendance'!CH56:CH56, "A")+COUNTIF('Detailed Attendance'!V56:V56, "A")+COUNTIF('Detailed Attendance'!AP56:AP56, "A")+COUNTIF('Detailed Attendance'!BJ56:BJ56, "A")+COUNTIF('Detailed Attendance'!CD56:CD56, "A")+COUNTIF('Detailed Attendance'!DA56:DA56, "A")</f>
        <v/>
      </c>
      <c r="AS55" s="70">
        <f>IF((AQ55+AR55)=0,"", AQ55/(AQ55+AR55))</f>
        <v/>
      </c>
      <c r="AT55" s="67">
        <f>COUNTIF('Detailed Attendance'!DF56:DF56, "P")+COUNTIF('Detailed Attendance'!DT56:DT56, "P")+COUNTIF('Detailed Attendance'!EC56:EC56, "P")+COUNTIF('Detailed Attendance'!EQ56:EQ56, "P")+COUNTIF('Detailed Attendance'!EW56:EW56, "P")+COUNTIF('Detailed Attendance'!FK56:FK56, "P")+COUNTIF('Detailed Attendance'!FM56:FM56, "P")+COUNTIF('Detailed Attendance'!GA56:GA56, "P")</f>
        <v/>
      </c>
      <c r="AU55" s="67">
        <f>COUNTIF('Detailed Attendance'!DF56:DF56, "A")+COUNTIF('Detailed Attendance'!DT56:DT56, "A")+COUNTIF('Detailed Attendance'!EC56:EC56, "A")+COUNTIF('Detailed Attendance'!EQ56:EQ56, "A")+COUNTIF('Detailed Attendance'!EW56:EW56, "A")+COUNTIF('Detailed Attendance'!FK56:FK56, "A")+COUNTIF('Detailed Attendance'!FM56:FM56, "A")+COUNTIF('Detailed Attendance'!GA56:GA56, "A")</f>
        <v/>
      </c>
      <c r="AV55" s="68">
        <f>IF((AT55+AU55)=0,"", AT55/(AT55+AU55))</f>
        <v/>
      </c>
      <c r="AW55" s="67">
        <f>COUNTIF('Detailed Attendance'!DK56:DK56, "P")+COUNTIF('Detailed Attendance'!DS56:DS56, "P")+COUNTIF('Detailed Attendance'!EH56:EH56, "P")+COUNTIF('Detailed Attendance'!EP56:EP56, "P")+COUNTIF('Detailed Attendance'!FB56:FB56, "P")+COUNTIF('Detailed Attendance'!FJ56:FJ56, "P")+COUNTIF('Detailed Attendance'!FR56:FR56, "P")+COUNTIF('Detailed Attendance'!FZ56:FZ56, "P")</f>
        <v/>
      </c>
      <c r="AX55" s="67">
        <f>COUNTIF('Detailed Attendance'!DK56:DK56, "A")+COUNTIF('Detailed Attendance'!DS56:DS56, "A")+COUNTIF('Detailed Attendance'!EH56:EH56, "A")+COUNTIF('Detailed Attendance'!EP56:EP56, "A")+COUNTIF('Detailed Attendance'!FB56:FB56, "A")+COUNTIF('Detailed Attendance'!FJ56:FJ56, "A")+COUNTIF('Detailed Attendance'!FR56:FR56, "A")+COUNTIF('Detailed Attendance'!FZ56:FZ56, "A")</f>
        <v/>
      </c>
      <c r="AY55" s="68">
        <f>IF((AW55+AX55)=0,"", AW55/(AW55+AX55))</f>
        <v/>
      </c>
      <c r="AZ55" s="67">
        <f>COUNTIF('Detailed Attendance'!DN56:DN56, "P")+COUNTIF('Detailed Attendance'!DR56:DR56, "P")+COUNTIF('Detailed Attendance'!EK56:EK56, "P")+COUNTIF('Detailed Attendance'!EO56:EO56, "P")+COUNTIF('Detailed Attendance'!FE56:FE56, "P")+COUNTIF('Detailed Attendance'!FI56:FI56, "P")+COUNTIF('Detailed Attendance'!FU56:FU56, "P")+COUNTIF('Detailed Attendance'!FY56:FY56, "P")</f>
        <v/>
      </c>
      <c r="BA55" s="67">
        <f>COUNTIF('Detailed Attendance'!DN56:DN56, "A")+COUNTIF('Detailed Attendance'!DR56:DR56, "A")+COUNTIF('Detailed Attendance'!EK56:EK56, "A")+COUNTIF('Detailed Attendance'!EO56:EO56, "A")+COUNTIF('Detailed Attendance'!FE56:FE56, "A")+COUNTIF('Detailed Attendance'!FI56:FI56, "A")+COUNTIF('Detailed Attendance'!FU56:FU56, "A")+COUNTIF('Detailed Attendance'!FY56:FY56, "A")</f>
        <v/>
      </c>
      <c r="BB55" s="68">
        <f>IF((AZ55+BA55)=0,"", AZ55/(AZ55+BA55))</f>
        <v/>
      </c>
      <c r="BC55" s="67">
        <f>COUNTIF('Detailed Attendance'!DC56:DC56, "P")+COUNTIF('Detailed Attendance'!DV56:DV56, "P")+COUNTIF('Detailed Attendance'!DZ56:DZ56, "P")+COUNTIF('Detailed Attendance'!ES56:ES56, "P")+COUNTIF('Detailed Attendance'!GC56:GC56, "P")+COUNTIF('Detailed Attendance'!GG56:GG56, "P")</f>
        <v/>
      </c>
      <c r="BD55" s="67">
        <f>COUNTIF('Detailed Attendance'!DC56:DC56, "A")+COUNTIF('Detailed Attendance'!DV56:DV56, "A")+COUNTIF('Detailed Attendance'!DZ56:DZ56, "A")+COUNTIF('Detailed Attendance'!ES56:ES56, "A")+COUNTIF('Detailed Attendance'!GC56:GC56, "A")+COUNTIF('Detailed Attendance'!GG56:GG56, "A")</f>
        <v/>
      </c>
      <c r="BE55" s="68">
        <f>IF((BC55+BD55)=0,"", BC55/(BC55+BD55))</f>
        <v/>
      </c>
      <c r="BF55" s="67">
        <f>COUNTIF('Detailed Attendance'!DO56:DO56, "P")+COUNTIF('Detailed Attendance'!DW56:DW56, "P")+COUNTIF('Detailed Attendance'!EL56:EL56, "P")+COUNTIF('Detailed Attendance'!ET56:ET56, "P")+COUNTIF('Detailed Attendance'!FF56:FF56, "P")+COUNTIF('Detailed Attendance'!FV56:FV56, "P")+COUNTIF('Detailed Attendance'!GD56:GD56, "P")</f>
        <v/>
      </c>
      <c r="BG55" s="67">
        <f>COUNTIF('Detailed Attendance'!DO56:DO56, "A")+COUNTIF('Detailed Attendance'!DW56:DW56, "A")+COUNTIF('Detailed Attendance'!EL56:EL56, "A")+COUNTIF('Detailed Attendance'!ET56:ET56, "A")+COUNTIF('Detailed Attendance'!FF56:FF56, "A")+COUNTIF('Detailed Attendance'!FV56:FV56, "A")+COUNTIF('Detailed Attendance'!GD56:GD56, "A")</f>
        <v/>
      </c>
      <c r="BH55" s="68">
        <f>IF((BF55+BG55)=0,"", BF55/(BF55+BG55))</f>
        <v/>
      </c>
      <c r="BI55" s="67">
        <f>AT55+AW55+AZ55+BC55+BF55</f>
        <v/>
      </c>
      <c r="BJ55" s="67">
        <f>AU55+AX55+BA55+BD55+BG55</f>
        <v/>
      </c>
      <c r="BK55" s="68">
        <f>IF((BI55+BJ55)=0,"", BI55/(BI55+BJ55))</f>
        <v/>
      </c>
      <c r="BL55" s="69">
        <f>COUNTIF('Detailed Attendance'!DD56:DD56, "P")+COUNTIF('Detailed Attendance'!EA56:EA56, "P")+COUNTIF('Detailed Attendance'!GH56:GH56, "P")+COUNTIF('Detailed Attendance'!DE56:DE56, "P")+COUNTIF('Detailed Attendance'!EB56:EB56, "P")+COUNTIF('Detailed Attendance'!GI56:GI56, "P")+COUNTIF('Detailed Attendance'!DX56:DX56, "P")+COUNTIF('Detailed Attendance'!EU56:EU56, "P")+COUNTIF('Detailed Attendance'!GE56:GE56, "P")</f>
        <v/>
      </c>
      <c r="BM55" s="69">
        <f>COUNTIF('Detailed Attendance'!DD56:DD56, "A")+COUNTIF('Detailed Attendance'!EA56:EA56, "A")+COUNTIF('Detailed Attendance'!GH56:GH56, "A")+COUNTIF('Detailed Attendance'!DE56:DE56, "A")+COUNTIF('Detailed Attendance'!EB56:EB56, "A")+COUNTIF('Detailed Attendance'!GI56:GI56, "A")+COUNTIF('Detailed Attendance'!DX56:DX56, "A")+COUNTIF('Detailed Attendance'!EU56:EU56, "A")+COUNTIF('Detailed Attendance'!GE56:GE56, "A")</f>
        <v/>
      </c>
      <c r="BN55" s="70">
        <f>IF((BL55+BM55)=0,"", BL55/(BL55+BM55))</f>
        <v/>
      </c>
      <c r="BO55" s="67">
        <f>D55+Y55+AT55</f>
        <v/>
      </c>
      <c r="BP55" s="67">
        <f>E55+Z55+AU55</f>
        <v/>
      </c>
      <c r="BQ55" s="68">
        <f>IF((BO55+BP55)=0,"", BO55/(BO55+BP55))</f>
        <v/>
      </c>
      <c r="BR55" s="67">
        <f>G55+AB55+AW55</f>
        <v/>
      </c>
      <c r="BS55" s="67">
        <f>H55+AC55+AX55</f>
        <v/>
      </c>
      <c r="BT55" s="68">
        <f>IF((BR55+BS55)=0,"", BR55/(BR55+BS55))</f>
        <v/>
      </c>
      <c r="BU55" s="67">
        <f>J55+AE55+AZ55</f>
        <v/>
      </c>
      <c r="BV55" s="67">
        <f>K55+AF55+BA55</f>
        <v/>
      </c>
      <c r="BW55" s="68">
        <f>IF((BU55+BV55)=0,"", BU55/(BU55+BV55))</f>
        <v/>
      </c>
      <c r="BX55" s="67">
        <f>M55+AH55+BC55</f>
        <v/>
      </c>
      <c r="BY55" s="67">
        <f>N55+AI55+BD55</f>
        <v/>
      </c>
      <c r="BZ55" s="68">
        <f>IF((BX55+BY55)=0,"", BX55/(BX55+BY55))</f>
        <v/>
      </c>
      <c r="CA55" s="67">
        <f>P55+AK55+BF55</f>
        <v/>
      </c>
      <c r="CB55" s="67">
        <f>Q55+AL55+BG55</f>
        <v/>
      </c>
      <c r="CC55" s="68">
        <f>IF((CA55+CB55)=0,"", CA55/(CA55+CB55))</f>
        <v/>
      </c>
      <c r="CD55" s="67">
        <f>S55+AN55+BI55</f>
        <v/>
      </c>
      <c r="CE55" s="67">
        <f>T55+AO55+BJ55</f>
        <v/>
      </c>
      <c r="CF55" s="68">
        <f>IF((CD55+CE55)=0,"", CD55/(CD55+CE55))</f>
        <v/>
      </c>
      <c r="CG55" s="69">
        <f>V55+AQ55+BL55</f>
        <v/>
      </c>
      <c r="CH55" s="69">
        <f>W55+AR55+BM55</f>
        <v/>
      </c>
      <c r="CI55" s="70">
        <f>IF((CG55+CH55)=0,"", CG55/(CG55+CH55))</f>
        <v/>
      </c>
      <c r="CJ55" s="67">
        <f>CD55+(CG55*2)</f>
        <v/>
      </c>
      <c r="CK55" s="67">
        <f>CE55+(CH55*2)</f>
        <v/>
      </c>
      <c r="CL55" s="68">
        <f>IF((CJ55+CK55)=0,"", CJ55/(CJ55+CK55))</f>
        <v/>
      </c>
      <c r="CM55" s="67" t="inlineStr">
        <is>
          <t>Batch 2</t>
        </is>
      </c>
    </row>
    <row r="56" ht="14.25" customHeight="1" s="34">
      <c r="A56" s="46" t="n">
        <v>54</v>
      </c>
      <c r="B56" s="46" t="inlineStr">
        <is>
          <t>325106410054</t>
        </is>
      </c>
      <c r="C56" s="46" t="inlineStr">
        <is>
          <t>PRANAVI V</t>
        </is>
      </c>
      <c r="D56" s="63" t="n">
        <v>0</v>
      </c>
      <c r="E56" s="63" t="n">
        <v>0</v>
      </c>
      <c r="F56" s="64">
        <f>IF((D56+E56)=0,"", D56/(D56+E56))</f>
        <v/>
      </c>
      <c r="G56" s="63">
        <f>COUNTIF('Detailed Attendance'!I57:I57, "P")</f>
        <v/>
      </c>
      <c r="H56" s="63">
        <f>COUNTIF('Detailed Attendance'!I57:I57, "A")</f>
        <v/>
      </c>
      <c r="I56" s="64">
        <f>IF((G56+H56)=0,"", G56/(G56+H56))</f>
        <v/>
      </c>
      <c r="J56" s="63" t="n">
        <v>0</v>
      </c>
      <c r="K56" s="63" t="n">
        <v>0</v>
      </c>
      <c r="L56" s="64">
        <f>IF((J56+K56)=0,"", J56/(J56+K56))</f>
        <v/>
      </c>
      <c r="M56" s="63">
        <f>COUNTIF('Detailed Attendance'!D57:D57, "P")</f>
        <v/>
      </c>
      <c r="N56" s="63">
        <f>COUNTIF('Detailed Attendance'!D57:D57, "A")</f>
        <v/>
      </c>
      <c r="O56" s="64">
        <f>IF((M56+N56)=0,"", M56/(M56+N56))</f>
        <v/>
      </c>
      <c r="P56" s="63" t="n">
        <v>0</v>
      </c>
      <c r="Q56" s="63" t="n">
        <v>0</v>
      </c>
      <c r="R56" s="64">
        <f>IF((P56+Q56)=0,"", P56/(P56+Q56))</f>
        <v/>
      </c>
      <c r="S56" s="63">
        <f>D56+G56+J56+M56+P56</f>
        <v/>
      </c>
      <c r="T56" s="63">
        <f>E56+H56+K56+N56+Q56</f>
        <v/>
      </c>
      <c r="U56" s="64">
        <f>IF((S56+T56)=0,"", S56/(S56+T56))</f>
        <v/>
      </c>
      <c r="V56" s="65" t="n">
        <v>0</v>
      </c>
      <c r="W56" s="65" t="n">
        <v>0</v>
      </c>
      <c r="X56" s="66">
        <f>IF((V56+W56)=0,"", V56/(V56+W56))</f>
        <v/>
      </c>
      <c r="Y56" s="63">
        <f>COUNTIF('Detailed Attendance'!R57:R57, "P")+COUNTIF('Detailed Attendance'!X57:X57, "P")+COUNTIF('Detailed Attendance'!AL57:AL57, "P")+COUNTIF('Detailed Attendance'!BF57:BF57, "P")+COUNTIF('Detailed Attendance'!BL57:BL57, "P")+COUNTIF('Detailed Attendance'!BZ57:BZ57, "P")+COUNTIF('Detailed Attendance'!CI57:CI57, "P")+COUNTIF('Detailed Attendance'!CW57:CW57, "P")</f>
        <v/>
      </c>
      <c r="Z56" s="63">
        <f>COUNTIF('Detailed Attendance'!R57:R57, "A")+COUNTIF('Detailed Attendance'!X57:X57, "A")+COUNTIF('Detailed Attendance'!AL57:AL57, "A")+COUNTIF('Detailed Attendance'!BF57:BF57, "A")+COUNTIF('Detailed Attendance'!BL57:BL57, "A")+COUNTIF('Detailed Attendance'!BZ57:BZ57, "A")+COUNTIF('Detailed Attendance'!CI57:CI57, "A")+COUNTIF('Detailed Attendance'!CW57:CW57, "A")</f>
        <v/>
      </c>
      <c r="AA56" s="64">
        <f>IF((Y56+Z56)=0,"", Y56/(Y56+Z56))</f>
        <v/>
      </c>
      <c r="AB56" s="63">
        <f>COUNTIF('Detailed Attendance'!Q57:Q57, "P")+COUNTIF('Detailed Attendance'!AC57:AC57, "P")+COUNTIF('Detailed Attendance'!AK57:AK57, "P")+COUNTIF('Detailed Attendance'!AW57:AW57, "P")+COUNTIF('Detailed Attendance'!BE57:BE57, "P")+COUNTIF('Detailed Attendance'!BQ57:BQ57, "P")+COUNTIF('Detailed Attendance'!BY57:BY57, "P")+COUNTIF('Detailed Attendance'!CN57:CN57, "P")+COUNTIF('Detailed Attendance'!CV57:CV57, "P")</f>
        <v/>
      </c>
      <c r="AC56" s="63">
        <f>COUNTIF('Detailed Attendance'!Q57:Q57, "A")+COUNTIF('Detailed Attendance'!AC57:AC57, "A")+COUNTIF('Detailed Attendance'!AK57:AK57, "A")+COUNTIF('Detailed Attendance'!AW57:AW57, "A")+COUNTIF('Detailed Attendance'!BE57:BE57, "A")+COUNTIF('Detailed Attendance'!BQ57:BQ57, "A")+COUNTIF('Detailed Attendance'!BY57:BY57, "A")+COUNTIF('Detailed Attendance'!CN57:CN57, "A")+COUNTIF('Detailed Attendance'!CV57:CV57, "A")</f>
        <v/>
      </c>
      <c r="AD56" s="64">
        <f>IF((AB56+AC56)=0,"", AB56/(AB56+AC56))</f>
        <v/>
      </c>
      <c r="AE56" s="63">
        <f>COUNTIF('Detailed Attendance'!L57:L57, "P")+COUNTIF('Detailed Attendance'!P57:P57, "P")+COUNTIF('Detailed Attendance'!AF57:AF57, "P")+COUNTIF('Detailed Attendance'!AJ57:AJ57, "P")+COUNTIF('Detailed Attendance'!AZ57:AZ57, "P")+COUNTIF('Detailed Attendance'!BD57:BD57, "P")+COUNTIF('Detailed Attendance'!BT57:BT57, "P")+COUNTIF('Detailed Attendance'!BX57:BX57, "P")+COUNTIF('Detailed Attendance'!CQ57:CQ57, "P")+COUNTIF('Detailed Attendance'!CU57:CU57, "P")</f>
        <v/>
      </c>
      <c r="AF56" s="67">
        <f>COUNTIF('Detailed Attendance'!L57:L57, "A")+COUNTIF('Detailed Attendance'!P57:P57, "A")+COUNTIF('Detailed Attendance'!AF57:AF57, "A")+COUNTIF('Detailed Attendance'!AJ57:AJ57, "A")+COUNTIF('Detailed Attendance'!AZ57:AZ57, "A")+COUNTIF('Detailed Attendance'!BD57:BD57, "A")+COUNTIF('Detailed Attendance'!BT57:BT57, "A")+COUNTIF('Detailed Attendance'!BX57:BX57, "A")+COUNTIF('Detailed Attendance'!CQ57:CQ57, "A")+COUNTIF('Detailed Attendance'!CU57:CU57, "A")</f>
        <v/>
      </c>
      <c r="AG56" s="68">
        <f>IF((AE56+AF56)=0,"", AE56/(AE56+AF56))</f>
        <v/>
      </c>
      <c r="AH56" s="67">
        <f>COUNTIF('Detailed Attendance'!T57:T57, "P")+COUNTIF('Detailed Attendance'!AN57:AN57, "P")+COUNTIF('Detailed Attendance'!AR57:AR57, "P")+COUNTIF('Detailed Attendance'!BH57:BH57, "P")+COUNTIF('Detailed Attendance'!CB57:CB57, "P")+COUNTIF('Detailed Attendance'!CF57:CF57, "P")+COUNTIF('Detailed Attendance'!CY57:CY57, "P")</f>
        <v/>
      </c>
      <c r="AI56" s="67">
        <f>COUNTIF('Detailed Attendance'!T57:T57, "A")+COUNTIF('Detailed Attendance'!AN57:AN57, "A")+COUNTIF('Detailed Attendance'!AR57:AR57, "A")+COUNTIF('Detailed Attendance'!BH57:BH57, "A")+COUNTIF('Detailed Attendance'!CB57:CB57, "A")+COUNTIF('Detailed Attendance'!CF57:CF57, "A")+COUNTIF('Detailed Attendance'!CY57:CY57, "A")</f>
        <v/>
      </c>
      <c r="AJ56" s="68">
        <f>IF((AH56+AI56)=0,"", AH56/(AH56+AI56))</f>
        <v/>
      </c>
      <c r="AK56" s="67">
        <f>COUNTIF('Detailed Attendance'!M57:M57, "P")+COUNTIF('Detailed Attendance'!U57:U57, "P")+COUNTIF('Detailed Attendance'!AG57:AG57, "P")+COUNTIF('Detailed Attendance'!AO57:AO57, "P")+COUNTIF('Detailed Attendance'!BA57:BA57, "P")+COUNTIF('Detailed Attendance'!BI57:BI57, "P")+COUNTIF('Detailed Attendance'!BU57:BU57, "P")+COUNTIF('Detailed Attendance'!CC57:CC57, "P")+COUNTIF('Detailed Attendance'!CR57:CR57, "P")+COUNTIF('Detailed Attendance'!CZ57:CZ57, "P")</f>
        <v/>
      </c>
      <c r="AL56" s="67">
        <f>COUNTIF('Detailed Attendance'!M57:M57, "A")+COUNTIF('Detailed Attendance'!U57:U57, "A")+COUNTIF('Detailed Attendance'!AG57:AG57, "A")+COUNTIF('Detailed Attendance'!AO57:AO57, "A")+COUNTIF('Detailed Attendance'!BA57:BA57, "A")+COUNTIF('Detailed Attendance'!BI57:BI57, "A")+COUNTIF('Detailed Attendance'!BU57:BU57, "A")+COUNTIF('Detailed Attendance'!CC57:CC57, "A")+COUNTIF('Detailed Attendance'!CR57:CR57, "A")+COUNTIF('Detailed Attendance'!CZ57:CZ57, "A")</f>
        <v/>
      </c>
      <c r="AM56" s="68">
        <f>IF((AK56+AL56)=0,"", AK56/(AK56+AL56))</f>
        <v/>
      </c>
      <c r="AN56" s="67">
        <f>Y56+AB56+AE56+AH56+AK56</f>
        <v/>
      </c>
      <c r="AO56" s="67">
        <f>Z56+AC56+AF56+AI56+AL56</f>
        <v/>
      </c>
      <c r="AP56" s="68">
        <f>IF((AN56+AO56)=0,"", AN56/(AN56+AO56))</f>
        <v/>
      </c>
      <c r="AQ56" s="69">
        <f>COUNTIF('Detailed Attendance'!CG57:CG57, "P")+COUNTIF('Detailed Attendance'!CH57:CH57, "P")+COUNTIF('Detailed Attendance'!V57:V57, "P")+COUNTIF('Detailed Attendance'!AP57:AP57, "P")+COUNTIF('Detailed Attendance'!BJ57:BJ57, "P")+COUNTIF('Detailed Attendance'!CD57:CD57, "P")+COUNTIF('Detailed Attendance'!DA57:DA57, "P")</f>
        <v/>
      </c>
      <c r="AR56" s="69">
        <f>COUNTIF('Detailed Attendance'!CG57:CG57, "A")+COUNTIF('Detailed Attendance'!CH57:CH57, "A")+COUNTIF('Detailed Attendance'!V57:V57, "A")+COUNTIF('Detailed Attendance'!AP57:AP57, "A")+COUNTIF('Detailed Attendance'!BJ57:BJ57, "A")+COUNTIF('Detailed Attendance'!CD57:CD57, "A")+COUNTIF('Detailed Attendance'!DA57:DA57, "A")</f>
        <v/>
      </c>
      <c r="AS56" s="70">
        <f>IF((AQ56+AR56)=0,"", AQ56/(AQ56+AR56))</f>
        <v/>
      </c>
      <c r="AT56" s="67">
        <f>COUNTIF('Detailed Attendance'!DF57:DF57, "P")+COUNTIF('Detailed Attendance'!DT57:DT57, "P")+COUNTIF('Detailed Attendance'!EC57:EC57, "P")+COUNTIF('Detailed Attendance'!EQ57:EQ57, "P")+COUNTIF('Detailed Attendance'!EW57:EW57, "P")+COUNTIF('Detailed Attendance'!FK57:FK57, "P")+COUNTIF('Detailed Attendance'!FM57:FM57, "P")+COUNTIF('Detailed Attendance'!GA57:GA57, "P")</f>
        <v/>
      </c>
      <c r="AU56" s="67">
        <f>COUNTIF('Detailed Attendance'!DF57:DF57, "A")+COUNTIF('Detailed Attendance'!DT57:DT57, "A")+COUNTIF('Detailed Attendance'!EC57:EC57, "A")+COUNTIF('Detailed Attendance'!EQ57:EQ57, "A")+COUNTIF('Detailed Attendance'!EW57:EW57, "A")+COUNTIF('Detailed Attendance'!FK57:FK57, "A")+COUNTIF('Detailed Attendance'!FM57:FM57, "A")+COUNTIF('Detailed Attendance'!GA57:GA57, "A")</f>
        <v/>
      </c>
      <c r="AV56" s="68">
        <f>IF((AT56+AU56)=0,"", AT56/(AT56+AU56))</f>
        <v/>
      </c>
      <c r="AW56" s="67">
        <f>COUNTIF('Detailed Attendance'!DK57:DK57, "P")+COUNTIF('Detailed Attendance'!DS57:DS57, "P")+COUNTIF('Detailed Attendance'!EH57:EH57, "P")+COUNTIF('Detailed Attendance'!EP57:EP57, "P")+COUNTIF('Detailed Attendance'!FB57:FB57, "P")+COUNTIF('Detailed Attendance'!FJ57:FJ57, "P")+COUNTIF('Detailed Attendance'!FR57:FR57, "P")+COUNTIF('Detailed Attendance'!FZ57:FZ57, "P")</f>
        <v/>
      </c>
      <c r="AX56" s="67">
        <f>COUNTIF('Detailed Attendance'!DK57:DK57, "A")+COUNTIF('Detailed Attendance'!DS57:DS57, "A")+COUNTIF('Detailed Attendance'!EH57:EH57, "A")+COUNTIF('Detailed Attendance'!EP57:EP57, "A")+COUNTIF('Detailed Attendance'!FB57:FB57, "A")+COUNTIF('Detailed Attendance'!FJ57:FJ57, "A")+COUNTIF('Detailed Attendance'!FR57:FR57, "A")+COUNTIF('Detailed Attendance'!FZ57:FZ57, "A")</f>
        <v/>
      </c>
      <c r="AY56" s="68">
        <f>IF((AW56+AX56)=0,"", AW56/(AW56+AX56))</f>
        <v/>
      </c>
      <c r="AZ56" s="67">
        <f>COUNTIF('Detailed Attendance'!DN57:DN57, "P")+COUNTIF('Detailed Attendance'!DR57:DR57, "P")+COUNTIF('Detailed Attendance'!EK57:EK57, "P")+COUNTIF('Detailed Attendance'!EO57:EO57, "P")+COUNTIF('Detailed Attendance'!FE57:FE57, "P")+COUNTIF('Detailed Attendance'!FI57:FI57, "P")+COUNTIF('Detailed Attendance'!FU57:FU57, "P")+COUNTIF('Detailed Attendance'!FY57:FY57, "P")</f>
        <v/>
      </c>
      <c r="BA56" s="67">
        <f>COUNTIF('Detailed Attendance'!DN57:DN57, "A")+COUNTIF('Detailed Attendance'!DR57:DR57, "A")+COUNTIF('Detailed Attendance'!EK57:EK57, "A")+COUNTIF('Detailed Attendance'!EO57:EO57, "A")+COUNTIF('Detailed Attendance'!FE57:FE57, "A")+COUNTIF('Detailed Attendance'!FI57:FI57, "A")+COUNTIF('Detailed Attendance'!FU57:FU57, "A")+COUNTIF('Detailed Attendance'!FY57:FY57, "A")</f>
        <v/>
      </c>
      <c r="BB56" s="68">
        <f>IF((AZ56+BA56)=0,"", AZ56/(AZ56+BA56))</f>
        <v/>
      </c>
      <c r="BC56" s="67">
        <f>COUNTIF('Detailed Attendance'!DC57:DC57, "P")+COUNTIF('Detailed Attendance'!DV57:DV57, "P")+COUNTIF('Detailed Attendance'!DZ57:DZ57, "P")+COUNTIF('Detailed Attendance'!ES57:ES57, "P")+COUNTIF('Detailed Attendance'!GC57:GC57, "P")+COUNTIF('Detailed Attendance'!GG57:GG57, "P")</f>
        <v/>
      </c>
      <c r="BD56" s="67">
        <f>COUNTIF('Detailed Attendance'!DC57:DC57, "A")+COUNTIF('Detailed Attendance'!DV57:DV57, "A")+COUNTIF('Detailed Attendance'!DZ57:DZ57, "A")+COUNTIF('Detailed Attendance'!ES57:ES57, "A")+COUNTIF('Detailed Attendance'!GC57:GC57, "A")+COUNTIF('Detailed Attendance'!GG57:GG57, "A")</f>
        <v/>
      </c>
      <c r="BE56" s="68">
        <f>IF((BC56+BD56)=0,"", BC56/(BC56+BD56))</f>
        <v/>
      </c>
      <c r="BF56" s="67">
        <f>COUNTIF('Detailed Attendance'!DO57:DO57, "P")+COUNTIF('Detailed Attendance'!DW57:DW57, "P")+COUNTIF('Detailed Attendance'!EL57:EL57, "P")+COUNTIF('Detailed Attendance'!ET57:ET57, "P")+COUNTIF('Detailed Attendance'!FF57:FF57, "P")+COUNTIF('Detailed Attendance'!FV57:FV57, "P")+COUNTIF('Detailed Attendance'!GD57:GD57, "P")</f>
        <v/>
      </c>
      <c r="BG56" s="67">
        <f>COUNTIF('Detailed Attendance'!DO57:DO57, "A")+COUNTIF('Detailed Attendance'!DW57:DW57, "A")+COUNTIF('Detailed Attendance'!EL57:EL57, "A")+COUNTIF('Detailed Attendance'!ET57:ET57, "A")+COUNTIF('Detailed Attendance'!FF57:FF57, "A")+COUNTIF('Detailed Attendance'!FV57:FV57, "A")+COUNTIF('Detailed Attendance'!GD57:GD57, "A")</f>
        <v/>
      </c>
      <c r="BH56" s="68">
        <f>IF((BF56+BG56)=0,"", BF56/(BF56+BG56))</f>
        <v/>
      </c>
      <c r="BI56" s="67">
        <f>AT56+AW56+AZ56+BC56+BF56</f>
        <v/>
      </c>
      <c r="BJ56" s="67">
        <f>AU56+AX56+BA56+BD56+BG56</f>
        <v/>
      </c>
      <c r="BK56" s="68">
        <f>IF((BI56+BJ56)=0,"", BI56/(BI56+BJ56))</f>
        <v/>
      </c>
      <c r="BL56" s="69">
        <f>COUNTIF('Detailed Attendance'!DD57:DD57, "P")+COUNTIF('Detailed Attendance'!EA57:EA57, "P")+COUNTIF('Detailed Attendance'!GH57:GH57, "P")+COUNTIF('Detailed Attendance'!DE57:DE57, "P")+COUNTIF('Detailed Attendance'!EB57:EB57, "P")+COUNTIF('Detailed Attendance'!GI57:GI57, "P")+COUNTIF('Detailed Attendance'!DX57:DX57, "P")+COUNTIF('Detailed Attendance'!EU57:EU57, "P")+COUNTIF('Detailed Attendance'!GE57:GE57, "P")</f>
        <v/>
      </c>
      <c r="BM56" s="69">
        <f>COUNTIF('Detailed Attendance'!DD57:DD57, "A")+COUNTIF('Detailed Attendance'!EA57:EA57, "A")+COUNTIF('Detailed Attendance'!GH57:GH57, "A")+COUNTIF('Detailed Attendance'!DE57:DE57, "A")+COUNTIF('Detailed Attendance'!EB57:EB57, "A")+COUNTIF('Detailed Attendance'!GI57:GI57, "A")+COUNTIF('Detailed Attendance'!DX57:DX57, "A")+COUNTIF('Detailed Attendance'!EU57:EU57, "A")+COUNTIF('Detailed Attendance'!GE57:GE57, "A")</f>
        <v/>
      </c>
      <c r="BN56" s="70">
        <f>IF((BL56+BM56)=0,"", BL56/(BL56+BM56))</f>
        <v/>
      </c>
      <c r="BO56" s="67">
        <f>D56+Y56+AT56</f>
        <v/>
      </c>
      <c r="BP56" s="67">
        <f>E56+Z56+AU56</f>
        <v/>
      </c>
      <c r="BQ56" s="68">
        <f>IF((BO56+BP56)=0,"", BO56/(BO56+BP56))</f>
        <v/>
      </c>
      <c r="BR56" s="67">
        <f>G56+AB56+AW56</f>
        <v/>
      </c>
      <c r="BS56" s="67">
        <f>H56+AC56+AX56</f>
        <v/>
      </c>
      <c r="BT56" s="68">
        <f>IF((BR56+BS56)=0,"", BR56/(BR56+BS56))</f>
        <v/>
      </c>
      <c r="BU56" s="67">
        <f>J56+AE56+AZ56</f>
        <v/>
      </c>
      <c r="BV56" s="67">
        <f>K56+AF56+BA56</f>
        <v/>
      </c>
      <c r="BW56" s="68">
        <f>IF((BU56+BV56)=0,"", BU56/(BU56+BV56))</f>
        <v/>
      </c>
      <c r="BX56" s="67">
        <f>M56+AH56+BC56</f>
        <v/>
      </c>
      <c r="BY56" s="67">
        <f>N56+AI56+BD56</f>
        <v/>
      </c>
      <c r="BZ56" s="68">
        <f>IF((BX56+BY56)=0,"", BX56/(BX56+BY56))</f>
        <v/>
      </c>
      <c r="CA56" s="67">
        <f>P56+AK56+BF56</f>
        <v/>
      </c>
      <c r="CB56" s="67">
        <f>Q56+AL56+BG56</f>
        <v/>
      </c>
      <c r="CC56" s="68">
        <f>IF((CA56+CB56)=0,"", CA56/(CA56+CB56))</f>
        <v/>
      </c>
      <c r="CD56" s="67">
        <f>S56+AN56+BI56</f>
        <v/>
      </c>
      <c r="CE56" s="67">
        <f>T56+AO56+BJ56</f>
        <v/>
      </c>
      <c r="CF56" s="68">
        <f>IF((CD56+CE56)=0,"", CD56/(CD56+CE56))</f>
        <v/>
      </c>
      <c r="CG56" s="69">
        <f>V56+AQ56+BL56</f>
        <v/>
      </c>
      <c r="CH56" s="69">
        <f>W56+AR56+BM56</f>
        <v/>
      </c>
      <c r="CI56" s="70">
        <f>IF((CG56+CH56)=0,"", CG56/(CG56+CH56))</f>
        <v/>
      </c>
      <c r="CJ56" s="67">
        <f>CD56+(CG56*2)</f>
        <v/>
      </c>
      <c r="CK56" s="67">
        <f>CE56+(CH56*2)</f>
        <v/>
      </c>
      <c r="CL56" s="68">
        <f>IF((CJ56+CK56)=0,"", CJ56/(CJ56+CK56))</f>
        <v/>
      </c>
      <c r="CM56" s="67" t="inlineStr">
        <is>
          <t>Batch 2</t>
        </is>
      </c>
    </row>
    <row r="57" ht="14.25" customHeight="1" s="34">
      <c r="A57" s="46" t="n">
        <v>55</v>
      </c>
      <c r="B57" s="46" t="inlineStr">
        <is>
          <t>325106410055</t>
        </is>
      </c>
      <c r="C57" s="46" t="inlineStr">
        <is>
          <t>JAYANTH RAM ACHYUTH VALLABASETTI</t>
        </is>
      </c>
      <c r="D57" s="63" t="n">
        <v>0</v>
      </c>
      <c r="E57" s="63" t="n">
        <v>0</v>
      </c>
      <c r="F57" s="64">
        <f>IF((D57+E57)=0,"", D57/(D57+E57))</f>
        <v/>
      </c>
      <c r="G57" s="63">
        <f>COUNTIF('Detailed Attendance'!I58:I58, "P")</f>
        <v/>
      </c>
      <c r="H57" s="63">
        <f>COUNTIF('Detailed Attendance'!I58:I58, "A")</f>
        <v/>
      </c>
      <c r="I57" s="64">
        <f>IF((G57+H57)=0,"", G57/(G57+H57))</f>
        <v/>
      </c>
      <c r="J57" s="63" t="n">
        <v>0</v>
      </c>
      <c r="K57" s="63" t="n">
        <v>0</v>
      </c>
      <c r="L57" s="64">
        <f>IF((J57+K57)=0,"", J57/(J57+K57))</f>
        <v/>
      </c>
      <c r="M57" s="63">
        <f>COUNTIF('Detailed Attendance'!D58:D58, "P")</f>
        <v/>
      </c>
      <c r="N57" s="63">
        <f>COUNTIF('Detailed Attendance'!D58:D58, "A")</f>
        <v/>
      </c>
      <c r="O57" s="64">
        <f>IF((M57+N57)=0,"", M57/(M57+N57))</f>
        <v/>
      </c>
      <c r="P57" s="63" t="n">
        <v>0</v>
      </c>
      <c r="Q57" s="63" t="n">
        <v>0</v>
      </c>
      <c r="R57" s="64">
        <f>IF((P57+Q57)=0,"", P57/(P57+Q57))</f>
        <v/>
      </c>
      <c r="S57" s="63">
        <f>D57+G57+J57+M57+P57</f>
        <v/>
      </c>
      <c r="T57" s="63">
        <f>E57+H57+K57+N57+Q57</f>
        <v/>
      </c>
      <c r="U57" s="64">
        <f>IF((S57+T57)=0,"", S57/(S57+T57))</f>
        <v/>
      </c>
      <c r="V57" s="65" t="n">
        <v>0</v>
      </c>
      <c r="W57" s="65" t="n">
        <v>0</v>
      </c>
      <c r="X57" s="66">
        <f>IF((V57+W57)=0,"", V57/(V57+W57))</f>
        <v/>
      </c>
      <c r="Y57" s="63">
        <f>COUNTIF('Detailed Attendance'!R58:R58, "P")+COUNTIF('Detailed Attendance'!X58:X58, "P")+COUNTIF('Detailed Attendance'!AL58:AL58, "P")+COUNTIF('Detailed Attendance'!BF58:BF58, "P")+COUNTIF('Detailed Attendance'!BL58:BL58, "P")+COUNTIF('Detailed Attendance'!BZ58:BZ58, "P")+COUNTIF('Detailed Attendance'!CI58:CI58, "P")+COUNTIF('Detailed Attendance'!CW58:CW58, "P")</f>
        <v/>
      </c>
      <c r="Z57" s="63">
        <f>COUNTIF('Detailed Attendance'!R58:R58, "A")+COUNTIF('Detailed Attendance'!X58:X58, "A")+COUNTIF('Detailed Attendance'!AL58:AL58, "A")+COUNTIF('Detailed Attendance'!BF58:BF58, "A")+COUNTIF('Detailed Attendance'!BL58:BL58, "A")+COUNTIF('Detailed Attendance'!BZ58:BZ58, "A")+COUNTIF('Detailed Attendance'!CI58:CI58, "A")+COUNTIF('Detailed Attendance'!CW58:CW58, "A")</f>
        <v/>
      </c>
      <c r="AA57" s="64">
        <f>IF((Y57+Z57)=0,"", Y57/(Y57+Z57))</f>
        <v/>
      </c>
      <c r="AB57" s="63">
        <f>COUNTIF('Detailed Attendance'!Q58:Q58, "P")+COUNTIF('Detailed Attendance'!AC58:AC58, "P")+COUNTIF('Detailed Attendance'!AK58:AK58, "P")+COUNTIF('Detailed Attendance'!AW58:AW58, "P")+COUNTIF('Detailed Attendance'!BE58:BE58, "P")+COUNTIF('Detailed Attendance'!BQ58:BQ58, "P")+COUNTIF('Detailed Attendance'!BY58:BY58, "P")+COUNTIF('Detailed Attendance'!CN58:CN58, "P")+COUNTIF('Detailed Attendance'!CV58:CV58, "P")</f>
        <v/>
      </c>
      <c r="AC57" s="63">
        <f>COUNTIF('Detailed Attendance'!Q58:Q58, "A")+COUNTIF('Detailed Attendance'!AC58:AC58, "A")+COUNTIF('Detailed Attendance'!AK58:AK58, "A")+COUNTIF('Detailed Attendance'!AW58:AW58, "A")+COUNTIF('Detailed Attendance'!BE58:BE58, "A")+COUNTIF('Detailed Attendance'!BQ58:BQ58, "A")+COUNTIF('Detailed Attendance'!BY58:BY58, "A")+COUNTIF('Detailed Attendance'!CN58:CN58, "A")+COUNTIF('Detailed Attendance'!CV58:CV58, "A")</f>
        <v/>
      </c>
      <c r="AD57" s="64">
        <f>IF((AB57+AC57)=0,"", AB57/(AB57+AC57))</f>
        <v/>
      </c>
      <c r="AE57" s="63">
        <f>COUNTIF('Detailed Attendance'!L58:L58, "P")+COUNTIF('Detailed Attendance'!P58:P58, "P")+COUNTIF('Detailed Attendance'!AF58:AF58, "P")+COUNTIF('Detailed Attendance'!AJ58:AJ58, "P")+COUNTIF('Detailed Attendance'!AZ58:AZ58, "P")+COUNTIF('Detailed Attendance'!BD58:BD58, "P")+COUNTIF('Detailed Attendance'!BT58:BT58, "P")+COUNTIF('Detailed Attendance'!BX58:BX58, "P")+COUNTIF('Detailed Attendance'!CQ58:CQ58, "P")+COUNTIF('Detailed Attendance'!CU58:CU58, "P")</f>
        <v/>
      </c>
      <c r="AF57" s="67">
        <f>COUNTIF('Detailed Attendance'!L58:L58, "A")+COUNTIF('Detailed Attendance'!P58:P58, "A")+COUNTIF('Detailed Attendance'!AF58:AF58, "A")+COUNTIF('Detailed Attendance'!AJ58:AJ58, "A")+COUNTIF('Detailed Attendance'!AZ58:AZ58, "A")+COUNTIF('Detailed Attendance'!BD58:BD58, "A")+COUNTIF('Detailed Attendance'!BT58:BT58, "A")+COUNTIF('Detailed Attendance'!BX58:BX58, "A")+COUNTIF('Detailed Attendance'!CQ58:CQ58, "A")+COUNTIF('Detailed Attendance'!CU58:CU58, "A")</f>
        <v/>
      </c>
      <c r="AG57" s="68">
        <f>IF((AE57+AF57)=0,"", AE57/(AE57+AF57))</f>
        <v/>
      </c>
      <c r="AH57" s="67">
        <f>COUNTIF('Detailed Attendance'!T58:T58, "P")+COUNTIF('Detailed Attendance'!AN58:AN58, "P")+COUNTIF('Detailed Attendance'!AR58:AR58, "P")+COUNTIF('Detailed Attendance'!BH58:BH58, "P")+COUNTIF('Detailed Attendance'!CB58:CB58, "P")+COUNTIF('Detailed Attendance'!CF58:CF58, "P")+COUNTIF('Detailed Attendance'!CY58:CY58, "P")</f>
        <v/>
      </c>
      <c r="AI57" s="67">
        <f>COUNTIF('Detailed Attendance'!T58:T58, "A")+COUNTIF('Detailed Attendance'!AN58:AN58, "A")+COUNTIF('Detailed Attendance'!AR58:AR58, "A")+COUNTIF('Detailed Attendance'!BH58:BH58, "A")+COUNTIF('Detailed Attendance'!CB58:CB58, "A")+COUNTIF('Detailed Attendance'!CF58:CF58, "A")+COUNTIF('Detailed Attendance'!CY58:CY58, "A")</f>
        <v/>
      </c>
      <c r="AJ57" s="68">
        <f>IF((AH57+AI57)=0,"", AH57/(AH57+AI57))</f>
        <v/>
      </c>
      <c r="AK57" s="67">
        <f>COUNTIF('Detailed Attendance'!M58:M58, "P")+COUNTIF('Detailed Attendance'!U58:U58, "P")+COUNTIF('Detailed Attendance'!AG58:AG58, "P")+COUNTIF('Detailed Attendance'!AO58:AO58, "P")+COUNTIF('Detailed Attendance'!BA58:BA58, "P")+COUNTIF('Detailed Attendance'!BI58:BI58, "P")+COUNTIF('Detailed Attendance'!BU58:BU58, "P")+COUNTIF('Detailed Attendance'!CC58:CC58, "P")+COUNTIF('Detailed Attendance'!CR58:CR58, "P")+COUNTIF('Detailed Attendance'!CZ58:CZ58, "P")</f>
        <v/>
      </c>
      <c r="AL57" s="67">
        <f>COUNTIF('Detailed Attendance'!M58:M58, "A")+COUNTIF('Detailed Attendance'!U58:U58, "A")+COUNTIF('Detailed Attendance'!AG58:AG58, "A")+COUNTIF('Detailed Attendance'!AO58:AO58, "A")+COUNTIF('Detailed Attendance'!BA58:BA58, "A")+COUNTIF('Detailed Attendance'!BI58:BI58, "A")+COUNTIF('Detailed Attendance'!BU58:BU58, "A")+COUNTIF('Detailed Attendance'!CC58:CC58, "A")+COUNTIF('Detailed Attendance'!CR58:CR58, "A")+COUNTIF('Detailed Attendance'!CZ58:CZ58, "A")</f>
        <v/>
      </c>
      <c r="AM57" s="68">
        <f>IF((AK57+AL57)=0,"", AK57/(AK57+AL57))</f>
        <v/>
      </c>
      <c r="AN57" s="67">
        <f>Y57+AB57+AE57+AH57+AK57</f>
        <v/>
      </c>
      <c r="AO57" s="67">
        <f>Z57+AC57+AF57+AI57+AL57</f>
        <v/>
      </c>
      <c r="AP57" s="68">
        <f>IF((AN57+AO57)=0,"", AN57/(AN57+AO57))</f>
        <v/>
      </c>
      <c r="AQ57" s="69">
        <f>COUNTIF('Detailed Attendance'!CG58:CG58, "P")+COUNTIF('Detailed Attendance'!CH58:CH58, "P")+COUNTIF('Detailed Attendance'!V58:V58, "P")+COUNTIF('Detailed Attendance'!AP58:AP58, "P")+COUNTIF('Detailed Attendance'!BJ58:BJ58, "P")+COUNTIF('Detailed Attendance'!CD58:CD58, "P")+COUNTIF('Detailed Attendance'!DA58:DA58, "P")</f>
        <v/>
      </c>
      <c r="AR57" s="69">
        <f>COUNTIF('Detailed Attendance'!CG58:CG58, "A")+COUNTIF('Detailed Attendance'!CH58:CH58, "A")+COUNTIF('Detailed Attendance'!V58:V58, "A")+COUNTIF('Detailed Attendance'!AP58:AP58, "A")+COUNTIF('Detailed Attendance'!BJ58:BJ58, "A")+COUNTIF('Detailed Attendance'!CD58:CD58, "A")+COUNTIF('Detailed Attendance'!DA58:DA58, "A")</f>
        <v/>
      </c>
      <c r="AS57" s="70">
        <f>IF((AQ57+AR57)=0,"", AQ57/(AQ57+AR57))</f>
        <v/>
      </c>
      <c r="AT57" s="67">
        <f>COUNTIF('Detailed Attendance'!DF58:DF58, "P")+COUNTIF('Detailed Attendance'!DT58:DT58, "P")+COUNTIF('Detailed Attendance'!EC58:EC58, "P")+COUNTIF('Detailed Attendance'!EQ58:EQ58, "P")+COUNTIF('Detailed Attendance'!EW58:EW58, "P")+COUNTIF('Detailed Attendance'!FK58:FK58, "P")+COUNTIF('Detailed Attendance'!FM58:FM58, "P")+COUNTIF('Detailed Attendance'!GA58:GA58, "P")</f>
        <v/>
      </c>
      <c r="AU57" s="67">
        <f>COUNTIF('Detailed Attendance'!DF58:DF58, "A")+COUNTIF('Detailed Attendance'!DT58:DT58, "A")+COUNTIF('Detailed Attendance'!EC58:EC58, "A")+COUNTIF('Detailed Attendance'!EQ58:EQ58, "A")+COUNTIF('Detailed Attendance'!EW58:EW58, "A")+COUNTIF('Detailed Attendance'!FK58:FK58, "A")+COUNTIF('Detailed Attendance'!FM58:FM58, "A")+COUNTIF('Detailed Attendance'!GA58:GA58, "A")</f>
        <v/>
      </c>
      <c r="AV57" s="68">
        <f>IF((AT57+AU57)=0,"", AT57/(AT57+AU57))</f>
        <v/>
      </c>
      <c r="AW57" s="67">
        <f>COUNTIF('Detailed Attendance'!DK58:DK58, "P")+COUNTIF('Detailed Attendance'!DS58:DS58, "P")+COUNTIF('Detailed Attendance'!EH58:EH58, "P")+COUNTIF('Detailed Attendance'!EP58:EP58, "P")+COUNTIF('Detailed Attendance'!FB58:FB58, "P")+COUNTIF('Detailed Attendance'!FJ58:FJ58, "P")+COUNTIF('Detailed Attendance'!FR58:FR58, "P")+COUNTIF('Detailed Attendance'!FZ58:FZ58, "P")</f>
        <v/>
      </c>
      <c r="AX57" s="67">
        <f>COUNTIF('Detailed Attendance'!DK58:DK58, "A")+COUNTIF('Detailed Attendance'!DS58:DS58, "A")+COUNTIF('Detailed Attendance'!EH58:EH58, "A")+COUNTIF('Detailed Attendance'!EP58:EP58, "A")+COUNTIF('Detailed Attendance'!FB58:FB58, "A")+COUNTIF('Detailed Attendance'!FJ58:FJ58, "A")+COUNTIF('Detailed Attendance'!FR58:FR58, "A")+COUNTIF('Detailed Attendance'!FZ58:FZ58, "A")</f>
        <v/>
      </c>
      <c r="AY57" s="68">
        <f>IF((AW57+AX57)=0,"", AW57/(AW57+AX57))</f>
        <v/>
      </c>
      <c r="AZ57" s="67">
        <f>COUNTIF('Detailed Attendance'!DN58:DN58, "P")+COUNTIF('Detailed Attendance'!DR58:DR58, "P")+COUNTIF('Detailed Attendance'!EK58:EK58, "P")+COUNTIF('Detailed Attendance'!EO58:EO58, "P")+COUNTIF('Detailed Attendance'!FE58:FE58, "P")+COUNTIF('Detailed Attendance'!FI58:FI58, "P")+COUNTIF('Detailed Attendance'!FU58:FU58, "P")+COUNTIF('Detailed Attendance'!FY58:FY58, "P")</f>
        <v/>
      </c>
      <c r="BA57" s="67">
        <f>COUNTIF('Detailed Attendance'!DN58:DN58, "A")+COUNTIF('Detailed Attendance'!DR58:DR58, "A")+COUNTIF('Detailed Attendance'!EK58:EK58, "A")+COUNTIF('Detailed Attendance'!EO58:EO58, "A")+COUNTIF('Detailed Attendance'!FE58:FE58, "A")+COUNTIF('Detailed Attendance'!FI58:FI58, "A")+COUNTIF('Detailed Attendance'!FU58:FU58, "A")+COUNTIF('Detailed Attendance'!FY58:FY58, "A")</f>
        <v/>
      </c>
      <c r="BB57" s="68">
        <f>IF((AZ57+BA57)=0,"", AZ57/(AZ57+BA57))</f>
        <v/>
      </c>
      <c r="BC57" s="67">
        <f>COUNTIF('Detailed Attendance'!DC58:DC58, "P")+COUNTIF('Detailed Attendance'!DV58:DV58, "P")+COUNTIF('Detailed Attendance'!DZ58:DZ58, "P")+COUNTIF('Detailed Attendance'!ES58:ES58, "P")+COUNTIF('Detailed Attendance'!GC58:GC58, "P")+COUNTIF('Detailed Attendance'!GG58:GG58, "P")</f>
        <v/>
      </c>
      <c r="BD57" s="67">
        <f>COUNTIF('Detailed Attendance'!DC58:DC58, "A")+COUNTIF('Detailed Attendance'!DV58:DV58, "A")+COUNTIF('Detailed Attendance'!DZ58:DZ58, "A")+COUNTIF('Detailed Attendance'!ES58:ES58, "A")+COUNTIF('Detailed Attendance'!GC58:GC58, "A")+COUNTIF('Detailed Attendance'!GG58:GG58, "A")</f>
        <v/>
      </c>
      <c r="BE57" s="68">
        <f>IF((BC57+BD57)=0,"", BC57/(BC57+BD57))</f>
        <v/>
      </c>
      <c r="BF57" s="67">
        <f>COUNTIF('Detailed Attendance'!DO58:DO58, "P")+COUNTIF('Detailed Attendance'!DW58:DW58, "P")+COUNTIF('Detailed Attendance'!EL58:EL58, "P")+COUNTIF('Detailed Attendance'!ET58:ET58, "P")+COUNTIF('Detailed Attendance'!FF58:FF58, "P")+COUNTIF('Detailed Attendance'!FV58:FV58, "P")+COUNTIF('Detailed Attendance'!GD58:GD58, "P")</f>
        <v/>
      </c>
      <c r="BG57" s="67">
        <f>COUNTIF('Detailed Attendance'!DO58:DO58, "A")+COUNTIF('Detailed Attendance'!DW58:DW58, "A")+COUNTIF('Detailed Attendance'!EL58:EL58, "A")+COUNTIF('Detailed Attendance'!ET58:ET58, "A")+COUNTIF('Detailed Attendance'!FF58:FF58, "A")+COUNTIF('Detailed Attendance'!FV58:FV58, "A")+COUNTIF('Detailed Attendance'!GD58:GD58, "A")</f>
        <v/>
      </c>
      <c r="BH57" s="68">
        <f>IF((BF57+BG57)=0,"", BF57/(BF57+BG57))</f>
        <v/>
      </c>
      <c r="BI57" s="67">
        <f>AT57+AW57+AZ57+BC57+BF57</f>
        <v/>
      </c>
      <c r="BJ57" s="67">
        <f>AU57+AX57+BA57+BD57+BG57</f>
        <v/>
      </c>
      <c r="BK57" s="68">
        <f>IF((BI57+BJ57)=0,"", BI57/(BI57+BJ57))</f>
        <v/>
      </c>
      <c r="BL57" s="69">
        <f>COUNTIF('Detailed Attendance'!DD58:DD58, "P")+COUNTIF('Detailed Attendance'!EA58:EA58, "P")+COUNTIF('Detailed Attendance'!GH58:GH58, "P")+COUNTIF('Detailed Attendance'!DE58:DE58, "P")+COUNTIF('Detailed Attendance'!EB58:EB58, "P")+COUNTIF('Detailed Attendance'!GI58:GI58, "P")+COUNTIF('Detailed Attendance'!DX58:DX58, "P")+COUNTIF('Detailed Attendance'!EU58:EU58, "P")+COUNTIF('Detailed Attendance'!GE58:GE58, "P")</f>
        <v/>
      </c>
      <c r="BM57" s="69">
        <f>COUNTIF('Detailed Attendance'!DD58:DD58, "A")+COUNTIF('Detailed Attendance'!EA58:EA58, "A")+COUNTIF('Detailed Attendance'!GH58:GH58, "A")+COUNTIF('Detailed Attendance'!DE58:DE58, "A")+COUNTIF('Detailed Attendance'!EB58:EB58, "A")+COUNTIF('Detailed Attendance'!GI58:GI58, "A")+COUNTIF('Detailed Attendance'!DX58:DX58, "A")+COUNTIF('Detailed Attendance'!EU58:EU58, "A")+COUNTIF('Detailed Attendance'!GE58:GE58, "A")</f>
        <v/>
      </c>
      <c r="BN57" s="70">
        <f>IF((BL57+BM57)=0,"", BL57/(BL57+BM57))</f>
        <v/>
      </c>
      <c r="BO57" s="67">
        <f>D57+Y57+AT57</f>
        <v/>
      </c>
      <c r="BP57" s="67">
        <f>E57+Z57+AU57</f>
        <v/>
      </c>
      <c r="BQ57" s="68">
        <f>IF((BO57+BP57)=0,"", BO57/(BO57+BP57))</f>
        <v/>
      </c>
      <c r="BR57" s="67">
        <f>G57+AB57+AW57</f>
        <v/>
      </c>
      <c r="BS57" s="67">
        <f>H57+AC57+AX57</f>
        <v/>
      </c>
      <c r="BT57" s="68">
        <f>IF((BR57+BS57)=0,"", BR57/(BR57+BS57))</f>
        <v/>
      </c>
      <c r="BU57" s="67">
        <f>J57+AE57+AZ57</f>
        <v/>
      </c>
      <c r="BV57" s="67">
        <f>K57+AF57+BA57</f>
        <v/>
      </c>
      <c r="BW57" s="68">
        <f>IF((BU57+BV57)=0,"", BU57/(BU57+BV57))</f>
        <v/>
      </c>
      <c r="BX57" s="67">
        <f>M57+AH57+BC57</f>
        <v/>
      </c>
      <c r="BY57" s="67">
        <f>N57+AI57+BD57</f>
        <v/>
      </c>
      <c r="BZ57" s="68">
        <f>IF((BX57+BY57)=0,"", BX57/(BX57+BY57))</f>
        <v/>
      </c>
      <c r="CA57" s="67">
        <f>P57+AK57+BF57</f>
        <v/>
      </c>
      <c r="CB57" s="67">
        <f>Q57+AL57+BG57</f>
        <v/>
      </c>
      <c r="CC57" s="68">
        <f>IF((CA57+CB57)=0,"", CA57/(CA57+CB57))</f>
        <v/>
      </c>
      <c r="CD57" s="67">
        <f>S57+AN57+BI57</f>
        <v/>
      </c>
      <c r="CE57" s="67">
        <f>T57+AO57+BJ57</f>
        <v/>
      </c>
      <c r="CF57" s="68">
        <f>IF((CD57+CE57)=0,"", CD57/(CD57+CE57))</f>
        <v/>
      </c>
      <c r="CG57" s="69">
        <f>V57+AQ57+BL57</f>
        <v/>
      </c>
      <c r="CH57" s="69">
        <f>W57+AR57+BM57</f>
        <v/>
      </c>
      <c r="CI57" s="70">
        <f>IF((CG57+CH57)=0,"", CG57/(CG57+CH57))</f>
        <v/>
      </c>
      <c r="CJ57" s="67">
        <f>CD57+(CG57*2)</f>
        <v/>
      </c>
      <c r="CK57" s="67">
        <f>CE57+(CH57*2)</f>
        <v/>
      </c>
      <c r="CL57" s="68">
        <f>IF((CJ57+CK57)=0,"", CJ57/(CJ57+CK57))</f>
        <v/>
      </c>
      <c r="CM57" s="67" t="inlineStr">
        <is>
          <t>Batch 2</t>
        </is>
      </c>
    </row>
    <row r="58" ht="14.25" customHeight="1" s="34">
      <c r="A58" s="46" t="n">
        <v>56</v>
      </c>
      <c r="B58" s="46" t="inlineStr">
        <is>
          <t>325106410056</t>
        </is>
      </c>
      <c r="C58" s="46" t="inlineStr">
        <is>
          <t>RAKESH VANIMINA</t>
        </is>
      </c>
      <c r="D58" s="63" t="n">
        <v>0</v>
      </c>
      <c r="E58" s="63" t="n">
        <v>0</v>
      </c>
      <c r="F58" s="64">
        <f>IF((D58+E58)=0,"", D58/(D58+E58))</f>
        <v/>
      </c>
      <c r="G58" s="63">
        <f>COUNTIF('Detailed Attendance'!I59:I59, "P")</f>
        <v/>
      </c>
      <c r="H58" s="63">
        <f>COUNTIF('Detailed Attendance'!I59:I59, "A")</f>
        <v/>
      </c>
      <c r="I58" s="64">
        <f>IF((G58+H58)=0,"", G58/(G58+H58))</f>
        <v/>
      </c>
      <c r="J58" s="63" t="n">
        <v>0</v>
      </c>
      <c r="K58" s="63" t="n">
        <v>0</v>
      </c>
      <c r="L58" s="64">
        <f>IF((J58+K58)=0,"", J58/(J58+K58))</f>
        <v/>
      </c>
      <c r="M58" s="63">
        <f>COUNTIF('Detailed Attendance'!D59:D59, "P")</f>
        <v/>
      </c>
      <c r="N58" s="63">
        <f>COUNTIF('Detailed Attendance'!D59:D59, "A")</f>
        <v/>
      </c>
      <c r="O58" s="64">
        <f>IF((M58+N58)=0,"", M58/(M58+N58))</f>
        <v/>
      </c>
      <c r="P58" s="63" t="n">
        <v>0</v>
      </c>
      <c r="Q58" s="63" t="n">
        <v>0</v>
      </c>
      <c r="R58" s="64">
        <f>IF((P58+Q58)=0,"", P58/(P58+Q58))</f>
        <v/>
      </c>
      <c r="S58" s="63">
        <f>D58+G58+J58+M58+P58</f>
        <v/>
      </c>
      <c r="T58" s="63">
        <f>E58+H58+K58+N58+Q58</f>
        <v/>
      </c>
      <c r="U58" s="64">
        <f>IF((S58+T58)=0,"", S58/(S58+T58))</f>
        <v/>
      </c>
      <c r="V58" s="65" t="n">
        <v>0</v>
      </c>
      <c r="W58" s="65" t="n">
        <v>0</v>
      </c>
      <c r="X58" s="66">
        <f>IF((V58+W58)=0,"", V58/(V58+W58))</f>
        <v/>
      </c>
      <c r="Y58" s="63">
        <f>COUNTIF('Detailed Attendance'!R59:R59, "P")+COUNTIF('Detailed Attendance'!X59:X59, "P")+COUNTIF('Detailed Attendance'!AL59:AL59, "P")+COUNTIF('Detailed Attendance'!BF59:BF59, "P")+COUNTIF('Detailed Attendance'!BL59:BL59, "P")+COUNTIF('Detailed Attendance'!BZ59:BZ59, "P")+COUNTIF('Detailed Attendance'!CI59:CI59, "P")+COUNTIF('Detailed Attendance'!CW59:CW59, "P")</f>
        <v/>
      </c>
      <c r="Z58" s="63">
        <f>COUNTIF('Detailed Attendance'!R59:R59, "A")+COUNTIF('Detailed Attendance'!X59:X59, "A")+COUNTIF('Detailed Attendance'!AL59:AL59, "A")+COUNTIF('Detailed Attendance'!BF59:BF59, "A")+COUNTIF('Detailed Attendance'!BL59:BL59, "A")+COUNTIF('Detailed Attendance'!BZ59:BZ59, "A")+COUNTIF('Detailed Attendance'!CI59:CI59, "A")+COUNTIF('Detailed Attendance'!CW59:CW59, "A")</f>
        <v/>
      </c>
      <c r="AA58" s="64">
        <f>IF((Y58+Z58)=0,"", Y58/(Y58+Z58))</f>
        <v/>
      </c>
      <c r="AB58" s="63">
        <f>COUNTIF('Detailed Attendance'!Q59:Q59, "P")+COUNTIF('Detailed Attendance'!AC59:AC59, "P")+COUNTIF('Detailed Attendance'!AK59:AK59, "P")+COUNTIF('Detailed Attendance'!AW59:AW59, "P")+COUNTIF('Detailed Attendance'!BE59:BE59, "P")+COUNTIF('Detailed Attendance'!BQ59:BQ59, "P")+COUNTIF('Detailed Attendance'!BY59:BY59, "P")+COUNTIF('Detailed Attendance'!CN59:CN59, "P")+COUNTIF('Detailed Attendance'!CV59:CV59, "P")</f>
        <v/>
      </c>
      <c r="AC58" s="63">
        <f>COUNTIF('Detailed Attendance'!Q59:Q59, "A")+COUNTIF('Detailed Attendance'!AC59:AC59, "A")+COUNTIF('Detailed Attendance'!AK59:AK59, "A")+COUNTIF('Detailed Attendance'!AW59:AW59, "A")+COUNTIF('Detailed Attendance'!BE59:BE59, "A")+COUNTIF('Detailed Attendance'!BQ59:BQ59, "A")+COUNTIF('Detailed Attendance'!BY59:BY59, "A")+COUNTIF('Detailed Attendance'!CN59:CN59, "A")+COUNTIF('Detailed Attendance'!CV59:CV59, "A")</f>
        <v/>
      </c>
      <c r="AD58" s="64">
        <f>IF((AB58+AC58)=0,"", AB58/(AB58+AC58))</f>
        <v/>
      </c>
      <c r="AE58" s="63">
        <f>COUNTIF('Detailed Attendance'!L59:L59, "P")+COUNTIF('Detailed Attendance'!P59:P59, "P")+COUNTIF('Detailed Attendance'!AF59:AF59, "P")+COUNTIF('Detailed Attendance'!AJ59:AJ59, "P")+COUNTIF('Detailed Attendance'!AZ59:AZ59, "P")+COUNTIF('Detailed Attendance'!BD59:BD59, "P")+COUNTIF('Detailed Attendance'!BT59:BT59, "P")+COUNTIF('Detailed Attendance'!BX59:BX59, "P")+COUNTIF('Detailed Attendance'!CQ59:CQ59, "P")+COUNTIF('Detailed Attendance'!CU59:CU59, "P")</f>
        <v/>
      </c>
      <c r="AF58" s="67">
        <f>COUNTIF('Detailed Attendance'!L59:L59, "A")+COUNTIF('Detailed Attendance'!P59:P59, "A")+COUNTIF('Detailed Attendance'!AF59:AF59, "A")+COUNTIF('Detailed Attendance'!AJ59:AJ59, "A")+COUNTIF('Detailed Attendance'!AZ59:AZ59, "A")+COUNTIF('Detailed Attendance'!BD59:BD59, "A")+COUNTIF('Detailed Attendance'!BT59:BT59, "A")+COUNTIF('Detailed Attendance'!BX59:BX59, "A")+COUNTIF('Detailed Attendance'!CQ59:CQ59, "A")+COUNTIF('Detailed Attendance'!CU59:CU59, "A")</f>
        <v/>
      </c>
      <c r="AG58" s="68">
        <f>IF((AE58+AF58)=0,"", AE58/(AE58+AF58))</f>
        <v/>
      </c>
      <c r="AH58" s="67">
        <f>COUNTIF('Detailed Attendance'!T59:T59, "P")+COUNTIF('Detailed Attendance'!AN59:AN59, "P")+COUNTIF('Detailed Attendance'!AR59:AR59, "P")+COUNTIF('Detailed Attendance'!BH59:BH59, "P")+COUNTIF('Detailed Attendance'!CB59:CB59, "P")+COUNTIF('Detailed Attendance'!CF59:CF59, "P")+COUNTIF('Detailed Attendance'!CY59:CY59, "P")</f>
        <v/>
      </c>
      <c r="AI58" s="67">
        <f>COUNTIF('Detailed Attendance'!T59:T59, "A")+COUNTIF('Detailed Attendance'!AN59:AN59, "A")+COUNTIF('Detailed Attendance'!AR59:AR59, "A")+COUNTIF('Detailed Attendance'!BH59:BH59, "A")+COUNTIF('Detailed Attendance'!CB59:CB59, "A")+COUNTIF('Detailed Attendance'!CF59:CF59, "A")+COUNTIF('Detailed Attendance'!CY59:CY59, "A")</f>
        <v/>
      </c>
      <c r="AJ58" s="68">
        <f>IF((AH58+AI58)=0,"", AH58/(AH58+AI58))</f>
        <v/>
      </c>
      <c r="AK58" s="67">
        <f>COUNTIF('Detailed Attendance'!M59:M59, "P")+COUNTIF('Detailed Attendance'!U59:U59, "P")+COUNTIF('Detailed Attendance'!AG59:AG59, "P")+COUNTIF('Detailed Attendance'!AO59:AO59, "P")+COUNTIF('Detailed Attendance'!BA59:BA59, "P")+COUNTIF('Detailed Attendance'!BI59:BI59, "P")+COUNTIF('Detailed Attendance'!BU59:BU59, "P")+COUNTIF('Detailed Attendance'!CC59:CC59, "P")+COUNTIF('Detailed Attendance'!CR59:CR59, "P")+COUNTIF('Detailed Attendance'!CZ59:CZ59, "P")</f>
        <v/>
      </c>
      <c r="AL58" s="67">
        <f>COUNTIF('Detailed Attendance'!M59:M59, "A")+COUNTIF('Detailed Attendance'!U59:U59, "A")+COUNTIF('Detailed Attendance'!AG59:AG59, "A")+COUNTIF('Detailed Attendance'!AO59:AO59, "A")+COUNTIF('Detailed Attendance'!BA59:BA59, "A")+COUNTIF('Detailed Attendance'!BI59:BI59, "A")+COUNTIF('Detailed Attendance'!BU59:BU59, "A")+COUNTIF('Detailed Attendance'!CC59:CC59, "A")+COUNTIF('Detailed Attendance'!CR59:CR59, "A")+COUNTIF('Detailed Attendance'!CZ59:CZ59, "A")</f>
        <v/>
      </c>
      <c r="AM58" s="68">
        <f>IF((AK58+AL58)=0,"", AK58/(AK58+AL58))</f>
        <v/>
      </c>
      <c r="AN58" s="67">
        <f>Y58+AB58+AE58+AH58+AK58</f>
        <v/>
      </c>
      <c r="AO58" s="67">
        <f>Z58+AC58+AF58+AI58+AL58</f>
        <v/>
      </c>
      <c r="AP58" s="68">
        <f>IF((AN58+AO58)=0,"", AN58/(AN58+AO58))</f>
        <v/>
      </c>
      <c r="AQ58" s="69">
        <f>COUNTIF('Detailed Attendance'!CG59:CG59, "P")+COUNTIF('Detailed Attendance'!CH59:CH59, "P")+COUNTIF('Detailed Attendance'!V59:V59, "P")+COUNTIF('Detailed Attendance'!AP59:AP59, "P")+COUNTIF('Detailed Attendance'!BJ59:BJ59, "P")+COUNTIF('Detailed Attendance'!CD59:CD59, "P")+COUNTIF('Detailed Attendance'!DA59:DA59, "P")</f>
        <v/>
      </c>
      <c r="AR58" s="69">
        <f>COUNTIF('Detailed Attendance'!CG59:CG59, "A")+COUNTIF('Detailed Attendance'!CH59:CH59, "A")+COUNTIF('Detailed Attendance'!V59:V59, "A")+COUNTIF('Detailed Attendance'!AP59:AP59, "A")+COUNTIF('Detailed Attendance'!BJ59:BJ59, "A")+COUNTIF('Detailed Attendance'!CD59:CD59, "A")+COUNTIF('Detailed Attendance'!DA59:DA59, "A")</f>
        <v/>
      </c>
      <c r="AS58" s="70">
        <f>IF((AQ58+AR58)=0,"", AQ58/(AQ58+AR58))</f>
        <v/>
      </c>
      <c r="AT58" s="67">
        <f>COUNTIF('Detailed Attendance'!DF59:DF59, "P")+COUNTIF('Detailed Attendance'!DT59:DT59, "P")+COUNTIF('Detailed Attendance'!EC59:EC59, "P")+COUNTIF('Detailed Attendance'!EQ59:EQ59, "P")+COUNTIF('Detailed Attendance'!EW59:EW59, "P")+COUNTIF('Detailed Attendance'!FK59:FK59, "P")+COUNTIF('Detailed Attendance'!FM59:FM59, "P")+COUNTIF('Detailed Attendance'!GA59:GA59, "P")</f>
        <v/>
      </c>
      <c r="AU58" s="67">
        <f>COUNTIF('Detailed Attendance'!DF59:DF59, "A")+COUNTIF('Detailed Attendance'!DT59:DT59, "A")+COUNTIF('Detailed Attendance'!EC59:EC59, "A")+COUNTIF('Detailed Attendance'!EQ59:EQ59, "A")+COUNTIF('Detailed Attendance'!EW59:EW59, "A")+COUNTIF('Detailed Attendance'!FK59:FK59, "A")+COUNTIF('Detailed Attendance'!FM59:FM59, "A")+COUNTIF('Detailed Attendance'!GA59:GA59, "A")</f>
        <v/>
      </c>
      <c r="AV58" s="68">
        <f>IF((AT58+AU58)=0,"", AT58/(AT58+AU58))</f>
        <v/>
      </c>
      <c r="AW58" s="67">
        <f>COUNTIF('Detailed Attendance'!DK59:DK59, "P")+COUNTIF('Detailed Attendance'!DS59:DS59, "P")+COUNTIF('Detailed Attendance'!EH59:EH59, "P")+COUNTIF('Detailed Attendance'!EP59:EP59, "P")+COUNTIF('Detailed Attendance'!FB59:FB59, "P")+COUNTIF('Detailed Attendance'!FJ59:FJ59, "P")+COUNTIF('Detailed Attendance'!FR59:FR59, "P")+COUNTIF('Detailed Attendance'!FZ59:FZ59, "P")</f>
        <v/>
      </c>
      <c r="AX58" s="67">
        <f>COUNTIF('Detailed Attendance'!DK59:DK59, "A")+COUNTIF('Detailed Attendance'!DS59:DS59, "A")+COUNTIF('Detailed Attendance'!EH59:EH59, "A")+COUNTIF('Detailed Attendance'!EP59:EP59, "A")+COUNTIF('Detailed Attendance'!FB59:FB59, "A")+COUNTIF('Detailed Attendance'!FJ59:FJ59, "A")+COUNTIF('Detailed Attendance'!FR59:FR59, "A")+COUNTIF('Detailed Attendance'!FZ59:FZ59, "A")</f>
        <v/>
      </c>
      <c r="AY58" s="68">
        <f>IF((AW58+AX58)=0,"", AW58/(AW58+AX58))</f>
        <v/>
      </c>
      <c r="AZ58" s="67">
        <f>COUNTIF('Detailed Attendance'!DN59:DN59, "P")+COUNTIF('Detailed Attendance'!DR59:DR59, "P")+COUNTIF('Detailed Attendance'!EK59:EK59, "P")+COUNTIF('Detailed Attendance'!EO59:EO59, "P")+COUNTIF('Detailed Attendance'!FE59:FE59, "P")+COUNTIF('Detailed Attendance'!FI59:FI59, "P")+COUNTIF('Detailed Attendance'!FU59:FU59, "P")+COUNTIF('Detailed Attendance'!FY59:FY59, "P")</f>
        <v/>
      </c>
      <c r="BA58" s="67">
        <f>COUNTIF('Detailed Attendance'!DN59:DN59, "A")+COUNTIF('Detailed Attendance'!DR59:DR59, "A")+COUNTIF('Detailed Attendance'!EK59:EK59, "A")+COUNTIF('Detailed Attendance'!EO59:EO59, "A")+COUNTIF('Detailed Attendance'!FE59:FE59, "A")+COUNTIF('Detailed Attendance'!FI59:FI59, "A")+COUNTIF('Detailed Attendance'!FU59:FU59, "A")+COUNTIF('Detailed Attendance'!FY59:FY59, "A")</f>
        <v/>
      </c>
      <c r="BB58" s="68">
        <f>IF((AZ58+BA58)=0,"", AZ58/(AZ58+BA58))</f>
        <v/>
      </c>
      <c r="BC58" s="67">
        <f>COUNTIF('Detailed Attendance'!DC59:DC59, "P")+COUNTIF('Detailed Attendance'!DV59:DV59, "P")+COUNTIF('Detailed Attendance'!DZ59:DZ59, "P")+COUNTIF('Detailed Attendance'!ES59:ES59, "P")+COUNTIF('Detailed Attendance'!GC59:GC59, "P")+COUNTIF('Detailed Attendance'!GG59:GG59, "P")</f>
        <v/>
      </c>
      <c r="BD58" s="67">
        <f>COUNTIF('Detailed Attendance'!DC59:DC59, "A")+COUNTIF('Detailed Attendance'!DV59:DV59, "A")+COUNTIF('Detailed Attendance'!DZ59:DZ59, "A")+COUNTIF('Detailed Attendance'!ES59:ES59, "A")+COUNTIF('Detailed Attendance'!GC59:GC59, "A")+COUNTIF('Detailed Attendance'!GG59:GG59, "A")</f>
        <v/>
      </c>
      <c r="BE58" s="68">
        <f>IF((BC58+BD58)=0,"", BC58/(BC58+BD58))</f>
        <v/>
      </c>
      <c r="BF58" s="67">
        <f>COUNTIF('Detailed Attendance'!DO59:DO59, "P")+COUNTIF('Detailed Attendance'!DW59:DW59, "P")+COUNTIF('Detailed Attendance'!EL59:EL59, "P")+COUNTIF('Detailed Attendance'!ET59:ET59, "P")+COUNTIF('Detailed Attendance'!FF59:FF59, "P")+COUNTIF('Detailed Attendance'!FV59:FV59, "P")+COUNTIF('Detailed Attendance'!GD59:GD59, "P")</f>
        <v/>
      </c>
      <c r="BG58" s="67">
        <f>COUNTIF('Detailed Attendance'!DO59:DO59, "A")+COUNTIF('Detailed Attendance'!DW59:DW59, "A")+COUNTIF('Detailed Attendance'!EL59:EL59, "A")+COUNTIF('Detailed Attendance'!ET59:ET59, "A")+COUNTIF('Detailed Attendance'!FF59:FF59, "A")+COUNTIF('Detailed Attendance'!FV59:FV59, "A")+COUNTIF('Detailed Attendance'!GD59:GD59, "A")</f>
        <v/>
      </c>
      <c r="BH58" s="68">
        <f>IF((BF58+BG58)=0,"", BF58/(BF58+BG58))</f>
        <v/>
      </c>
      <c r="BI58" s="67">
        <f>AT58+AW58+AZ58+BC58+BF58</f>
        <v/>
      </c>
      <c r="BJ58" s="67">
        <f>AU58+AX58+BA58+BD58+BG58</f>
        <v/>
      </c>
      <c r="BK58" s="68">
        <f>IF((BI58+BJ58)=0,"", BI58/(BI58+BJ58))</f>
        <v/>
      </c>
      <c r="BL58" s="69">
        <f>COUNTIF('Detailed Attendance'!DD59:DD59, "P")+COUNTIF('Detailed Attendance'!EA59:EA59, "P")+COUNTIF('Detailed Attendance'!GH59:GH59, "P")+COUNTIF('Detailed Attendance'!DE59:DE59, "P")+COUNTIF('Detailed Attendance'!EB59:EB59, "P")+COUNTIF('Detailed Attendance'!GI59:GI59, "P")+COUNTIF('Detailed Attendance'!DX59:DX59, "P")+COUNTIF('Detailed Attendance'!EU59:EU59, "P")+COUNTIF('Detailed Attendance'!GE59:GE59, "P")</f>
        <v/>
      </c>
      <c r="BM58" s="69">
        <f>COUNTIF('Detailed Attendance'!DD59:DD59, "A")+COUNTIF('Detailed Attendance'!EA59:EA59, "A")+COUNTIF('Detailed Attendance'!GH59:GH59, "A")+COUNTIF('Detailed Attendance'!DE59:DE59, "A")+COUNTIF('Detailed Attendance'!EB59:EB59, "A")+COUNTIF('Detailed Attendance'!GI59:GI59, "A")+COUNTIF('Detailed Attendance'!DX59:DX59, "A")+COUNTIF('Detailed Attendance'!EU59:EU59, "A")+COUNTIF('Detailed Attendance'!GE59:GE59, "A")</f>
        <v/>
      </c>
      <c r="BN58" s="70">
        <f>IF((BL58+BM58)=0,"", BL58/(BL58+BM58))</f>
        <v/>
      </c>
      <c r="BO58" s="67">
        <f>D58+Y58+AT58</f>
        <v/>
      </c>
      <c r="BP58" s="67">
        <f>E58+Z58+AU58</f>
        <v/>
      </c>
      <c r="BQ58" s="68">
        <f>IF((BO58+BP58)=0,"", BO58/(BO58+BP58))</f>
        <v/>
      </c>
      <c r="BR58" s="67">
        <f>G58+AB58+AW58</f>
        <v/>
      </c>
      <c r="BS58" s="67">
        <f>H58+AC58+AX58</f>
        <v/>
      </c>
      <c r="BT58" s="68">
        <f>IF((BR58+BS58)=0,"", BR58/(BR58+BS58))</f>
        <v/>
      </c>
      <c r="BU58" s="67">
        <f>J58+AE58+AZ58</f>
        <v/>
      </c>
      <c r="BV58" s="67">
        <f>K58+AF58+BA58</f>
        <v/>
      </c>
      <c r="BW58" s="68">
        <f>IF((BU58+BV58)=0,"", BU58/(BU58+BV58))</f>
        <v/>
      </c>
      <c r="BX58" s="67">
        <f>M58+AH58+BC58</f>
        <v/>
      </c>
      <c r="BY58" s="67">
        <f>N58+AI58+BD58</f>
        <v/>
      </c>
      <c r="BZ58" s="68">
        <f>IF((BX58+BY58)=0,"", BX58/(BX58+BY58))</f>
        <v/>
      </c>
      <c r="CA58" s="67">
        <f>P58+AK58+BF58</f>
        <v/>
      </c>
      <c r="CB58" s="67">
        <f>Q58+AL58+BG58</f>
        <v/>
      </c>
      <c r="CC58" s="68">
        <f>IF((CA58+CB58)=0,"", CA58/(CA58+CB58))</f>
        <v/>
      </c>
      <c r="CD58" s="67">
        <f>S58+AN58+BI58</f>
        <v/>
      </c>
      <c r="CE58" s="67">
        <f>T58+AO58+BJ58</f>
        <v/>
      </c>
      <c r="CF58" s="68">
        <f>IF((CD58+CE58)=0,"", CD58/(CD58+CE58))</f>
        <v/>
      </c>
      <c r="CG58" s="69">
        <f>V58+AQ58+BL58</f>
        <v/>
      </c>
      <c r="CH58" s="69">
        <f>W58+AR58+BM58</f>
        <v/>
      </c>
      <c r="CI58" s="70">
        <f>IF((CG58+CH58)=0,"", CG58/(CG58+CH58))</f>
        <v/>
      </c>
      <c r="CJ58" s="67">
        <f>CD58+(CG58*2)</f>
        <v/>
      </c>
      <c r="CK58" s="67">
        <f>CE58+(CH58*2)</f>
        <v/>
      </c>
      <c r="CL58" s="68">
        <f>IF((CJ58+CK58)=0,"", CJ58/(CJ58+CK58))</f>
        <v/>
      </c>
      <c r="CM58" s="67" t="inlineStr">
        <is>
          <t>Batch 2</t>
        </is>
      </c>
    </row>
    <row r="59" ht="14.25" customHeight="1" s="34">
      <c r="A59" s="46" t="n">
        <v>57</v>
      </c>
      <c r="B59" s="46" t="inlineStr">
        <is>
          <t>325106410057</t>
        </is>
      </c>
      <c r="C59" s="46" t="inlineStr">
        <is>
          <t>YASWANTH MANIKANTA VATTIPROLU</t>
        </is>
      </c>
      <c r="D59" s="63" t="n">
        <v>0</v>
      </c>
      <c r="E59" s="63" t="n">
        <v>0</v>
      </c>
      <c r="F59" s="64">
        <f>IF((D59+E59)=0,"", D59/(D59+E59))</f>
        <v/>
      </c>
      <c r="G59" s="63">
        <f>COUNTIF('Detailed Attendance'!I60:I60, "P")</f>
        <v/>
      </c>
      <c r="H59" s="63">
        <f>COUNTIF('Detailed Attendance'!I60:I60, "A")</f>
        <v/>
      </c>
      <c r="I59" s="64">
        <f>IF((G59+H59)=0,"", G59/(G59+H59))</f>
        <v/>
      </c>
      <c r="J59" s="63" t="n">
        <v>0</v>
      </c>
      <c r="K59" s="63" t="n">
        <v>0</v>
      </c>
      <c r="L59" s="64">
        <f>IF((J59+K59)=0,"", J59/(J59+K59))</f>
        <v/>
      </c>
      <c r="M59" s="63">
        <f>COUNTIF('Detailed Attendance'!D60:D60, "P")</f>
        <v/>
      </c>
      <c r="N59" s="63">
        <f>COUNTIF('Detailed Attendance'!D60:D60, "A")</f>
        <v/>
      </c>
      <c r="O59" s="64">
        <f>IF((M59+N59)=0,"", M59/(M59+N59))</f>
        <v/>
      </c>
      <c r="P59" s="63" t="n">
        <v>0</v>
      </c>
      <c r="Q59" s="63" t="n">
        <v>0</v>
      </c>
      <c r="R59" s="64">
        <f>IF((P59+Q59)=0,"", P59/(P59+Q59))</f>
        <v/>
      </c>
      <c r="S59" s="63">
        <f>D59+G59+J59+M59+P59</f>
        <v/>
      </c>
      <c r="T59" s="63">
        <f>E59+H59+K59+N59+Q59</f>
        <v/>
      </c>
      <c r="U59" s="64">
        <f>IF((S59+T59)=0,"", S59/(S59+T59))</f>
        <v/>
      </c>
      <c r="V59" s="65" t="n">
        <v>0</v>
      </c>
      <c r="W59" s="65" t="n">
        <v>0</v>
      </c>
      <c r="X59" s="66">
        <f>IF((V59+W59)=0,"", V59/(V59+W59))</f>
        <v/>
      </c>
      <c r="Y59" s="63">
        <f>COUNTIF('Detailed Attendance'!R60:R60, "P")+COUNTIF('Detailed Attendance'!X60:X60, "P")+COUNTIF('Detailed Attendance'!AL60:AL60, "P")+COUNTIF('Detailed Attendance'!BF60:BF60, "P")+COUNTIF('Detailed Attendance'!BL60:BL60, "P")+COUNTIF('Detailed Attendance'!BZ60:BZ60, "P")+COUNTIF('Detailed Attendance'!CI60:CI60, "P")+COUNTIF('Detailed Attendance'!CW60:CW60, "P")</f>
        <v/>
      </c>
      <c r="Z59" s="63">
        <f>COUNTIF('Detailed Attendance'!R60:R60, "A")+COUNTIF('Detailed Attendance'!X60:X60, "A")+COUNTIF('Detailed Attendance'!AL60:AL60, "A")+COUNTIF('Detailed Attendance'!BF60:BF60, "A")+COUNTIF('Detailed Attendance'!BL60:BL60, "A")+COUNTIF('Detailed Attendance'!BZ60:BZ60, "A")+COUNTIF('Detailed Attendance'!CI60:CI60, "A")+COUNTIF('Detailed Attendance'!CW60:CW60, "A")</f>
        <v/>
      </c>
      <c r="AA59" s="64">
        <f>IF((Y59+Z59)=0,"", Y59/(Y59+Z59))</f>
        <v/>
      </c>
      <c r="AB59" s="63">
        <f>COUNTIF('Detailed Attendance'!Q60:Q60, "P")+COUNTIF('Detailed Attendance'!AC60:AC60, "P")+COUNTIF('Detailed Attendance'!AK60:AK60, "P")+COUNTIF('Detailed Attendance'!AW60:AW60, "P")+COUNTIF('Detailed Attendance'!BE60:BE60, "P")+COUNTIF('Detailed Attendance'!BQ60:BQ60, "P")+COUNTIF('Detailed Attendance'!BY60:BY60, "P")+COUNTIF('Detailed Attendance'!CN60:CN60, "P")+COUNTIF('Detailed Attendance'!CV60:CV60, "P")</f>
        <v/>
      </c>
      <c r="AC59" s="63">
        <f>COUNTIF('Detailed Attendance'!Q60:Q60, "A")+COUNTIF('Detailed Attendance'!AC60:AC60, "A")+COUNTIF('Detailed Attendance'!AK60:AK60, "A")+COUNTIF('Detailed Attendance'!AW60:AW60, "A")+COUNTIF('Detailed Attendance'!BE60:BE60, "A")+COUNTIF('Detailed Attendance'!BQ60:BQ60, "A")+COUNTIF('Detailed Attendance'!BY60:BY60, "A")+COUNTIF('Detailed Attendance'!CN60:CN60, "A")+COUNTIF('Detailed Attendance'!CV60:CV60, "A")</f>
        <v/>
      </c>
      <c r="AD59" s="64">
        <f>IF((AB59+AC59)=0,"", AB59/(AB59+AC59))</f>
        <v/>
      </c>
      <c r="AE59" s="63">
        <f>COUNTIF('Detailed Attendance'!L60:L60, "P")+COUNTIF('Detailed Attendance'!P60:P60, "P")+COUNTIF('Detailed Attendance'!AF60:AF60, "P")+COUNTIF('Detailed Attendance'!AJ60:AJ60, "P")+COUNTIF('Detailed Attendance'!AZ60:AZ60, "P")+COUNTIF('Detailed Attendance'!BD60:BD60, "P")+COUNTIF('Detailed Attendance'!BT60:BT60, "P")+COUNTIF('Detailed Attendance'!BX60:BX60, "P")+COUNTIF('Detailed Attendance'!CQ60:CQ60, "P")+COUNTIF('Detailed Attendance'!CU60:CU60, "P")</f>
        <v/>
      </c>
      <c r="AF59" s="67">
        <f>COUNTIF('Detailed Attendance'!L60:L60, "A")+COUNTIF('Detailed Attendance'!P60:P60, "A")+COUNTIF('Detailed Attendance'!AF60:AF60, "A")+COUNTIF('Detailed Attendance'!AJ60:AJ60, "A")+COUNTIF('Detailed Attendance'!AZ60:AZ60, "A")+COUNTIF('Detailed Attendance'!BD60:BD60, "A")+COUNTIF('Detailed Attendance'!BT60:BT60, "A")+COUNTIF('Detailed Attendance'!BX60:BX60, "A")+COUNTIF('Detailed Attendance'!CQ60:CQ60, "A")+COUNTIF('Detailed Attendance'!CU60:CU60, "A")</f>
        <v/>
      </c>
      <c r="AG59" s="68">
        <f>IF((AE59+AF59)=0,"", AE59/(AE59+AF59))</f>
        <v/>
      </c>
      <c r="AH59" s="67">
        <f>COUNTIF('Detailed Attendance'!T60:T60, "P")+COUNTIF('Detailed Attendance'!AN60:AN60, "P")+COUNTIF('Detailed Attendance'!AR60:AR60, "P")+COUNTIF('Detailed Attendance'!BH60:BH60, "P")+COUNTIF('Detailed Attendance'!CB60:CB60, "P")+COUNTIF('Detailed Attendance'!CF60:CF60, "P")+COUNTIF('Detailed Attendance'!CY60:CY60, "P")</f>
        <v/>
      </c>
      <c r="AI59" s="67">
        <f>COUNTIF('Detailed Attendance'!T60:T60, "A")+COUNTIF('Detailed Attendance'!AN60:AN60, "A")+COUNTIF('Detailed Attendance'!AR60:AR60, "A")+COUNTIF('Detailed Attendance'!BH60:BH60, "A")+COUNTIF('Detailed Attendance'!CB60:CB60, "A")+COUNTIF('Detailed Attendance'!CF60:CF60, "A")+COUNTIF('Detailed Attendance'!CY60:CY60, "A")</f>
        <v/>
      </c>
      <c r="AJ59" s="68">
        <f>IF((AH59+AI59)=0,"", AH59/(AH59+AI59))</f>
        <v/>
      </c>
      <c r="AK59" s="67">
        <f>COUNTIF('Detailed Attendance'!M60:M60, "P")+COUNTIF('Detailed Attendance'!U60:U60, "P")+COUNTIF('Detailed Attendance'!AG60:AG60, "P")+COUNTIF('Detailed Attendance'!AO60:AO60, "P")+COUNTIF('Detailed Attendance'!BA60:BA60, "P")+COUNTIF('Detailed Attendance'!BI60:BI60, "P")+COUNTIF('Detailed Attendance'!BU60:BU60, "P")+COUNTIF('Detailed Attendance'!CC60:CC60, "P")+COUNTIF('Detailed Attendance'!CR60:CR60, "P")+COUNTIF('Detailed Attendance'!CZ60:CZ60, "P")</f>
        <v/>
      </c>
      <c r="AL59" s="67">
        <f>COUNTIF('Detailed Attendance'!M60:M60, "A")+COUNTIF('Detailed Attendance'!U60:U60, "A")+COUNTIF('Detailed Attendance'!AG60:AG60, "A")+COUNTIF('Detailed Attendance'!AO60:AO60, "A")+COUNTIF('Detailed Attendance'!BA60:BA60, "A")+COUNTIF('Detailed Attendance'!BI60:BI60, "A")+COUNTIF('Detailed Attendance'!BU60:BU60, "A")+COUNTIF('Detailed Attendance'!CC60:CC60, "A")+COUNTIF('Detailed Attendance'!CR60:CR60, "A")+COUNTIF('Detailed Attendance'!CZ60:CZ60, "A")</f>
        <v/>
      </c>
      <c r="AM59" s="68">
        <f>IF((AK59+AL59)=0,"", AK59/(AK59+AL59))</f>
        <v/>
      </c>
      <c r="AN59" s="67">
        <f>Y59+AB59+AE59+AH59+AK59</f>
        <v/>
      </c>
      <c r="AO59" s="67">
        <f>Z59+AC59+AF59+AI59+AL59</f>
        <v/>
      </c>
      <c r="AP59" s="68">
        <f>IF((AN59+AO59)=0,"", AN59/(AN59+AO59))</f>
        <v/>
      </c>
      <c r="AQ59" s="69">
        <f>COUNTIF('Detailed Attendance'!CG60:CG60, "P")+COUNTIF('Detailed Attendance'!CH60:CH60, "P")+COUNTIF('Detailed Attendance'!V60:V60, "P")+COUNTIF('Detailed Attendance'!AP60:AP60, "P")+COUNTIF('Detailed Attendance'!BJ60:BJ60, "P")+COUNTIF('Detailed Attendance'!CD60:CD60, "P")+COUNTIF('Detailed Attendance'!DA60:DA60, "P")</f>
        <v/>
      </c>
      <c r="AR59" s="69">
        <f>COUNTIF('Detailed Attendance'!CG60:CG60, "A")+COUNTIF('Detailed Attendance'!CH60:CH60, "A")+COUNTIF('Detailed Attendance'!V60:V60, "A")+COUNTIF('Detailed Attendance'!AP60:AP60, "A")+COUNTIF('Detailed Attendance'!BJ60:BJ60, "A")+COUNTIF('Detailed Attendance'!CD60:CD60, "A")+COUNTIF('Detailed Attendance'!DA60:DA60, "A")</f>
        <v/>
      </c>
      <c r="AS59" s="70">
        <f>IF((AQ59+AR59)=0,"", AQ59/(AQ59+AR59))</f>
        <v/>
      </c>
      <c r="AT59" s="67">
        <f>COUNTIF('Detailed Attendance'!DF60:DF60, "P")+COUNTIF('Detailed Attendance'!DT60:DT60, "P")+COUNTIF('Detailed Attendance'!EC60:EC60, "P")+COUNTIF('Detailed Attendance'!EQ60:EQ60, "P")+COUNTIF('Detailed Attendance'!EW60:EW60, "P")+COUNTIF('Detailed Attendance'!FK60:FK60, "P")+COUNTIF('Detailed Attendance'!FM60:FM60, "P")+COUNTIF('Detailed Attendance'!GA60:GA60, "P")</f>
        <v/>
      </c>
      <c r="AU59" s="67">
        <f>COUNTIF('Detailed Attendance'!DF60:DF60, "A")+COUNTIF('Detailed Attendance'!DT60:DT60, "A")+COUNTIF('Detailed Attendance'!EC60:EC60, "A")+COUNTIF('Detailed Attendance'!EQ60:EQ60, "A")+COUNTIF('Detailed Attendance'!EW60:EW60, "A")+COUNTIF('Detailed Attendance'!FK60:FK60, "A")+COUNTIF('Detailed Attendance'!FM60:FM60, "A")+COUNTIF('Detailed Attendance'!GA60:GA60, "A")</f>
        <v/>
      </c>
      <c r="AV59" s="68">
        <f>IF((AT59+AU59)=0,"", AT59/(AT59+AU59))</f>
        <v/>
      </c>
      <c r="AW59" s="67">
        <f>COUNTIF('Detailed Attendance'!DK60:DK60, "P")+COUNTIF('Detailed Attendance'!DS60:DS60, "P")+COUNTIF('Detailed Attendance'!EH60:EH60, "P")+COUNTIF('Detailed Attendance'!EP60:EP60, "P")+COUNTIF('Detailed Attendance'!FB60:FB60, "P")+COUNTIF('Detailed Attendance'!FJ60:FJ60, "P")+COUNTIF('Detailed Attendance'!FR60:FR60, "P")+COUNTIF('Detailed Attendance'!FZ60:FZ60, "P")</f>
        <v/>
      </c>
      <c r="AX59" s="67">
        <f>COUNTIF('Detailed Attendance'!DK60:DK60, "A")+COUNTIF('Detailed Attendance'!DS60:DS60, "A")+COUNTIF('Detailed Attendance'!EH60:EH60, "A")+COUNTIF('Detailed Attendance'!EP60:EP60, "A")+COUNTIF('Detailed Attendance'!FB60:FB60, "A")+COUNTIF('Detailed Attendance'!FJ60:FJ60, "A")+COUNTIF('Detailed Attendance'!FR60:FR60, "A")+COUNTIF('Detailed Attendance'!FZ60:FZ60, "A")</f>
        <v/>
      </c>
      <c r="AY59" s="68">
        <f>IF((AW59+AX59)=0,"", AW59/(AW59+AX59))</f>
        <v/>
      </c>
      <c r="AZ59" s="67">
        <f>COUNTIF('Detailed Attendance'!DN60:DN60, "P")+COUNTIF('Detailed Attendance'!DR60:DR60, "P")+COUNTIF('Detailed Attendance'!EK60:EK60, "P")+COUNTIF('Detailed Attendance'!EO60:EO60, "P")+COUNTIF('Detailed Attendance'!FE60:FE60, "P")+COUNTIF('Detailed Attendance'!FI60:FI60, "P")+COUNTIF('Detailed Attendance'!FU60:FU60, "P")+COUNTIF('Detailed Attendance'!FY60:FY60, "P")</f>
        <v/>
      </c>
      <c r="BA59" s="67">
        <f>COUNTIF('Detailed Attendance'!DN60:DN60, "A")+COUNTIF('Detailed Attendance'!DR60:DR60, "A")+COUNTIF('Detailed Attendance'!EK60:EK60, "A")+COUNTIF('Detailed Attendance'!EO60:EO60, "A")+COUNTIF('Detailed Attendance'!FE60:FE60, "A")+COUNTIF('Detailed Attendance'!FI60:FI60, "A")+COUNTIF('Detailed Attendance'!FU60:FU60, "A")+COUNTIF('Detailed Attendance'!FY60:FY60, "A")</f>
        <v/>
      </c>
      <c r="BB59" s="68">
        <f>IF((AZ59+BA59)=0,"", AZ59/(AZ59+BA59))</f>
        <v/>
      </c>
      <c r="BC59" s="67">
        <f>COUNTIF('Detailed Attendance'!DC60:DC60, "P")+COUNTIF('Detailed Attendance'!DV60:DV60, "P")+COUNTIF('Detailed Attendance'!DZ60:DZ60, "P")+COUNTIF('Detailed Attendance'!ES60:ES60, "P")+COUNTIF('Detailed Attendance'!GC60:GC60, "P")+COUNTIF('Detailed Attendance'!GG60:GG60, "P")</f>
        <v/>
      </c>
      <c r="BD59" s="67">
        <f>COUNTIF('Detailed Attendance'!DC60:DC60, "A")+COUNTIF('Detailed Attendance'!DV60:DV60, "A")+COUNTIF('Detailed Attendance'!DZ60:DZ60, "A")+COUNTIF('Detailed Attendance'!ES60:ES60, "A")+COUNTIF('Detailed Attendance'!GC60:GC60, "A")+COUNTIF('Detailed Attendance'!GG60:GG60, "A")</f>
        <v/>
      </c>
      <c r="BE59" s="68">
        <f>IF((BC59+BD59)=0,"", BC59/(BC59+BD59))</f>
        <v/>
      </c>
      <c r="BF59" s="67">
        <f>COUNTIF('Detailed Attendance'!DO60:DO60, "P")+COUNTIF('Detailed Attendance'!DW60:DW60, "P")+COUNTIF('Detailed Attendance'!EL60:EL60, "P")+COUNTIF('Detailed Attendance'!ET60:ET60, "P")+COUNTIF('Detailed Attendance'!FF60:FF60, "P")+COUNTIF('Detailed Attendance'!FV60:FV60, "P")+COUNTIF('Detailed Attendance'!GD60:GD60, "P")</f>
        <v/>
      </c>
      <c r="BG59" s="67">
        <f>COUNTIF('Detailed Attendance'!DO60:DO60, "A")+COUNTIF('Detailed Attendance'!DW60:DW60, "A")+COUNTIF('Detailed Attendance'!EL60:EL60, "A")+COUNTIF('Detailed Attendance'!ET60:ET60, "A")+COUNTIF('Detailed Attendance'!FF60:FF60, "A")+COUNTIF('Detailed Attendance'!FV60:FV60, "A")+COUNTIF('Detailed Attendance'!GD60:GD60, "A")</f>
        <v/>
      </c>
      <c r="BH59" s="68">
        <f>IF((BF59+BG59)=0,"", BF59/(BF59+BG59))</f>
        <v/>
      </c>
      <c r="BI59" s="67">
        <f>AT59+AW59+AZ59+BC59+BF59</f>
        <v/>
      </c>
      <c r="BJ59" s="67">
        <f>AU59+AX59+BA59+BD59+BG59</f>
        <v/>
      </c>
      <c r="BK59" s="68">
        <f>IF((BI59+BJ59)=0,"", BI59/(BI59+BJ59))</f>
        <v/>
      </c>
      <c r="BL59" s="69">
        <f>COUNTIF('Detailed Attendance'!DD60:DD60, "P")+COUNTIF('Detailed Attendance'!EA60:EA60, "P")+COUNTIF('Detailed Attendance'!GH60:GH60, "P")+COUNTIF('Detailed Attendance'!DE60:DE60, "P")+COUNTIF('Detailed Attendance'!EB60:EB60, "P")+COUNTIF('Detailed Attendance'!GI60:GI60, "P")+COUNTIF('Detailed Attendance'!DX60:DX60, "P")+COUNTIF('Detailed Attendance'!EU60:EU60, "P")+COUNTIF('Detailed Attendance'!GE60:GE60, "P")</f>
        <v/>
      </c>
      <c r="BM59" s="69">
        <f>COUNTIF('Detailed Attendance'!DD60:DD60, "A")+COUNTIF('Detailed Attendance'!EA60:EA60, "A")+COUNTIF('Detailed Attendance'!GH60:GH60, "A")+COUNTIF('Detailed Attendance'!DE60:DE60, "A")+COUNTIF('Detailed Attendance'!EB60:EB60, "A")+COUNTIF('Detailed Attendance'!GI60:GI60, "A")+COUNTIF('Detailed Attendance'!DX60:DX60, "A")+COUNTIF('Detailed Attendance'!EU60:EU60, "A")+COUNTIF('Detailed Attendance'!GE60:GE60, "A")</f>
        <v/>
      </c>
      <c r="BN59" s="70">
        <f>IF((BL59+BM59)=0,"", BL59/(BL59+BM59))</f>
        <v/>
      </c>
      <c r="BO59" s="67">
        <f>D59+Y59+AT59</f>
        <v/>
      </c>
      <c r="BP59" s="67">
        <f>E59+Z59+AU59</f>
        <v/>
      </c>
      <c r="BQ59" s="68">
        <f>IF((BO59+BP59)=0,"", BO59/(BO59+BP59))</f>
        <v/>
      </c>
      <c r="BR59" s="67">
        <f>G59+AB59+AW59</f>
        <v/>
      </c>
      <c r="BS59" s="67">
        <f>H59+AC59+AX59</f>
        <v/>
      </c>
      <c r="BT59" s="68">
        <f>IF((BR59+BS59)=0,"", BR59/(BR59+BS59))</f>
        <v/>
      </c>
      <c r="BU59" s="67">
        <f>J59+AE59+AZ59</f>
        <v/>
      </c>
      <c r="BV59" s="67">
        <f>K59+AF59+BA59</f>
        <v/>
      </c>
      <c r="BW59" s="68">
        <f>IF((BU59+BV59)=0,"", BU59/(BU59+BV59))</f>
        <v/>
      </c>
      <c r="BX59" s="67">
        <f>M59+AH59+BC59</f>
        <v/>
      </c>
      <c r="BY59" s="67">
        <f>N59+AI59+BD59</f>
        <v/>
      </c>
      <c r="BZ59" s="68">
        <f>IF((BX59+BY59)=0,"", BX59/(BX59+BY59))</f>
        <v/>
      </c>
      <c r="CA59" s="67">
        <f>P59+AK59+BF59</f>
        <v/>
      </c>
      <c r="CB59" s="67">
        <f>Q59+AL59+BG59</f>
        <v/>
      </c>
      <c r="CC59" s="68">
        <f>IF((CA59+CB59)=0,"", CA59/(CA59+CB59))</f>
        <v/>
      </c>
      <c r="CD59" s="67">
        <f>S59+AN59+BI59</f>
        <v/>
      </c>
      <c r="CE59" s="67">
        <f>T59+AO59+BJ59</f>
        <v/>
      </c>
      <c r="CF59" s="68">
        <f>IF((CD59+CE59)=0,"", CD59/(CD59+CE59))</f>
        <v/>
      </c>
      <c r="CG59" s="69">
        <f>V59+AQ59+BL59</f>
        <v/>
      </c>
      <c r="CH59" s="69">
        <f>W59+AR59+BM59</f>
        <v/>
      </c>
      <c r="CI59" s="70">
        <f>IF((CG59+CH59)=0,"", CG59/(CG59+CH59))</f>
        <v/>
      </c>
      <c r="CJ59" s="67">
        <f>CD59+(CG59*2)</f>
        <v/>
      </c>
      <c r="CK59" s="67">
        <f>CE59+(CH59*2)</f>
        <v/>
      </c>
      <c r="CL59" s="68">
        <f>IF((CJ59+CK59)=0,"", CJ59/(CJ59+CK59))</f>
        <v/>
      </c>
      <c r="CM59" s="67" t="inlineStr">
        <is>
          <t>Batch 2</t>
        </is>
      </c>
    </row>
    <row r="60" ht="14.25" customHeight="1" s="34">
      <c r="A60" s="46" t="n">
        <v>58</v>
      </c>
      <c r="B60" s="46" t="inlineStr">
        <is>
          <t>325106410058</t>
        </is>
      </c>
      <c r="C60" s="46" t="inlineStr">
        <is>
          <t>VEDA VARSHIT GOKAVARAPU</t>
        </is>
      </c>
      <c r="D60" s="63" t="n">
        <v>0</v>
      </c>
      <c r="E60" s="63" t="n">
        <v>0</v>
      </c>
      <c r="F60" s="64">
        <f>IF((D60+E60)=0,"", D60/(D60+E60))</f>
        <v/>
      </c>
      <c r="G60" s="63">
        <f>COUNTIF('Detailed Attendance'!I61:I61, "P")</f>
        <v/>
      </c>
      <c r="H60" s="63">
        <f>COUNTIF('Detailed Attendance'!I61:I61, "A")</f>
        <v/>
      </c>
      <c r="I60" s="64">
        <f>IF((G60+H60)=0,"", G60/(G60+H60))</f>
        <v/>
      </c>
      <c r="J60" s="63" t="n">
        <v>0</v>
      </c>
      <c r="K60" s="63" t="n">
        <v>0</v>
      </c>
      <c r="L60" s="64">
        <f>IF((J60+K60)=0,"", J60/(J60+K60))</f>
        <v/>
      </c>
      <c r="M60" s="63">
        <f>COUNTIF('Detailed Attendance'!D61:D61, "P")</f>
        <v/>
      </c>
      <c r="N60" s="63">
        <f>COUNTIF('Detailed Attendance'!D61:D61, "A")</f>
        <v/>
      </c>
      <c r="O60" s="64">
        <f>IF((M60+N60)=0,"", M60/(M60+N60))</f>
        <v/>
      </c>
      <c r="P60" s="63" t="n">
        <v>0</v>
      </c>
      <c r="Q60" s="63" t="n">
        <v>0</v>
      </c>
      <c r="R60" s="64">
        <f>IF((P60+Q60)=0,"", P60/(P60+Q60))</f>
        <v/>
      </c>
      <c r="S60" s="63">
        <f>D60+G60+J60+M60+P60</f>
        <v/>
      </c>
      <c r="T60" s="63">
        <f>E60+H60+K60+N60+Q60</f>
        <v/>
      </c>
      <c r="U60" s="64">
        <f>IF((S60+T60)=0,"", S60/(S60+T60))</f>
        <v/>
      </c>
      <c r="V60" s="65" t="n">
        <v>0</v>
      </c>
      <c r="W60" s="65" t="n">
        <v>0</v>
      </c>
      <c r="X60" s="66">
        <f>IF((V60+W60)=0,"", V60/(V60+W60))</f>
        <v/>
      </c>
      <c r="Y60" s="63">
        <f>COUNTIF('Detailed Attendance'!R61:R61, "P")+COUNTIF('Detailed Attendance'!X61:X61, "P")+COUNTIF('Detailed Attendance'!AL61:AL61, "P")+COUNTIF('Detailed Attendance'!BF61:BF61, "P")+COUNTIF('Detailed Attendance'!BL61:BL61, "P")+COUNTIF('Detailed Attendance'!BZ61:BZ61, "P")+COUNTIF('Detailed Attendance'!CI61:CI61, "P")+COUNTIF('Detailed Attendance'!CW61:CW61, "P")</f>
        <v/>
      </c>
      <c r="Z60" s="63">
        <f>COUNTIF('Detailed Attendance'!R61:R61, "A")+COUNTIF('Detailed Attendance'!X61:X61, "A")+COUNTIF('Detailed Attendance'!AL61:AL61, "A")+COUNTIF('Detailed Attendance'!BF61:BF61, "A")+COUNTIF('Detailed Attendance'!BL61:BL61, "A")+COUNTIF('Detailed Attendance'!BZ61:BZ61, "A")+COUNTIF('Detailed Attendance'!CI61:CI61, "A")+COUNTIF('Detailed Attendance'!CW61:CW61, "A")</f>
        <v/>
      </c>
      <c r="AA60" s="64">
        <f>IF((Y60+Z60)=0,"", Y60/(Y60+Z60))</f>
        <v/>
      </c>
      <c r="AB60" s="63">
        <f>COUNTIF('Detailed Attendance'!Q61:Q61, "P")+COUNTIF('Detailed Attendance'!AC61:AC61, "P")+COUNTIF('Detailed Attendance'!AK61:AK61, "P")+COUNTIF('Detailed Attendance'!AW61:AW61, "P")+COUNTIF('Detailed Attendance'!BE61:BE61, "P")+COUNTIF('Detailed Attendance'!BQ61:BQ61, "P")+COUNTIF('Detailed Attendance'!BY61:BY61, "P")+COUNTIF('Detailed Attendance'!CN61:CN61, "P")+COUNTIF('Detailed Attendance'!CV61:CV61, "P")</f>
        <v/>
      </c>
      <c r="AC60" s="63">
        <f>COUNTIF('Detailed Attendance'!Q61:Q61, "A")+COUNTIF('Detailed Attendance'!AC61:AC61, "A")+COUNTIF('Detailed Attendance'!AK61:AK61, "A")+COUNTIF('Detailed Attendance'!AW61:AW61, "A")+COUNTIF('Detailed Attendance'!BE61:BE61, "A")+COUNTIF('Detailed Attendance'!BQ61:BQ61, "A")+COUNTIF('Detailed Attendance'!BY61:BY61, "A")+COUNTIF('Detailed Attendance'!CN61:CN61, "A")+COUNTIF('Detailed Attendance'!CV61:CV61, "A")</f>
        <v/>
      </c>
      <c r="AD60" s="64">
        <f>IF((AB60+AC60)=0,"", AB60/(AB60+AC60))</f>
        <v/>
      </c>
      <c r="AE60" s="63">
        <f>COUNTIF('Detailed Attendance'!L61:L61, "P")+COUNTIF('Detailed Attendance'!P61:P61, "P")+COUNTIF('Detailed Attendance'!AF61:AF61, "P")+COUNTIF('Detailed Attendance'!AJ61:AJ61, "P")+COUNTIF('Detailed Attendance'!AZ61:AZ61, "P")+COUNTIF('Detailed Attendance'!BD61:BD61, "P")+COUNTIF('Detailed Attendance'!BT61:BT61, "P")+COUNTIF('Detailed Attendance'!BX61:BX61, "P")+COUNTIF('Detailed Attendance'!CQ61:CQ61, "P")+COUNTIF('Detailed Attendance'!CU61:CU61, "P")</f>
        <v/>
      </c>
      <c r="AF60" s="67">
        <f>COUNTIF('Detailed Attendance'!L61:L61, "A")+COUNTIF('Detailed Attendance'!P61:P61, "A")+COUNTIF('Detailed Attendance'!AF61:AF61, "A")+COUNTIF('Detailed Attendance'!AJ61:AJ61, "A")+COUNTIF('Detailed Attendance'!AZ61:AZ61, "A")+COUNTIF('Detailed Attendance'!BD61:BD61, "A")+COUNTIF('Detailed Attendance'!BT61:BT61, "A")+COUNTIF('Detailed Attendance'!BX61:BX61, "A")+COUNTIF('Detailed Attendance'!CQ61:CQ61, "A")+COUNTIF('Detailed Attendance'!CU61:CU61, "A")</f>
        <v/>
      </c>
      <c r="AG60" s="68">
        <f>IF((AE60+AF60)=0,"", AE60/(AE60+AF60))</f>
        <v/>
      </c>
      <c r="AH60" s="67">
        <f>COUNTIF('Detailed Attendance'!T61:T61, "P")+COUNTIF('Detailed Attendance'!AN61:AN61, "P")+COUNTIF('Detailed Attendance'!AR61:AR61, "P")+COUNTIF('Detailed Attendance'!BH61:BH61, "P")+COUNTIF('Detailed Attendance'!CB61:CB61, "P")+COUNTIF('Detailed Attendance'!CF61:CF61, "P")+COUNTIF('Detailed Attendance'!CY61:CY61, "P")</f>
        <v/>
      </c>
      <c r="AI60" s="67">
        <f>COUNTIF('Detailed Attendance'!T61:T61, "A")+COUNTIF('Detailed Attendance'!AN61:AN61, "A")+COUNTIF('Detailed Attendance'!AR61:AR61, "A")+COUNTIF('Detailed Attendance'!BH61:BH61, "A")+COUNTIF('Detailed Attendance'!CB61:CB61, "A")+COUNTIF('Detailed Attendance'!CF61:CF61, "A")+COUNTIF('Detailed Attendance'!CY61:CY61, "A")</f>
        <v/>
      </c>
      <c r="AJ60" s="68">
        <f>IF((AH60+AI60)=0,"", AH60/(AH60+AI60))</f>
        <v/>
      </c>
      <c r="AK60" s="67">
        <f>COUNTIF('Detailed Attendance'!M61:M61, "P")+COUNTIF('Detailed Attendance'!U61:U61, "P")+COUNTIF('Detailed Attendance'!AG61:AG61, "P")+COUNTIF('Detailed Attendance'!AO61:AO61, "P")+COUNTIF('Detailed Attendance'!BA61:BA61, "P")+COUNTIF('Detailed Attendance'!BI61:BI61, "P")+COUNTIF('Detailed Attendance'!BU61:BU61, "P")+COUNTIF('Detailed Attendance'!CC61:CC61, "P")+COUNTIF('Detailed Attendance'!CR61:CR61, "P")+COUNTIF('Detailed Attendance'!CZ61:CZ61, "P")</f>
        <v/>
      </c>
      <c r="AL60" s="67">
        <f>COUNTIF('Detailed Attendance'!M61:M61, "A")+COUNTIF('Detailed Attendance'!U61:U61, "A")+COUNTIF('Detailed Attendance'!AG61:AG61, "A")+COUNTIF('Detailed Attendance'!AO61:AO61, "A")+COUNTIF('Detailed Attendance'!BA61:BA61, "A")+COUNTIF('Detailed Attendance'!BI61:BI61, "A")+COUNTIF('Detailed Attendance'!BU61:BU61, "A")+COUNTIF('Detailed Attendance'!CC61:CC61, "A")+COUNTIF('Detailed Attendance'!CR61:CR61, "A")+COUNTIF('Detailed Attendance'!CZ61:CZ61, "A")</f>
        <v/>
      </c>
      <c r="AM60" s="68">
        <f>IF((AK60+AL60)=0,"", AK60/(AK60+AL60))</f>
        <v/>
      </c>
      <c r="AN60" s="67">
        <f>Y60+AB60+AE60+AH60+AK60</f>
        <v/>
      </c>
      <c r="AO60" s="67">
        <f>Z60+AC60+AF60+AI60+AL60</f>
        <v/>
      </c>
      <c r="AP60" s="68">
        <f>IF((AN60+AO60)=0,"", AN60/(AN60+AO60))</f>
        <v/>
      </c>
      <c r="AQ60" s="69">
        <f>COUNTIF('Detailed Attendance'!CG61:CG61, "P")+COUNTIF('Detailed Attendance'!CH61:CH61, "P")+COUNTIF('Detailed Attendance'!V61:V61, "P")+COUNTIF('Detailed Attendance'!AP61:AP61, "P")+COUNTIF('Detailed Attendance'!BJ61:BJ61, "P")+COUNTIF('Detailed Attendance'!CD61:CD61, "P")+COUNTIF('Detailed Attendance'!DA61:DA61, "P")</f>
        <v/>
      </c>
      <c r="AR60" s="69">
        <f>COUNTIF('Detailed Attendance'!CG61:CG61, "A")+COUNTIF('Detailed Attendance'!CH61:CH61, "A")+COUNTIF('Detailed Attendance'!V61:V61, "A")+COUNTIF('Detailed Attendance'!AP61:AP61, "A")+COUNTIF('Detailed Attendance'!BJ61:BJ61, "A")+COUNTIF('Detailed Attendance'!CD61:CD61, "A")+COUNTIF('Detailed Attendance'!DA61:DA61, "A")</f>
        <v/>
      </c>
      <c r="AS60" s="70">
        <f>IF((AQ60+AR60)=0,"", AQ60/(AQ60+AR60))</f>
        <v/>
      </c>
      <c r="AT60" s="67">
        <f>COUNTIF('Detailed Attendance'!DF61:DF61, "P")+COUNTIF('Detailed Attendance'!DT61:DT61, "P")+COUNTIF('Detailed Attendance'!EC61:EC61, "P")+COUNTIF('Detailed Attendance'!EQ61:EQ61, "P")+COUNTIF('Detailed Attendance'!EW61:EW61, "P")+COUNTIF('Detailed Attendance'!FK61:FK61, "P")+COUNTIF('Detailed Attendance'!FM61:FM61, "P")+COUNTIF('Detailed Attendance'!GA61:GA61, "P")</f>
        <v/>
      </c>
      <c r="AU60" s="67">
        <f>COUNTIF('Detailed Attendance'!DF61:DF61, "A")+COUNTIF('Detailed Attendance'!DT61:DT61, "A")+COUNTIF('Detailed Attendance'!EC61:EC61, "A")+COUNTIF('Detailed Attendance'!EQ61:EQ61, "A")+COUNTIF('Detailed Attendance'!EW61:EW61, "A")+COUNTIF('Detailed Attendance'!FK61:FK61, "A")+COUNTIF('Detailed Attendance'!FM61:FM61, "A")+COUNTIF('Detailed Attendance'!GA61:GA61, "A")</f>
        <v/>
      </c>
      <c r="AV60" s="68">
        <f>IF((AT60+AU60)=0,"", AT60/(AT60+AU60))</f>
        <v/>
      </c>
      <c r="AW60" s="67">
        <f>COUNTIF('Detailed Attendance'!DK61:DK61, "P")+COUNTIF('Detailed Attendance'!DS61:DS61, "P")+COUNTIF('Detailed Attendance'!EH61:EH61, "P")+COUNTIF('Detailed Attendance'!EP61:EP61, "P")+COUNTIF('Detailed Attendance'!FB61:FB61, "P")+COUNTIF('Detailed Attendance'!FJ61:FJ61, "P")+COUNTIF('Detailed Attendance'!FR61:FR61, "P")+COUNTIF('Detailed Attendance'!FZ61:FZ61, "P")</f>
        <v/>
      </c>
      <c r="AX60" s="67">
        <f>COUNTIF('Detailed Attendance'!DK61:DK61, "A")+COUNTIF('Detailed Attendance'!DS61:DS61, "A")+COUNTIF('Detailed Attendance'!EH61:EH61, "A")+COUNTIF('Detailed Attendance'!EP61:EP61, "A")+COUNTIF('Detailed Attendance'!FB61:FB61, "A")+COUNTIF('Detailed Attendance'!FJ61:FJ61, "A")+COUNTIF('Detailed Attendance'!FR61:FR61, "A")+COUNTIF('Detailed Attendance'!FZ61:FZ61, "A")</f>
        <v/>
      </c>
      <c r="AY60" s="68">
        <f>IF((AW60+AX60)=0,"", AW60/(AW60+AX60))</f>
        <v/>
      </c>
      <c r="AZ60" s="67">
        <f>COUNTIF('Detailed Attendance'!DN61:DN61, "P")+COUNTIF('Detailed Attendance'!DR61:DR61, "P")+COUNTIF('Detailed Attendance'!EK61:EK61, "P")+COUNTIF('Detailed Attendance'!EO61:EO61, "P")+COUNTIF('Detailed Attendance'!FE61:FE61, "P")+COUNTIF('Detailed Attendance'!FI61:FI61, "P")+COUNTIF('Detailed Attendance'!FU61:FU61, "P")+COUNTIF('Detailed Attendance'!FY61:FY61, "P")</f>
        <v/>
      </c>
      <c r="BA60" s="67">
        <f>COUNTIF('Detailed Attendance'!DN61:DN61, "A")+COUNTIF('Detailed Attendance'!DR61:DR61, "A")+COUNTIF('Detailed Attendance'!EK61:EK61, "A")+COUNTIF('Detailed Attendance'!EO61:EO61, "A")+COUNTIF('Detailed Attendance'!FE61:FE61, "A")+COUNTIF('Detailed Attendance'!FI61:FI61, "A")+COUNTIF('Detailed Attendance'!FU61:FU61, "A")+COUNTIF('Detailed Attendance'!FY61:FY61, "A")</f>
        <v/>
      </c>
      <c r="BB60" s="68">
        <f>IF((AZ60+BA60)=0,"", AZ60/(AZ60+BA60))</f>
        <v/>
      </c>
      <c r="BC60" s="67">
        <f>COUNTIF('Detailed Attendance'!DC61:DC61, "P")+COUNTIF('Detailed Attendance'!DV61:DV61, "P")+COUNTIF('Detailed Attendance'!DZ61:DZ61, "P")+COUNTIF('Detailed Attendance'!ES61:ES61, "P")+COUNTIF('Detailed Attendance'!GC61:GC61, "P")+COUNTIF('Detailed Attendance'!GG61:GG61, "P")</f>
        <v/>
      </c>
      <c r="BD60" s="67">
        <f>COUNTIF('Detailed Attendance'!DC61:DC61, "A")+COUNTIF('Detailed Attendance'!DV61:DV61, "A")+COUNTIF('Detailed Attendance'!DZ61:DZ61, "A")+COUNTIF('Detailed Attendance'!ES61:ES61, "A")+COUNTIF('Detailed Attendance'!GC61:GC61, "A")+COUNTIF('Detailed Attendance'!GG61:GG61, "A")</f>
        <v/>
      </c>
      <c r="BE60" s="68">
        <f>IF((BC60+BD60)=0,"", BC60/(BC60+BD60))</f>
        <v/>
      </c>
      <c r="BF60" s="67">
        <f>COUNTIF('Detailed Attendance'!DO61:DO61, "P")+COUNTIF('Detailed Attendance'!DW61:DW61, "P")+COUNTIF('Detailed Attendance'!EL61:EL61, "P")+COUNTIF('Detailed Attendance'!ET61:ET61, "P")+COUNTIF('Detailed Attendance'!FF61:FF61, "P")+COUNTIF('Detailed Attendance'!FV61:FV61, "P")+COUNTIF('Detailed Attendance'!GD61:GD61, "P")</f>
        <v/>
      </c>
      <c r="BG60" s="67">
        <f>COUNTIF('Detailed Attendance'!DO61:DO61, "A")+COUNTIF('Detailed Attendance'!DW61:DW61, "A")+COUNTIF('Detailed Attendance'!EL61:EL61, "A")+COUNTIF('Detailed Attendance'!ET61:ET61, "A")+COUNTIF('Detailed Attendance'!FF61:FF61, "A")+COUNTIF('Detailed Attendance'!FV61:FV61, "A")+COUNTIF('Detailed Attendance'!GD61:GD61, "A")</f>
        <v/>
      </c>
      <c r="BH60" s="68">
        <f>IF((BF60+BG60)=0,"", BF60/(BF60+BG60))</f>
        <v/>
      </c>
      <c r="BI60" s="67">
        <f>AT60+AW60+AZ60+BC60+BF60</f>
        <v/>
      </c>
      <c r="BJ60" s="67">
        <f>AU60+AX60+BA60+BD60+BG60</f>
        <v/>
      </c>
      <c r="BK60" s="68">
        <f>IF((BI60+BJ60)=0,"", BI60/(BI60+BJ60))</f>
        <v/>
      </c>
      <c r="BL60" s="69">
        <f>COUNTIF('Detailed Attendance'!DD61:DD61, "P")+COUNTIF('Detailed Attendance'!EA61:EA61, "P")+COUNTIF('Detailed Attendance'!GH61:GH61, "P")+COUNTIF('Detailed Attendance'!DE61:DE61, "P")+COUNTIF('Detailed Attendance'!EB61:EB61, "P")+COUNTIF('Detailed Attendance'!GI61:GI61, "P")+COUNTIF('Detailed Attendance'!DX61:DX61, "P")+COUNTIF('Detailed Attendance'!EU61:EU61, "P")+COUNTIF('Detailed Attendance'!GE61:GE61, "P")</f>
        <v/>
      </c>
      <c r="BM60" s="69">
        <f>COUNTIF('Detailed Attendance'!DD61:DD61, "A")+COUNTIF('Detailed Attendance'!EA61:EA61, "A")+COUNTIF('Detailed Attendance'!GH61:GH61, "A")+COUNTIF('Detailed Attendance'!DE61:DE61, "A")+COUNTIF('Detailed Attendance'!EB61:EB61, "A")+COUNTIF('Detailed Attendance'!GI61:GI61, "A")+COUNTIF('Detailed Attendance'!DX61:DX61, "A")+COUNTIF('Detailed Attendance'!EU61:EU61, "A")+COUNTIF('Detailed Attendance'!GE61:GE61, "A")</f>
        <v/>
      </c>
      <c r="BN60" s="70">
        <f>IF((BL60+BM60)=0,"", BL60/(BL60+BM60))</f>
        <v/>
      </c>
      <c r="BO60" s="67">
        <f>D60+Y60+AT60</f>
        <v/>
      </c>
      <c r="BP60" s="67">
        <f>E60+Z60+AU60</f>
        <v/>
      </c>
      <c r="BQ60" s="68">
        <f>IF((BO60+BP60)=0,"", BO60/(BO60+BP60))</f>
        <v/>
      </c>
      <c r="BR60" s="67">
        <f>G60+AB60+AW60</f>
        <v/>
      </c>
      <c r="BS60" s="67">
        <f>H60+AC60+AX60</f>
        <v/>
      </c>
      <c r="BT60" s="68">
        <f>IF((BR60+BS60)=0,"", BR60/(BR60+BS60))</f>
        <v/>
      </c>
      <c r="BU60" s="67">
        <f>J60+AE60+AZ60</f>
        <v/>
      </c>
      <c r="BV60" s="67">
        <f>K60+AF60+BA60</f>
        <v/>
      </c>
      <c r="BW60" s="68">
        <f>IF((BU60+BV60)=0,"", BU60/(BU60+BV60))</f>
        <v/>
      </c>
      <c r="BX60" s="67">
        <f>M60+AH60+BC60</f>
        <v/>
      </c>
      <c r="BY60" s="67">
        <f>N60+AI60+BD60</f>
        <v/>
      </c>
      <c r="BZ60" s="68">
        <f>IF((BX60+BY60)=0,"", BX60/(BX60+BY60))</f>
        <v/>
      </c>
      <c r="CA60" s="67">
        <f>P60+AK60+BF60</f>
        <v/>
      </c>
      <c r="CB60" s="67">
        <f>Q60+AL60+BG60</f>
        <v/>
      </c>
      <c r="CC60" s="68">
        <f>IF((CA60+CB60)=0,"", CA60/(CA60+CB60))</f>
        <v/>
      </c>
      <c r="CD60" s="67">
        <f>S60+AN60+BI60</f>
        <v/>
      </c>
      <c r="CE60" s="67">
        <f>T60+AO60+BJ60</f>
        <v/>
      </c>
      <c r="CF60" s="68">
        <f>IF((CD60+CE60)=0,"", CD60/(CD60+CE60))</f>
        <v/>
      </c>
      <c r="CG60" s="69">
        <f>V60+AQ60+BL60</f>
        <v/>
      </c>
      <c r="CH60" s="69">
        <f>W60+AR60+BM60</f>
        <v/>
      </c>
      <c r="CI60" s="70">
        <f>IF((CG60+CH60)=0,"", CG60/(CG60+CH60))</f>
        <v/>
      </c>
      <c r="CJ60" s="67">
        <f>CD60+(CG60*2)</f>
        <v/>
      </c>
      <c r="CK60" s="67">
        <f>CE60+(CH60*2)</f>
        <v/>
      </c>
      <c r="CL60" s="68">
        <f>IF((CJ60+CK60)=0,"", CJ60/(CJ60+CK60))</f>
        <v/>
      </c>
      <c r="CM60" s="67" t="inlineStr">
        <is>
          <t>Batch 2</t>
        </is>
      </c>
    </row>
    <row r="61" ht="14.25" customHeight="1" s="34">
      <c r="A61" s="46" t="n">
        <v>59</v>
      </c>
      <c r="B61" s="46" t="inlineStr">
        <is>
          <t>325106410059</t>
        </is>
      </c>
      <c r="C61" s="46" t="inlineStr">
        <is>
          <t>SAI KEERTHANA VEMURI</t>
        </is>
      </c>
      <c r="D61" s="63" t="n">
        <v>0</v>
      </c>
      <c r="E61" s="63" t="n">
        <v>0</v>
      </c>
      <c r="F61" s="64">
        <f>IF((D61+E61)=0,"", D61/(D61+E61))</f>
        <v/>
      </c>
      <c r="G61" s="63">
        <f>COUNTIF('Detailed Attendance'!I62:I62, "P")</f>
        <v/>
      </c>
      <c r="H61" s="63">
        <f>COUNTIF('Detailed Attendance'!I62:I62, "A")</f>
        <v/>
      </c>
      <c r="I61" s="64">
        <f>IF((G61+H61)=0,"", G61/(G61+H61))</f>
        <v/>
      </c>
      <c r="J61" s="63" t="n">
        <v>0</v>
      </c>
      <c r="K61" s="63" t="n">
        <v>0</v>
      </c>
      <c r="L61" s="64">
        <f>IF((J61+K61)=0,"", J61/(J61+K61))</f>
        <v/>
      </c>
      <c r="M61" s="63">
        <f>COUNTIF('Detailed Attendance'!D62:D62, "P")</f>
        <v/>
      </c>
      <c r="N61" s="63">
        <f>COUNTIF('Detailed Attendance'!D62:D62, "A")</f>
        <v/>
      </c>
      <c r="O61" s="64">
        <f>IF((M61+N61)=0,"", M61/(M61+N61))</f>
        <v/>
      </c>
      <c r="P61" s="63" t="n">
        <v>0</v>
      </c>
      <c r="Q61" s="63" t="n">
        <v>0</v>
      </c>
      <c r="R61" s="64">
        <f>IF((P61+Q61)=0,"", P61/(P61+Q61))</f>
        <v/>
      </c>
      <c r="S61" s="63">
        <f>D61+G61+J61+M61+P61</f>
        <v/>
      </c>
      <c r="T61" s="63">
        <f>E61+H61+K61+N61+Q61</f>
        <v/>
      </c>
      <c r="U61" s="64">
        <f>IF((S61+T61)=0,"", S61/(S61+T61))</f>
        <v/>
      </c>
      <c r="V61" s="65" t="n">
        <v>0</v>
      </c>
      <c r="W61" s="65" t="n">
        <v>0</v>
      </c>
      <c r="X61" s="66">
        <f>IF((V61+W61)=0,"", V61/(V61+W61))</f>
        <v/>
      </c>
      <c r="Y61" s="63">
        <f>COUNTIF('Detailed Attendance'!R62:R62, "P")+COUNTIF('Detailed Attendance'!X62:X62, "P")+COUNTIF('Detailed Attendance'!AL62:AL62, "P")+COUNTIF('Detailed Attendance'!BF62:BF62, "P")+COUNTIF('Detailed Attendance'!BL62:BL62, "P")+COUNTIF('Detailed Attendance'!BZ62:BZ62, "P")+COUNTIF('Detailed Attendance'!CI62:CI62, "P")+COUNTIF('Detailed Attendance'!CW62:CW62, "P")</f>
        <v/>
      </c>
      <c r="Z61" s="63">
        <f>COUNTIF('Detailed Attendance'!R62:R62, "A")+COUNTIF('Detailed Attendance'!X62:X62, "A")+COUNTIF('Detailed Attendance'!AL62:AL62, "A")+COUNTIF('Detailed Attendance'!BF62:BF62, "A")+COUNTIF('Detailed Attendance'!BL62:BL62, "A")+COUNTIF('Detailed Attendance'!BZ62:BZ62, "A")+COUNTIF('Detailed Attendance'!CI62:CI62, "A")+COUNTIF('Detailed Attendance'!CW62:CW62, "A")</f>
        <v/>
      </c>
      <c r="AA61" s="64">
        <f>IF((Y61+Z61)=0,"", Y61/(Y61+Z61))</f>
        <v/>
      </c>
      <c r="AB61" s="63">
        <f>COUNTIF('Detailed Attendance'!Q62:Q62, "P")+COUNTIF('Detailed Attendance'!AC62:AC62, "P")+COUNTIF('Detailed Attendance'!AK62:AK62, "P")+COUNTIF('Detailed Attendance'!AW62:AW62, "P")+COUNTIF('Detailed Attendance'!BE62:BE62, "P")+COUNTIF('Detailed Attendance'!BQ62:BQ62, "P")+COUNTIF('Detailed Attendance'!BY62:BY62, "P")+COUNTIF('Detailed Attendance'!CN62:CN62, "P")+COUNTIF('Detailed Attendance'!CV62:CV62, "P")</f>
        <v/>
      </c>
      <c r="AC61" s="63">
        <f>COUNTIF('Detailed Attendance'!Q62:Q62, "A")+COUNTIF('Detailed Attendance'!AC62:AC62, "A")+COUNTIF('Detailed Attendance'!AK62:AK62, "A")+COUNTIF('Detailed Attendance'!AW62:AW62, "A")+COUNTIF('Detailed Attendance'!BE62:BE62, "A")+COUNTIF('Detailed Attendance'!BQ62:BQ62, "A")+COUNTIF('Detailed Attendance'!BY62:BY62, "A")+COUNTIF('Detailed Attendance'!CN62:CN62, "A")+COUNTIF('Detailed Attendance'!CV62:CV62, "A")</f>
        <v/>
      </c>
      <c r="AD61" s="64">
        <f>IF((AB61+AC61)=0,"", AB61/(AB61+AC61))</f>
        <v/>
      </c>
      <c r="AE61" s="63">
        <f>COUNTIF('Detailed Attendance'!L62:L62, "P")+COUNTIF('Detailed Attendance'!P62:P62, "P")+COUNTIF('Detailed Attendance'!AF62:AF62, "P")+COUNTIF('Detailed Attendance'!AJ62:AJ62, "P")+COUNTIF('Detailed Attendance'!AZ62:AZ62, "P")+COUNTIF('Detailed Attendance'!BD62:BD62, "P")+COUNTIF('Detailed Attendance'!BT62:BT62, "P")+COUNTIF('Detailed Attendance'!BX62:BX62, "P")+COUNTIF('Detailed Attendance'!CQ62:CQ62, "P")+COUNTIF('Detailed Attendance'!CU62:CU62, "P")</f>
        <v/>
      </c>
      <c r="AF61" s="67">
        <f>COUNTIF('Detailed Attendance'!L62:L62, "A")+COUNTIF('Detailed Attendance'!P62:P62, "A")+COUNTIF('Detailed Attendance'!AF62:AF62, "A")+COUNTIF('Detailed Attendance'!AJ62:AJ62, "A")+COUNTIF('Detailed Attendance'!AZ62:AZ62, "A")+COUNTIF('Detailed Attendance'!BD62:BD62, "A")+COUNTIF('Detailed Attendance'!BT62:BT62, "A")+COUNTIF('Detailed Attendance'!BX62:BX62, "A")+COUNTIF('Detailed Attendance'!CQ62:CQ62, "A")+COUNTIF('Detailed Attendance'!CU62:CU62, "A")</f>
        <v/>
      </c>
      <c r="AG61" s="68">
        <f>IF((AE61+AF61)=0,"", AE61/(AE61+AF61))</f>
        <v/>
      </c>
      <c r="AH61" s="67">
        <f>COUNTIF('Detailed Attendance'!T62:T62, "P")+COUNTIF('Detailed Attendance'!AN62:AN62, "P")+COUNTIF('Detailed Attendance'!AR62:AR62, "P")+COUNTIF('Detailed Attendance'!BH62:BH62, "P")+COUNTIF('Detailed Attendance'!CB62:CB62, "P")+COUNTIF('Detailed Attendance'!CF62:CF62, "P")+COUNTIF('Detailed Attendance'!CY62:CY62, "P")</f>
        <v/>
      </c>
      <c r="AI61" s="67">
        <f>COUNTIF('Detailed Attendance'!T62:T62, "A")+COUNTIF('Detailed Attendance'!AN62:AN62, "A")+COUNTIF('Detailed Attendance'!AR62:AR62, "A")+COUNTIF('Detailed Attendance'!BH62:BH62, "A")+COUNTIF('Detailed Attendance'!CB62:CB62, "A")+COUNTIF('Detailed Attendance'!CF62:CF62, "A")+COUNTIF('Detailed Attendance'!CY62:CY62, "A")</f>
        <v/>
      </c>
      <c r="AJ61" s="68">
        <f>IF((AH61+AI61)=0,"", AH61/(AH61+AI61))</f>
        <v/>
      </c>
      <c r="AK61" s="67">
        <f>COUNTIF('Detailed Attendance'!M62:M62, "P")+COUNTIF('Detailed Attendance'!U62:U62, "P")+COUNTIF('Detailed Attendance'!AG62:AG62, "P")+COUNTIF('Detailed Attendance'!AO62:AO62, "P")+COUNTIF('Detailed Attendance'!BA62:BA62, "P")+COUNTIF('Detailed Attendance'!BI62:BI62, "P")+COUNTIF('Detailed Attendance'!BU62:BU62, "P")+COUNTIF('Detailed Attendance'!CC62:CC62, "P")+COUNTIF('Detailed Attendance'!CR62:CR62, "P")+COUNTIF('Detailed Attendance'!CZ62:CZ62, "P")</f>
        <v/>
      </c>
      <c r="AL61" s="67">
        <f>COUNTIF('Detailed Attendance'!M62:M62, "A")+COUNTIF('Detailed Attendance'!U62:U62, "A")+COUNTIF('Detailed Attendance'!AG62:AG62, "A")+COUNTIF('Detailed Attendance'!AO62:AO62, "A")+COUNTIF('Detailed Attendance'!BA62:BA62, "A")+COUNTIF('Detailed Attendance'!BI62:BI62, "A")+COUNTIF('Detailed Attendance'!BU62:BU62, "A")+COUNTIF('Detailed Attendance'!CC62:CC62, "A")+COUNTIF('Detailed Attendance'!CR62:CR62, "A")+COUNTIF('Detailed Attendance'!CZ62:CZ62, "A")</f>
        <v/>
      </c>
      <c r="AM61" s="68">
        <f>IF((AK61+AL61)=0,"", AK61/(AK61+AL61))</f>
        <v/>
      </c>
      <c r="AN61" s="67">
        <f>Y61+AB61+AE61+AH61+AK61</f>
        <v/>
      </c>
      <c r="AO61" s="67">
        <f>Z61+AC61+AF61+AI61+AL61</f>
        <v/>
      </c>
      <c r="AP61" s="68">
        <f>IF((AN61+AO61)=0,"", AN61/(AN61+AO61))</f>
        <v/>
      </c>
      <c r="AQ61" s="69">
        <f>COUNTIF('Detailed Attendance'!CG62:CG62, "P")+COUNTIF('Detailed Attendance'!CH62:CH62, "P")+COUNTIF('Detailed Attendance'!V62:V62, "P")+COUNTIF('Detailed Attendance'!AP62:AP62, "P")+COUNTIF('Detailed Attendance'!BJ62:BJ62, "P")+COUNTIF('Detailed Attendance'!CD62:CD62, "P")+COUNTIF('Detailed Attendance'!DA62:DA62, "P")</f>
        <v/>
      </c>
      <c r="AR61" s="69">
        <f>COUNTIF('Detailed Attendance'!CG62:CG62, "A")+COUNTIF('Detailed Attendance'!CH62:CH62, "A")+COUNTIF('Detailed Attendance'!V62:V62, "A")+COUNTIF('Detailed Attendance'!AP62:AP62, "A")+COUNTIF('Detailed Attendance'!BJ62:BJ62, "A")+COUNTIF('Detailed Attendance'!CD62:CD62, "A")+COUNTIF('Detailed Attendance'!DA62:DA62, "A")</f>
        <v/>
      </c>
      <c r="AS61" s="70">
        <f>IF((AQ61+AR61)=0,"", AQ61/(AQ61+AR61))</f>
        <v/>
      </c>
      <c r="AT61" s="67">
        <f>COUNTIF('Detailed Attendance'!DF62:DF62, "P")+COUNTIF('Detailed Attendance'!DT62:DT62, "P")+COUNTIF('Detailed Attendance'!EC62:EC62, "P")+COUNTIF('Detailed Attendance'!EQ62:EQ62, "P")+COUNTIF('Detailed Attendance'!EW62:EW62, "P")+COUNTIF('Detailed Attendance'!FK62:FK62, "P")+COUNTIF('Detailed Attendance'!FM62:FM62, "P")+COUNTIF('Detailed Attendance'!GA62:GA62, "P")</f>
        <v/>
      </c>
      <c r="AU61" s="67">
        <f>COUNTIF('Detailed Attendance'!DF62:DF62, "A")+COUNTIF('Detailed Attendance'!DT62:DT62, "A")+COUNTIF('Detailed Attendance'!EC62:EC62, "A")+COUNTIF('Detailed Attendance'!EQ62:EQ62, "A")+COUNTIF('Detailed Attendance'!EW62:EW62, "A")+COUNTIF('Detailed Attendance'!FK62:FK62, "A")+COUNTIF('Detailed Attendance'!FM62:FM62, "A")+COUNTIF('Detailed Attendance'!GA62:GA62, "A")</f>
        <v/>
      </c>
      <c r="AV61" s="68">
        <f>IF((AT61+AU61)=0,"", AT61/(AT61+AU61))</f>
        <v/>
      </c>
      <c r="AW61" s="67">
        <f>COUNTIF('Detailed Attendance'!DK62:DK62, "P")+COUNTIF('Detailed Attendance'!DS62:DS62, "P")+COUNTIF('Detailed Attendance'!EH62:EH62, "P")+COUNTIF('Detailed Attendance'!EP62:EP62, "P")+COUNTIF('Detailed Attendance'!FB62:FB62, "P")+COUNTIF('Detailed Attendance'!FJ62:FJ62, "P")+COUNTIF('Detailed Attendance'!FR62:FR62, "P")+COUNTIF('Detailed Attendance'!FZ62:FZ62, "P")</f>
        <v/>
      </c>
      <c r="AX61" s="67">
        <f>COUNTIF('Detailed Attendance'!DK62:DK62, "A")+COUNTIF('Detailed Attendance'!DS62:DS62, "A")+COUNTIF('Detailed Attendance'!EH62:EH62, "A")+COUNTIF('Detailed Attendance'!EP62:EP62, "A")+COUNTIF('Detailed Attendance'!FB62:FB62, "A")+COUNTIF('Detailed Attendance'!FJ62:FJ62, "A")+COUNTIF('Detailed Attendance'!FR62:FR62, "A")+COUNTIF('Detailed Attendance'!FZ62:FZ62, "A")</f>
        <v/>
      </c>
      <c r="AY61" s="68">
        <f>IF((AW61+AX61)=0,"", AW61/(AW61+AX61))</f>
        <v/>
      </c>
      <c r="AZ61" s="67">
        <f>COUNTIF('Detailed Attendance'!DN62:DN62, "P")+COUNTIF('Detailed Attendance'!DR62:DR62, "P")+COUNTIF('Detailed Attendance'!EK62:EK62, "P")+COUNTIF('Detailed Attendance'!EO62:EO62, "P")+COUNTIF('Detailed Attendance'!FE62:FE62, "P")+COUNTIF('Detailed Attendance'!FI62:FI62, "P")+COUNTIF('Detailed Attendance'!FU62:FU62, "P")+COUNTIF('Detailed Attendance'!FY62:FY62, "P")</f>
        <v/>
      </c>
      <c r="BA61" s="67">
        <f>COUNTIF('Detailed Attendance'!DN62:DN62, "A")+COUNTIF('Detailed Attendance'!DR62:DR62, "A")+COUNTIF('Detailed Attendance'!EK62:EK62, "A")+COUNTIF('Detailed Attendance'!EO62:EO62, "A")+COUNTIF('Detailed Attendance'!FE62:FE62, "A")+COUNTIF('Detailed Attendance'!FI62:FI62, "A")+COUNTIF('Detailed Attendance'!FU62:FU62, "A")+COUNTIF('Detailed Attendance'!FY62:FY62, "A")</f>
        <v/>
      </c>
      <c r="BB61" s="68">
        <f>IF((AZ61+BA61)=0,"", AZ61/(AZ61+BA61))</f>
        <v/>
      </c>
      <c r="BC61" s="67">
        <f>COUNTIF('Detailed Attendance'!DC62:DC62, "P")+COUNTIF('Detailed Attendance'!DV62:DV62, "P")+COUNTIF('Detailed Attendance'!DZ62:DZ62, "P")+COUNTIF('Detailed Attendance'!ES62:ES62, "P")+COUNTIF('Detailed Attendance'!GC62:GC62, "P")+COUNTIF('Detailed Attendance'!GG62:GG62, "P")</f>
        <v/>
      </c>
      <c r="BD61" s="67">
        <f>COUNTIF('Detailed Attendance'!DC62:DC62, "A")+COUNTIF('Detailed Attendance'!DV62:DV62, "A")+COUNTIF('Detailed Attendance'!DZ62:DZ62, "A")+COUNTIF('Detailed Attendance'!ES62:ES62, "A")+COUNTIF('Detailed Attendance'!GC62:GC62, "A")+COUNTIF('Detailed Attendance'!GG62:GG62, "A")</f>
        <v/>
      </c>
      <c r="BE61" s="68">
        <f>IF((BC61+BD61)=0,"", BC61/(BC61+BD61))</f>
        <v/>
      </c>
      <c r="BF61" s="67">
        <f>COUNTIF('Detailed Attendance'!DO62:DO62, "P")+COUNTIF('Detailed Attendance'!DW62:DW62, "P")+COUNTIF('Detailed Attendance'!EL62:EL62, "P")+COUNTIF('Detailed Attendance'!ET62:ET62, "P")+COUNTIF('Detailed Attendance'!FF62:FF62, "P")+COUNTIF('Detailed Attendance'!FV62:FV62, "P")+COUNTIF('Detailed Attendance'!GD62:GD62, "P")</f>
        <v/>
      </c>
      <c r="BG61" s="67">
        <f>COUNTIF('Detailed Attendance'!DO62:DO62, "A")+COUNTIF('Detailed Attendance'!DW62:DW62, "A")+COUNTIF('Detailed Attendance'!EL62:EL62, "A")+COUNTIF('Detailed Attendance'!ET62:ET62, "A")+COUNTIF('Detailed Attendance'!FF62:FF62, "A")+COUNTIF('Detailed Attendance'!FV62:FV62, "A")+COUNTIF('Detailed Attendance'!GD62:GD62, "A")</f>
        <v/>
      </c>
      <c r="BH61" s="68">
        <f>IF((BF61+BG61)=0,"", BF61/(BF61+BG61))</f>
        <v/>
      </c>
      <c r="BI61" s="67">
        <f>AT61+AW61+AZ61+BC61+BF61</f>
        <v/>
      </c>
      <c r="BJ61" s="67">
        <f>AU61+AX61+BA61+BD61+BG61</f>
        <v/>
      </c>
      <c r="BK61" s="68">
        <f>IF((BI61+BJ61)=0,"", BI61/(BI61+BJ61))</f>
        <v/>
      </c>
      <c r="BL61" s="69">
        <f>COUNTIF('Detailed Attendance'!DD62:DD62, "P")+COUNTIF('Detailed Attendance'!EA62:EA62, "P")+COUNTIF('Detailed Attendance'!GH62:GH62, "P")+COUNTIF('Detailed Attendance'!DE62:DE62, "P")+COUNTIF('Detailed Attendance'!EB62:EB62, "P")+COUNTIF('Detailed Attendance'!GI62:GI62, "P")+COUNTIF('Detailed Attendance'!DX62:DX62, "P")+COUNTIF('Detailed Attendance'!EU62:EU62, "P")+COUNTIF('Detailed Attendance'!GE62:GE62, "P")</f>
        <v/>
      </c>
      <c r="BM61" s="69">
        <f>COUNTIF('Detailed Attendance'!DD62:DD62, "A")+COUNTIF('Detailed Attendance'!EA62:EA62, "A")+COUNTIF('Detailed Attendance'!GH62:GH62, "A")+COUNTIF('Detailed Attendance'!DE62:DE62, "A")+COUNTIF('Detailed Attendance'!EB62:EB62, "A")+COUNTIF('Detailed Attendance'!GI62:GI62, "A")+COUNTIF('Detailed Attendance'!DX62:DX62, "A")+COUNTIF('Detailed Attendance'!EU62:EU62, "A")+COUNTIF('Detailed Attendance'!GE62:GE62, "A")</f>
        <v/>
      </c>
      <c r="BN61" s="70">
        <f>IF((BL61+BM61)=0,"", BL61/(BL61+BM61))</f>
        <v/>
      </c>
      <c r="BO61" s="67">
        <f>D61+Y61+AT61</f>
        <v/>
      </c>
      <c r="BP61" s="67">
        <f>E61+Z61+AU61</f>
        <v/>
      </c>
      <c r="BQ61" s="68">
        <f>IF((BO61+BP61)=0,"", BO61/(BO61+BP61))</f>
        <v/>
      </c>
      <c r="BR61" s="67">
        <f>G61+AB61+AW61</f>
        <v/>
      </c>
      <c r="BS61" s="67">
        <f>H61+AC61+AX61</f>
        <v/>
      </c>
      <c r="BT61" s="68">
        <f>IF((BR61+BS61)=0,"", BR61/(BR61+BS61))</f>
        <v/>
      </c>
      <c r="BU61" s="67">
        <f>J61+AE61+AZ61</f>
        <v/>
      </c>
      <c r="BV61" s="67">
        <f>K61+AF61+BA61</f>
        <v/>
      </c>
      <c r="BW61" s="68">
        <f>IF((BU61+BV61)=0,"", BU61/(BU61+BV61))</f>
        <v/>
      </c>
      <c r="BX61" s="67">
        <f>M61+AH61+BC61</f>
        <v/>
      </c>
      <c r="BY61" s="67">
        <f>N61+AI61+BD61</f>
        <v/>
      </c>
      <c r="BZ61" s="68">
        <f>IF((BX61+BY61)=0,"", BX61/(BX61+BY61))</f>
        <v/>
      </c>
      <c r="CA61" s="67">
        <f>P61+AK61+BF61</f>
        <v/>
      </c>
      <c r="CB61" s="67">
        <f>Q61+AL61+BG61</f>
        <v/>
      </c>
      <c r="CC61" s="68">
        <f>IF((CA61+CB61)=0,"", CA61/(CA61+CB61))</f>
        <v/>
      </c>
      <c r="CD61" s="67">
        <f>S61+AN61+BI61</f>
        <v/>
      </c>
      <c r="CE61" s="67">
        <f>T61+AO61+BJ61</f>
        <v/>
      </c>
      <c r="CF61" s="68">
        <f>IF((CD61+CE61)=0,"", CD61/(CD61+CE61))</f>
        <v/>
      </c>
      <c r="CG61" s="69">
        <f>V61+AQ61+BL61</f>
        <v/>
      </c>
      <c r="CH61" s="69">
        <f>W61+AR61+BM61</f>
        <v/>
      </c>
      <c r="CI61" s="70">
        <f>IF((CG61+CH61)=0,"", CG61/(CG61+CH61))</f>
        <v/>
      </c>
      <c r="CJ61" s="67">
        <f>CD61+(CG61*2)</f>
        <v/>
      </c>
      <c r="CK61" s="67">
        <f>CE61+(CH61*2)</f>
        <v/>
      </c>
      <c r="CL61" s="68">
        <f>IF((CJ61+CK61)=0,"", CJ61/(CJ61+CK61))</f>
        <v/>
      </c>
      <c r="CM61" s="67" t="inlineStr">
        <is>
          <t>Batch 2</t>
        </is>
      </c>
    </row>
    <row r="62" ht="14.25" customHeight="1" s="34">
      <c r="A62" s="46" t="n">
        <v>60</v>
      </c>
      <c r="B62" s="46" t="inlineStr">
        <is>
          <t>325106410060</t>
        </is>
      </c>
      <c r="C62" s="46" t="inlineStr">
        <is>
          <t>MANJULA VENGALA</t>
        </is>
      </c>
      <c r="D62" s="63" t="n">
        <v>0</v>
      </c>
      <c r="E62" s="63" t="n">
        <v>0</v>
      </c>
      <c r="F62" s="64">
        <f>IF((D62+E62)=0,"", D62/(D62+E62))</f>
        <v/>
      </c>
      <c r="G62" s="63">
        <f>COUNTIF('Detailed Attendance'!I63:I63, "P")</f>
        <v/>
      </c>
      <c r="H62" s="63">
        <f>COUNTIF('Detailed Attendance'!I63:I63, "A")</f>
        <v/>
      </c>
      <c r="I62" s="64">
        <f>IF((G62+H62)=0,"", G62/(G62+H62))</f>
        <v/>
      </c>
      <c r="J62" s="63" t="n">
        <v>0</v>
      </c>
      <c r="K62" s="63" t="n">
        <v>0</v>
      </c>
      <c r="L62" s="64">
        <f>IF((J62+K62)=0,"", J62/(J62+K62))</f>
        <v/>
      </c>
      <c r="M62" s="63">
        <f>COUNTIF('Detailed Attendance'!D63:D63, "P")</f>
        <v/>
      </c>
      <c r="N62" s="63">
        <f>COUNTIF('Detailed Attendance'!D63:D63, "A")</f>
        <v/>
      </c>
      <c r="O62" s="64">
        <f>IF((M62+N62)=0,"", M62/(M62+N62))</f>
        <v/>
      </c>
      <c r="P62" s="63" t="n">
        <v>0</v>
      </c>
      <c r="Q62" s="63" t="n">
        <v>0</v>
      </c>
      <c r="R62" s="64">
        <f>IF((P62+Q62)=0,"", P62/(P62+Q62))</f>
        <v/>
      </c>
      <c r="S62" s="63">
        <f>D62+G62+J62+M62+P62</f>
        <v/>
      </c>
      <c r="T62" s="63">
        <f>E62+H62+K62+N62+Q62</f>
        <v/>
      </c>
      <c r="U62" s="64">
        <f>IF((S62+T62)=0,"", S62/(S62+T62))</f>
        <v/>
      </c>
      <c r="V62" s="65" t="n">
        <v>0</v>
      </c>
      <c r="W62" s="65" t="n">
        <v>0</v>
      </c>
      <c r="X62" s="66">
        <f>IF((V62+W62)=0,"", V62/(V62+W62))</f>
        <v/>
      </c>
      <c r="Y62" s="63">
        <f>COUNTIF('Detailed Attendance'!R63:R63, "P")+COUNTIF('Detailed Attendance'!X63:X63, "P")+COUNTIF('Detailed Attendance'!AL63:AL63, "P")+COUNTIF('Detailed Attendance'!BF63:BF63, "P")+COUNTIF('Detailed Attendance'!BL63:BL63, "P")+COUNTIF('Detailed Attendance'!BZ63:BZ63, "P")+COUNTIF('Detailed Attendance'!CI63:CI63, "P")+COUNTIF('Detailed Attendance'!CW63:CW63, "P")</f>
        <v/>
      </c>
      <c r="Z62" s="63">
        <f>COUNTIF('Detailed Attendance'!R63:R63, "A")+COUNTIF('Detailed Attendance'!X63:X63, "A")+COUNTIF('Detailed Attendance'!AL63:AL63, "A")+COUNTIF('Detailed Attendance'!BF63:BF63, "A")+COUNTIF('Detailed Attendance'!BL63:BL63, "A")+COUNTIF('Detailed Attendance'!BZ63:BZ63, "A")+COUNTIF('Detailed Attendance'!CI63:CI63, "A")+COUNTIF('Detailed Attendance'!CW63:CW63, "A")</f>
        <v/>
      </c>
      <c r="AA62" s="64">
        <f>IF((Y62+Z62)=0,"", Y62/(Y62+Z62))</f>
        <v/>
      </c>
      <c r="AB62" s="63">
        <f>COUNTIF('Detailed Attendance'!Q63:Q63, "P")+COUNTIF('Detailed Attendance'!AC63:AC63, "P")+COUNTIF('Detailed Attendance'!AK63:AK63, "P")+COUNTIF('Detailed Attendance'!AW63:AW63, "P")+COUNTIF('Detailed Attendance'!BE63:BE63, "P")+COUNTIF('Detailed Attendance'!BQ63:BQ63, "P")+COUNTIF('Detailed Attendance'!BY63:BY63, "P")+COUNTIF('Detailed Attendance'!CN63:CN63, "P")+COUNTIF('Detailed Attendance'!CV63:CV63, "P")</f>
        <v/>
      </c>
      <c r="AC62" s="63">
        <f>COUNTIF('Detailed Attendance'!Q63:Q63, "A")+COUNTIF('Detailed Attendance'!AC63:AC63, "A")+COUNTIF('Detailed Attendance'!AK63:AK63, "A")+COUNTIF('Detailed Attendance'!AW63:AW63, "A")+COUNTIF('Detailed Attendance'!BE63:BE63, "A")+COUNTIF('Detailed Attendance'!BQ63:BQ63, "A")+COUNTIF('Detailed Attendance'!BY63:BY63, "A")+COUNTIF('Detailed Attendance'!CN63:CN63, "A")+COUNTIF('Detailed Attendance'!CV63:CV63, "A")</f>
        <v/>
      </c>
      <c r="AD62" s="64">
        <f>IF((AB62+AC62)=0,"", AB62/(AB62+AC62))</f>
        <v/>
      </c>
      <c r="AE62" s="63">
        <f>COUNTIF('Detailed Attendance'!L63:L63, "P")+COUNTIF('Detailed Attendance'!P63:P63, "P")+COUNTIF('Detailed Attendance'!AF63:AF63, "P")+COUNTIF('Detailed Attendance'!AJ63:AJ63, "P")+COUNTIF('Detailed Attendance'!AZ63:AZ63, "P")+COUNTIF('Detailed Attendance'!BD63:BD63, "P")+COUNTIF('Detailed Attendance'!BT63:BT63, "P")+COUNTIF('Detailed Attendance'!BX63:BX63, "P")+COUNTIF('Detailed Attendance'!CQ63:CQ63, "P")+COUNTIF('Detailed Attendance'!CU63:CU63, "P")</f>
        <v/>
      </c>
      <c r="AF62" s="67">
        <f>COUNTIF('Detailed Attendance'!L63:L63, "A")+COUNTIF('Detailed Attendance'!P63:P63, "A")+COUNTIF('Detailed Attendance'!AF63:AF63, "A")+COUNTIF('Detailed Attendance'!AJ63:AJ63, "A")+COUNTIF('Detailed Attendance'!AZ63:AZ63, "A")+COUNTIF('Detailed Attendance'!BD63:BD63, "A")+COUNTIF('Detailed Attendance'!BT63:BT63, "A")+COUNTIF('Detailed Attendance'!BX63:BX63, "A")+COUNTIF('Detailed Attendance'!CQ63:CQ63, "A")+COUNTIF('Detailed Attendance'!CU63:CU63, "A")</f>
        <v/>
      </c>
      <c r="AG62" s="68">
        <f>IF((AE62+AF62)=0,"", AE62/(AE62+AF62))</f>
        <v/>
      </c>
      <c r="AH62" s="67">
        <f>COUNTIF('Detailed Attendance'!T63:T63, "P")+COUNTIF('Detailed Attendance'!AN63:AN63, "P")+COUNTIF('Detailed Attendance'!AR63:AR63, "P")+COUNTIF('Detailed Attendance'!BH63:BH63, "P")+COUNTIF('Detailed Attendance'!CB63:CB63, "P")+COUNTIF('Detailed Attendance'!CF63:CF63, "P")+COUNTIF('Detailed Attendance'!CY63:CY63, "P")</f>
        <v/>
      </c>
      <c r="AI62" s="67">
        <f>COUNTIF('Detailed Attendance'!T63:T63, "A")+COUNTIF('Detailed Attendance'!AN63:AN63, "A")+COUNTIF('Detailed Attendance'!AR63:AR63, "A")+COUNTIF('Detailed Attendance'!BH63:BH63, "A")+COUNTIF('Detailed Attendance'!CB63:CB63, "A")+COUNTIF('Detailed Attendance'!CF63:CF63, "A")+COUNTIF('Detailed Attendance'!CY63:CY63, "A")</f>
        <v/>
      </c>
      <c r="AJ62" s="68">
        <f>IF((AH62+AI62)=0,"", AH62/(AH62+AI62))</f>
        <v/>
      </c>
      <c r="AK62" s="67">
        <f>COUNTIF('Detailed Attendance'!M63:M63, "P")+COUNTIF('Detailed Attendance'!U63:U63, "P")+COUNTIF('Detailed Attendance'!AG63:AG63, "P")+COUNTIF('Detailed Attendance'!AO63:AO63, "P")+COUNTIF('Detailed Attendance'!BA63:BA63, "P")+COUNTIF('Detailed Attendance'!BI63:BI63, "P")+COUNTIF('Detailed Attendance'!BU63:BU63, "P")+COUNTIF('Detailed Attendance'!CC63:CC63, "P")+COUNTIF('Detailed Attendance'!CR63:CR63, "P")+COUNTIF('Detailed Attendance'!CZ63:CZ63, "P")</f>
        <v/>
      </c>
      <c r="AL62" s="67">
        <f>COUNTIF('Detailed Attendance'!M63:M63, "A")+COUNTIF('Detailed Attendance'!U63:U63, "A")+COUNTIF('Detailed Attendance'!AG63:AG63, "A")+COUNTIF('Detailed Attendance'!AO63:AO63, "A")+COUNTIF('Detailed Attendance'!BA63:BA63, "A")+COUNTIF('Detailed Attendance'!BI63:BI63, "A")+COUNTIF('Detailed Attendance'!BU63:BU63, "A")+COUNTIF('Detailed Attendance'!CC63:CC63, "A")+COUNTIF('Detailed Attendance'!CR63:CR63, "A")+COUNTIF('Detailed Attendance'!CZ63:CZ63, "A")</f>
        <v/>
      </c>
      <c r="AM62" s="68">
        <f>IF((AK62+AL62)=0,"", AK62/(AK62+AL62))</f>
        <v/>
      </c>
      <c r="AN62" s="67">
        <f>Y62+AB62+AE62+AH62+AK62</f>
        <v/>
      </c>
      <c r="AO62" s="67">
        <f>Z62+AC62+AF62+AI62+AL62</f>
        <v/>
      </c>
      <c r="AP62" s="68">
        <f>IF((AN62+AO62)=0,"", AN62/(AN62+AO62))</f>
        <v/>
      </c>
      <c r="AQ62" s="69">
        <f>COUNTIF('Detailed Attendance'!CG63:CG63, "P")+COUNTIF('Detailed Attendance'!CH63:CH63, "P")+COUNTIF('Detailed Attendance'!V63:V63, "P")+COUNTIF('Detailed Attendance'!AP63:AP63, "P")+COUNTIF('Detailed Attendance'!BJ63:BJ63, "P")+COUNTIF('Detailed Attendance'!CD63:CD63, "P")+COUNTIF('Detailed Attendance'!DA63:DA63, "P")</f>
        <v/>
      </c>
      <c r="AR62" s="69">
        <f>COUNTIF('Detailed Attendance'!CG63:CG63, "A")+COUNTIF('Detailed Attendance'!CH63:CH63, "A")+COUNTIF('Detailed Attendance'!V63:V63, "A")+COUNTIF('Detailed Attendance'!AP63:AP63, "A")+COUNTIF('Detailed Attendance'!BJ63:BJ63, "A")+COUNTIF('Detailed Attendance'!CD63:CD63, "A")+COUNTIF('Detailed Attendance'!DA63:DA63, "A")</f>
        <v/>
      </c>
      <c r="AS62" s="70">
        <f>IF((AQ62+AR62)=0,"", AQ62/(AQ62+AR62))</f>
        <v/>
      </c>
      <c r="AT62" s="67">
        <f>COUNTIF('Detailed Attendance'!DF63:DF63, "P")+COUNTIF('Detailed Attendance'!DT63:DT63, "P")+COUNTIF('Detailed Attendance'!EC63:EC63, "P")+COUNTIF('Detailed Attendance'!EQ63:EQ63, "P")+COUNTIF('Detailed Attendance'!EW63:EW63, "P")+COUNTIF('Detailed Attendance'!FK63:FK63, "P")+COUNTIF('Detailed Attendance'!FM63:FM63, "P")+COUNTIF('Detailed Attendance'!GA63:GA63, "P")</f>
        <v/>
      </c>
      <c r="AU62" s="67">
        <f>COUNTIF('Detailed Attendance'!DF63:DF63, "A")+COUNTIF('Detailed Attendance'!DT63:DT63, "A")+COUNTIF('Detailed Attendance'!EC63:EC63, "A")+COUNTIF('Detailed Attendance'!EQ63:EQ63, "A")+COUNTIF('Detailed Attendance'!EW63:EW63, "A")+COUNTIF('Detailed Attendance'!FK63:FK63, "A")+COUNTIF('Detailed Attendance'!FM63:FM63, "A")+COUNTIF('Detailed Attendance'!GA63:GA63, "A")</f>
        <v/>
      </c>
      <c r="AV62" s="68">
        <f>IF((AT62+AU62)=0,"", AT62/(AT62+AU62))</f>
        <v/>
      </c>
      <c r="AW62" s="67">
        <f>COUNTIF('Detailed Attendance'!DK63:DK63, "P")+COUNTIF('Detailed Attendance'!DS63:DS63, "P")+COUNTIF('Detailed Attendance'!EH63:EH63, "P")+COUNTIF('Detailed Attendance'!EP63:EP63, "P")+COUNTIF('Detailed Attendance'!FB63:FB63, "P")+COUNTIF('Detailed Attendance'!FJ63:FJ63, "P")+COUNTIF('Detailed Attendance'!FR63:FR63, "P")+COUNTIF('Detailed Attendance'!FZ63:FZ63, "P")</f>
        <v/>
      </c>
      <c r="AX62" s="67">
        <f>COUNTIF('Detailed Attendance'!DK63:DK63, "A")+COUNTIF('Detailed Attendance'!DS63:DS63, "A")+COUNTIF('Detailed Attendance'!EH63:EH63, "A")+COUNTIF('Detailed Attendance'!EP63:EP63, "A")+COUNTIF('Detailed Attendance'!FB63:FB63, "A")+COUNTIF('Detailed Attendance'!FJ63:FJ63, "A")+COUNTIF('Detailed Attendance'!FR63:FR63, "A")+COUNTIF('Detailed Attendance'!FZ63:FZ63, "A")</f>
        <v/>
      </c>
      <c r="AY62" s="68">
        <f>IF((AW62+AX62)=0,"", AW62/(AW62+AX62))</f>
        <v/>
      </c>
      <c r="AZ62" s="67">
        <f>COUNTIF('Detailed Attendance'!DN63:DN63, "P")+COUNTIF('Detailed Attendance'!DR63:DR63, "P")+COUNTIF('Detailed Attendance'!EK63:EK63, "P")+COUNTIF('Detailed Attendance'!EO63:EO63, "P")+COUNTIF('Detailed Attendance'!FE63:FE63, "P")+COUNTIF('Detailed Attendance'!FI63:FI63, "P")+COUNTIF('Detailed Attendance'!FU63:FU63, "P")+COUNTIF('Detailed Attendance'!FY63:FY63, "P")</f>
        <v/>
      </c>
      <c r="BA62" s="67">
        <f>COUNTIF('Detailed Attendance'!DN63:DN63, "A")+COUNTIF('Detailed Attendance'!DR63:DR63, "A")+COUNTIF('Detailed Attendance'!EK63:EK63, "A")+COUNTIF('Detailed Attendance'!EO63:EO63, "A")+COUNTIF('Detailed Attendance'!FE63:FE63, "A")+COUNTIF('Detailed Attendance'!FI63:FI63, "A")+COUNTIF('Detailed Attendance'!FU63:FU63, "A")+COUNTIF('Detailed Attendance'!FY63:FY63, "A")</f>
        <v/>
      </c>
      <c r="BB62" s="68">
        <f>IF((AZ62+BA62)=0,"", AZ62/(AZ62+BA62))</f>
        <v/>
      </c>
      <c r="BC62" s="67">
        <f>COUNTIF('Detailed Attendance'!DC63:DC63, "P")+COUNTIF('Detailed Attendance'!DV63:DV63, "P")+COUNTIF('Detailed Attendance'!DZ63:DZ63, "P")+COUNTIF('Detailed Attendance'!ES63:ES63, "P")+COUNTIF('Detailed Attendance'!GC63:GC63, "P")+COUNTIF('Detailed Attendance'!GG63:GG63, "P")</f>
        <v/>
      </c>
      <c r="BD62" s="67">
        <f>COUNTIF('Detailed Attendance'!DC63:DC63, "A")+COUNTIF('Detailed Attendance'!DV63:DV63, "A")+COUNTIF('Detailed Attendance'!DZ63:DZ63, "A")+COUNTIF('Detailed Attendance'!ES63:ES63, "A")+COUNTIF('Detailed Attendance'!GC63:GC63, "A")+COUNTIF('Detailed Attendance'!GG63:GG63, "A")</f>
        <v/>
      </c>
      <c r="BE62" s="68">
        <f>IF((BC62+BD62)=0,"", BC62/(BC62+BD62))</f>
        <v/>
      </c>
      <c r="BF62" s="67">
        <f>COUNTIF('Detailed Attendance'!DO63:DO63, "P")+COUNTIF('Detailed Attendance'!DW63:DW63, "P")+COUNTIF('Detailed Attendance'!EL63:EL63, "P")+COUNTIF('Detailed Attendance'!ET63:ET63, "P")+COUNTIF('Detailed Attendance'!FF63:FF63, "P")+COUNTIF('Detailed Attendance'!FV63:FV63, "P")+COUNTIF('Detailed Attendance'!GD63:GD63, "P")</f>
        <v/>
      </c>
      <c r="BG62" s="67">
        <f>COUNTIF('Detailed Attendance'!DO63:DO63, "A")+COUNTIF('Detailed Attendance'!DW63:DW63, "A")+COUNTIF('Detailed Attendance'!EL63:EL63, "A")+COUNTIF('Detailed Attendance'!ET63:ET63, "A")+COUNTIF('Detailed Attendance'!FF63:FF63, "A")+COUNTIF('Detailed Attendance'!FV63:FV63, "A")+COUNTIF('Detailed Attendance'!GD63:GD63, "A")</f>
        <v/>
      </c>
      <c r="BH62" s="68">
        <f>IF((BF62+BG62)=0,"", BF62/(BF62+BG62))</f>
        <v/>
      </c>
      <c r="BI62" s="67">
        <f>AT62+AW62+AZ62+BC62+BF62</f>
        <v/>
      </c>
      <c r="BJ62" s="67">
        <f>AU62+AX62+BA62+BD62+BG62</f>
        <v/>
      </c>
      <c r="BK62" s="68">
        <f>IF((BI62+BJ62)=0,"", BI62/(BI62+BJ62))</f>
        <v/>
      </c>
      <c r="BL62" s="69">
        <f>COUNTIF('Detailed Attendance'!DD63:DD63, "P")+COUNTIF('Detailed Attendance'!EA63:EA63, "P")+COUNTIF('Detailed Attendance'!GH63:GH63, "P")+COUNTIF('Detailed Attendance'!DE63:DE63, "P")+COUNTIF('Detailed Attendance'!EB63:EB63, "P")+COUNTIF('Detailed Attendance'!GI63:GI63, "P")+COUNTIF('Detailed Attendance'!DX63:DX63, "P")+COUNTIF('Detailed Attendance'!EU63:EU63, "P")+COUNTIF('Detailed Attendance'!GE63:GE63, "P")</f>
        <v/>
      </c>
      <c r="BM62" s="69">
        <f>COUNTIF('Detailed Attendance'!DD63:DD63, "A")+COUNTIF('Detailed Attendance'!EA63:EA63, "A")+COUNTIF('Detailed Attendance'!GH63:GH63, "A")+COUNTIF('Detailed Attendance'!DE63:DE63, "A")+COUNTIF('Detailed Attendance'!EB63:EB63, "A")+COUNTIF('Detailed Attendance'!GI63:GI63, "A")+COUNTIF('Detailed Attendance'!DX63:DX63, "A")+COUNTIF('Detailed Attendance'!EU63:EU63, "A")+COUNTIF('Detailed Attendance'!GE63:GE63, "A")</f>
        <v/>
      </c>
      <c r="BN62" s="70">
        <f>IF((BL62+BM62)=0,"", BL62/(BL62+BM62))</f>
        <v/>
      </c>
      <c r="BO62" s="67">
        <f>D62+Y62+AT62</f>
        <v/>
      </c>
      <c r="BP62" s="67">
        <f>E62+Z62+AU62</f>
        <v/>
      </c>
      <c r="BQ62" s="68">
        <f>IF((BO62+BP62)=0,"", BO62/(BO62+BP62))</f>
        <v/>
      </c>
      <c r="BR62" s="67">
        <f>G62+AB62+AW62</f>
        <v/>
      </c>
      <c r="BS62" s="67">
        <f>H62+AC62+AX62</f>
        <v/>
      </c>
      <c r="BT62" s="68">
        <f>IF((BR62+BS62)=0,"", BR62/(BR62+BS62))</f>
        <v/>
      </c>
      <c r="BU62" s="67">
        <f>J62+AE62+AZ62</f>
        <v/>
      </c>
      <c r="BV62" s="67">
        <f>K62+AF62+BA62</f>
        <v/>
      </c>
      <c r="BW62" s="68">
        <f>IF((BU62+BV62)=0,"", BU62/(BU62+BV62))</f>
        <v/>
      </c>
      <c r="BX62" s="67">
        <f>M62+AH62+BC62</f>
        <v/>
      </c>
      <c r="BY62" s="67">
        <f>N62+AI62+BD62</f>
        <v/>
      </c>
      <c r="BZ62" s="68">
        <f>IF((BX62+BY62)=0,"", BX62/(BX62+BY62))</f>
        <v/>
      </c>
      <c r="CA62" s="67">
        <f>P62+AK62+BF62</f>
        <v/>
      </c>
      <c r="CB62" s="67">
        <f>Q62+AL62+BG62</f>
        <v/>
      </c>
      <c r="CC62" s="68">
        <f>IF((CA62+CB62)=0,"", CA62/(CA62+CB62))</f>
        <v/>
      </c>
      <c r="CD62" s="67">
        <f>S62+AN62+BI62</f>
        <v/>
      </c>
      <c r="CE62" s="67">
        <f>T62+AO62+BJ62</f>
        <v/>
      </c>
      <c r="CF62" s="68">
        <f>IF((CD62+CE62)=0,"", CD62/(CD62+CE62))</f>
        <v/>
      </c>
      <c r="CG62" s="69">
        <f>V62+AQ62+BL62</f>
        <v/>
      </c>
      <c r="CH62" s="69">
        <f>W62+AR62+BM62</f>
        <v/>
      </c>
      <c r="CI62" s="70">
        <f>IF((CG62+CH62)=0,"", CG62/(CG62+CH62))</f>
        <v/>
      </c>
      <c r="CJ62" s="67">
        <f>CD62+(CG62*2)</f>
        <v/>
      </c>
      <c r="CK62" s="67">
        <f>CE62+(CH62*2)</f>
        <v/>
      </c>
      <c r="CL62" s="68">
        <f>IF((CJ62+CK62)=0,"", CJ62/(CJ62+CK62))</f>
        <v/>
      </c>
      <c r="CM62" s="67" t="inlineStr">
        <is>
          <t>Batch 2</t>
        </is>
      </c>
    </row>
    <row r="63" ht="14.25" customHeight="1" s="34">
      <c r="A63" s="46" t="n">
        <v>61</v>
      </c>
      <c r="B63" s="46" t="inlineStr">
        <is>
          <t>325106410061</t>
        </is>
      </c>
      <c r="C63" s="46" t="inlineStr">
        <is>
          <t>GOKUL SAI YANNAMANENI</t>
        </is>
      </c>
      <c r="D63" s="63" t="n">
        <v>0</v>
      </c>
      <c r="E63" s="63" t="n">
        <v>0</v>
      </c>
      <c r="F63" s="64">
        <f>IF((D63+E63)=0,"", D63/(D63+E63))</f>
        <v/>
      </c>
      <c r="G63" s="63">
        <f>COUNTIF('Detailed Attendance'!I64:I64, "P")</f>
        <v/>
      </c>
      <c r="H63" s="63">
        <f>COUNTIF('Detailed Attendance'!I64:I64, "A")</f>
        <v/>
      </c>
      <c r="I63" s="64">
        <f>IF((G63+H63)=0,"", G63/(G63+H63))</f>
        <v/>
      </c>
      <c r="J63" s="63" t="n">
        <v>0</v>
      </c>
      <c r="K63" s="63" t="n">
        <v>0</v>
      </c>
      <c r="L63" s="64">
        <f>IF((J63+K63)=0,"", J63/(J63+K63))</f>
        <v/>
      </c>
      <c r="M63" s="63">
        <f>COUNTIF('Detailed Attendance'!D64:D64, "P")</f>
        <v/>
      </c>
      <c r="N63" s="63">
        <f>COUNTIF('Detailed Attendance'!D64:D64, "A")</f>
        <v/>
      </c>
      <c r="O63" s="64">
        <f>IF((M63+N63)=0,"", M63/(M63+N63))</f>
        <v/>
      </c>
      <c r="P63" s="63" t="n">
        <v>0</v>
      </c>
      <c r="Q63" s="63" t="n">
        <v>0</v>
      </c>
      <c r="R63" s="64">
        <f>IF((P63+Q63)=0,"", P63/(P63+Q63))</f>
        <v/>
      </c>
      <c r="S63" s="63">
        <f>D63+G63+J63+M63+P63</f>
        <v/>
      </c>
      <c r="T63" s="63">
        <f>E63+H63+K63+N63+Q63</f>
        <v/>
      </c>
      <c r="U63" s="64">
        <f>IF((S63+T63)=0,"", S63/(S63+T63))</f>
        <v/>
      </c>
      <c r="V63" s="65" t="n">
        <v>0</v>
      </c>
      <c r="W63" s="65" t="n">
        <v>0</v>
      </c>
      <c r="X63" s="66">
        <f>IF((V63+W63)=0,"", V63/(V63+W63))</f>
        <v/>
      </c>
      <c r="Y63" s="63">
        <f>COUNTIF('Detailed Attendance'!R64:R64, "P")+COUNTIF('Detailed Attendance'!X64:X64, "P")+COUNTIF('Detailed Attendance'!AL64:AL64, "P")+COUNTIF('Detailed Attendance'!BF64:BF64, "P")+COUNTIF('Detailed Attendance'!BL64:BL64, "P")+COUNTIF('Detailed Attendance'!BZ64:BZ64, "P")+COUNTIF('Detailed Attendance'!CI64:CI64, "P")+COUNTIF('Detailed Attendance'!CW64:CW64, "P")</f>
        <v/>
      </c>
      <c r="Z63" s="63">
        <f>COUNTIF('Detailed Attendance'!R64:R64, "A")+COUNTIF('Detailed Attendance'!X64:X64, "A")+COUNTIF('Detailed Attendance'!AL64:AL64, "A")+COUNTIF('Detailed Attendance'!BF64:BF64, "A")+COUNTIF('Detailed Attendance'!BL64:BL64, "A")+COUNTIF('Detailed Attendance'!BZ64:BZ64, "A")+COUNTIF('Detailed Attendance'!CI64:CI64, "A")+COUNTIF('Detailed Attendance'!CW64:CW64, "A")</f>
        <v/>
      </c>
      <c r="AA63" s="64">
        <f>IF((Y63+Z63)=0,"", Y63/(Y63+Z63))</f>
        <v/>
      </c>
      <c r="AB63" s="63">
        <f>COUNTIF('Detailed Attendance'!Q64:Q64, "P")+COUNTIF('Detailed Attendance'!AC64:AC64, "P")+COUNTIF('Detailed Attendance'!AK64:AK64, "P")+COUNTIF('Detailed Attendance'!AW64:AW64, "P")+COUNTIF('Detailed Attendance'!BE64:BE64, "P")+COUNTIF('Detailed Attendance'!BQ64:BQ64, "P")+COUNTIF('Detailed Attendance'!BY64:BY64, "P")+COUNTIF('Detailed Attendance'!CN64:CN64, "P")+COUNTIF('Detailed Attendance'!CV64:CV64, "P")</f>
        <v/>
      </c>
      <c r="AC63" s="63">
        <f>COUNTIF('Detailed Attendance'!Q64:Q64, "A")+COUNTIF('Detailed Attendance'!AC64:AC64, "A")+COUNTIF('Detailed Attendance'!AK64:AK64, "A")+COUNTIF('Detailed Attendance'!AW64:AW64, "A")+COUNTIF('Detailed Attendance'!BE64:BE64, "A")+COUNTIF('Detailed Attendance'!BQ64:BQ64, "A")+COUNTIF('Detailed Attendance'!BY64:BY64, "A")+COUNTIF('Detailed Attendance'!CN64:CN64, "A")+COUNTIF('Detailed Attendance'!CV64:CV64, "A")</f>
        <v/>
      </c>
      <c r="AD63" s="64">
        <f>IF((AB63+AC63)=0,"", AB63/(AB63+AC63))</f>
        <v/>
      </c>
      <c r="AE63" s="63">
        <f>COUNTIF('Detailed Attendance'!L64:L64, "P")+COUNTIF('Detailed Attendance'!P64:P64, "P")+COUNTIF('Detailed Attendance'!AF64:AF64, "P")+COUNTIF('Detailed Attendance'!AJ64:AJ64, "P")+COUNTIF('Detailed Attendance'!AZ64:AZ64, "P")+COUNTIF('Detailed Attendance'!BD64:BD64, "P")+COUNTIF('Detailed Attendance'!BT64:BT64, "P")+COUNTIF('Detailed Attendance'!BX64:BX64, "P")+COUNTIF('Detailed Attendance'!CQ64:CQ64, "P")+COUNTIF('Detailed Attendance'!CU64:CU64, "P")</f>
        <v/>
      </c>
      <c r="AF63" s="67">
        <f>COUNTIF('Detailed Attendance'!L64:L64, "A")+COUNTIF('Detailed Attendance'!P64:P64, "A")+COUNTIF('Detailed Attendance'!AF64:AF64, "A")+COUNTIF('Detailed Attendance'!AJ64:AJ64, "A")+COUNTIF('Detailed Attendance'!AZ64:AZ64, "A")+COUNTIF('Detailed Attendance'!BD64:BD64, "A")+COUNTIF('Detailed Attendance'!BT64:BT64, "A")+COUNTIF('Detailed Attendance'!BX64:BX64, "A")+COUNTIF('Detailed Attendance'!CQ64:CQ64, "A")+COUNTIF('Detailed Attendance'!CU64:CU64, "A")</f>
        <v/>
      </c>
      <c r="AG63" s="68">
        <f>IF((AE63+AF63)=0,"", AE63/(AE63+AF63))</f>
        <v/>
      </c>
      <c r="AH63" s="67">
        <f>COUNTIF('Detailed Attendance'!T64:T64, "P")+COUNTIF('Detailed Attendance'!AN64:AN64, "P")+COUNTIF('Detailed Attendance'!AR64:AR64, "P")+COUNTIF('Detailed Attendance'!BH64:BH64, "P")+COUNTIF('Detailed Attendance'!CB64:CB64, "P")+COUNTIF('Detailed Attendance'!CF64:CF64, "P")+COUNTIF('Detailed Attendance'!CY64:CY64, "P")</f>
        <v/>
      </c>
      <c r="AI63" s="67">
        <f>COUNTIF('Detailed Attendance'!T64:T64, "A")+COUNTIF('Detailed Attendance'!AN64:AN64, "A")+COUNTIF('Detailed Attendance'!AR64:AR64, "A")+COUNTIF('Detailed Attendance'!BH64:BH64, "A")+COUNTIF('Detailed Attendance'!CB64:CB64, "A")+COUNTIF('Detailed Attendance'!CF64:CF64, "A")+COUNTIF('Detailed Attendance'!CY64:CY64, "A")</f>
        <v/>
      </c>
      <c r="AJ63" s="68">
        <f>IF((AH63+AI63)=0,"", AH63/(AH63+AI63))</f>
        <v/>
      </c>
      <c r="AK63" s="67">
        <f>COUNTIF('Detailed Attendance'!M64:M64, "P")+COUNTIF('Detailed Attendance'!U64:U64, "P")+COUNTIF('Detailed Attendance'!AG64:AG64, "P")+COUNTIF('Detailed Attendance'!AO64:AO64, "P")+COUNTIF('Detailed Attendance'!BA64:BA64, "P")+COUNTIF('Detailed Attendance'!BI64:BI64, "P")+COUNTIF('Detailed Attendance'!BU64:BU64, "P")+COUNTIF('Detailed Attendance'!CC64:CC64, "P")+COUNTIF('Detailed Attendance'!CR64:CR64, "P")+COUNTIF('Detailed Attendance'!CZ64:CZ64, "P")</f>
        <v/>
      </c>
      <c r="AL63" s="67">
        <f>COUNTIF('Detailed Attendance'!M64:M64, "A")+COUNTIF('Detailed Attendance'!U64:U64, "A")+COUNTIF('Detailed Attendance'!AG64:AG64, "A")+COUNTIF('Detailed Attendance'!AO64:AO64, "A")+COUNTIF('Detailed Attendance'!BA64:BA64, "A")+COUNTIF('Detailed Attendance'!BI64:BI64, "A")+COUNTIF('Detailed Attendance'!BU64:BU64, "A")+COUNTIF('Detailed Attendance'!CC64:CC64, "A")+COUNTIF('Detailed Attendance'!CR64:CR64, "A")+COUNTIF('Detailed Attendance'!CZ64:CZ64, "A")</f>
        <v/>
      </c>
      <c r="AM63" s="68">
        <f>IF((AK63+AL63)=0,"", AK63/(AK63+AL63))</f>
        <v/>
      </c>
      <c r="AN63" s="67">
        <f>Y63+AB63+AE63+AH63+AK63</f>
        <v/>
      </c>
      <c r="AO63" s="67">
        <f>Z63+AC63+AF63+AI63+AL63</f>
        <v/>
      </c>
      <c r="AP63" s="68">
        <f>IF((AN63+AO63)=0,"", AN63/(AN63+AO63))</f>
        <v/>
      </c>
      <c r="AQ63" s="69">
        <f>COUNTIF('Detailed Attendance'!CG64:CG64, "P")+COUNTIF('Detailed Attendance'!CH64:CH64, "P")+COUNTIF('Detailed Attendance'!V64:V64, "P")+COUNTIF('Detailed Attendance'!AP64:AP64, "P")+COUNTIF('Detailed Attendance'!BJ64:BJ64, "P")+COUNTIF('Detailed Attendance'!CD64:CD64, "P")+COUNTIF('Detailed Attendance'!DA64:DA64, "P")</f>
        <v/>
      </c>
      <c r="AR63" s="69">
        <f>COUNTIF('Detailed Attendance'!CG64:CG64, "A")+COUNTIF('Detailed Attendance'!CH64:CH64, "A")+COUNTIF('Detailed Attendance'!V64:V64, "A")+COUNTIF('Detailed Attendance'!AP64:AP64, "A")+COUNTIF('Detailed Attendance'!BJ64:BJ64, "A")+COUNTIF('Detailed Attendance'!CD64:CD64, "A")+COUNTIF('Detailed Attendance'!DA64:DA64, "A")</f>
        <v/>
      </c>
      <c r="AS63" s="70">
        <f>IF((AQ63+AR63)=0,"", AQ63/(AQ63+AR63))</f>
        <v/>
      </c>
      <c r="AT63" s="67">
        <f>COUNTIF('Detailed Attendance'!DF64:DF64, "P")+COUNTIF('Detailed Attendance'!DT64:DT64, "P")+COUNTIF('Detailed Attendance'!EC64:EC64, "P")+COUNTIF('Detailed Attendance'!EQ64:EQ64, "P")+COUNTIF('Detailed Attendance'!EW64:EW64, "P")+COUNTIF('Detailed Attendance'!FK64:FK64, "P")+COUNTIF('Detailed Attendance'!FM64:FM64, "P")+COUNTIF('Detailed Attendance'!GA64:GA64, "P")</f>
        <v/>
      </c>
      <c r="AU63" s="67">
        <f>COUNTIF('Detailed Attendance'!DF64:DF64, "A")+COUNTIF('Detailed Attendance'!DT64:DT64, "A")+COUNTIF('Detailed Attendance'!EC64:EC64, "A")+COUNTIF('Detailed Attendance'!EQ64:EQ64, "A")+COUNTIF('Detailed Attendance'!EW64:EW64, "A")+COUNTIF('Detailed Attendance'!FK64:FK64, "A")+COUNTIF('Detailed Attendance'!FM64:FM64, "A")+COUNTIF('Detailed Attendance'!GA64:GA64, "A")</f>
        <v/>
      </c>
      <c r="AV63" s="68">
        <f>IF((AT63+AU63)=0,"", AT63/(AT63+AU63))</f>
        <v/>
      </c>
      <c r="AW63" s="67">
        <f>COUNTIF('Detailed Attendance'!DK64:DK64, "P")+COUNTIF('Detailed Attendance'!DS64:DS64, "P")+COUNTIF('Detailed Attendance'!EH64:EH64, "P")+COUNTIF('Detailed Attendance'!EP64:EP64, "P")+COUNTIF('Detailed Attendance'!FB64:FB64, "P")+COUNTIF('Detailed Attendance'!FJ64:FJ64, "P")+COUNTIF('Detailed Attendance'!FR64:FR64, "P")+COUNTIF('Detailed Attendance'!FZ64:FZ64, "P")</f>
        <v/>
      </c>
      <c r="AX63" s="67">
        <f>COUNTIF('Detailed Attendance'!DK64:DK64, "A")+COUNTIF('Detailed Attendance'!DS64:DS64, "A")+COUNTIF('Detailed Attendance'!EH64:EH64, "A")+COUNTIF('Detailed Attendance'!EP64:EP64, "A")+COUNTIF('Detailed Attendance'!FB64:FB64, "A")+COUNTIF('Detailed Attendance'!FJ64:FJ64, "A")+COUNTIF('Detailed Attendance'!FR64:FR64, "A")+COUNTIF('Detailed Attendance'!FZ64:FZ64, "A")</f>
        <v/>
      </c>
      <c r="AY63" s="68">
        <f>IF((AW63+AX63)=0,"", AW63/(AW63+AX63))</f>
        <v/>
      </c>
      <c r="AZ63" s="67">
        <f>COUNTIF('Detailed Attendance'!DN64:DN64, "P")+COUNTIF('Detailed Attendance'!DR64:DR64, "P")+COUNTIF('Detailed Attendance'!EK64:EK64, "P")+COUNTIF('Detailed Attendance'!EO64:EO64, "P")+COUNTIF('Detailed Attendance'!FE64:FE64, "P")+COUNTIF('Detailed Attendance'!FI64:FI64, "P")+COUNTIF('Detailed Attendance'!FU64:FU64, "P")+COUNTIF('Detailed Attendance'!FY64:FY64, "P")</f>
        <v/>
      </c>
      <c r="BA63" s="67">
        <f>COUNTIF('Detailed Attendance'!DN64:DN64, "A")+COUNTIF('Detailed Attendance'!DR64:DR64, "A")+COUNTIF('Detailed Attendance'!EK64:EK64, "A")+COUNTIF('Detailed Attendance'!EO64:EO64, "A")+COUNTIF('Detailed Attendance'!FE64:FE64, "A")+COUNTIF('Detailed Attendance'!FI64:FI64, "A")+COUNTIF('Detailed Attendance'!FU64:FU64, "A")+COUNTIF('Detailed Attendance'!FY64:FY64, "A")</f>
        <v/>
      </c>
      <c r="BB63" s="68">
        <f>IF((AZ63+BA63)=0,"", AZ63/(AZ63+BA63))</f>
        <v/>
      </c>
      <c r="BC63" s="67">
        <f>COUNTIF('Detailed Attendance'!DC64:DC64, "P")+COUNTIF('Detailed Attendance'!DV64:DV64, "P")+COUNTIF('Detailed Attendance'!DZ64:DZ64, "P")+COUNTIF('Detailed Attendance'!ES64:ES64, "P")+COUNTIF('Detailed Attendance'!GC64:GC64, "P")+COUNTIF('Detailed Attendance'!GG64:GG64, "P")</f>
        <v/>
      </c>
      <c r="BD63" s="67">
        <f>COUNTIF('Detailed Attendance'!DC64:DC64, "A")+COUNTIF('Detailed Attendance'!DV64:DV64, "A")+COUNTIF('Detailed Attendance'!DZ64:DZ64, "A")+COUNTIF('Detailed Attendance'!ES64:ES64, "A")+COUNTIF('Detailed Attendance'!GC64:GC64, "A")+COUNTIF('Detailed Attendance'!GG64:GG64, "A")</f>
        <v/>
      </c>
      <c r="BE63" s="68">
        <f>IF((BC63+BD63)=0,"", BC63/(BC63+BD63))</f>
        <v/>
      </c>
      <c r="BF63" s="67">
        <f>COUNTIF('Detailed Attendance'!DO64:DO64, "P")+COUNTIF('Detailed Attendance'!DW64:DW64, "P")+COUNTIF('Detailed Attendance'!EL64:EL64, "P")+COUNTIF('Detailed Attendance'!ET64:ET64, "P")+COUNTIF('Detailed Attendance'!FF64:FF64, "P")+COUNTIF('Detailed Attendance'!FV64:FV64, "P")+COUNTIF('Detailed Attendance'!GD64:GD64, "P")</f>
        <v/>
      </c>
      <c r="BG63" s="67">
        <f>COUNTIF('Detailed Attendance'!DO64:DO64, "A")+COUNTIF('Detailed Attendance'!DW64:DW64, "A")+COUNTIF('Detailed Attendance'!EL64:EL64, "A")+COUNTIF('Detailed Attendance'!ET64:ET64, "A")+COUNTIF('Detailed Attendance'!FF64:FF64, "A")+COUNTIF('Detailed Attendance'!FV64:FV64, "A")+COUNTIF('Detailed Attendance'!GD64:GD64, "A")</f>
        <v/>
      </c>
      <c r="BH63" s="68">
        <f>IF((BF63+BG63)=0,"", BF63/(BF63+BG63))</f>
        <v/>
      </c>
      <c r="BI63" s="67">
        <f>AT63+AW63+AZ63+BC63+BF63</f>
        <v/>
      </c>
      <c r="BJ63" s="67">
        <f>AU63+AX63+BA63+BD63+BG63</f>
        <v/>
      </c>
      <c r="BK63" s="68">
        <f>IF((BI63+BJ63)=0,"", BI63/(BI63+BJ63))</f>
        <v/>
      </c>
      <c r="BL63" s="69">
        <f>COUNTIF('Detailed Attendance'!DD64:DD64, "P")+COUNTIF('Detailed Attendance'!EA64:EA64, "P")+COUNTIF('Detailed Attendance'!GH64:GH64, "P")+COUNTIF('Detailed Attendance'!DE64:DE64, "P")+COUNTIF('Detailed Attendance'!EB64:EB64, "P")+COUNTIF('Detailed Attendance'!GI64:GI64, "P")+COUNTIF('Detailed Attendance'!DX64:DX64, "P")+COUNTIF('Detailed Attendance'!EU64:EU64, "P")+COUNTIF('Detailed Attendance'!GE64:GE64, "P")</f>
        <v/>
      </c>
      <c r="BM63" s="69">
        <f>COUNTIF('Detailed Attendance'!DD64:DD64, "A")+COUNTIF('Detailed Attendance'!EA64:EA64, "A")+COUNTIF('Detailed Attendance'!GH64:GH64, "A")+COUNTIF('Detailed Attendance'!DE64:DE64, "A")+COUNTIF('Detailed Attendance'!EB64:EB64, "A")+COUNTIF('Detailed Attendance'!GI64:GI64, "A")+COUNTIF('Detailed Attendance'!DX64:DX64, "A")+COUNTIF('Detailed Attendance'!EU64:EU64, "A")+COUNTIF('Detailed Attendance'!GE64:GE64, "A")</f>
        <v/>
      </c>
      <c r="BN63" s="70">
        <f>IF((BL63+BM63)=0,"", BL63/(BL63+BM63))</f>
        <v/>
      </c>
      <c r="BO63" s="67">
        <f>D63+Y63+AT63</f>
        <v/>
      </c>
      <c r="BP63" s="67">
        <f>E63+Z63+AU63</f>
        <v/>
      </c>
      <c r="BQ63" s="68">
        <f>IF((BO63+BP63)=0,"", BO63/(BO63+BP63))</f>
        <v/>
      </c>
      <c r="BR63" s="67">
        <f>G63+AB63+AW63</f>
        <v/>
      </c>
      <c r="BS63" s="67">
        <f>H63+AC63+AX63</f>
        <v/>
      </c>
      <c r="BT63" s="68">
        <f>IF((BR63+BS63)=0,"", BR63/(BR63+BS63))</f>
        <v/>
      </c>
      <c r="BU63" s="67">
        <f>J63+AE63+AZ63</f>
        <v/>
      </c>
      <c r="BV63" s="67">
        <f>K63+AF63+BA63</f>
        <v/>
      </c>
      <c r="BW63" s="68">
        <f>IF((BU63+BV63)=0,"", BU63/(BU63+BV63))</f>
        <v/>
      </c>
      <c r="BX63" s="67">
        <f>M63+AH63+BC63</f>
        <v/>
      </c>
      <c r="BY63" s="67">
        <f>N63+AI63+BD63</f>
        <v/>
      </c>
      <c r="BZ63" s="68">
        <f>IF((BX63+BY63)=0,"", BX63/(BX63+BY63))</f>
        <v/>
      </c>
      <c r="CA63" s="67">
        <f>P63+AK63+BF63</f>
        <v/>
      </c>
      <c r="CB63" s="67">
        <f>Q63+AL63+BG63</f>
        <v/>
      </c>
      <c r="CC63" s="68">
        <f>IF((CA63+CB63)=0,"", CA63/(CA63+CB63))</f>
        <v/>
      </c>
      <c r="CD63" s="67">
        <f>S63+AN63+BI63</f>
        <v/>
      </c>
      <c r="CE63" s="67">
        <f>T63+AO63+BJ63</f>
        <v/>
      </c>
      <c r="CF63" s="68">
        <f>IF((CD63+CE63)=0,"", CD63/(CD63+CE63))</f>
        <v/>
      </c>
      <c r="CG63" s="69">
        <f>V63+AQ63+BL63</f>
        <v/>
      </c>
      <c r="CH63" s="69">
        <f>W63+AR63+BM63</f>
        <v/>
      </c>
      <c r="CI63" s="70">
        <f>IF((CG63+CH63)=0,"", CG63/(CG63+CH63))</f>
        <v/>
      </c>
      <c r="CJ63" s="67">
        <f>CD63+(CG63*2)</f>
        <v/>
      </c>
      <c r="CK63" s="67">
        <f>CE63+(CH63*2)</f>
        <v/>
      </c>
      <c r="CL63" s="68">
        <f>IF((CJ63+CK63)=0,"", CJ63/(CJ63+CK63))</f>
        <v/>
      </c>
      <c r="CM63" s="67" t="inlineStr">
        <is>
          <t>Batch 2</t>
        </is>
      </c>
    </row>
    <row r="64" ht="14.25" customHeight="1" s="34">
      <c r="A64" s="46" t="n">
        <v>62</v>
      </c>
      <c r="B64" s="46" t="inlineStr">
        <is>
          <t>325106410062</t>
        </is>
      </c>
      <c r="C64" s="46" t="inlineStr">
        <is>
          <t>SRI AKSHITH YELLAI</t>
        </is>
      </c>
      <c r="D64" s="63" t="n">
        <v>0</v>
      </c>
      <c r="E64" s="63" t="n">
        <v>0</v>
      </c>
      <c r="F64" s="64">
        <f>IF((D64+E64)=0,"", D64/(D64+E64))</f>
        <v/>
      </c>
      <c r="G64" s="63">
        <f>COUNTIF('Detailed Attendance'!I65:I65, "P")</f>
        <v/>
      </c>
      <c r="H64" s="63">
        <f>COUNTIF('Detailed Attendance'!I65:I65, "A")</f>
        <v/>
      </c>
      <c r="I64" s="64">
        <f>IF((G64+H64)=0,"", G64/(G64+H64))</f>
        <v/>
      </c>
      <c r="J64" s="63" t="n">
        <v>0</v>
      </c>
      <c r="K64" s="63" t="n">
        <v>0</v>
      </c>
      <c r="L64" s="64">
        <f>IF((J64+K64)=0,"", J64/(J64+K64))</f>
        <v/>
      </c>
      <c r="M64" s="63">
        <f>COUNTIF('Detailed Attendance'!D65:D65, "P")</f>
        <v/>
      </c>
      <c r="N64" s="63">
        <f>COUNTIF('Detailed Attendance'!D65:D65, "A")</f>
        <v/>
      </c>
      <c r="O64" s="64">
        <f>IF((M64+N64)=0,"", M64/(M64+N64))</f>
        <v/>
      </c>
      <c r="P64" s="63" t="n">
        <v>0</v>
      </c>
      <c r="Q64" s="63" t="n">
        <v>0</v>
      </c>
      <c r="R64" s="64">
        <f>IF((P64+Q64)=0,"", P64/(P64+Q64))</f>
        <v/>
      </c>
      <c r="S64" s="63">
        <f>D64+G64+J64+M64+P64</f>
        <v/>
      </c>
      <c r="T64" s="63">
        <f>E64+H64+K64+N64+Q64</f>
        <v/>
      </c>
      <c r="U64" s="64">
        <f>IF((S64+T64)=0,"", S64/(S64+T64))</f>
        <v/>
      </c>
      <c r="V64" s="65" t="n">
        <v>0</v>
      </c>
      <c r="W64" s="65" t="n">
        <v>0</v>
      </c>
      <c r="X64" s="66">
        <f>IF((V64+W64)=0,"", V64/(V64+W64))</f>
        <v/>
      </c>
      <c r="Y64" s="63">
        <f>COUNTIF('Detailed Attendance'!R65:R65, "P")+COUNTIF('Detailed Attendance'!X65:X65, "P")+COUNTIF('Detailed Attendance'!AL65:AL65, "P")+COUNTIF('Detailed Attendance'!BF65:BF65, "P")+COUNTIF('Detailed Attendance'!BL65:BL65, "P")+COUNTIF('Detailed Attendance'!BZ65:BZ65, "P")+COUNTIF('Detailed Attendance'!CI65:CI65, "P")+COUNTIF('Detailed Attendance'!CW65:CW65, "P")</f>
        <v/>
      </c>
      <c r="Z64" s="63">
        <f>COUNTIF('Detailed Attendance'!R65:R65, "A")+COUNTIF('Detailed Attendance'!X65:X65, "A")+COUNTIF('Detailed Attendance'!AL65:AL65, "A")+COUNTIF('Detailed Attendance'!BF65:BF65, "A")+COUNTIF('Detailed Attendance'!BL65:BL65, "A")+COUNTIF('Detailed Attendance'!BZ65:BZ65, "A")+COUNTIF('Detailed Attendance'!CI65:CI65, "A")+COUNTIF('Detailed Attendance'!CW65:CW65, "A")</f>
        <v/>
      </c>
      <c r="AA64" s="64">
        <f>IF((Y64+Z64)=0,"", Y64/(Y64+Z64))</f>
        <v/>
      </c>
      <c r="AB64" s="63">
        <f>COUNTIF('Detailed Attendance'!Q65:Q65, "P")+COUNTIF('Detailed Attendance'!AC65:AC65, "P")+COUNTIF('Detailed Attendance'!AK65:AK65, "P")+COUNTIF('Detailed Attendance'!AW65:AW65, "P")+COUNTIF('Detailed Attendance'!BE65:BE65, "P")+COUNTIF('Detailed Attendance'!BQ65:BQ65, "P")+COUNTIF('Detailed Attendance'!BY65:BY65, "P")+COUNTIF('Detailed Attendance'!CN65:CN65, "P")+COUNTIF('Detailed Attendance'!CV65:CV65, "P")</f>
        <v/>
      </c>
      <c r="AC64" s="63">
        <f>COUNTIF('Detailed Attendance'!Q65:Q65, "A")+COUNTIF('Detailed Attendance'!AC65:AC65, "A")+COUNTIF('Detailed Attendance'!AK65:AK65, "A")+COUNTIF('Detailed Attendance'!AW65:AW65, "A")+COUNTIF('Detailed Attendance'!BE65:BE65, "A")+COUNTIF('Detailed Attendance'!BQ65:BQ65, "A")+COUNTIF('Detailed Attendance'!BY65:BY65, "A")+COUNTIF('Detailed Attendance'!CN65:CN65, "A")+COUNTIF('Detailed Attendance'!CV65:CV65, "A")</f>
        <v/>
      </c>
      <c r="AD64" s="64">
        <f>IF((AB64+AC64)=0,"", AB64/(AB64+AC64))</f>
        <v/>
      </c>
      <c r="AE64" s="63">
        <f>COUNTIF('Detailed Attendance'!L65:L65, "P")+COUNTIF('Detailed Attendance'!P65:P65, "P")+COUNTIF('Detailed Attendance'!AF65:AF65, "P")+COUNTIF('Detailed Attendance'!AJ65:AJ65, "P")+COUNTIF('Detailed Attendance'!AZ65:AZ65, "P")+COUNTIF('Detailed Attendance'!BD65:BD65, "P")+COUNTIF('Detailed Attendance'!BT65:BT65, "P")+COUNTIF('Detailed Attendance'!BX65:BX65, "P")+COUNTIF('Detailed Attendance'!CQ65:CQ65, "P")+COUNTIF('Detailed Attendance'!CU65:CU65, "P")</f>
        <v/>
      </c>
      <c r="AF64" s="67">
        <f>COUNTIF('Detailed Attendance'!L65:L65, "A")+COUNTIF('Detailed Attendance'!P65:P65, "A")+COUNTIF('Detailed Attendance'!AF65:AF65, "A")+COUNTIF('Detailed Attendance'!AJ65:AJ65, "A")+COUNTIF('Detailed Attendance'!AZ65:AZ65, "A")+COUNTIF('Detailed Attendance'!BD65:BD65, "A")+COUNTIF('Detailed Attendance'!BT65:BT65, "A")+COUNTIF('Detailed Attendance'!BX65:BX65, "A")+COUNTIF('Detailed Attendance'!CQ65:CQ65, "A")+COUNTIF('Detailed Attendance'!CU65:CU65, "A")</f>
        <v/>
      </c>
      <c r="AG64" s="68">
        <f>IF((AE64+AF64)=0,"", AE64/(AE64+AF64))</f>
        <v/>
      </c>
      <c r="AH64" s="67">
        <f>COUNTIF('Detailed Attendance'!T65:T65, "P")+COUNTIF('Detailed Attendance'!AN65:AN65, "P")+COUNTIF('Detailed Attendance'!AR65:AR65, "P")+COUNTIF('Detailed Attendance'!BH65:BH65, "P")+COUNTIF('Detailed Attendance'!CB65:CB65, "P")+COUNTIF('Detailed Attendance'!CF65:CF65, "P")+COUNTIF('Detailed Attendance'!CY65:CY65, "P")</f>
        <v/>
      </c>
      <c r="AI64" s="67">
        <f>COUNTIF('Detailed Attendance'!T65:T65, "A")+COUNTIF('Detailed Attendance'!AN65:AN65, "A")+COUNTIF('Detailed Attendance'!AR65:AR65, "A")+COUNTIF('Detailed Attendance'!BH65:BH65, "A")+COUNTIF('Detailed Attendance'!CB65:CB65, "A")+COUNTIF('Detailed Attendance'!CF65:CF65, "A")+COUNTIF('Detailed Attendance'!CY65:CY65, "A")</f>
        <v/>
      </c>
      <c r="AJ64" s="68">
        <f>IF((AH64+AI64)=0,"", AH64/(AH64+AI64))</f>
        <v/>
      </c>
      <c r="AK64" s="67">
        <f>COUNTIF('Detailed Attendance'!M65:M65, "P")+COUNTIF('Detailed Attendance'!U65:U65, "P")+COUNTIF('Detailed Attendance'!AG65:AG65, "P")+COUNTIF('Detailed Attendance'!AO65:AO65, "P")+COUNTIF('Detailed Attendance'!BA65:BA65, "P")+COUNTIF('Detailed Attendance'!BI65:BI65, "P")+COUNTIF('Detailed Attendance'!BU65:BU65, "P")+COUNTIF('Detailed Attendance'!CC65:CC65, "P")+COUNTIF('Detailed Attendance'!CR65:CR65, "P")+COUNTIF('Detailed Attendance'!CZ65:CZ65, "P")</f>
        <v/>
      </c>
      <c r="AL64" s="67">
        <f>COUNTIF('Detailed Attendance'!M65:M65, "A")+COUNTIF('Detailed Attendance'!U65:U65, "A")+COUNTIF('Detailed Attendance'!AG65:AG65, "A")+COUNTIF('Detailed Attendance'!AO65:AO65, "A")+COUNTIF('Detailed Attendance'!BA65:BA65, "A")+COUNTIF('Detailed Attendance'!BI65:BI65, "A")+COUNTIF('Detailed Attendance'!BU65:BU65, "A")+COUNTIF('Detailed Attendance'!CC65:CC65, "A")+COUNTIF('Detailed Attendance'!CR65:CR65, "A")+COUNTIF('Detailed Attendance'!CZ65:CZ65, "A")</f>
        <v/>
      </c>
      <c r="AM64" s="68">
        <f>IF((AK64+AL64)=0,"", AK64/(AK64+AL64))</f>
        <v/>
      </c>
      <c r="AN64" s="67">
        <f>Y64+AB64+AE64+AH64+AK64</f>
        <v/>
      </c>
      <c r="AO64" s="67">
        <f>Z64+AC64+AF64+AI64+AL64</f>
        <v/>
      </c>
      <c r="AP64" s="68">
        <f>IF((AN64+AO64)=0,"", AN64/(AN64+AO64))</f>
        <v/>
      </c>
      <c r="AQ64" s="69">
        <f>COUNTIF('Detailed Attendance'!CG65:CG65, "P")+COUNTIF('Detailed Attendance'!CH65:CH65, "P")+COUNTIF('Detailed Attendance'!V65:V65, "P")+COUNTIF('Detailed Attendance'!AP65:AP65, "P")+COUNTIF('Detailed Attendance'!BJ65:BJ65, "P")+COUNTIF('Detailed Attendance'!CD65:CD65, "P")+COUNTIF('Detailed Attendance'!DA65:DA65, "P")</f>
        <v/>
      </c>
      <c r="AR64" s="69">
        <f>COUNTIF('Detailed Attendance'!CG65:CG65, "A")+COUNTIF('Detailed Attendance'!CH65:CH65, "A")+COUNTIF('Detailed Attendance'!V65:V65, "A")+COUNTIF('Detailed Attendance'!AP65:AP65, "A")+COUNTIF('Detailed Attendance'!BJ65:BJ65, "A")+COUNTIF('Detailed Attendance'!CD65:CD65, "A")+COUNTIF('Detailed Attendance'!DA65:DA65, "A")</f>
        <v/>
      </c>
      <c r="AS64" s="70">
        <f>IF((AQ64+AR64)=0,"", AQ64/(AQ64+AR64))</f>
        <v/>
      </c>
      <c r="AT64" s="67">
        <f>COUNTIF('Detailed Attendance'!DF65:DF65, "P")+COUNTIF('Detailed Attendance'!DT65:DT65, "P")+COUNTIF('Detailed Attendance'!EC65:EC65, "P")+COUNTIF('Detailed Attendance'!EQ65:EQ65, "P")+COUNTIF('Detailed Attendance'!EW65:EW65, "P")+COUNTIF('Detailed Attendance'!FK65:FK65, "P")+COUNTIF('Detailed Attendance'!FM65:FM65, "P")+COUNTIF('Detailed Attendance'!GA65:GA65, "P")</f>
        <v/>
      </c>
      <c r="AU64" s="67">
        <f>COUNTIF('Detailed Attendance'!DF65:DF65, "A")+COUNTIF('Detailed Attendance'!DT65:DT65, "A")+COUNTIF('Detailed Attendance'!EC65:EC65, "A")+COUNTIF('Detailed Attendance'!EQ65:EQ65, "A")+COUNTIF('Detailed Attendance'!EW65:EW65, "A")+COUNTIF('Detailed Attendance'!FK65:FK65, "A")+COUNTIF('Detailed Attendance'!FM65:FM65, "A")+COUNTIF('Detailed Attendance'!GA65:GA65, "A")</f>
        <v/>
      </c>
      <c r="AV64" s="68">
        <f>IF((AT64+AU64)=0,"", AT64/(AT64+AU64))</f>
        <v/>
      </c>
      <c r="AW64" s="67">
        <f>COUNTIF('Detailed Attendance'!DK65:DK65, "P")+COUNTIF('Detailed Attendance'!DS65:DS65, "P")+COUNTIF('Detailed Attendance'!EH65:EH65, "P")+COUNTIF('Detailed Attendance'!EP65:EP65, "P")+COUNTIF('Detailed Attendance'!FB65:FB65, "P")+COUNTIF('Detailed Attendance'!FJ65:FJ65, "P")+COUNTIF('Detailed Attendance'!FR65:FR65, "P")+COUNTIF('Detailed Attendance'!FZ65:FZ65, "P")</f>
        <v/>
      </c>
      <c r="AX64" s="67">
        <f>COUNTIF('Detailed Attendance'!DK65:DK65, "A")+COUNTIF('Detailed Attendance'!DS65:DS65, "A")+COUNTIF('Detailed Attendance'!EH65:EH65, "A")+COUNTIF('Detailed Attendance'!EP65:EP65, "A")+COUNTIF('Detailed Attendance'!FB65:FB65, "A")+COUNTIF('Detailed Attendance'!FJ65:FJ65, "A")+COUNTIF('Detailed Attendance'!FR65:FR65, "A")+COUNTIF('Detailed Attendance'!FZ65:FZ65, "A")</f>
        <v/>
      </c>
      <c r="AY64" s="68">
        <f>IF((AW64+AX64)=0,"", AW64/(AW64+AX64))</f>
        <v/>
      </c>
      <c r="AZ64" s="67">
        <f>COUNTIF('Detailed Attendance'!DN65:DN65, "P")+COUNTIF('Detailed Attendance'!DR65:DR65, "P")+COUNTIF('Detailed Attendance'!EK65:EK65, "P")+COUNTIF('Detailed Attendance'!EO65:EO65, "P")+COUNTIF('Detailed Attendance'!FE65:FE65, "P")+COUNTIF('Detailed Attendance'!FI65:FI65, "P")+COUNTIF('Detailed Attendance'!FU65:FU65, "P")+COUNTIF('Detailed Attendance'!FY65:FY65, "P")</f>
        <v/>
      </c>
      <c r="BA64" s="67">
        <f>COUNTIF('Detailed Attendance'!DN65:DN65, "A")+COUNTIF('Detailed Attendance'!DR65:DR65, "A")+COUNTIF('Detailed Attendance'!EK65:EK65, "A")+COUNTIF('Detailed Attendance'!EO65:EO65, "A")+COUNTIF('Detailed Attendance'!FE65:FE65, "A")+COUNTIF('Detailed Attendance'!FI65:FI65, "A")+COUNTIF('Detailed Attendance'!FU65:FU65, "A")+COUNTIF('Detailed Attendance'!FY65:FY65, "A")</f>
        <v/>
      </c>
      <c r="BB64" s="68">
        <f>IF((AZ64+BA64)=0,"", AZ64/(AZ64+BA64))</f>
        <v/>
      </c>
      <c r="BC64" s="67">
        <f>COUNTIF('Detailed Attendance'!DC65:DC65, "P")+COUNTIF('Detailed Attendance'!DV65:DV65, "P")+COUNTIF('Detailed Attendance'!DZ65:DZ65, "P")+COUNTIF('Detailed Attendance'!ES65:ES65, "P")+COUNTIF('Detailed Attendance'!GC65:GC65, "P")+COUNTIF('Detailed Attendance'!GG65:GG65, "P")</f>
        <v/>
      </c>
      <c r="BD64" s="67">
        <f>COUNTIF('Detailed Attendance'!DC65:DC65, "A")+COUNTIF('Detailed Attendance'!DV65:DV65, "A")+COUNTIF('Detailed Attendance'!DZ65:DZ65, "A")+COUNTIF('Detailed Attendance'!ES65:ES65, "A")+COUNTIF('Detailed Attendance'!GC65:GC65, "A")+COUNTIF('Detailed Attendance'!GG65:GG65, "A")</f>
        <v/>
      </c>
      <c r="BE64" s="68">
        <f>IF((BC64+BD64)=0,"", BC64/(BC64+BD64))</f>
        <v/>
      </c>
      <c r="BF64" s="67">
        <f>COUNTIF('Detailed Attendance'!DO65:DO65, "P")+COUNTIF('Detailed Attendance'!DW65:DW65, "P")+COUNTIF('Detailed Attendance'!EL65:EL65, "P")+COUNTIF('Detailed Attendance'!ET65:ET65, "P")+COUNTIF('Detailed Attendance'!FF65:FF65, "P")+COUNTIF('Detailed Attendance'!FV65:FV65, "P")+COUNTIF('Detailed Attendance'!GD65:GD65, "P")</f>
        <v/>
      </c>
      <c r="BG64" s="67">
        <f>COUNTIF('Detailed Attendance'!DO65:DO65, "A")+COUNTIF('Detailed Attendance'!DW65:DW65, "A")+COUNTIF('Detailed Attendance'!EL65:EL65, "A")+COUNTIF('Detailed Attendance'!ET65:ET65, "A")+COUNTIF('Detailed Attendance'!FF65:FF65, "A")+COUNTIF('Detailed Attendance'!FV65:FV65, "A")+COUNTIF('Detailed Attendance'!GD65:GD65, "A")</f>
        <v/>
      </c>
      <c r="BH64" s="68">
        <f>IF((BF64+BG64)=0,"", BF64/(BF64+BG64))</f>
        <v/>
      </c>
      <c r="BI64" s="67">
        <f>AT64+AW64+AZ64+BC64+BF64</f>
        <v/>
      </c>
      <c r="BJ64" s="67">
        <f>AU64+AX64+BA64+BD64+BG64</f>
        <v/>
      </c>
      <c r="BK64" s="68">
        <f>IF((BI64+BJ64)=0,"", BI64/(BI64+BJ64))</f>
        <v/>
      </c>
      <c r="BL64" s="69">
        <f>COUNTIF('Detailed Attendance'!DD65:DD65, "P")+COUNTIF('Detailed Attendance'!EA65:EA65, "P")+COUNTIF('Detailed Attendance'!GH65:GH65, "P")+COUNTIF('Detailed Attendance'!DE65:DE65, "P")+COUNTIF('Detailed Attendance'!EB65:EB65, "P")+COUNTIF('Detailed Attendance'!GI65:GI65, "P")+COUNTIF('Detailed Attendance'!DX65:DX65, "P")+COUNTIF('Detailed Attendance'!EU65:EU65, "P")+COUNTIF('Detailed Attendance'!GE65:GE65, "P")</f>
        <v/>
      </c>
      <c r="BM64" s="69">
        <f>COUNTIF('Detailed Attendance'!DD65:DD65, "A")+COUNTIF('Detailed Attendance'!EA65:EA65, "A")+COUNTIF('Detailed Attendance'!GH65:GH65, "A")+COUNTIF('Detailed Attendance'!DE65:DE65, "A")+COUNTIF('Detailed Attendance'!EB65:EB65, "A")+COUNTIF('Detailed Attendance'!GI65:GI65, "A")+COUNTIF('Detailed Attendance'!DX65:DX65, "A")+COUNTIF('Detailed Attendance'!EU65:EU65, "A")+COUNTIF('Detailed Attendance'!GE65:GE65, "A")</f>
        <v/>
      </c>
      <c r="BN64" s="70">
        <f>IF((BL64+BM64)=0,"", BL64/(BL64+BM64))</f>
        <v/>
      </c>
      <c r="BO64" s="67">
        <f>D64+Y64+AT64</f>
        <v/>
      </c>
      <c r="BP64" s="67">
        <f>E64+Z64+AU64</f>
        <v/>
      </c>
      <c r="BQ64" s="68">
        <f>IF((BO64+BP64)=0,"", BO64/(BO64+BP64))</f>
        <v/>
      </c>
      <c r="BR64" s="67">
        <f>G64+AB64+AW64</f>
        <v/>
      </c>
      <c r="BS64" s="67">
        <f>H64+AC64+AX64</f>
        <v/>
      </c>
      <c r="BT64" s="68">
        <f>IF((BR64+BS64)=0,"", BR64/(BR64+BS64))</f>
        <v/>
      </c>
      <c r="BU64" s="67">
        <f>J64+AE64+AZ64</f>
        <v/>
      </c>
      <c r="BV64" s="67">
        <f>K64+AF64+BA64</f>
        <v/>
      </c>
      <c r="BW64" s="68">
        <f>IF((BU64+BV64)=0,"", BU64/(BU64+BV64))</f>
        <v/>
      </c>
      <c r="BX64" s="67">
        <f>M64+AH64+BC64</f>
        <v/>
      </c>
      <c r="BY64" s="67">
        <f>N64+AI64+BD64</f>
        <v/>
      </c>
      <c r="BZ64" s="68">
        <f>IF((BX64+BY64)=0,"", BX64/(BX64+BY64))</f>
        <v/>
      </c>
      <c r="CA64" s="67">
        <f>P64+AK64+BF64</f>
        <v/>
      </c>
      <c r="CB64" s="67">
        <f>Q64+AL64+BG64</f>
        <v/>
      </c>
      <c r="CC64" s="68">
        <f>IF((CA64+CB64)=0,"", CA64/(CA64+CB64))</f>
        <v/>
      </c>
      <c r="CD64" s="67">
        <f>S64+AN64+BI64</f>
        <v/>
      </c>
      <c r="CE64" s="67">
        <f>T64+AO64+BJ64</f>
        <v/>
      </c>
      <c r="CF64" s="68">
        <f>IF((CD64+CE64)=0,"", CD64/(CD64+CE64))</f>
        <v/>
      </c>
      <c r="CG64" s="69">
        <f>V64+AQ64+BL64</f>
        <v/>
      </c>
      <c r="CH64" s="69">
        <f>W64+AR64+BM64</f>
        <v/>
      </c>
      <c r="CI64" s="70">
        <f>IF((CG64+CH64)=0,"", CG64/(CG64+CH64))</f>
        <v/>
      </c>
      <c r="CJ64" s="67">
        <f>CD64+(CG64*2)</f>
        <v/>
      </c>
      <c r="CK64" s="67">
        <f>CE64+(CH64*2)</f>
        <v/>
      </c>
      <c r="CL64" s="68">
        <f>IF((CJ64+CK64)=0,"", CJ64/(CJ64+CK64))</f>
        <v/>
      </c>
      <c r="CM64" s="67" t="inlineStr">
        <is>
          <t>Batch 2</t>
        </is>
      </c>
    </row>
    <row r="65" ht="14.25" customHeight="1" s="34">
      <c r="A65" s="46" t="n">
        <v>63</v>
      </c>
      <c r="B65" s="46" t="inlineStr">
        <is>
          <t>325106410063</t>
        </is>
      </c>
      <c r="C65" s="46" t="inlineStr">
        <is>
          <t>VARSHA</t>
        </is>
      </c>
      <c r="D65" s="63" t="n">
        <v>0</v>
      </c>
      <c r="E65" s="63" t="n">
        <v>0</v>
      </c>
      <c r="F65" s="64">
        <f>IF((D65+E65)=0,"", D65/(D65+E65))</f>
        <v/>
      </c>
      <c r="G65" s="63">
        <f>COUNTIF('Detailed Attendance'!I66:I66, "P")</f>
        <v/>
      </c>
      <c r="H65" s="63">
        <f>COUNTIF('Detailed Attendance'!I66:I66, "A")</f>
        <v/>
      </c>
      <c r="I65" s="64">
        <f>IF((G65+H65)=0,"", G65/(G65+H65))</f>
        <v/>
      </c>
      <c r="J65" s="63" t="n">
        <v>0</v>
      </c>
      <c r="K65" s="63" t="n">
        <v>0</v>
      </c>
      <c r="L65" s="64">
        <f>IF((J65+K65)=0,"", J65/(J65+K65))</f>
        <v/>
      </c>
      <c r="M65" s="63">
        <f>COUNTIF('Detailed Attendance'!D66:D66, "P")</f>
        <v/>
      </c>
      <c r="N65" s="63">
        <f>COUNTIF('Detailed Attendance'!D66:D66, "A")</f>
        <v/>
      </c>
      <c r="O65" s="64">
        <f>IF((M65+N65)=0,"", M65/(M65+N65))</f>
        <v/>
      </c>
      <c r="P65" s="63" t="n">
        <v>0</v>
      </c>
      <c r="Q65" s="63" t="n">
        <v>0</v>
      </c>
      <c r="R65" s="64">
        <f>IF((P65+Q65)=0,"", P65/(P65+Q65))</f>
        <v/>
      </c>
      <c r="S65" s="63">
        <f>D65+G65+J65+M65+P65</f>
        <v/>
      </c>
      <c r="T65" s="63">
        <f>E65+H65+K65+N65+Q65</f>
        <v/>
      </c>
      <c r="U65" s="64">
        <f>IF((S65+T65)=0,"", S65/(S65+T65))</f>
        <v/>
      </c>
      <c r="V65" s="65" t="n">
        <v>0</v>
      </c>
      <c r="W65" s="65" t="n">
        <v>0</v>
      </c>
      <c r="X65" s="66">
        <f>IF((V65+W65)=0,"", V65/(V65+W65))</f>
        <v/>
      </c>
      <c r="Y65" s="63">
        <f>COUNTIF('Detailed Attendance'!R66:R66, "P")+COUNTIF('Detailed Attendance'!X66:X66, "P")+COUNTIF('Detailed Attendance'!AL66:AL66, "P")+COUNTIF('Detailed Attendance'!BF66:BF66, "P")+COUNTIF('Detailed Attendance'!BL66:BL66, "P")+COUNTIF('Detailed Attendance'!BZ66:BZ66, "P")+COUNTIF('Detailed Attendance'!CI66:CI66, "P")+COUNTIF('Detailed Attendance'!CW66:CW66, "P")</f>
        <v/>
      </c>
      <c r="Z65" s="63">
        <f>COUNTIF('Detailed Attendance'!R66:R66, "A")+COUNTIF('Detailed Attendance'!X66:X66, "A")+COUNTIF('Detailed Attendance'!AL66:AL66, "A")+COUNTIF('Detailed Attendance'!BF66:BF66, "A")+COUNTIF('Detailed Attendance'!BL66:BL66, "A")+COUNTIF('Detailed Attendance'!BZ66:BZ66, "A")+COUNTIF('Detailed Attendance'!CI66:CI66, "A")+COUNTIF('Detailed Attendance'!CW66:CW66, "A")</f>
        <v/>
      </c>
      <c r="AA65" s="64">
        <f>IF((Y65+Z65)=0,"", Y65/(Y65+Z65))</f>
        <v/>
      </c>
      <c r="AB65" s="63">
        <f>COUNTIF('Detailed Attendance'!Q66:Q66, "P")+COUNTIF('Detailed Attendance'!AC66:AC66, "P")+COUNTIF('Detailed Attendance'!AK66:AK66, "P")+COUNTIF('Detailed Attendance'!AW66:AW66, "P")+COUNTIF('Detailed Attendance'!BE66:BE66, "P")+COUNTIF('Detailed Attendance'!BQ66:BQ66, "P")+COUNTIF('Detailed Attendance'!BY66:BY66, "P")+COUNTIF('Detailed Attendance'!CN66:CN66, "P")+COUNTIF('Detailed Attendance'!CV66:CV66, "P")</f>
        <v/>
      </c>
      <c r="AC65" s="63">
        <f>COUNTIF('Detailed Attendance'!Q66:Q66, "A")+COUNTIF('Detailed Attendance'!AC66:AC66, "A")+COUNTIF('Detailed Attendance'!AK66:AK66, "A")+COUNTIF('Detailed Attendance'!AW66:AW66, "A")+COUNTIF('Detailed Attendance'!BE66:BE66, "A")+COUNTIF('Detailed Attendance'!BQ66:BQ66, "A")+COUNTIF('Detailed Attendance'!BY66:BY66, "A")+COUNTIF('Detailed Attendance'!CN66:CN66, "A")+COUNTIF('Detailed Attendance'!CV66:CV66, "A")</f>
        <v/>
      </c>
      <c r="AD65" s="64">
        <f>IF((AB65+AC65)=0,"", AB65/(AB65+AC65))</f>
        <v/>
      </c>
      <c r="AE65" s="63">
        <f>COUNTIF('Detailed Attendance'!L66:L66, "P")+COUNTIF('Detailed Attendance'!P66:P66, "P")+COUNTIF('Detailed Attendance'!AF66:AF66, "P")+COUNTIF('Detailed Attendance'!AJ66:AJ66, "P")+COUNTIF('Detailed Attendance'!AZ66:AZ66, "P")+COUNTIF('Detailed Attendance'!BD66:BD66, "P")+COUNTIF('Detailed Attendance'!BT66:BT66, "P")+COUNTIF('Detailed Attendance'!BX66:BX66, "P")+COUNTIF('Detailed Attendance'!CQ66:CQ66, "P")+COUNTIF('Detailed Attendance'!CU66:CU66, "P")</f>
        <v/>
      </c>
      <c r="AF65" s="67">
        <f>COUNTIF('Detailed Attendance'!L66:L66, "A")+COUNTIF('Detailed Attendance'!P66:P66, "A")+COUNTIF('Detailed Attendance'!AF66:AF66, "A")+COUNTIF('Detailed Attendance'!AJ66:AJ66, "A")+COUNTIF('Detailed Attendance'!AZ66:AZ66, "A")+COUNTIF('Detailed Attendance'!BD66:BD66, "A")+COUNTIF('Detailed Attendance'!BT66:BT66, "A")+COUNTIF('Detailed Attendance'!BX66:BX66, "A")+COUNTIF('Detailed Attendance'!CQ66:CQ66, "A")+COUNTIF('Detailed Attendance'!CU66:CU66, "A")</f>
        <v/>
      </c>
      <c r="AG65" s="68">
        <f>IF((AE65+AF65)=0,"", AE65/(AE65+AF65))</f>
        <v/>
      </c>
      <c r="AH65" s="67">
        <f>COUNTIF('Detailed Attendance'!T66:T66, "P")+COUNTIF('Detailed Attendance'!AN66:AN66, "P")+COUNTIF('Detailed Attendance'!AR66:AR66, "P")+COUNTIF('Detailed Attendance'!BH66:BH66, "P")+COUNTIF('Detailed Attendance'!CB66:CB66, "P")+COUNTIF('Detailed Attendance'!CF66:CF66, "P")+COUNTIF('Detailed Attendance'!CY66:CY66, "P")</f>
        <v/>
      </c>
      <c r="AI65" s="67">
        <f>COUNTIF('Detailed Attendance'!T66:T66, "A")+COUNTIF('Detailed Attendance'!AN66:AN66, "A")+COUNTIF('Detailed Attendance'!AR66:AR66, "A")+COUNTIF('Detailed Attendance'!BH66:BH66, "A")+COUNTIF('Detailed Attendance'!CB66:CB66, "A")+COUNTIF('Detailed Attendance'!CF66:CF66, "A")+COUNTIF('Detailed Attendance'!CY66:CY66, "A")</f>
        <v/>
      </c>
      <c r="AJ65" s="68">
        <f>IF((AH65+AI65)=0,"", AH65/(AH65+AI65))</f>
        <v/>
      </c>
      <c r="AK65" s="67">
        <f>COUNTIF('Detailed Attendance'!M66:M66, "P")+COUNTIF('Detailed Attendance'!U66:U66, "P")+COUNTIF('Detailed Attendance'!AG66:AG66, "P")+COUNTIF('Detailed Attendance'!AO66:AO66, "P")+COUNTIF('Detailed Attendance'!BA66:BA66, "P")+COUNTIF('Detailed Attendance'!BI66:BI66, "P")+COUNTIF('Detailed Attendance'!BU66:BU66, "P")+COUNTIF('Detailed Attendance'!CC66:CC66, "P")+COUNTIF('Detailed Attendance'!CR66:CR66, "P")+COUNTIF('Detailed Attendance'!CZ66:CZ66, "P")</f>
        <v/>
      </c>
      <c r="AL65" s="67">
        <f>COUNTIF('Detailed Attendance'!M66:M66, "A")+COUNTIF('Detailed Attendance'!U66:U66, "A")+COUNTIF('Detailed Attendance'!AG66:AG66, "A")+COUNTIF('Detailed Attendance'!AO66:AO66, "A")+COUNTIF('Detailed Attendance'!BA66:BA66, "A")+COUNTIF('Detailed Attendance'!BI66:BI66, "A")+COUNTIF('Detailed Attendance'!BU66:BU66, "A")+COUNTIF('Detailed Attendance'!CC66:CC66, "A")+COUNTIF('Detailed Attendance'!CR66:CR66, "A")+COUNTIF('Detailed Attendance'!CZ66:CZ66, "A")</f>
        <v/>
      </c>
      <c r="AM65" s="68">
        <f>IF((AK65+AL65)=0,"", AK65/(AK65+AL65))</f>
        <v/>
      </c>
      <c r="AN65" s="67">
        <f>Y65+AB65+AE65+AH65+AK65</f>
        <v/>
      </c>
      <c r="AO65" s="67">
        <f>Z65+AC65+AF65+AI65+AL65</f>
        <v/>
      </c>
      <c r="AP65" s="68">
        <f>IF((AN65+AO65)=0,"", AN65/(AN65+AO65))</f>
        <v/>
      </c>
      <c r="AQ65" s="69">
        <f>COUNTIF('Detailed Attendance'!CG66:CG66, "P")+COUNTIF('Detailed Attendance'!CH66:CH66, "P")+COUNTIF('Detailed Attendance'!V66:V66, "P")+COUNTIF('Detailed Attendance'!AP66:AP66, "P")+COUNTIF('Detailed Attendance'!BJ66:BJ66, "P")+COUNTIF('Detailed Attendance'!CD66:CD66, "P")+COUNTIF('Detailed Attendance'!DA66:DA66, "P")</f>
        <v/>
      </c>
      <c r="AR65" s="69">
        <f>COUNTIF('Detailed Attendance'!CG66:CG66, "A")+COUNTIF('Detailed Attendance'!CH66:CH66, "A")+COUNTIF('Detailed Attendance'!V66:V66, "A")+COUNTIF('Detailed Attendance'!AP66:AP66, "A")+COUNTIF('Detailed Attendance'!BJ66:BJ66, "A")+COUNTIF('Detailed Attendance'!CD66:CD66, "A")+COUNTIF('Detailed Attendance'!DA66:DA66, "A")</f>
        <v/>
      </c>
      <c r="AS65" s="70">
        <f>IF((AQ65+AR65)=0,"", AQ65/(AQ65+AR65))</f>
        <v/>
      </c>
      <c r="AT65" s="67">
        <f>COUNTIF('Detailed Attendance'!DF66:DF66, "P")+COUNTIF('Detailed Attendance'!DT66:DT66, "P")+COUNTIF('Detailed Attendance'!EC66:EC66, "P")+COUNTIF('Detailed Attendance'!EQ66:EQ66, "P")+COUNTIF('Detailed Attendance'!EW66:EW66, "P")+COUNTIF('Detailed Attendance'!FK66:FK66, "P")+COUNTIF('Detailed Attendance'!FM66:FM66, "P")+COUNTIF('Detailed Attendance'!GA66:GA66, "P")</f>
        <v/>
      </c>
      <c r="AU65" s="67">
        <f>COUNTIF('Detailed Attendance'!DF66:DF66, "A")+COUNTIF('Detailed Attendance'!DT66:DT66, "A")+COUNTIF('Detailed Attendance'!EC66:EC66, "A")+COUNTIF('Detailed Attendance'!EQ66:EQ66, "A")+COUNTIF('Detailed Attendance'!EW66:EW66, "A")+COUNTIF('Detailed Attendance'!FK66:FK66, "A")+COUNTIF('Detailed Attendance'!FM66:FM66, "A")+COUNTIF('Detailed Attendance'!GA66:GA66, "A")</f>
        <v/>
      </c>
      <c r="AV65" s="68">
        <f>IF((AT65+AU65)=0,"", AT65/(AT65+AU65))</f>
        <v/>
      </c>
      <c r="AW65" s="67">
        <f>COUNTIF('Detailed Attendance'!DK66:DK66, "P")+COUNTIF('Detailed Attendance'!DS66:DS66, "P")+COUNTIF('Detailed Attendance'!EH66:EH66, "P")+COUNTIF('Detailed Attendance'!EP66:EP66, "P")+COUNTIF('Detailed Attendance'!FB66:FB66, "P")+COUNTIF('Detailed Attendance'!FJ66:FJ66, "P")+COUNTIF('Detailed Attendance'!FR66:FR66, "P")+COUNTIF('Detailed Attendance'!FZ66:FZ66, "P")</f>
        <v/>
      </c>
      <c r="AX65" s="67">
        <f>COUNTIF('Detailed Attendance'!DK66:DK66, "A")+COUNTIF('Detailed Attendance'!DS66:DS66, "A")+COUNTIF('Detailed Attendance'!EH66:EH66, "A")+COUNTIF('Detailed Attendance'!EP66:EP66, "A")+COUNTIF('Detailed Attendance'!FB66:FB66, "A")+COUNTIF('Detailed Attendance'!FJ66:FJ66, "A")+COUNTIF('Detailed Attendance'!FR66:FR66, "A")+COUNTIF('Detailed Attendance'!FZ66:FZ66, "A")</f>
        <v/>
      </c>
      <c r="AY65" s="68">
        <f>IF((AW65+AX65)=0,"", AW65/(AW65+AX65))</f>
        <v/>
      </c>
      <c r="AZ65" s="67">
        <f>COUNTIF('Detailed Attendance'!DN66:DN66, "P")+COUNTIF('Detailed Attendance'!DR66:DR66, "P")+COUNTIF('Detailed Attendance'!EK66:EK66, "P")+COUNTIF('Detailed Attendance'!EO66:EO66, "P")+COUNTIF('Detailed Attendance'!FE66:FE66, "P")+COUNTIF('Detailed Attendance'!FI66:FI66, "P")+COUNTIF('Detailed Attendance'!FU66:FU66, "P")+COUNTIF('Detailed Attendance'!FY66:FY66, "P")</f>
        <v/>
      </c>
      <c r="BA65" s="67">
        <f>COUNTIF('Detailed Attendance'!DN66:DN66, "A")+COUNTIF('Detailed Attendance'!DR66:DR66, "A")+COUNTIF('Detailed Attendance'!EK66:EK66, "A")+COUNTIF('Detailed Attendance'!EO66:EO66, "A")+COUNTIF('Detailed Attendance'!FE66:FE66, "A")+COUNTIF('Detailed Attendance'!FI66:FI66, "A")+COUNTIF('Detailed Attendance'!FU66:FU66, "A")+COUNTIF('Detailed Attendance'!FY66:FY66, "A")</f>
        <v/>
      </c>
      <c r="BB65" s="68">
        <f>IF((AZ65+BA65)=0,"", AZ65/(AZ65+BA65))</f>
        <v/>
      </c>
      <c r="BC65" s="67">
        <f>COUNTIF('Detailed Attendance'!DC66:DC66, "P")+COUNTIF('Detailed Attendance'!DV66:DV66, "P")+COUNTIF('Detailed Attendance'!DZ66:DZ66, "P")+COUNTIF('Detailed Attendance'!ES66:ES66, "P")+COUNTIF('Detailed Attendance'!GC66:GC66, "P")+COUNTIF('Detailed Attendance'!GG66:GG66, "P")</f>
        <v/>
      </c>
      <c r="BD65" s="67">
        <f>COUNTIF('Detailed Attendance'!DC66:DC66, "A")+COUNTIF('Detailed Attendance'!DV66:DV66, "A")+COUNTIF('Detailed Attendance'!DZ66:DZ66, "A")+COUNTIF('Detailed Attendance'!ES66:ES66, "A")+COUNTIF('Detailed Attendance'!GC66:GC66, "A")+COUNTIF('Detailed Attendance'!GG66:GG66, "A")</f>
        <v/>
      </c>
      <c r="BE65" s="68">
        <f>IF((BC65+BD65)=0,"", BC65/(BC65+BD65))</f>
        <v/>
      </c>
      <c r="BF65" s="67">
        <f>COUNTIF('Detailed Attendance'!DO66:DO66, "P")+COUNTIF('Detailed Attendance'!DW66:DW66, "P")+COUNTIF('Detailed Attendance'!EL66:EL66, "P")+COUNTIF('Detailed Attendance'!ET66:ET66, "P")+COUNTIF('Detailed Attendance'!FF66:FF66, "P")+COUNTIF('Detailed Attendance'!FV66:FV66, "P")+COUNTIF('Detailed Attendance'!GD66:GD66, "P")</f>
        <v/>
      </c>
      <c r="BG65" s="67">
        <f>COUNTIF('Detailed Attendance'!DO66:DO66, "A")+COUNTIF('Detailed Attendance'!DW66:DW66, "A")+COUNTIF('Detailed Attendance'!EL66:EL66, "A")+COUNTIF('Detailed Attendance'!ET66:ET66, "A")+COUNTIF('Detailed Attendance'!FF66:FF66, "A")+COUNTIF('Detailed Attendance'!FV66:FV66, "A")+COUNTIF('Detailed Attendance'!GD66:GD66, "A")</f>
        <v/>
      </c>
      <c r="BH65" s="68">
        <f>IF((BF65+BG65)=0,"", BF65/(BF65+BG65))</f>
        <v/>
      </c>
      <c r="BI65" s="67">
        <f>AT65+AW65+AZ65+BC65+BF65</f>
        <v/>
      </c>
      <c r="BJ65" s="67">
        <f>AU65+AX65+BA65+BD65+BG65</f>
        <v/>
      </c>
      <c r="BK65" s="68">
        <f>IF((BI65+BJ65)=0,"", BI65/(BI65+BJ65))</f>
        <v/>
      </c>
      <c r="BL65" s="69">
        <f>COUNTIF('Detailed Attendance'!DD66:DD66, "P")+COUNTIF('Detailed Attendance'!EA66:EA66, "P")+COUNTIF('Detailed Attendance'!GH66:GH66, "P")+COUNTIF('Detailed Attendance'!DE66:DE66, "P")+COUNTIF('Detailed Attendance'!EB66:EB66, "P")+COUNTIF('Detailed Attendance'!GI66:GI66, "P")+COUNTIF('Detailed Attendance'!DX66:DX66, "P")+COUNTIF('Detailed Attendance'!EU66:EU66, "P")+COUNTIF('Detailed Attendance'!GE66:GE66, "P")</f>
        <v/>
      </c>
      <c r="BM65" s="69">
        <f>COUNTIF('Detailed Attendance'!DD66:DD66, "A")+COUNTIF('Detailed Attendance'!EA66:EA66, "A")+COUNTIF('Detailed Attendance'!GH66:GH66, "A")+COUNTIF('Detailed Attendance'!DE66:DE66, "A")+COUNTIF('Detailed Attendance'!EB66:EB66, "A")+COUNTIF('Detailed Attendance'!GI66:GI66, "A")+COUNTIF('Detailed Attendance'!DX66:DX66, "A")+COUNTIF('Detailed Attendance'!EU66:EU66, "A")+COUNTIF('Detailed Attendance'!GE66:GE66, "A")</f>
        <v/>
      </c>
      <c r="BN65" s="70">
        <f>IF((BL65+BM65)=0,"", BL65/(BL65+BM65))</f>
        <v/>
      </c>
      <c r="BO65" s="67">
        <f>D65+Y65+AT65</f>
        <v/>
      </c>
      <c r="BP65" s="67">
        <f>E65+Z65+AU65</f>
        <v/>
      </c>
      <c r="BQ65" s="68">
        <f>IF((BO65+BP65)=0,"", BO65/(BO65+BP65))</f>
        <v/>
      </c>
      <c r="BR65" s="67">
        <f>G65+AB65+AW65</f>
        <v/>
      </c>
      <c r="BS65" s="67">
        <f>H65+AC65+AX65</f>
        <v/>
      </c>
      <c r="BT65" s="68">
        <f>IF((BR65+BS65)=0,"", BR65/(BR65+BS65))</f>
        <v/>
      </c>
      <c r="BU65" s="67">
        <f>J65+AE65+AZ65</f>
        <v/>
      </c>
      <c r="BV65" s="67">
        <f>K65+AF65+BA65</f>
        <v/>
      </c>
      <c r="BW65" s="68">
        <f>IF((BU65+BV65)=0,"", BU65/(BU65+BV65))</f>
        <v/>
      </c>
      <c r="BX65" s="67">
        <f>M65+AH65+BC65</f>
        <v/>
      </c>
      <c r="BY65" s="67">
        <f>N65+AI65+BD65</f>
        <v/>
      </c>
      <c r="BZ65" s="68">
        <f>IF((BX65+BY65)=0,"", BX65/(BX65+BY65))</f>
        <v/>
      </c>
      <c r="CA65" s="67">
        <f>P65+AK65+BF65</f>
        <v/>
      </c>
      <c r="CB65" s="67">
        <f>Q65+AL65+BG65</f>
        <v/>
      </c>
      <c r="CC65" s="68">
        <f>IF((CA65+CB65)=0,"", CA65/(CA65+CB65))</f>
        <v/>
      </c>
      <c r="CD65" s="67">
        <f>S65+AN65+BI65</f>
        <v/>
      </c>
      <c r="CE65" s="67">
        <f>T65+AO65+BJ65</f>
        <v/>
      </c>
      <c r="CF65" s="68">
        <f>IF((CD65+CE65)=0,"", CD65/(CD65+CE65))</f>
        <v/>
      </c>
      <c r="CG65" s="69">
        <f>V65+AQ65+BL65</f>
        <v/>
      </c>
      <c r="CH65" s="69">
        <f>W65+AR65+BM65</f>
        <v/>
      </c>
      <c r="CI65" s="70">
        <f>IF((CG65+CH65)=0,"", CG65/(CG65+CH65))</f>
        <v/>
      </c>
      <c r="CJ65" s="67">
        <f>CD65+(CG65*2)</f>
        <v/>
      </c>
      <c r="CK65" s="67">
        <f>CE65+(CH65*2)</f>
        <v/>
      </c>
      <c r="CL65" s="68">
        <f>IF((CJ65+CK65)=0,"", CJ65/(CJ65+CK65))</f>
        <v/>
      </c>
      <c r="CM65" s="67" t="inlineStr">
        <is>
          <t>Batch 2</t>
        </is>
      </c>
    </row>
    <row r="66" ht="14.25" customHeight="1" s="34">
      <c r="A66" s="46" t="n">
        <v>64</v>
      </c>
      <c r="B66" s="46" t="inlineStr">
        <is>
          <t>325106410064</t>
        </is>
      </c>
      <c r="C66" s="46" t="inlineStr">
        <is>
          <t>KARTHIKEYA KOLANUKUDURU</t>
        </is>
      </c>
      <c r="D66" s="63" t="n">
        <v>0</v>
      </c>
      <c r="E66" s="63" t="n">
        <v>0</v>
      </c>
      <c r="F66" s="64">
        <f>IF((D66+E66)=0,"", D66/(D66+E66))</f>
        <v/>
      </c>
      <c r="G66" s="63">
        <f>COUNTIF('Detailed Attendance'!I67:I67, "P")</f>
        <v/>
      </c>
      <c r="H66" s="63">
        <f>COUNTIF('Detailed Attendance'!I67:I67, "A")</f>
        <v/>
      </c>
      <c r="I66" s="64">
        <f>IF((G66+H66)=0,"", G66/(G66+H66))</f>
        <v/>
      </c>
      <c r="J66" s="63" t="n">
        <v>0</v>
      </c>
      <c r="K66" s="63" t="n">
        <v>0</v>
      </c>
      <c r="L66" s="64">
        <f>IF((J66+K66)=0,"", J66/(J66+K66))</f>
        <v/>
      </c>
      <c r="M66" s="63">
        <f>COUNTIF('Detailed Attendance'!D67:D67, "P")</f>
        <v/>
      </c>
      <c r="N66" s="63">
        <f>COUNTIF('Detailed Attendance'!D67:D67, "A")</f>
        <v/>
      </c>
      <c r="O66" s="64">
        <f>IF((M66+N66)=0,"", M66/(M66+N66))</f>
        <v/>
      </c>
      <c r="P66" s="63" t="n">
        <v>0</v>
      </c>
      <c r="Q66" s="63" t="n">
        <v>0</v>
      </c>
      <c r="R66" s="64">
        <f>IF((P66+Q66)=0,"", P66/(P66+Q66))</f>
        <v/>
      </c>
      <c r="S66" s="63">
        <f>D66+G66+J66+M66+P66</f>
        <v/>
      </c>
      <c r="T66" s="63">
        <f>E66+H66+K66+N66+Q66</f>
        <v/>
      </c>
      <c r="U66" s="64">
        <f>IF((S66+T66)=0,"", S66/(S66+T66))</f>
        <v/>
      </c>
      <c r="V66" s="65" t="n">
        <v>0</v>
      </c>
      <c r="W66" s="65" t="n">
        <v>0</v>
      </c>
      <c r="X66" s="66">
        <f>IF((V66+W66)=0,"", V66/(V66+W66))</f>
        <v/>
      </c>
      <c r="Y66" s="63">
        <f>COUNTIF('Detailed Attendance'!R67:R67, "P")+COUNTIF('Detailed Attendance'!X67:X67, "P")+COUNTIF('Detailed Attendance'!AL67:AL67, "P")+COUNTIF('Detailed Attendance'!BF67:BF67, "P")+COUNTIF('Detailed Attendance'!BL67:BL67, "P")+COUNTIF('Detailed Attendance'!BZ67:BZ67, "P")+COUNTIF('Detailed Attendance'!CI67:CI67, "P")+COUNTIF('Detailed Attendance'!CW67:CW67, "P")</f>
        <v/>
      </c>
      <c r="Z66" s="63">
        <f>COUNTIF('Detailed Attendance'!R67:R67, "A")+COUNTIF('Detailed Attendance'!X67:X67, "A")+COUNTIF('Detailed Attendance'!AL67:AL67, "A")+COUNTIF('Detailed Attendance'!BF67:BF67, "A")+COUNTIF('Detailed Attendance'!BL67:BL67, "A")+COUNTIF('Detailed Attendance'!BZ67:BZ67, "A")+COUNTIF('Detailed Attendance'!CI67:CI67, "A")+COUNTIF('Detailed Attendance'!CW67:CW67, "A")</f>
        <v/>
      </c>
      <c r="AA66" s="64">
        <f>IF((Y66+Z66)=0,"", Y66/(Y66+Z66))</f>
        <v/>
      </c>
      <c r="AB66" s="63">
        <f>COUNTIF('Detailed Attendance'!Q67:Q67, "P")+COUNTIF('Detailed Attendance'!AC67:AC67, "P")+COUNTIF('Detailed Attendance'!AK67:AK67, "P")+COUNTIF('Detailed Attendance'!AW67:AW67, "P")+COUNTIF('Detailed Attendance'!BE67:BE67, "P")+COUNTIF('Detailed Attendance'!BQ67:BQ67, "P")+COUNTIF('Detailed Attendance'!BY67:BY67, "P")+COUNTIF('Detailed Attendance'!CN67:CN67, "P")+COUNTIF('Detailed Attendance'!CV67:CV67, "P")</f>
        <v/>
      </c>
      <c r="AC66" s="63">
        <f>COUNTIF('Detailed Attendance'!Q67:Q67, "A")+COUNTIF('Detailed Attendance'!AC67:AC67, "A")+COUNTIF('Detailed Attendance'!AK67:AK67, "A")+COUNTIF('Detailed Attendance'!AW67:AW67, "A")+COUNTIF('Detailed Attendance'!BE67:BE67, "A")+COUNTIF('Detailed Attendance'!BQ67:BQ67, "A")+COUNTIF('Detailed Attendance'!BY67:BY67, "A")+COUNTIF('Detailed Attendance'!CN67:CN67, "A")+COUNTIF('Detailed Attendance'!CV67:CV67, "A")</f>
        <v/>
      </c>
      <c r="AD66" s="64">
        <f>IF((AB66+AC66)=0,"", AB66/(AB66+AC66))</f>
        <v/>
      </c>
      <c r="AE66" s="63">
        <f>COUNTIF('Detailed Attendance'!L67:L67, "P")+COUNTIF('Detailed Attendance'!P67:P67, "P")+COUNTIF('Detailed Attendance'!AF67:AF67, "P")+COUNTIF('Detailed Attendance'!AJ67:AJ67, "P")+COUNTIF('Detailed Attendance'!AZ67:AZ67, "P")+COUNTIF('Detailed Attendance'!BD67:BD67, "P")+COUNTIF('Detailed Attendance'!BT67:BT67, "P")+COUNTIF('Detailed Attendance'!BX67:BX67, "P")+COUNTIF('Detailed Attendance'!CQ67:CQ67, "P")+COUNTIF('Detailed Attendance'!CU67:CU67, "P")</f>
        <v/>
      </c>
      <c r="AF66" s="67">
        <f>COUNTIF('Detailed Attendance'!L67:L67, "A")+COUNTIF('Detailed Attendance'!P67:P67, "A")+COUNTIF('Detailed Attendance'!AF67:AF67, "A")+COUNTIF('Detailed Attendance'!AJ67:AJ67, "A")+COUNTIF('Detailed Attendance'!AZ67:AZ67, "A")+COUNTIF('Detailed Attendance'!BD67:BD67, "A")+COUNTIF('Detailed Attendance'!BT67:BT67, "A")+COUNTIF('Detailed Attendance'!BX67:BX67, "A")+COUNTIF('Detailed Attendance'!CQ67:CQ67, "A")+COUNTIF('Detailed Attendance'!CU67:CU67, "A")</f>
        <v/>
      </c>
      <c r="AG66" s="68">
        <f>IF((AE66+AF66)=0,"", AE66/(AE66+AF66))</f>
        <v/>
      </c>
      <c r="AH66" s="67">
        <f>COUNTIF('Detailed Attendance'!T67:T67, "P")+COUNTIF('Detailed Attendance'!AN67:AN67, "P")+COUNTIF('Detailed Attendance'!AR67:AR67, "P")+COUNTIF('Detailed Attendance'!BH67:BH67, "P")+COUNTIF('Detailed Attendance'!CB67:CB67, "P")+COUNTIF('Detailed Attendance'!CF67:CF67, "P")+COUNTIF('Detailed Attendance'!CY67:CY67, "P")</f>
        <v/>
      </c>
      <c r="AI66" s="67">
        <f>COUNTIF('Detailed Attendance'!T67:T67, "A")+COUNTIF('Detailed Attendance'!AN67:AN67, "A")+COUNTIF('Detailed Attendance'!AR67:AR67, "A")+COUNTIF('Detailed Attendance'!BH67:BH67, "A")+COUNTIF('Detailed Attendance'!CB67:CB67, "A")+COUNTIF('Detailed Attendance'!CF67:CF67, "A")+COUNTIF('Detailed Attendance'!CY67:CY67, "A")</f>
        <v/>
      </c>
      <c r="AJ66" s="68">
        <f>IF((AH66+AI66)=0,"", AH66/(AH66+AI66))</f>
        <v/>
      </c>
      <c r="AK66" s="67">
        <f>COUNTIF('Detailed Attendance'!M67:M67, "P")+COUNTIF('Detailed Attendance'!U67:U67, "P")+COUNTIF('Detailed Attendance'!AG67:AG67, "P")+COUNTIF('Detailed Attendance'!AO67:AO67, "P")+COUNTIF('Detailed Attendance'!BA67:BA67, "P")+COUNTIF('Detailed Attendance'!BI67:BI67, "P")+COUNTIF('Detailed Attendance'!BU67:BU67, "P")+COUNTIF('Detailed Attendance'!CC67:CC67, "P")+COUNTIF('Detailed Attendance'!CR67:CR67, "P")+COUNTIF('Detailed Attendance'!CZ67:CZ67, "P")</f>
        <v/>
      </c>
      <c r="AL66" s="67">
        <f>COUNTIF('Detailed Attendance'!M67:M67, "A")+COUNTIF('Detailed Attendance'!U67:U67, "A")+COUNTIF('Detailed Attendance'!AG67:AG67, "A")+COUNTIF('Detailed Attendance'!AO67:AO67, "A")+COUNTIF('Detailed Attendance'!BA67:BA67, "A")+COUNTIF('Detailed Attendance'!BI67:BI67, "A")+COUNTIF('Detailed Attendance'!BU67:BU67, "A")+COUNTIF('Detailed Attendance'!CC67:CC67, "A")+COUNTIF('Detailed Attendance'!CR67:CR67, "A")+COUNTIF('Detailed Attendance'!CZ67:CZ67, "A")</f>
        <v/>
      </c>
      <c r="AM66" s="68">
        <f>IF((AK66+AL66)=0,"", AK66/(AK66+AL66))</f>
        <v/>
      </c>
      <c r="AN66" s="67">
        <f>Y66+AB66+AE66+AH66+AK66</f>
        <v/>
      </c>
      <c r="AO66" s="67">
        <f>Z66+AC66+AF66+AI66+AL66</f>
        <v/>
      </c>
      <c r="AP66" s="68">
        <f>IF((AN66+AO66)=0,"", AN66/(AN66+AO66))</f>
        <v/>
      </c>
      <c r="AQ66" s="69">
        <f>COUNTIF('Detailed Attendance'!CG67:CG67, "P")+COUNTIF('Detailed Attendance'!CH67:CH67, "P")+COUNTIF('Detailed Attendance'!V67:V67, "P")+COUNTIF('Detailed Attendance'!AP67:AP67, "P")+COUNTIF('Detailed Attendance'!BJ67:BJ67, "P")+COUNTIF('Detailed Attendance'!CD67:CD67, "P")+COUNTIF('Detailed Attendance'!DA67:DA67, "P")</f>
        <v/>
      </c>
      <c r="AR66" s="69">
        <f>COUNTIF('Detailed Attendance'!CG67:CG67, "A")+COUNTIF('Detailed Attendance'!CH67:CH67, "A")+COUNTIF('Detailed Attendance'!V67:V67, "A")+COUNTIF('Detailed Attendance'!AP67:AP67, "A")+COUNTIF('Detailed Attendance'!BJ67:BJ67, "A")+COUNTIF('Detailed Attendance'!CD67:CD67, "A")+COUNTIF('Detailed Attendance'!DA67:DA67, "A")</f>
        <v/>
      </c>
      <c r="AS66" s="70">
        <f>IF((AQ66+AR66)=0,"", AQ66/(AQ66+AR66))</f>
        <v/>
      </c>
      <c r="AT66" s="67">
        <f>COUNTIF('Detailed Attendance'!DF67:DF67, "P")+COUNTIF('Detailed Attendance'!DT67:DT67, "P")+COUNTIF('Detailed Attendance'!EC67:EC67, "P")+COUNTIF('Detailed Attendance'!EQ67:EQ67, "P")+COUNTIF('Detailed Attendance'!EW67:EW67, "P")+COUNTIF('Detailed Attendance'!FK67:FK67, "P")+COUNTIF('Detailed Attendance'!FM67:FM67, "P")+COUNTIF('Detailed Attendance'!GA67:GA67, "P")</f>
        <v/>
      </c>
      <c r="AU66" s="67">
        <f>COUNTIF('Detailed Attendance'!DF67:DF67, "A")+COUNTIF('Detailed Attendance'!DT67:DT67, "A")+COUNTIF('Detailed Attendance'!EC67:EC67, "A")+COUNTIF('Detailed Attendance'!EQ67:EQ67, "A")+COUNTIF('Detailed Attendance'!EW67:EW67, "A")+COUNTIF('Detailed Attendance'!FK67:FK67, "A")+COUNTIF('Detailed Attendance'!FM67:FM67, "A")+COUNTIF('Detailed Attendance'!GA67:GA67, "A")</f>
        <v/>
      </c>
      <c r="AV66" s="68">
        <f>IF((AT66+AU66)=0,"", AT66/(AT66+AU66))</f>
        <v/>
      </c>
      <c r="AW66" s="67">
        <f>COUNTIF('Detailed Attendance'!DK67:DK67, "P")+COUNTIF('Detailed Attendance'!DS67:DS67, "P")+COUNTIF('Detailed Attendance'!EH67:EH67, "P")+COUNTIF('Detailed Attendance'!EP67:EP67, "P")+COUNTIF('Detailed Attendance'!FB67:FB67, "P")+COUNTIF('Detailed Attendance'!FJ67:FJ67, "P")+COUNTIF('Detailed Attendance'!FR67:FR67, "P")+COUNTIF('Detailed Attendance'!FZ67:FZ67, "P")</f>
        <v/>
      </c>
      <c r="AX66" s="67">
        <f>COUNTIF('Detailed Attendance'!DK67:DK67, "A")+COUNTIF('Detailed Attendance'!DS67:DS67, "A")+COUNTIF('Detailed Attendance'!EH67:EH67, "A")+COUNTIF('Detailed Attendance'!EP67:EP67, "A")+COUNTIF('Detailed Attendance'!FB67:FB67, "A")+COUNTIF('Detailed Attendance'!FJ67:FJ67, "A")+COUNTIF('Detailed Attendance'!FR67:FR67, "A")+COUNTIF('Detailed Attendance'!FZ67:FZ67, "A")</f>
        <v/>
      </c>
      <c r="AY66" s="68">
        <f>IF((AW66+AX66)=0,"", AW66/(AW66+AX66))</f>
        <v/>
      </c>
      <c r="AZ66" s="67">
        <f>COUNTIF('Detailed Attendance'!DN67:DN67, "P")+COUNTIF('Detailed Attendance'!DR67:DR67, "P")+COUNTIF('Detailed Attendance'!EK67:EK67, "P")+COUNTIF('Detailed Attendance'!EO67:EO67, "P")+COUNTIF('Detailed Attendance'!FE67:FE67, "P")+COUNTIF('Detailed Attendance'!FI67:FI67, "P")+COUNTIF('Detailed Attendance'!FU67:FU67, "P")+COUNTIF('Detailed Attendance'!FY67:FY67, "P")</f>
        <v/>
      </c>
      <c r="BA66" s="67">
        <f>COUNTIF('Detailed Attendance'!DN67:DN67, "A")+COUNTIF('Detailed Attendance'!DR67:DR67, "A")+COUNTIF('Detailed Attendance'!EK67:EK67, "A")+COUNTIF('Detailed Attendance'!EO67:EO67, "A")+COUNTIF('Detailed Attendance'!FE67:FE67, "A")+COUNTIF('Detailed Attendance'!FI67:FI67, "A")+COUNTIF('Detailed Attendance'!FU67:FU67, "A")+COUNTIF('Detailed Attendance'!FY67:FY67, "A")</f>
        <v/>
      </c>
      <c r="BB66" s="68">
        <f>IF((AZ66+BA66)=0,"", AZ66/(AZ66+BA66))</f>
        <v/>
      </c>
      <c r="BC66" s="67">
        <f>COUNTIF('Detailed Attendance'!DC67:DC67, "P")+COUNTIF('Detailed Attendance'!DV67:DV67, "P")+COUNTIF('Detailed Attendance'!DZ67:DZ67, "P")+COUNTIF('Detailed Attendance'!ES67:ES67, "P")+COUNTIF('Detailed Attendance'!GC67:GC67, "P")+COUNTIF('Detailed Attendance'!GG67:GG67, "P")</f>
        <v/>
      </c>
      <c r="BD66" s="67">
        <f>COUNTIF('Detailed Attendance'!DC67:DC67, "A")+COUNTIF('Detailed Attendance'!DV67:DV67, "A")+COUNTIF('Detailed Attendance'!DZ67:DZ67, "A")+COUNTIF('Detailed Attendance'!ES67:ES67, "A")+COUNTIF('Detailed Attendance'!GC67:GC67, "A")+COUNTIF('Detailed Attendance'!GG67:GG67, "A")</f>
        <v/>
      </c>
      <c r="BE66" s="68">
        <f>IF((BC66+BD66)=0,"", BC66/(BC66+BD66))</f>
        <v/>
      </c>
      <c r="BF66" s="67">
        <f>COUNTIF('Detailed Attendance'!DO67:DO67, "P")+COUNTIF('Detailed Attendance'!DW67:DW67, "P")+COUNTIF('Detailed Attendance'!EL67:EL67, "P")+COUNTIF('Detailed Attendance'!ET67:ET67, "P")+COUNTIF('Detailed Attendance'!FF67:FF67, "P")+COUNTIF('Detailed Attendance'!FV67:FV67, "P")+COUNTIF('Detailed Attendance'!GD67:GD67, "P")</f>
        <v/>
      </c>
      <c r="BG66" s="67">
        <f>COUNTIF('Detailed Attendance'!DO67:DO67, "A")+COUNTIF('Detailed Attendance'!DW67:DW67, "A")+COUNTIF('Detailed Attendance'!EL67:EL67, "A")+COUNTIF('Detailed Attendance'!ET67:ET67, "A")+COUNTIF('Detailed Attendance'!FF67:FF67, "A")+COUNTIF('Detailed Attendance'!FV67:FV67, "A")+COUNTIF('Detailed Attendance'!GD67:GD67, "A")</f>
        <v/>
      </c>
      <c r="BH66" s="68">
        <f>IF((BF66+BG66)=0,"", BF66/(BF66+BG66))</f>
        <v/>
      </c>
      <c r="BI66" s="67">
        <f>AT66+AW66+AZ66+BC66+BF66</f>
        <v/>
      </c>
      <c r="BJ66" s="67">
        <f>AU66+AX66+BA66+BD66+BG66</f>
        <v/>
      </c>
      <c r="BK66" s="68">
        <f>IF((BI66+BJ66)=0,"", BI66/(BI66+BJ66))</f>
        <v/>
      </c>
      <c r="BL66" s="69">
        <f>COUNTIF('Detailed Attendance'!DD67:DD67, "P")+COUNTIF('Detailed Attendance'!EA67:EA67, "P")+COUNTIF('Detailed Attendance'!GH67:GH67, "P")+COUNTIF('Detailed Attendance'!DE67:DE67, "P")+COUNTIF('Detailed Attendance'!EB67:EB67, "P")+COUNTIF('Detailed Attendance'!GI67:GI67, "P")+COUNTIF('Detailed Attendance'!DX67:DX67, "P")+COUNTIF('Detailed Attendance'!EU67:EU67, "P")+COUNTIF('Detailed Attendance'!GE67:GE67, "P")</f>
        <v/>
      </c>
      <c r="BM66" s="69">
        <f>COUNTIF('Detailed Attendance'!DD67:DD67, "A")+COUNTIF('Detailed Attendance'!EA67:EA67, "A")+COUNTIF('Detailed Attendance'!GH67:GH67, "A")+COUNTIF('Detailed Attendance'!DE67:DE67, "A")+COUNTIF('Detailed Attendance'!EB67:EB67, "A")+COUNTIF('Detailed Attendance'!GI67:GI67, "A")+COUNTIF('Detailed Attendance'!DX67:DX67, "A")+COUNTIF('Detailed Attendance'!EU67:EU67, "A")+COUNTIF('Detailed Attendance'!GE67:GE67, "A")</f>
        <v/>
      </c>
      <c r="BN66" s="70">
        <f>IF((BL66+BM66)=0,"", BL66/(BL66+BM66))</f>
        <v/>
      </c>
      <c r="BO66" s="67">
        <f>D66+Y66+AT66</f>
        <v/>
      </c>
      <c r="BP66" s="67">
        <f>E66+Z66+AU66</f>
        <v/>
      </c>
      <c r="BQ66" s="68">
        <f>IF((BO66+BP66)=0,"", BO66/(BO66+BP66))</f>
        <v/>
      </c>
      <c r="BR66" s="67">
        <f>G66+AB66+AW66</f>
        <v/>
      </c>
      <c r="BS66" s="67">
        <f>H66+AC66+AX66</f>
        <v/>
      </c>
      <c r="BT66" s="68">
        <f>IF((BR66+BS66)=0,"", BR66/(BR66+BS66))</f>
        <v/>
      </c>
      <c r="BU66" s="67">
        <f>J66+AE66+AZ66</f>
        <v/>
      </c>
      <c r="BV66" s="67">
        <f>K66+AF66+BA66</f>
        <v/>
      </c>
      <c r="BW66" s="68">
        <f>IF((BU66+BV66)=0,"", BU66/(BU66+BV66))</f>
        <v/>
      </c>
      <c r="BX66" s="67">
        <f>M66+AH66+BC66</f>
        <v/>
      </c>
      <c r="BY66" s="67">
        <f>N66+AI66+BD66</f>
        <v/>
      </c>
      <c r="BZ66" s="68">
        <f>IF((BX66+BY66)=0,"", BX66/(BX66+BY66))</f>
        <v/>
      </c>
      <c r="CA66" s="67">
        <f>P66+AK66+BF66</f>
        <v/>
      </c>
      <c r="CB66" s="67">
        <f>Q66+AL66+BG66</f>
        <v/>
      </c>
      <c r="CC66" s="68">
        <f>IF((CA66+CB66)=0,"", CA66/(CA66+CB66))</f>
        <v/>
      </c>
      <c r="CD66" s="67">
        <f>S66+AN66+BI66</f>
        <v/>
      </c>
      <c r="CE66" s="67">
        <f>T66+AO66+BJ66</f>
        <v/>
      </c>
      <c r="CF66" s="68">
        <f>IF((CD66+CE66)=0,"", CD66/(CD66+CE66))</f>
        <v/>
      </c>
      <c r="CG66" s="69">
        <f>V66+AQ66+BL66</f>
        <v/>
      </c>
      <c r="CH66" s="69">
        <f>W66+AR66+BM66</f>
        <v/>
      </c>
      <c r="CI66" s="70">
        <f>IF((CG66+CH66)=0,"", CG66/(CG66+CH66))</f>
        <v/>
      </c>
      <c r="CJ66" s="67">
        <f>CD66+(CG66*2)</f>
        <v/>
      </c>
      <c r="CK66" s="67">
        <f>CE66+(CH66*2)</f>
        <v/>
      </c>
      <c r="CL66" s="68">
        <f>IF((CJ66+CK66)=0,"", CJ66/(CJ66+CK66))</f>
        <v/>
      </c>
      <c r="CM66" s="67" t="inlineStr">
        <is>
          <t>Batch 2</t>
        </is>
      </c>
    </row>
    <row r="67" ht="14.25" customHeight="1" s="34">
      <c r="A67" s="46" t="n">
        <v>65</v>
      </c>
      <c r="B67" s="46" t="inlineStr">
        <is>
          <t>325106410065</t>
        </is>
      </c>
      <c r="C67" s="46" t="inlineStr">
        <is>
          <t>IBRAHIM SAHR KABBA</t>
        </is>
      </c>
      <c r="D67" s="63" t="n">
        <v>0</v>
      </c>
      <c r="E67" s="63" t="n">
        <v>0</v>
      </c>
      <c r="F67" s="64">
        <f>IF((D67+E67)=0,"", D67/(D67+E67))</f>
        <v/>
      </c>
      <c r="G67" s="63">
        <f>COUNTIF('Detailed Attendance'!I68:I68, "P")</f>
        <v/>
      </c>
      <c r="H67" s="63">
        <f>COUNTIF('Detailed Attendance'!I68:I68, "A")</f>
        <v/>
      </c>
      <c r="I67" s="64">
        <f>IF((G67+H67)=0,"", G67/(G67+H67))</f>
        <v/>
      </c>
      <c r="J67" s="63" t="n">
        <v>0</v>
      </c>
      <c r="K67" s="63" t="n">
        <v>0</v>
      </c>
      <c r="L67" s="64">
        <f>IF((J67+K67)=0,"", J67/(J67+K67))</f>
        <v/>
      </c>
      <c r="M67" s="63">
        <f>COUNTIF('Detailed Attendance'!D68:D68, "P")</f>
        <v/>
      </c>
      <c r="N67" s="63">
        <f>COUNTIF('Detailed Attendance'!D68:D68, "A")</f>
        <v/>
      </c>
      <c r="O67" s="64">
        <f>IF((M67+N67)=0,"", M67/(M67+N67))</f>
        <v/>
      </c>
      <c r="P67" s="63" t="n">
        <v>0</v>
      </c>
      <c r="Q67" s="63" t="n">
        <v>0</v>
      </c>
      <c r="R67" s="64">
        <f>IF((P67+Q67)=0,"", P67/(P67+Q67))</f>
        <v/>
      </c>
      <c r="S67" s="63">
        <f>D67+G67+J67+M67+P67</f>
        <v/>
      </c>
      <c r="T67" s="63">
        <f>E67+H67+K67+N67+Q67</f>
        <v/>
      </c>
      <c r="U67" s="64">
        <f>IF((S67+T67)=0,"", S67/(S67+T67))</f>
        <v/>
      </c>
      <c r="V67" s="65" t="n">
        <v>0</v>
      </c>
      <c r="W67" s="65" t="n">
        <v>0</v>
      </c>
      <c r="X67" s="66">
        <f>IF((V67+W67)=0,"", V67/(V67+W67))</f>
        <v/>
      </c>
      <c r="Y67" s="63">
        <f>COUNTIF('Detailed Attendance'!R68:R68, "P")+COUNTIF('Detailed Attendance'!X68:X68, "P")+COUNTIF('Detailed Attendance'!AL68:AL68, "P")+COUNTIF('Detailed Attendance'!BF68:BF68, "P")+COUNTIF('Detailed Attendance'!BL68:BL68, "P")+COUNTIF('Detailed Attendance'!BZ68:BZ68, "P")+COUNTIF('Detailed Attendance'!CI68:CI68, "P")+COUNTIF('Detailed Attendance'!CW68:CW68, "P")</f>
        <v/>
      </c>
      <c r="Z67" s="63">
        <f>COUNTIF('Detailed Attendance'!R68:R68, "A")+COUNTIF('Detailed Attendance'!X68:X68, "A")+COUNTIF('Detailed Attendance'!AL68:AL68, "A")+COUNTIF('Detailed Attendance'!BF68:BF68, "A")+COUNTIF('Detailed Attendance'!BL68:BL68, "A")+COUNTIF('Detailed Attendance'!BZ68:BZ68, "A")+COUNTIF('Detailed Attendance'!CI68:CI68, "A")+COUNTIF('Detailed Attendance'!CW68:CW68, "A")</f>
        <v/>
      </c>
      <c r="AA67" s="64">
        <f>IF((Y67+Z67)=0,"", Y67/(Y67+Z67))</f>
        <v/>
      </c>
      <c r="AB67" s="63">
        <f>COUNTIF('Detailed Attendance'!Q68:Q68, "P")+COUNTIF('Detailed Attendance'!AC68:AC68, "P")+COUNTIF('Detailed Attendance'!AK68:AK68, "P")+COUNTIF('Detailed Attendance'!AW68:AW68, "P")+COUNTIF('Detailed Attendance'!BE68:BE68, "P")+COUNTIF('Detailed Attendance'!BQ68:BQ68, "P")+COUNTIF('Detailed Attendance'!BY68:BY68, "P")+COUNTIF('Detailed Attendance'!CN68:CN68, "P")+COUNTIF('Detailed Attendance'!CV68:CV68, "P")</f>
        <v/>
      </c>
      <c r="AC67" s="63">
        <f>COUNTIF('Detailed Attendance'!Q68:Q68, "A")+COUNTIF('Detailed Attendance'!AC68:AC68, "A")+COUNTIF('Detailed Attendance'!AK68:AK68, "A")+COUNTIF('Detailed Attendance'!AW68:AW68, "A")+COUNTIF('Detailed Attendance'!BE68:BE68, "A")+COUNTIF('Detailed Attendance'!BQ68:BQ68, "A")+COUNTIF('Detailed Attendance'!BY68:BY68, "A")+COUNTIF('Detailed Attendance'!CN68:CN68, "A")+COUNTIF('Detailed Attendance'!CV68:CV68, "A")</f>
        <v/>
      </c>
      <c r="AD67" s="64">
        <f>IF((AB67+AC67)=0,"", AB67/(AB67+AC67))</f>
        <v/>
      </c>
      <c r="AE67" s="63">
        <f>COUNTIF('Detailed Attendance'!L68:L68, "P")+COUNTIF('Detailed Attendance'!P68:P68, "P")+COUNTIF('Detailed Attendance'!AF68:AF68, "P")+COUNTIF('Detailed Attendance'!AJ68:AJ68, "P")+COUNTIF('Detailed Attendance'!AZ68:AZ68, "P")+COUNTIF('Detailed Attendance'!BD68:BD68, "P")+COUNTIF('Detailed Attendance'!BT68:BT68, "P")+COUNTIF('Detailed Attendance'!BX68:BX68, "P")+COUNTIF('Detailed Attendance'!CQ68:CQ68, "P")+COUNTIF('Detailed Attendance'!CU68:CU68, "P")</f>
        <v/>
      </c>
      <c r="AF67" s="67">
        <f>COUNTIF('Detailed Attendance'!L68:L68, "A")+COUNTIF('Detailed Attendance'!P68:P68, "A")+COUNTIF('Detailed Attendance'!AF68:AF68, "A")+COUNTIF('Detailed Attendance'!AJ68:AJ68, "A")+COUNTIF('Detailed Attendance'!AZ68:AZ68, "A")+COUNTIF('Detailed Attendance'!BD68:BD68, "A")+COUNTIF('Detailed Attendance'!BT68:BT68, "A")+COUNTIF('Detailed Attendance'!BX68:BX68, "A")+COUNTIF('Detailed Attendance'!CQ68:CQ68, "A")+COUNTIF('Detailed Attendance'!CU68:CU68, "A")</f>
        <v/>
      </c>
      <c r="AG67" s="68">
        <f>IF((AE67+AF67)=0,"", AE67/(AE67+AF67))</f>
        <v/>
      </c>
      <c r="AH67" s="67">
        <f>COUNTIF('Detailed Attendance'!T68:T68, "P")+COUNTIF('Detailed Attendance'!AN68:AN68, "P")+COUNTIF('Detailed Attendance'!AR68:AR68, "P")+COUNTIF('Detailed Attendance'!BH68:BH68, "P")+COUNTIF('Detailed Attendance'!CB68:CB68, "P")+COUNTIF('Detailed Attendance'!CF68:CF68, "P")+COUNTIF('Detailed Attendance'!CY68:CY68, "P")</f>
        <v/>
      </c>
      <c r="AI67" s="67">
        <f>COUNTIF('Detailed Attendance'!T68:T68, "A")+COUNTIF('Detailed Attendance'!AN68:AN68, "A")+COUNTIF('Detailed Attendance'!AR68:AR68, "A")+COUNTIF('Detailed Attendance'!BH68:BH68, "A")+COUNTIF('Detailed Attendance'!CB68:CB68, "A")+COUNTIF('Detailed Attendance'!CF68:CF68, "A")+COUNTIF('Detailed Attendance'!CY68:CY68, "A")</f>
        <v/>
      </c>
      <c r="AJ67" s="68">
        <f>IF((AH67+AI67)=0,"", AH67/(AH67+AI67))</f>
        <v/>
      </c>
      <c r="AK67" s="67">
        <f>COUNTIF('Detailed Attendance'!M68:M68, "P")+COUNTIF('Detailed Attendance'!U68:U68, "P")+COUNTIF('Detailed Attendance'!AG68:AG68, "P")+COUNTIF('Detailed Attendance'!AO68:AO68, "P")+COUNTIF('Detailed Attendance'!BA68:BA68, "P")+COUNTIF('Detailed Attendance'!BI68:BI68, "P")+COUNTIF('Detailed Attendance'!BU68:BU68, "P")+COUNTIF('Detailed Attendance'!CC68:CC68, "P")+COUNTIF('Detailed Attendance'!CR68:CR68, "P")+COUNTIF('Detailed Attendance'!CZ68:CZ68, "P")</f>
        <v/>
      </c>
      <c r="AL67" s="67">
        <f>COUNTIF('Detailed Attendance'!M68:M68, "A")+COUNTIF('Detailed Attendance'!U68:U68, "A")+COUNTIF('Detailed Attendance'!AG68:AG68, "A")+COUNTIF('Detailed Attendance'!AO68:AO68, "A")+COUNTIF('Detailed Attendance'!BA68:BA68, "A")+COUNTIF('Detailed Attendance'!BI68:BI68, "A")+COUNTIF('Detailed Attendance'!BU68:BU68, "A")+COUNTIF('Detailed Attendance'!CC68:CC68, "A")+COUNTIF('Detailed Attendance'!CR68:CR68, "A")+COUNTIF('Detailed Attendance'!CZ68:CZ68, "A")</f>
        <v/>
      </c>
      <c r="AM67" s="68">
        <f>IF((AK67+AL67)=0,"", AK67/(AK67+AL67))</f>
        <v/>
      </c>
      <c r="AN67" s="67">
        <f>Y67+AB67+AE67+AH67+AK67</f>
        <v/>
      </c>
      <c r="AO67" s="67">
        <f>Z67+AC67+AF67+AI67+AL67</f>
        <v/>
      </c>
      <c r="AP67" s="68">
        <f>IF((AN67+AO67)=0,"", AN67/(AN67+AO67))</f>
        <v/>
      </c>
      <c r="AQ67" s="69">
        <f>COUNTIF('Detailed Attendance'!CG68:CG68, "P")+COUNTIF('Detailed Attendance'!CH68:CH68, "P")+COUNTIF('Detailed Attendance'!V68:V68, "P")+COUNTIF('Detailed Attendance'!AP68:AP68, "P")+COUNTIF('Detailed Attendance'!BJ68:BJ68, "P")+COUNTIF('Detailed Attendance'!CD68:CD68, "P")+COUNTIF('Detailed Attendance'!DA68:DA68, "P")</f>
        <v/>
      </c>
      <c r="AR67" s="69">
        <f>COUNTIF('Detailed Attendance'!CG68:CG68, "A")+COUNTIF('Detailed Attendance'!CH68:CH68, "A")+COUNTIF('Detailed Attendance'!V68:V68, "A")+COUNTIF('Detailed Attendance'!AP68:AP68, "A")+COUNTIF('Detailed Attendance'!BJ68:BJ68, "A")+COUNTIF('Detailed Attendance'!CD68:CD68, "A")+COUNTIF('Detailed Attendance'!DA68:DA68, "A")</f>
        <v/>
      </c>
      <c r="AS67" s="70">
        <f>IF((AQ67+AR67)=0,"", AQ67/(AQ67+AR67))</f>
        <v/>
      </c>
      <c r="AT67" s="67">
        <f>COUNTIF('Detailed Attendance'!DF68:DF68, "P")+COUNTIF('Detailed Attendance'!DT68:DT68, "P")+COUNTIF('Detailed Attendance'!EC68:EC68, "P")+COUNTIF('Detailed Attendance'!EQ68:EQ68, "P")+COUNTIF('Detailed Attendance'!EW68:EW68, "P")+COUNTIF('Detailed Attendance'!FK68:FK68, "P")+COUNTIF('Detailed Attendance'!FM68:FM68, "P")+COUNTIF('Detailed Attendance'!GA68:GA68, "P")</f>
        <v/>
      </c>
      <c r="AU67" s="67">
        <f>COUNTIF('Detailed Attendance'!DF68:DF68, "A")+COUNTIF('Detailed Attendance'!DT68:DT68, "A")+COUNTIF('Detailed Attendance'!EC68:EC68, "A")+COUNTIF('Detailed Attendance'!EQ68:EQ68, "A")+COUNTIF('Detailed Attendance'!EW68:EW68, "A")+COUNTIF('Detailed Attendance'!FK68:FK68, "A")+COUNTIF('Detailed Attendance'!FM68:FM68, "A")+COUNTIF('Detailed Attendance'!GA68:GA68, "A")</f>
        <v/>
      </c>
      <c r="AV67" s="68">
        <f>IF((AT67+AU67)=0,"", AT67/(AT67+AU67))</f>
        <v/>
      </c>
      <c r="AW67" s="67">
        <f>COUNTIF('Detailed Attendance'!DK68:DK68, "P")+COUNTIF('Detailed Attendance'!DS68:DS68, "P")+COUNTIF('Detailed Attendance'!EH68:EH68, "P")+COUNTIF('Detailed Attendance'!EP68:EP68, "P")+COUNTIF('Detailed Attendance'!FB68:FB68, "P")+COUNTIF('Detailed Attendance'!FJ68:FJ68, "P")+COUNTIF('Detailed Attendance'!FR68:FR68, "P")+COUNTIF('Detailed Attendance'!FZ68:FZ68, "P")</f>
        <v/>
      </c>
      <c r="AX67" s="67">
        <f>COUNTIF('Detailed Attendance'!DK68:DK68, "A")+COUNTIF('Detailed Attendance'!DS68:DS68, "A")+COUNTIF('Detailed Attendance'!EH68:EH68, "A")+COUNTIF('Detailed Attendance'!EP68:EP68, "A")+COUNTIF('Detailed Attendance'!FB68:FB68, "A")+COUNTIF('Detailed Attendance'!FJ68:FJ68, "A")+COUNTIF('Detailed Attendance'!FR68:FR68, "A")+COUNTIF('Detailed Attendance'!FZ68:FZ68, "A")</f>
        <v/>
      </c>
      <c r="AY67" s="68">
        <f>IF((AW67+AX67)=0,"", AW67/(AW67+AX67))</f>
        <v/>
      </c>
      <c r="AZ67" s="67">
        <f>COUNTIF('Detailed Attendance'!DN68:DN68, "P")+COUNTIF('Detailed Attendance'!DR68:DR68, "P")+COUNTIF('Detailed Attendance'!EK68:EK68, "P")+COUNTIF('Detailed Attendance'!EO68:EO68, "P")+COUNTIF('Detailed Attendance'!FE68:FE68, "P")+COUNTIF('Detailed Attendance'!FI68:FI68, "P")+COUNTIF('Detailed Attendance'!FU68:FU68, "P")+COUNTIF('Detailed Attendance'!FY68:FY68, "P")</f>
        <v/>
      </c>
      <c r="BA67" s="67">
        <f>COUNTIF('Detailed Attendance'!DN68:DN68, "A")+COUNTIF('Detailed Attendance'!DR68:DR68, "A")+COUNTIF('Detailed Attendance'!EK68:EK68, "A")+COUNTIF('Detailed Attendance'!EO68:EO68, "A")+COUNTIF('Detailed Attendance'!FE68:FE68, "A")+COUNTIF('Detailed Attendance'!FI68:FI68, "A")+COUNTIF('Detailed Attendance'!FU68:FU68, "A")+COUNTIF('Detailed Attendance'!FY68:FY68, "A")</f>
        <v/>
      </c>
      <c r="BB67" s="68">
        <f>IF((AZ67+BA67)=0,"", AZ67/(AZ67+BA67))</f>
        <v/>
      </c>
      <c r="BC67" s="67">
        <f>COUNTIF('Detailed Attendance'!DC68:DC68, "P")+COUNTIF('Detailed Attendance'!DV68:DV68, "P")+COUNTIF('Detailed Attendance'!DZ68:DZ68, "P")+COUNTIF('Detailed Attendance'!ES68:ES68, "P")+COUNTIF('Detailed Attendance'!GC68:GC68, "P")+COUNTIF('Detailed Attendance'!GG68:GG68, "P")</f>
        <v/>
      </c>
      <c r="BD67" s="67">
        <f>COUNTIF('Detailed Attendance'!DC68:DC68, "A")+COUNTIF('Detailed Attendance'!DV68:DV68, "A")+COUNTIF('Detailed Attendance'!DZ68:DZ68, "A")+COUNTIF('Detailed Attendance'!ES68:ES68, "A")+COUNTIF('Detailed Attendance'!GC68:GC68, "A")+COUNTIF('Detailed Attendance'!GG68:GG68, "A")</f>
        <v/>
      </c>
      <c r="BE67" s="68">
        <f>IF((BC67+BD67)=0,"", BC67/(BC67+BD67))</f>
        <v/>
      </c>
      <c r="BF67" s="67">
        <f>COUNTIF('Detailed Attendance'!DO68:DO68, "P")+COUNTIF('Detailed Attendance'!DW68:DW68, "P")+COUNTIF('Detailed Attendance'!EL68:EL68, "P")+COUNTIF('Detailed Attendance'!ET68:ET68, "P")+COUNTIF('Detailed Attendance'!FF68:FF68, "P")+COUNTIF('Detailed Attendance'!FV68:FV68, "P")+COUNTIF('Detailed Attendance'!GD68:GD68, "P")</f>
        <v/>
      </c>
      <c r="BG67" s="67">
        <f>COUNTIF('Detailed Attendance'!DO68:DO68, "A")+COUNTIF('Detailed Attendance'!DW68:DW68, "A")+COUNTIF('Detailed Attendance'!EL68:EL68, "A")+COUNTIF('Detailed Attendance'!ET68:ET68, "A")+COUNTIF('Detailed Attendance'!FF68:FF68, "A")+COUNTIF('Detailed Attendance'!FV68:FV68, "A")+COUNTIF('Detailed Attendance'!GD68:GD68, "A")</f>
        <v/>
      </c>
      <c r="BH67" s="68">
        <f>IF((BF67+BG67)=0,"", BF67/(BF67+BG67))</f>
        <v/>
      </c>
      <c r="BI67" s="67">
        <f>AT67+AW67+AZ67+BC67+BF67</f>
        <v/>
      </c>
      <c r="BJ67" s="67">
        <f>AU67+AX67+BA67+BD67+BG67</f>
        <v/>
      </c>
      <c r="BK67" s="68">
        <f>IF((BI67+BJ67)=0,"", BI67/(BI67+BJ67))</f>
        <v/>
      </c>
      <c r="BL67" s="69">
        <f>COUNTIF('Detailed Attendance'!DD68:DD68, "P")+COUNTIF('Detailed Attendance'!EA68:EA68, "P")+COUNTIF('Detailed Attendance'!GH68:GH68, "P")+COUNTIF('Detailed Attendance'!DE68:DE68, "P")+COUNTIF('Detailed Attendance'!EB68:EB68, "P")+COUNTIF('Detailed Attendance'!GI68:GI68, "P")+COUNTIF('Detailed Attendance'!DX68:DX68, "P")+COUNTIF('Detailed Attendance'!EU68:EU68, "P")+COUNTIF('Detailed Attendance'!GE68:GE68, "P")</f>
        <v/>
      </c>
      <c r="BM67" s="69">
        <f>COUNTIF('Detailed Attendance'!DD68:DD68, "A")+COUNTIF('Detailed Attendance'!EA68:EA68, "A")+COUNTIF('Detailed Attendance'!GH68:GH68, "A")+COUNTIF('Detailed Attendance'!DE68:DE68, "A")+COUNTIF('Detailed Attendance'!EB68:EB68, "A")+COUNTIF('Detailed Attendance'!GI68:GI68, "A")+COUNTIF('Detailed Attendance'!DX68:DX68, "A")+COUNTIF('Detailed Attendance'!EU68:EU68, "A")+COUNTIF('Detailed Attendance'!GE68:GE68, "A")</f>
        <v/>
      </c>
      <c r="BN67" s="70">
        <f>IF((BL67+BM67)=0,"", BL67/(BL67+BM67))</f>
        <v/>
      </c>
      <c r="BO67" s="67">
        <f>D67+Y67+AT67</f>
        <v/>
      </c>
      <c r="BP67" s="67">
        <f>E67+Z67+AU67</f>
        <v/>
      </c>
      <c r="BQ67" s="68">
        <f>IF((BO67+BP67)=0,"", BO67/(BO67+BP67))</f>
        <v/>
      </c>
      <c r="BR67" s="67">
        <f>G67+AB67+AW67</f>
        <v/>
      </c>
      <c r="BS67" s="67">
        <f>H67+AC67+AX67</f>
        <v/>
      </c>
      <c r="BT67" s="68">
        <f>IF((BR67+BS67)=0,"", BR67/(BR67+BS67))</f>
        <v/>
      </c>
      <c r="BU67" s="67">
        <f>J67+AE67+AZ67</f>
        <v/>
      </c>
      <c r="BV67" s="67">
        <f>K67+AF67+BA67</f>
        <v/>
      </c>
      <c r="BW67" s="68">
        <f>IF((BU67+BV67)=0,"", BU67/(BU67+BV67))</f>
        <v/>
      </c>
      <c r="BX67" s="67">
        <f>M67+AH67+BC67</f>
        <v/>
      </c>
      <c r="BY67" s="67">
        <f>N67+AI67+BD67</f>
        <v/>
      </c>
      <c r="BZ67" s="68">
        <f>IF((BX67+BY67)=0,"", BX67/(BX67+BY67))</f>
        <v/>
      </c>
      <c r="CA67" s="67">
        <f>P67+AK67+BF67</f>
        <v/>
      </c>
      <c r="CB67" s="67">
        <f>Q67+AL67+BG67</f>
        <v/>
      </c>
      <c r="CC67" s="68">
        <f>IF((CA67+CB67)=0,"", CA67/(CA67+CB67))</f>
        <v/>
      </c>
      <c r="CD67" s="67">
        <f>S67+AN67+BI67</f>
        <v/>
      </c>
      <c r="CE67" s="67">
        <f>T67+AO67+BJ67</f>
        <v/>
      </c>
      <c r="CF67" s="68">
        <f>IF((CD67+CE67)=0,"", CD67/(CD67+CE67))</f>
        <v/>
      </c>
      <c r="CG67" s="69">
        <f>V67+AQ67+BL67</f>
        <v/>
      </c>
      <c r="CH67" s="69">
        <f>W67+AR67+BM67</f>
        <v/>
      </c>
      <c r="CI67" s="70">
        <f>IF((CG67+CH67)=0,"", CG67/(CG67+CH67))</f>
        <v/>
      </c>
      <c r="CJ67" s="67">
        <f>CD67+(CG67*2)</f>
        <v/>
      </c>
      <c r="CK67" s="67">
        <f>CE67+(CH67*2)</f>
        <v/>
      </c>
      <c r="CL67" s="68">
        <f>IF((CJ67+CK67)=0,"", CJ67/(CJ67+CK67))</f>
        <v/>
      </c>
      <c r="CM67" s="67" t="inlineStr">
        <is>
          <t>Batch 2</t>
        </is>
      </c>
    </row>
    <row r="68" ht="14.25" customHeight="1" s="34">
      <c r="A68" s="46" t="n">
        <v>66</v>
      </c>
      <c r="B68" s="46" t="inlineStr">
        <is>
          <t>325106410066</t>
        </is>
      </c>
      <c r="C68" s="46" t="inlineStr">
        <is>
          <t>ABDISAMIC YASIN ABDIRAHMAN</t>
        </is>
      </c>
      <c r="D68" s="63" t="n">
        <v>0</v>
      </c>
      <c r="E68" s="63" t="n">
        <v>0</v>
      </c>
      <c r="F68" s="64">
        <f>IF((D68+E68)=0,"", D68/(D68+E68))</f>
        <v/>
      </c>
      <c r="G68" s="63">
        <f>COUNTIF('Detailed Attendance'!I69:I69, "P")</f>
        <v/>
      </c>
      <c r="H68" s="63">
        <f>COUNTIF('Detailed Attendance'!I69:I69, "A")</f>
        <v/>
      </c>
      <c r="I68" s="64">
        <f>IF((G68+H68)=0,"", G68/(G68+H68))</f>
        <v/>
      </c>
      <c r="J68" s="63" t="n">
        <v>0</v>
      </c>
      <c r="K68" s="63" t="n">
        <v>0</v>
      </c>
      <c r="L68" s="64">
        <f>IF((J68+K68)=0,"", J68/(J68+K68))</f>
        <v/>
      </c>
      <c r="M68" s="63">
        <f>COUNTIF('Detailed Attendance'!D69:D69, "P")</f>
        <v/>
      </c>
      <c r="N68" s="63">
        <f>COUNTIF('Detailed Attendance'!D69:D69, "A")</f>
        <v/>
      </c>
      <c r="O68" s="64">
        <f>IF((M68+N68)=0,"", M68/(M68+N68))</f>
        <v/>
      </c>
      <c r="P68" s="63" t="n">
        <v>0</v>
      </c>
      <c r="Q68" s="63" t="n">
        <v>0</v>
      </c>
      <c r="R68" s="64">
        <f>IF((P68+Q68)=0,"", P68/(P68+Q68))</f>
        <v/>
      </c>
      <c r="S68" s="63">
        <f>D68+G68+J68+M68+P68</f>
        <v/>
      </c>
      <c r="T68" s="63">
        <f>E68+H68+K68+N68+Q68</f>
        <v/>
      </c>
      <c r="U68" s="64">
        <f>IF((S68+T68)=0,"", S68/(S68+T68))</f>
        <v/>
      </c>
      <c r="V68" s="65" t="n">
        <v>0</v>
      </c>
      <c r="W68" s="65" t="n">
        <v>0</v>
      </c>
      <c r="X68" s="66">
        <f>IF((V68+W68)=0,"", V68/(V68+W68))</f>
        <v/>
      </c>
      <c r="Y68" s="63">
        <f>COUNTIF('Detailed Attendance'!R69:R69, "P")+COUNTIF('Detailed Attendance'!X69:X69, "P")+COUNTIF('Detailed Attendance'!AL69:AL69, "P")+COUNTIF('Detailed Attendance'!BF69:BF69, "P")+COUNTIF('Detailed Attendance'!BL69:BL69, "P")+COUNTIF('Detailed Attendance'!BZ69:BZ69, "P")+COUNTIF('Detailed Attendance'!CI69:CI69, "P")+COUNTIF('Detailed Attendance'!CW69:CW69, "P")</f>
        <v/>
      </c>
      <c r="Z68" s="63">
        <f>COUNTIF('Detailed Attendance'!R69:R69, "A")+COUNTIF('Detailed Attendance'!X69:X69, "A")+COUNTIF('Detailed Attendance'!AL69:AL69, "A")+COUNTIF('Detailed Attendance'!BF69:BF69, "A")+COUNTIF('Detailed Attendance'!BL69:BL69, "A")+COUNTIF('Detailed Attendance'!BZ69:BZ69, "A")+COUNTIF('Detailed Attendance'!CI69:CI69, "A")+COUNTIF('Detailed Attendance'!CW69:CW69, "A")</f>
        <v/>
      </c>
      <c r="AA68" s="64">
        <f>IF((Y68+Z68)=0,"", Y68/(Y68+Z68))</f>
        <v/>
      </c>
      <c r="AB68" s="63">
        <f>COUNTIF('Detailed Attendance'!Q69:Q69, "P")+COUNTIF('Detailed Attendance'!AC69:AC69, "P")+COUNTIF('Detailed Attendance'!AK69:AK69, "P")+COUNTIF('Detailed Attendance'!AW69:AW69, "P")+COUNTIF('Detailed Attendance'!BE69:BE69, "P")+COUNTIF('Detailed Attendance'!BQ69:BQ69, "P")+COUNTIF('Detailed Attendance'!BY69:BY69, "P")+COUNTIF('Detailed Attendance'!CN69:CN69, "P")+COUNTIF('Detailed Attendance'!CV69:CV69, "P")</f>
        <v/>
      </c>
      <c r="AC68" s="63">
        <f>COUNTIF('Detailed Attendance'!Q69:Q69, "A")+COUNTIF('Detailed Attendance'!AC69:AC69, "A")+COUNTIF('Detailed Attendance'!AK69:AK69, "A")+COUNTIF('Detailed Attendance'!AW69:AW69, "A")+COUNTIF('Detailed Attendance'!BE69:BE69, "A")+COUNTIF('Detailed Attendance'!BQ69:BQ69, "A")+COUNTIF('Detailed Attendance'!BY69:BY69, "A")+COUNTIF('Detailed Attendance'!CN69:CN69, "A")+COUNTIF('Detailed Attendance'!CV69:CV69, "A")</f>
        <v/>
      </c>
      <c r="AD68" s="64">
        <f>IF((AB68+AC68)=0,"", AB68/(AB68+AC68))</f>
        <v/>
      </c>
      <c r="AE68" s="63">
        <f>COUNTIF('Detailed Attendance'!L69:L69, "P")+COUNTIF('Detailed Attendance'!P69:P69, "P")+COUNTIF('Detailed Attendance'!AF69:AF69, "P")+COUNTIF('Detailed Attendance'!AJ69:AJ69, "P")+COUNTIF('Detailed Attendance'!AZ69:AZ69, "P")+COUNTIF('Detailed Attendance'!BD69:BD69, "P")+COUNTIF('Detailed Attendance'!BT69:BT69, "P")+COUNTIF('Detailed Attendance'!BX69:BX69, "P")+COUNTIF('Detailed Attendance'!CQ69:CQ69, "P")+COUNTIF('Detailed Attendance'!CU69:CU69, "P")</f>
        <v/>
      </c>
      <c r="AF68" s="67">
        <f>COUNTIF('Detailed Attendance'!L69:L69, "A")+COUNTIF('Detailed Attendance'!P69:P69, "A")+COUNTIF('Detailed Attendance'!AF69:AF69, "A")+COUNTIF('Detailed Attendance'!AJ69:AJ69, "A")+COUNTIF('Detailed Attendance'!AZ69:AZ69, "A")+COUNTIF('Detailed Attendance'!BD69:BD69, "A")+COUNTIF('Detailed Attendance'!BT69:BT69, "A")+COUNTIF('Detailed Attendance'!BX69:BX69, "A")+COUNTIF('Detailed Attendance'!CQ69:CQ69, "A")+COUNTIF('Detailed Attendance'!CU69:CU69, "A")</f>
        <v/>
      </c>
      <c r="AG68" s="68">
        <f>IF((AE68+AF68)=0,"", AE68/(AE68+AF68))</f>
        <v/>
      </c>
      <c r="AH68" s="67">
        <f>COUNTIF('Detailed Attendance'!T69:T69, "P")+COUNTIF('Detailed Attendance'!AN69:AN69, "P")+COUNTIF('Detailed Attendance'!AR69:AR69, "P")+COUNTIF('Detailed Attendance'!BH69:BH69, "P")+COUNTIF('Detailed Attendance'!CB69:CB69, "P")+COUNTIF('Detailed Attendance'!CF69:CF69, "P")+COUNTIF('Detailed Attendance'!CY69:CY69, "P")</f>
        <v/>
      </c>
      <c r="AI68" s="67">
        <f>COUNTIF('Detailed Attendance'!T69:T69, "A")+COUNTIF('Detailed Attendance'!AN69:AN69, "A")+COUNTIF('Detailed Attendance'!AR69:AR69, "A")+COUNTIF('Detailed Attendance'!BH69:BH69, "A")+COUNTIF('Detailed Attendance'!CB69:CB69, "A")+COUNTIF('Detailed Attendance'!CF69:CF69, "A")+COUNTIF('Detailed Attendance'!CY69:CY69, "A")</f>
        <v/>
      </c>
      <c r="AJ68" s="68">
        <f>IF((AH68+AI68)=0,"", AH68/(AH68+AI68))</f>
        <v/>
      </c>
      <c r="AK68" s="67">
        <f>COUNTIF('Detailed Attendance'!M69:M69, "P")+COUNTIF('Detailed Attendance'!U69:U69, "P")+COUNTIF('Detailed Attendance'!AG69:AG69, "P")+COUNTIF('Detailed Attendance'!AO69:AO69, "P")+COUNTIF('Detailed Attendance'!BA69:BA69, "P")+COUNTIF('Detailed Attendance'!BI69:BI69, "P")+COUNTIF('Detailed Attendance'!BU69:BU69, "P")+COUNTIF('Detailed Attendance'!CC69:CC69, "P")+COUNTIF('Detailed Attendance'!CR69:CR69, "P")+COUNTIF('Detailed Attendance'!CZ69:CZ69, "P")</f>
        <v/>
      </c>
      <c r="AL68" s="67">
        <f>COUNTIF('Detailed Attendance'!M69:M69, "A")+COUNTIF('Detailed Attendance'!U69:U69, "A")+COUNTIF('Detailed Attendance'!AG69:AG69, "A")+COUNTIF('Detailed Attendance'!AO69:AO69, "A")+COUNTIF('Detailed Attendance'!BA69:BA69, "A")+COUNTIF('Detailed Attendance'!BI69:BI69, "A")+COUNTIF('Detailed Attendance'!BU69:BU69, "A")+COUNTIF('Detailed Attendance'!CC69:CC69, "A")+COUNTIF('Detailed Attendance'!CR69:CR69, "A")+COUNTIF('Detailed Attendance'!CZ69:CZ69, "A")</f>
        <v/>
      </c>
      <c r="AM68" s="68">
        <f>IF((AK68+AL68)=0,"", AK68/(AK68+AL68))</f>
        <v/>
      </c>
      <c r="AN68" s="67">
        <f>Y68+AB68+AE68+AH68+AK68</f>
        <v/>
      </c>
      <c r="AO68" s="67">
        <f>Z68+AC68+AF68+AI68+AL68</f>
        <v/>
      </c>
      <c r="AP68" s="68">
        <f>IF((AN68+AO68)=0,"", AN68/(AN68+AO68))</f>
        <v/>
      </c>
      <c r="AQ68" s="69">
        <f>COUNTIF('Detailed Attendance'!CG69:CG69, "P")+COUNTIF('Detailed Attendance'!CH69:CH69, "P")+COUNTIF('Detailed Attendance'!V69:V69, "P")+COUNTIF('Detailed Attendance'!AP69:AP69, "P")+COUNTIF('Detailed Attendance'!BJ69:BJ69, "P")+COUNTIF('Detailed Attendance'!CD69:CD69, "P")+COUNTIF('Detailed Attendance'!DA69:DA69, "P")</f>
        <v/>
      </c>
      <c r="AR68" s="69">
        <f>COUNTIF('Detailed Attendance'!CG69:CG69, "A")+COUNTIF('Detailed Attendance'!CH69:CH69, "A")+COUNTIF('Detailed Attendance'!V69:V69, "A")+COUNTIF('Detailed Attendance'!AP69:AP69, "A")+COUNTIF('Detailed Attendance'!BJ69:BJ69, "A")+COUNTIF('Detailed Attendance'!CD69:CD69, "A")+COUNTIF('Detailed Attendance'!DA69:DA69, "A")</f>
        <v/>
      </c>
      <c r="AS68" s="70">
        <f>IF((AQ68+AR68)=0,"", AQ68/(AQ68+AR68))</f>
        <v/>
      </c>
      <c r="AT68" s="67">
        <f>COUNTIF('Detailed Attendance'!DF69:DF69, "P")+COUNTIF('Detailed Attendance'!DT69:DT69, "P")+COUNTIF('Detailed Attendance'!EC69:EC69, "P")+COUNTIF('Detailed Attendance'!EQ69:EQ69, "P")+COUNTIF('Detailed Attendance'!EW69:EW69, "P")+COUNTIF('Detailed Attendance'!FK69:FK69, "P")+COUNTIF('Detailed Attendance'!FM69:FM69, "P")+COUNTIF('Detailed Attendance'!GA69:GA69, "P")</f>
        <v/>
      </c>
      <c r="AU68" s="67">
        <f>COUNTIF('Detailed Attendance'!DF69:DF69, "A")+COUNTIF('Detailed Attendance'!DT69:DT69, "A")+COUNTIF('Detailed Attendance'!EC69:EC69, "A")+COUNTIF('Detailed Attendance'!EQ69:EQ69, "A")+COUNTIF('Detailed Attendance'!EW69:EW69, "A")+COUNTIF('Detailed Attendance'!FK69:FK69, "A")+COUNTIF('Detailed Attendance'!FM69:FM69, "A")+COUNTIF('Detailed Attendance'!GA69:GA69, "A")</f>
        <v/>
      </c>
      <c r="AV68" s="68">
        <f>IF((AT68+AU68)=0,"", AT68/(AT68+AU68))</f>
        <v/>
      </c>
      <c r="AW68" s="67">
        <f>COUNTIF('Detailed Attendance'!DK69:DK69, "P")+COUNTIF('Detailed Attendance'!DS69:DS69, "P")+COUNTIF('Detailed Attendance'!EH69:EH69, "P")+COUNTIF('Detailed Attendance'!EP69:EP69, "P")+COUNTIF('Detailed Attendance'!FB69:FB69, "P")+COUNTIF('Detailed Attendance'!FJ69:FJ69, "P")+COUNTIF('Detailed Attendance'!FR69:FR69, "P")+COUNTIF('Detailed Attendance'!FZ69:FZ69, "P")</f>
        <v/>
      </c>
      <c r="AX68" s="67">
        <f>COUNTIF('Detailed Attendance'!DK69:DK69, "A")+COUNTIF('Detailed Attendance'!DS69:DS69, "A")+COUNTIF('Detailed Attendance'!EH69:EH69, "A")+COUNTIF('Detailed Attendance'!EP69:EP69, "A")+COUNTIF('Detailed Attendance'!FB69:FB69, "A")+COUNTIF('Detailed Attendance'!FJ69:FJ69, "A")+COUNTIF('Detailed Attendance'!FR69:FR69, "A")+COUNTIF('Detailed Attendance'!FZ69:FZ69, "A")</f>
        <v/>
      </c>
      <c r="AY68" s="68">
        <f>IF((AW68+AX68)=0,"", AW68/(AW68+AX68))</f>
        <v/>
      </c>
      <c r="AZ68" s="67">
        <f>COUNTIF('Detailed Attendance'!DN69:DN69, "P")+COUNTIF('Detailed Attendance'!DR69:DR69, "P")+COUNTIF('Detailed Attendance'!EK69:EK69, "P")+COUNTIF('Detailed Attendance'!EO69:EO69, "P")+COUNTIF('Detailed Attendance'!FE69:FE69, "P")+COUNTIF('Detailed Attendance'!FI69:FI69, "P")+COUNTIF('Detailed Attendance'!FU69:FU69, "P")+COUNTIF('Detailed Attendance'!FY69:FY69, "P")</f>
        <v/>
      </c>
      <c r="BA68" s="67">
        <f>COUNTIF('Detailed Attendance'!DN69:DN69, "A")+COUNTIF('Detailed Attendance'!DR69:DR69, "A")+COUNTIF('Detailed Attendance'!EK69:EK69, "A")+COUNTIF('Detailed Attendance'!EO69:EO69, "A")+COUNTIF('Detailed Attendance'!FE69:FE69, "A")+COUNTIF('Detailed Attendance'!FI69:FI69, "A")+COUNTIF('Detailed Attendance'!FU69:FU69, "A")+COUNTIF('Detailed Attendance'!FY69:FY69, "A")</f>
        <v/>
      </c>
      <c r="BB68" s="68">
        <f>IF((AZ68+BA68)=0,"", AZ68/(AZ68+BA68))</f>
        <v/>
      </c>
      <c r="BC68" s="67">
        <f>COUNTIF('Detailed Attendance'!DC69:DC69, "P")+COUNTIF('Detailed Attendance'!DV69:DV69, "P")+COUNTIF('Detailed Attendance'!DZ69:DZ69, "P")+COUNTIF('Detailed Attendance'!ES69:ES69, "P")+COUNTIF('Detailed Attendance'!GC69:GC69, "P")+COUNTIF('Detailed Attendance'!GG69:GG69, "P")</f>
        <v/>
      </c>
      <c r="BD68" s="67">
        <f>COUNTIF('Detailed Attendance'!DC69:DC69, "A")+COUNTIF('Detailed Attendance'!DV69:DV69, "A")+COUNTIF('Detailed Attendance'!DZ69:DZ69, "A")+COUNTIF('Detailed Attendance'!ES69:ES69, "A")+COUNTIF('Detailed Attendance'!GC69:GC69, "A")+COUNTIF('Detailed Attendance'!GG69:GG69, "A")</f>
        <v/>
      </c>
      <c r="BE68" s="68">
        <f>IF((BC68+BD68)=0,"", BC68/(BC68+BD68))</f>
        <v/>
      </c>
      <c r="BF68" s="67">
        <f>COUNTIF('Detailed Attendance'!DO69:DO69, "P")+COUNTIF('Detailed Attendance'!DW69:DW69, "P")+COUNTIF('Detailed Attendance'!EL69:EL69, "P")+COUNTIF('Detailed Attendance'!ET69:ET69, "P")+COUNTIF('Detailed Attendance'!FF69:FF69, "P")+COUNTIF('Detailed Attendance'!FV69:FV69, "P")+COUNTIF('Detailed Attendance'!GD69:GD69, "P")</f>
        <v/>
      </c>
      <c r="BG68" s="67">
        <f>COUNTIF('Detailed Attendance'!DO69:DO69, "A")+COUNTIF('Detailed Attendance'!DW69:DW69, "A")+COUNTIF('Detailed Attendance'!EL69:EL69, "A")+COUNTIF('Detailed Attendance'!ET69:ET69, "A")+COUNTIF('Detailed Attendance'!FF69:FF69, "A")+COUNTIF('Detailed Attendance'!FV69:FV69, "A")+COUNTIF('Detailed Attendance'!GD69:GD69, "A")</f>
        <v/>
      </c>
      <c r="BH68" s="68">
        <f>IF((BF68+BG68)=0,"", BF68/(BF68+BG68))</f>
        <v/>
      </c>
      <c r="BI68" s="67">
        <f>AT68+AW68+AZ68+BC68+BF68</f>
        <v/>
      </c>
      <c r="BJ68" s="67">
        <f>AU68+AX68+BA68+BD68+BG68</f>
        <v/>
      </c>
      <c r="BK68" s="68">
        <f>IF((BI68+BJ68)=0,"", BI68/(BI68+BJ68))</f>
        <v/>
      </c>
      <c r="BL68" s="69">
        <f>COUNTIF('Detailed Attendance'!DD69:DD69, "P")+COUNTIF('Detailed Attendance'!EA69:EA69, "P")+COUNTIF('Detailed Attendance'!GH69:GH69, "P")+COUNTIF('Detailed Attendance'!DE69:DE69, "P")+COUNTIF('Detailed Attendance'!EB69:EB69, "P")+COUNTIF('Detailed Attendance'!GI69:GI69, "P")+COUNTIF('Detailed Attendance'!DX69:DX69, "P")+COUNTIF('Detailed Attendance'!EU69:EU69, "P")+COUNTIF('Detailed Attendance'!GE69:GE69, "P")</f>
        <v/>
      </c>
      <c r="BM68" s="69">
        <f>COUNTIF('Detailed Attendance'!DD69:DD69, "A")+COUNTIF('Detailed Attendance'!EA69:EA69, "A")+COUNTIF('Detailed Attendance'!GH69:GH69, "A")+COUNTIF('Detailed Attendance'!DE69:DE69, "A")+COUNTIF('Detailed Attendance'!EB69:EB69, "A")+COUNTIF('Detailed Attendance'!GI69:GI69, "A")+COUNTIF('Detailed Attendance'!DX69:DX69, "A")+COUNTIF('Detailed Attendance'!EU69:EU69, "A")+COUNTIF('Detailed Attendance'!GE69:GE69, "A")</f>
        <v/>
      </c>
      <c r="BN68" s="70">
        <f>IF((BL68+BM68)=0,"", BL68/(BL68+BM68))</f>
        <v/>
      </c>
      <c r="BO68" s="67">
        <f>D68+Y68+AT68</f>
        <v/>
      </c>
      <c r="BP68" s="67">
        <f>E68+Z68+AU68</f>
        <v/>
      </c>
      <c r="BQ68" s="68">
        <f>IF((BO68+BP68)=0,"", BO68/(BO68+BP68))</f>
        <v/>
      </c>
      <c r="BR68" s="67">
        <f>G68+AB68+AW68</f>
        <v/>
      </c>
      <c r="BS68" s="67">
        <f>H68+AC68+AX68</f>
        <v/>
      </c>
      <c r="BT68" s="68">
        <f>IF((BR68+BS68)=0,"", BR68/(BR68+BS68))</f>
        <v/>
      </c>
      <c r="BU68" s="67">
        <f>J68+AE68+AZ68</f>
        <v/>
      </c>
      <c r="BV68" s="67">
        <f>K68+AF68+BA68</f>
        <v/>
      </c>
      <c r="BW68" s="68">
        <f>IF((BU68+BV68)=0,"", BU68/(BU68+BV68))</f>
        <v/>
      </c>
      <c r="BX68" s="67">
        <f>M68+AH68+BC68</f>
        <v/>
      </c>
      <c r="BY68" s="67">
        <f>N68+AI68+BD68</f>
        <v/>
      </c>
      <c r="BZ68" s="68">
        <f>IF((BX68+BY68)=0,"", BX68/(BX68+BY68))</f>
        <v/>
      </c>
      <c r="CA68" s="67">
        <f>P68+AK68+BF68</f>
        <v/>
      </c>
      <c r="CB68" s="67">
        <f>Q68+AL68+BG68</f>
        <v/>
      </c>
      <c r="CC68" s="68">
        <f>IF((CA68+CB68)=0,"", CA68/(CA68+CB68))</f>
        <v/>
      </c>
      <c r="CD68" s="67">
        <f>S68+AN68+BI68</f>
        <v/>
      </c>
      <c r="CE68" s="67">
        <f>T68+AO68+BJ68</f>
        <v/>
      </c>
      <c r="CF68" s="68">
        <f>IF((CD68+CE68)=0,"", CD68/(CD68+CE68))</f>
        <v/>
      </c>
      <c r="CG68" s="69">
        <f>V68+AQ68+BL68</f>
        <v/>
      </c>
      <c r="CH68" s="69">
        <f>W68+AR68+BM68</f>
        <v/>
      </c>
      <c r="CI68" s="70">
        <f>IF((CG68+CH68)=0,"", CG68/(CG68+CH68))</f>
        <v/>
      </c>
      <c r="CJ68" s="67">
        <f>CD68+(CG68*2)</f>
        <v/>
      </c>
      <c r="CK68" s="67">
        <f>CE68+(CH68*2)</f>
        <v/>
      </c>
      <c r="CL68" s="68">
        <f>IF((CJ68+CK68)=0,"", CJ68/(CJ68+CK68))</f>
        <v/>
      </c>
      <c r="CM68" s="67" t="inlineStr">
        <is>
          <t>Batch 2</t>
        </is>
      </c>
    </row>
    <row r="69" ht="14.25" customHeight="1" s="34">
      <c r="A69" s="46" t="n">
        <v>67</v>
      </c>
      <c r="B69" s="46" t="inlineStr">
        <is>
          <t>325106410067</t>
        </is>
      </c>
      <c r="C69" s="46" t="inlineStr">
        <is>
          <t>AHMED ABDHULAHI</t>
        </is>
      </c>
      <c r="D69" s="63" t="n">
        <v>0</v>
      </c>
      <c r="E69" s="63" t="n">
        <v>0</v>
      </c>
      <c r="F69" s="64">
        <f>IF((D69+E69)=0,"", D69/(D69+E69))</f>
        <v/>
      </c>
      <c r="G69" s="63">
        <f>COUNTIF('Detailed Attendance'!I70:I70, "P")</f>
        <v/>
      </c>
      <c r="H69" s="63">
        <f>COUNTIF('Detailed Attendance'!I70:I70, "A")</f>
        <v/>
      </c>
      <c r="I69" s="64">
        <f>IF((G69+H69)=0,"", G69/(G69+H69))</f>
        <v/>
      </c>
      <c r="J69" s="63" t="n">
        <v>0</v>
      </c>
      <c r="K69" s="63" t="n">
        <v>0</v>
      </c>
      <c r="L69" s="64">
        <f>IF((J69+K69)=0,"", J69/(J69+K69))</f>
        <v/>
      </c>
      <c r="M69" s="63">
        <f>COUNTIF('Detailed Attendance'!D70:D70, "P")</f>
        <v/>
      </c>
      <c r="N69" s="63">
        <f>COUNTIF('Detailed Attendance'!D70:D70, "A")</f>
        <v/>
      </c>
      <c r="O69" s="64">
        <f>IF((M69+N69)=0,"", M69/(M69+N69))</f>
        <v/>
      </c>
      <c r="P69" s="63" t="n">
        <v>0</v>
      </c>
      <c r="Q69" s="63" t="n">
        <v>0</v>
      </c>
      <c r="R69" s="64">
        <f>IF((P69+Q69)=0,"", P69/(P69+Q69))</f>
        <v/>
      </c>
      <c r="S69" s="63">
        <f>D69+G69+J69+M69+P69</f>
        <v/>
      </c>
      <c r="T69" s="63">
        <f>E69+H69+K69+N69+Q69</f>
        <v/>
      </c>
      <c r="U69" s="64">
        <f>IF((S69+T69)=0,"", S69/(S69+T69))</f>
        <v/>
      </c>
      <c r="V69" s="65" t="n">
        <v>0</v>
      </c>
      <c r="W69" s="65" t="n">
        <v>0</v>
      </c>
      <c r="X69" s="66">
        <f>IF((V69+W69)=0,"", V69/(V69+W69))</f>
        <v/>
      </c>
      <c r="Y69" s="63">
        <f>COUNTIF('Detailed Attendance'!R70:R70, "P")+COUNTIF('Detailed Attendance'!X70:X70, "P")+COUNTIF('Detailed Attendance'!AL70:AL70, "P")+COUNTIF('Detailed Attendance'!BF70:BF70, "P")+COUNTIF('Detailed Attendance'!BL70:BL70, "P")+COUNTIF('Detailed Attendance'!BZ70:BZ70, "P")+COUNTIF('Detailed Attendance'!CI70:CI70, "P")+COUNTIF('Detailed Attendance'!CW70:CW70, "P")</f>
        <v/>
      </c>
      <c r="Z69" s="63">
        <f>COUNTIF('Detailed Attendance'!R70:R70, "A")+COUNTIF('Detailed Attendance'!X70:X70, "A")+COUNTIF('Detailed Attendance'!AL70:AL70, "A")+COUNTIF('Detailed Attendance'!BF70:BF70, "A")+COUNTIF('Detailed Attendance'!BL70:BL70, "A")+COUNTIF('Detailed Attendance'!BZ70:BZ70, "A")+COUNTIF('Detailed Attendance'!CI70:CI70, "A")+COUNTIF('Detailed Attendance'!CW70:CW70, "A")</f>
        <v/>
      </c>
      <c r="AA69" s="64">
        <f>IF((Y69+Z69)=0,"", Y69/(Y69+Z69))</f>
        <v/>
      </c>
      <c r="AB69" s="63">
        <f>COUNTIF('Detailed Attendance'!Q70:Q70, "P")+COUNTIF('Detailed Attendance'!AC70:AC70, "P")+COUNTIF('Detailed Attendance'!AK70:AK70, "P")+COUNTIF('Detailed Attendance'!AW70:AW70, "P")+COUNTIF('Detailed Attendance'!BE70:BE70, "P")+COUNTIF('Detailed Attendance'!BQ70:BQ70, "P")+COUNTIF('Detailed Attendance'!BY70:BY70, "P")+COUNTIF('Detailed Attendance'!CN70:CN70, "P")+COUNTIF('Detailed Attendance'!CV70:CV70, "P")</f>
        <v/>
      </c>
      <c r="AC69" s="63">
        <f>COUNTIF('Detailed Attendance'!Q70:Q70, "A")+COUNTIF('Detailed Attendance'!AC70:AC70, "A")+COUNTIF('Detailed Attendance'!AK70:AK70, "A")+COUNTIF('Detailed Attendance'!AW70:AW70, "A")+COUNTIF('Detailed Attendance'!BE70:BE70, "A")+COUNTIF('Detailed Attendance'!BQ70:BQ70, "A")+COUNTIF('Detailed Attendance'!BY70:BY70, "A")+COUNTIF('Detailed Attendance'!CN70:CN70, "A")+COUNTIF('Detailed Attendance'!CV70:CV70, "A")</f>
        <v/>
      </c>
      <c r="AD69" s="64">
        <f>IF((AB69+AC69)=0,"", AB69/(AB69+AC69))</f>
        <v/>
      </c>
      <c r="AE69" s="63">
        <f>COUNTIF('Detailed Attendance'!L70:L70, "P")+COUNTIF('Detailed Attendance'!P70:P70, "P")+COUNTIF('Detailed Attendance'!AF70:AF70, "P")+COUNTIF('Detailed Attendance'!AJ70:AJ70, "P")+COUNTIF('Detailed Attendance'!AZ70:AZ70, "P")+COUNTIF('Detailed Attendance'!BD70:BD70, "P")+COUNTIF('Detailed Attendance'!BT70:BT70, "P")+COUNTIF('Detailed Attendance'!BX70:BX70, "P")+COUNTIF('Detailed Attendance'!CQ70:CQ70, "P")+COUNTIF('Detailed Attendance'!CU70:CU70, "P")</f>
        <v/>
      </c>
      <c r="AF69" s="67">
        <f>COUNTIF('Detailed Attendance'!L70:L70, "A")+COUNTIF('Detailed Attendance'!P70:P70, "A")+COUNTIF('Detailed Attendance'!AF70:AF70, "A")+COUNTIF('Detailed Attendance'!AJ70:AJ70, "A")+COUNTIF('Detailed Attendance'!AZ70:AZ70, "A")+COUNTIF('Detailed Attendance'!BD70:BD70, "A")+COUNTIF('Detailed Attendance'!BT70:BT70, "A")+COUNTIF('Detailed Attendance'!BX70:BX70, "A")+COUNTIF('Detailed Attendance'!CQ70:CQ70, "A")+COUNTIF('Detailed Attendance'!CU70:CU70, "A")</f>
        <v/>
      </c>
      <c r="AG69" s="68">
        <f>IF((AE69+AF69)=0,"", AE69/(AE69+AF69))</f>
        <v/>
      </c>
      <c r="AH69" s="67">
        <f>COUNTIF('Detailed Attendance'!T70:T70, "P")+COUNTIF('Detailed Attendance'!AN70:AN70, "P")+COUNTIF('Detailed Attendance'!AR70:AR70, "P")+COUNTIF('Detailed Attendance'!BH70:BH70, "P")+COUNTIF('Detailed Attendance'!CB70:CB70, "P")+COUNTIF('Detailed Attendance'!CF70:CF70, "P")+COUNTIF('Detailed Attendance'!CY70:CY70, "P")</f>
        <v/>
      </c>
      <c r="AI69" s="67">
        <f>COUNTIF('Detailed Attendance'!T70:T70, "A")+COUNTIF('Detailed Attendance'!AN70:AN70, "A")+COUNTIF('Detailed Attendance'!AR70:AR70, "A")+COUNTIF('Detailed Attendance'!BH70:BH70, "A")+COUNTIF('Detailed Attendance'!CB70:CB70, "A")+COUNTIF('Detailed Attendance'!CF70:CF70, "A")+COUNTIF('Detailed Attendance'!CY70:CY70, "A")</f>
        <v/>
      </c>
      <c r="AJ69" s="68">
        <f>IF((AH69+AI69)=0,"", AH69/(AH69+AI69))</f>
        <v/>
      </c>
      <c r="AK69" s="67">
        <f>COUNTIF('Detailed Attendance'!M70:M70, "P")+COUNTIF('Detailed Attendance'!U70:U70, "P")+COUNTIF('Detailed Attendance'!AG70:AG70, "P")+COUNTIF('Detailed Attendance'!AO70:AO70, "P")+COUNTIF('Detailed Attendance'!BA70:BA70, "P")+COUNTIF('Detailed Attendance'!BI70:BI70, "P")+COUNTIF('Detailed Attendance'!BU70:BU70, "P")+COUNTIF('Detailed Attendance'!CC70:CC70, "P")+COUNTIF('Detailed Attendance'!CR70:CR70, "P")+COUNTIF('Detailed Attendance'!CZ70:CZ70, "P")</f>
        <v/>
      </c>
      <c r="AL69" s="67">
        <f>COUNTIF('Detailed Attendance'!M70:M70, "A")+COUNTIF('Detailed Attendance'!U70:U70, "A")+COUNTIF('Detailed Attendance'!AG70:AG70, "A")+COUNTIF('Detailed Attendance'!AO70:AO70, "A")+COUNTIF('Detailed Attendance'!BA70:BA70, "A")+COUNTIF('Detailed Attendance'!BI70:BI70, "A")+COUNTIF('Detailed Attendance'!BU70:BU70, "A")+COUNTIF('Detailed Attendance'!CC70:CC70, "A")+COUNTIF('Detailed Attendance'!CR70:CR70, "A")+COUNTIF('Detailed Attendance'!CZ70:CZ70, "A")</f>
        <v/>
      </c>
      <c r="AM69" s="68">
        <f>IF((AK69+AL69)=0,"", AK69/(AK69+AL69))</f>
        <v/>
      </c>
      <c r="AN69" s="67">
        <f>Y69+AB69+AE69+AH69+AK69</f>
        <v/>
      </c>
      <c r="AO69" s="67">
        <f>Z69+AC69+AF69+AI69+AL69</f>
        <v/>
      </c>
      <c r="AP69" s="68">
        <f>IF((AN69+AO69)=0,"", AN69/(AN69+AO69))</f>
        <v/>
      </c>
      <c r="AQ69" s="69">
        <f>COUNTIF('Detailed Attendance'!CG70:CG70, "P")+COUNTIF('Detailed Attendance'!CH70:CH70, "P")+COUNTIF('Detailed Attendance'!V70:V70, "P")+COUNTIF('Detailed Attendance'!AP70:AP70, "P")+COUNTIF('Detailed Attendance'!BJ70:BJ70, "P")+COUNTIF('Detailed Attendance'!CD70:CD70, "P")+COUNTIF('Detailed Attendance'!DA70:DA70, "P")</f>
        <v/>
      </c>
      <c r="AR69" s="69">
        <f>COUNTIF('Detailed Attendance'!CG70:CG70, "A")+COUNTIF('Detailed Attendance'!CH70:CH70, "A")+COUNTIF('Detailed Attendance'!V70:V70, "A")+COUNTIF('Detailed Attendance'!AP70:AP70, "A")+COUNTIF('Detailed Attendance'!BJ70:BJ70, "A")+COUNTIF('Detailed Attendance'!CD70:CD70, "A")+COUNTIF('Detailed Attendance'!DA70:DA70, "A")</f>
        <v/>
      </c>
      <c r="AS69" s="70">
        <f>IF((AQ69+AR69)=0,"", AQ69/(AQ69+AR69))</f>
        <v/>
      </c>
      <c r="AT69" s="67">
        <f>COUNTIF('Detailed Attendance'!DF70:DF70, "P")+COUNTIF('Detailed Attendance'!DT70:DT70, "P")+COUNTIF('Detailed Attendance'!EC70:EC70, "P")+COUNTIF('Detailed Attendance'!EQ70:EQ70, "P")+COUNTIF('Detailed Attendance'!EW70:EW70, "P")+COUNTIF('Detailed Attendance'!FK70:FK70, "P")+COUNTIF('Detailed Attendance'!FM70:FM70, "P")+COUNTIF('Detailed Attendance'!GA70:GA70, "P")</f>
        <v/>
      </c>
      <c r="AU69" s="67">
        <f>COUNTIF('Detailed Attendance'!DF70:DF70, "A")+COUNTIF('Detailed Attendance'!DT70:DT70, "A")+COUNTIF('Detailed Attendance'!EC70:EC70, "A")+COUNTIF('Detailed Attendance'!EQ70:EQ70, "A")+COUNTIF('Detailed Attendance'!EW70:EW70, "A")+COUNTIF('Detailed Attendance'!FK70:FK70, "A")+COUNTIF('Detailed Attendance'!FM70:FM70, "A")+COUNTIF('Detailed Attendance'!GA70:GA70, "A")</f>
        <v/>
      </c>
      <c r="AV69" s="68">
        <f>IF((AT69+AU69)=0,"", AT69/(AT69+AU69))</f>
        <v/>
      </c>
      <c r="AW69" s="67">
        <f>COUNTIF('Detailed Attendance'!DK70:DK70, "P")+COUNTIF('Detailed Attendance'!DS70:DS70, "P")+COUNTIF('Detailed Attendance'!EH70:EH70, "P")+COUNTIF('Detailed Attendance'!EP70:EP70, "P")+COUNTIF('Detailed Attendance'!FB70:FB70, "P")+COUNTIF('Detailed Attendance'!FJ70:FJ70, "P")+COUNTIF('Detailed Attendance'!FR70:FR70, "P")+COUNTIF('Detailed Attendance'!FZ70:FZ70, "P")</f>
        <v/>
      </c>
      <c r="AX69" s="67">
        <f>COUNTIF('Detailed Attendance'!DK70:DK70, "A")+COUNTIF('Detailed Attendance'!DS70:DS70, "A")+COUNTIF('Detailed Attendance'!EH70:EH70, "A")+COUNTIF('Detailed Attendance'!EP70:EP70, "A")+COUNTIF('Detailed Attendance'!FB70:FB70, "A")+COUNTIF('Detailed Attendance'!FJ70:FJ70, "A")+COUNTIF('Detailed Attendance'!FR70:FR70, "A")+COUNTIF('Detailed Attendance'!FZ70:FZ70, "A")</f>
        <v/>
      </c>
      <c r="AY69" s="68">
        <f>IF((AW69+AX69)=0,"", AW69/(AW69+AX69))</f>
        <v/>
      </c>
      <c r="AZ69" s="67">
        <f>COUNTIF('Detailed Attendance'!DN70:DN70, "P")+COUNTIF('Detailed Attendance'!DR70:DR70, "P")+COUNTIF('Detailed Attendance'!EK70:EK70, "P")+COUNTIF('Detailed Attendance'!EO70:EO70, "P")+COUNTIF('Detailed Attendance'!FE70:FE70, "P")+COUNTIF('Detailed Attendance'!FI70:FI70, "P")+COUNTIF('Detailed Attendance'!FU70:FU70, "P")+COUNTIF('Detailed Attendance'!FY70:FY70, "P")</f>
        <v/>
      </c>
      <c r="BA69" s="67">
        <f>COUNTIF('Detailed Attendance'!DN70:DN70, "A")+COUNTIF('Detailed Attendance'!DR70:DR70, "A")+COUNTIF('Detailed Attendance'!EK70:EK70, "A")+COUNTIF('Detailed Attendance'!EO70:EO70, "A")+COUNTIF('Detailed Attendance'!FE70:FE70, "A")+COUNTIF('Detailed Attendance'!FI70:FI70, "A")+COUNTIF('Detailed Attendance'!FU70:FU70, "A")+COUNTIF('Detailed Attendance'!FY70:FY70, "A")</f>
        <v/>
      </c>
      <c r="BB69" s="68">
        <f>IF((AZ69+BA69)=0,"", AZ69/(AZ69+BA69))</f>
        <v/>
      </c>
      <c r="BC69" s="67">
        <f>COUNTIF('Detailed Attendance'!DC70:DC70, "P")+COUNTIF('Detailed Attendance'!DV70:DV70, "P")+COUNTIF('Detailed Attendance'!DZ70:DZ70, "P")+COUNTIF('Detailed Attendance'!ES70:ES70, "P")+COUNTIF('Detailed Attendance'!GC70:GC70, "P")+COUNTIF('Detailed Attendance'!GG70:GG70, "P")</f>
        <v/>
      </c>
      <c r="BD69" s="67">
        <f>COUNTIF('Detailed Attendance'!DC70:DC70, "A")+COUNTIF('Detailed Attendance'!DV70:DV70, "A")+COUNTIF('Detailed Attendance'!DZ70:DZ70, "A")+COUNTIF('Detailed Attendance'!ES70:ES70, "A")+COUNTIF('Detailed Attendance'!GC70:GC70, "A")+COUNTIF('Detailed Attendance'!GG70:GG70, "A")</f>
        <v/>
      </c>
      <c r="BE69" s="68">
        <f>IF((BC69+BD69)=0,"", BC69/(BC69+BD69))</f>
        <v/>
      </c>
      <c r="BF69" s="67">
        <f>COUNTIF('Detailed Attendance'!DO70:DO70, "P")+COUNTIF('Detailed Attendance'!DW70:DW70, "P")+COUNTIF('Detailed Attendance'!EL70:EL70, "P")+COUNTIF('Detailed Attendance'!ET70:ET70, "P")+COUNTIF('Detailed Attendance'!FF70:FF70, "P")+COUNTIF('Detailed Attendance'!FV70:FV70, "P")+COUNTIF('Detailed Attendance'!GD70:GD70, "P")</f>
        <v/>
      </c>
      <c r="BG69" s="67">
        <f>COUNTIF('Detailed Attendance'!DO70:DO70, "A")+COUNTIF('Detailed Attendance'!DW70:DW70, "A")+COUNTIF('Detailed Attendance'!EL70:EL70, "A")+COUNTIF('Detailed Attendance'!ET70:ET70, "A")+COUNTIF('Detailed Attendance'!FF70:FF70, "A")+COUNTIF('Detailed Attendance'!FV70:FV70, "A")+COUNTIF('Detailed Attendance'!GD70:GD70, "A")</f>
        <v/>
      </c>
      <c r="BH69" s="68">
        <f>IF((BF69+BG69)=0,"", BF69/(BF69+BG69))</f>
        <v/>
      </c>
      <c r="BI69" s="67">
        <f>AT69+AW69+AZ69+BC69+BF69</f>
        <v/>
      </c>
      <c r="BJ69" s="67">
        <f>AU69+AX69+BA69+BD69+BG69</f>
        <v/>
      </c>
      <c r="BK69" s="68">
        <f>IF((BI69+BJ69)=0,"", BI69/(BI69+BJ69))</f>
        <v/>
      </c>
      <c r="BL69" s="69">
        <f>COUNTIF('Detailed Attendance'!DD70:DD70, "P")+COUNTIF('Detailed Attendance'!EA70:EA70, "P")+COUNTIF('Detailed Attendance'!GH70:GH70, "P")+COUNTIF('Detailed Attendance'!DE70:DE70, "P")+COUNTIF('Detailed Attendance'!EB70:EB70, "P")+COUNTIF('Detailed Attendance'!GI70:GI70, "P")+COUNTIF('Detailed Attendance'!DX70:DX70, "P")+COUNTIF('Detailed Attendance'!EU70:EU70, "P")+COUNTIF('Detailed Attendance'!GE70:GE70, "P")</f>
        <v/>
      </c>
      <c r="BM69" s="69">
        <f>COUNTIF('Detailed Attendance'!DD70:DD70, "A")+COUNTIF('Detailed Attendance'!EA70:EA70, "A")+COUNTIF('Detailed Attendance'!GH70:GH70, "A")+COUNTIF('Detailed Attendance'!DE70:DE70, "A")+COUNTIF('Detailed Attendance'!EB70:EB70, "A")+COUNTIF('Detailed Attendance'!GI70:GI70, "A")+COUNTIF('Detailed Attendance'!DX70:DX70, "A")+COUNTIF('Detailed Attendance'!EU70:EU70, "A")+COUNTIF('Detailed Attendance'!GE70:GE70, "A")</f>
        <v/>
      </c>
      <c r="BN69" s="70">
        <f>IF((BL69+BM69)=0,"", BL69/(BL69+BM69))</f>
        <v/>
      </c>
      <c r="BO69" s="67">
        <f>D69+Y69+AT69</f>
        <v/>
      </c>
      <c r="BP69" s="67">
        <f>E69+Z69+AU69</f>
        <v/>
      </c>
      <c r="BQ69" s="68">
        <f>IF((BO69+BP69)=0,"", BO69/(BO69+BP69))</f>
        <v/>
      </c>
      <c r="BR69" s="67">
        <f>G69+AB69+AW69</f>
        <v/>
      </c>
      <c r="BS69" s="67">
        <f>H69+AC69+AX69</f>
        <v/>
      </c>
      <c r="BT69" s="68">
        <f>IF((BR69+BS69)=0,"", BR69/(BR69+BS69))</f>
        <v/>
      </c>
      <c r="BU69" s="67">
        <f>J69+AE69+AZ69</f>
        <v/>
      </c>
      <c r="BV69" s="67">
        <f>K69+AF69+BA69</f>
        <v/>
      </c>
      <c r="BW69" s="68">
        <f>IF((BU69+BV69)=0,"", BU69/(BU69+BV69))</f>
        <v/>
      </c>
      <c r="BX69" s="67">
        <f>M69+AH69+BC69</f>
        <v/>
      </c>
      <c r="BY69" s="67">
        <f>N69+AI69+BD69</f>
        <v/>
      </c>
      <c r="BZ69" s="68">
        <f>IF((BX69+BY69)=0,"", BX69/(BX69+BY69))</f>
        <v/>
      </c>
      <c r="CA69" s="67">
        <f>P69+AK69+BF69</f>
        <v/>
      </c>
      <c r="CB69" s="67">
        <f>Q69+AL69+BG69</f>
        <v/>
      </c>
      <c r="CC69" s="68">
        <f>IF((CA69+CB69)=0,"", CA69/(CA69+CB69))</f>
        <v/>
      </c>
      <c r="CD69" s="67">
        <f>S69+AN69+BI69</f>
        <v/>
      </c>
      <c r="CE69" s="67">
        <f>T69+AO69+BJ69</f>
        <v/>
      </c>
      <c r="CF69" s="68">
        <f>IF((CD69+CE69)=0,"", CD69/(CD69+CE69))</f>
        <v/>
      </c>
      <c r="CG69" s="69">
        <f>V69+AQ69+BL69</f>
        <v/>
      </c>
      <c r="CH69" s="69">
        <f>W69+AR69+BM69</f>
        <v/>
      </c>
      <c r="CI69" s="70">
        <f>IF((CG69+CH69)=0,"", CG69/(CG69+CH69))</f>
        <v/>
      </c>
      <c r="CJ69" s="67">
        <f>CD69+(CG69*2)</f>
        <v/>
      </c>
      <c r="CK69" s="67">
        <f>CE69+(CH69*2)</f>
        <v/>
      </c>
      <c r="CL69" s="68">
        <f>IF((CJ69+CK69)=0,"", CJ69/(CJ69+CK69))</f>
        <v/>
      </c>
      <c r="CM69" s="67" t="inlineStr">
        <is>
          <t>Batch 2</t>
        </is>
      </c>
    </row>
    <row r="70" ht="14.25" customHeight="1" s="34">
      <c r="A70" s="46" t="n">
        <v>68</v>
      </c>
      <c r="B70" s="46" t="inlineStr">
        <is>
          <t>325106410068</t>
        </is>
      </c>
      <c r="C70" s="46" t="inlineStr">
        <is>
          <t>ABDULAZIZ AL-MASLAMI</t>
        </is>
      </c>
      <c r="D70" s="63" t="n">
        <v>0</v>
      </c>
      <c r="E70" s="63" t="n">
        <v>0</v>
      </c>
      <c r="F70" s="64">
        <f>IF((D70+E70)=0,"", D70/(D70+E70))</f>
        <v/>
      </c>
      <c r="G70" s="63">
        <f>COUNTIF('Detailed Attendance'!I71:I71, "P")</f>
        <v/>
      </c>
      <c r="H70" s="63">
        <f>COUNTIF('Detailed Attendance'!I71:I71, "A")</f>
        <v/>
      </c>
      <c r="I70" s="64">
        <f>IF((G70+H70)=0,"", G70/(G70+H70))</f>
        <v/>
      </c>
      <c r="J70" s="63" t="n">
        <v>0</v>
      </c>
      <c r="K70" s="63" t="n">
        <v>0</v>
      </c>
      <c r="L70" s="64">
        <f>IF((J70+K70)=0,"", J70/(J70+K70))</f>
        <v/>
      </c>
      <c r="M70" s="63">
        <f>COUNTIF('Detailed Attendance'!D71:D71, "P")</f>
        <v/>
      </c>
      <c r="N70" s="63">
        <f>COUNTIF('Detailed Attendance'!D71:D71, "A")</f>
        <v/>
      </c>
      <c r="O70" s="64">
        <f>IF((M70+N70)=0,"", M70/(M70+N70))</f>
        <v/>
      </c>
      <c r="P70" s="63" t="n">
        <v>0</v>
      </c>
      <c r="Q70" s="63" t="n">
        <v>0</v>
      </c>
      <c r="R70" s="64">
        <f>IF((P70+Q70)=0,"", P70/(P70+Q70))</f>
        <v/>
      </c>
      <c r="S70" s="63">
        <f>D70+G70+J70+M70+P70</f>
        <v/>
      </c>
      <c r="T70" s="63">
        <f>E70+H70+K70+N70+Q70</f>
        <v/>
      </c>
      <c r="U70" s="64">
        <f>IF((S70+T70)=0,"", S70/(S70+T70))</f>
        <v/>
      </c>
      <c r="V70" s="65" t="n">
        <v>0</v>
      </c>
      <c r="W70" s="65" t="n">
        <v>0</v>
      </c>
      <c r="X70" s="66">
        <f>IF((V70+W70)=0,"", V70/(V70+W70))</f>
        <v/>
      </c>
      <c r="Y70" s="63">
        <f>COUNTIF('Detailed Attendance'!R71:R71, "P")+COUNTIF('Detailed Attendance'!X71:X71, "P")+COUNTIF('Detailed Attendance'!AL71:AL71, "P")+COUNTIF('Detailed Attendance'!BF71:BF71, "P")+COUNTIF('Detailed Attendance'!BL71:BL71, "P")+COUNTIF('Detailed Attendance'!BZ71:BZ71, "P")+COUNTIF('Detailed Attendance'!CI71:CI71, "P")+COUNTIF('Detailed Attendance'!CW71:CW71, "P")</f>
        <v/>
      </c>
      <c r="Z70" s="63">
        <f>COUNTIF('Detailed Attendance'!R71:R71, "A")+COUNTIF('Detailed Attendance'!X71:X71, "A")+COUNTIF('Detailed Attendance'!AL71:AL71, "A")+COUNTIF('Detailed Attendance'!BF71:BF71, "A")+COUNTIF('Detailed Attendance'!BL71:BL71, "A")+COUNTIF('Detailed Attendance'!BZ71:BZ71, "A")+COUNTIF('Detailed Attendance'!CI71:CI71, "A")+COUNTIF('Detailed Attendance'!CW71:CW71, "A")</f>
        <v/>
      </c>
      <c r="AA70" s="64">
        <f>IF((Y70+Z70)=0,"", Y70/(Y70+Z70))</f>
        <v/>
      </c>
      <c r="AB70" s="63">
        <f>COUNTIF('Detailed Attendance'!Q71:Q71, "P")+COUNTIF('Detailed Attendance'!AC71:AC71, "P")+COUNTIF('Detailed Attendance'!AK71:AK71, "P")+COUNTIF('Detailed Attendance'!AW71:AW71, "P")+COUNTIF('Detailed Attendance'!BE71:BE71, "P")+COUNTIF('Detailed Attendance'!BQ71:BQ71, "P")+COUNTIF('Detailed Attendance'!BY71:BY71, "P")+COUNTIF('Detailed Attendance'!CN71:CN71, "P")+COUNTIF('Detailed Attendance'!CV71:CV71, "P")</f>
        <v/>
      </c>
      <c r="AC70" s="63">
        <f>COUNTIF('Detailed Attendance'!Q71:Q71, "A")+COUNTIF('Detailed Attendance'!AC71:AC71, "A")+COUNTIF('Detailed Attendance'!AK71:AK71, "A")+COUNTIF('Detailed Attendance'!AW71:AW71, "A")+COUNTIF('Detailed Attendance'!BE71:BE71, "A")+COUNTIF('Detailed Attendance'!BQ71:BQ71, "A")+COUNTIF('Detailed Attendance'!BY71:BY71, "A")+COUNTIF('Detailed Attendance'!CN71:CN71, "A")+COUNTIF('Detailed Attendance'!CV71:CV71, "A")</f>
        <v/>
      </c>
      <c r="AD70" s="64">
        <f>IF((AB70+AC70)=0,"", AB70/(AB70+AC70))</f>
        <v/>
      </c>
      <c r="AE70" s="63">
        <f>COUNTIF('Detailed Attendance'!L71:L71, "P")+COUNTIF('Detailed Attendance'!P71:P71, "P")+COUNTIF('Detailed Attendance'!AF71:AF71, "P")+COUNTIF('Detailed Attendance'!AJ71:AJ71, "P")+COUNTIF('Detailed Attendance'!AZ71:AZ71, "P")+COUNTIF('Detailed Attendance'!BD71:BD71, "P")+COUNTIF('Detailed Attendance'!BT71:BT71, "P")+COUNTIF('Detailed Attendance'!BX71:BX71, "P")+COUNTIF('Detailed Attendance'!CQ71:CQ71, "P")+COUNTIF('Detailed Attendance'!CU71:CU71, "P")</f>
        <v/>
      </c>
      <c r="AF70" s="67">
        <f>COUNTIF('Detailed Attendance'!L71:L71, "A")+COUNTIF('Detailed Attendance'!P71:P71, "A")+COUNTIF('Detailed Attendance'!AF71:AF71, "A")+COUNTIF('Detailed Attendance'!AJ71:AJ71, "A")+COUNTIF('Detailed Attendance'!AZ71:AZ71, "A")+COUNTIF('Detailed Attendance'!BD71:BD71, "A")+COUNTIF('Detailed Attendance'!BT71:BT71, "A")+COUNTIF('Detailed Attendance'!BX71:BX71, "A")+COUNTIF('Detailed Attendance'!CQ71:CQ71, "A")+COUNTIF('Detailed Attendance'!CU71:CU71, "A")</f>
        <v/>
      </c>
      <c r="AG70" s="68">
        <f>IF((AE70+AF70)=0,"", AE70/(AE70+AF70))</f>
        <v/>
      </c>
      <c r="AH70" s="67">
        <f>COUNTIF('Detailed Attendance'!T71:T71, "P")+COUNTIF('Detailed Attendance'!AN71:AN71, "P")+COUNTIF('Detailed Attendance'!AR71:AR71, "P")+COUNTIF('Detailed Attendance'!BH71:BH71, "P")+COUNTIF('Detailed Attendance'!CB71:CB71, "P")+COUNTIF('Detailed Attendance'!CF71:CF71, "P")+COUNTIF('Detailed Attendance'!CY71:CY71, "P")</f>
        <v/>
      </c>
      <c r="AI70" s="67">
        <f>COUNTIF('Detailed Attendance'!T71:T71, "A")+COUNTIF('Detailed Attendance'!AN71:AN71, "A")+COUNTIF('Detailed Attendance'!AR71:AR71, "A")+COUNTIF('Detailed Attendance'!BH71:BH71, "A")+COUNTIF('Detailed Attendance'!CB71:CB71, "A")+COUNTIF('Detailed Attendance'!CF71:CF71, "A")+COUNTIF('Detailed Attendance'!CY71:CY71, "A")</f>
        <v/>
      </c>
      <c r="AJ70" s="68">
        <f>IF((AH70+AI70)=0,"", AH70/(AH70+AI70))</f>
        <v/>
      </c>
      <c r="AK70" s="67">
        <f>COUNTIF('Detailed Attendance'!M71:M71, "P")+COUNTIF('Detailed Attendance'!U71:U71, "P")+COUNTIF('Detailed Attendance'!AG71:AG71, "P")+COUNTIF('Detailed Attendance'!AO71:AO71, "P")+COUNTIF('Detailed Attendance'!BA71:BA71, "P")+COUNTIF('Detailed Attendance'!BI71:BI71, "P")+COUNTIF('Detailed Attendance'!BU71:BU71, "P")+COUNTIF('Detailed Attendance'!CC71:CC71, "P")+COUNTIF('Detailed Attendance'!CR71:CR71, "P")+COUNTIF('Detailed Attendance'!CZ71:CZ71, "P")</f>
        <v/>
      </c>
      <c r="AL70" s="67">
        <f>COUNTIF('Detailed Attendance'!M71:M71, "A")+COUNTIF('Detailed Attendance'!U71:U71, "A")+COUNTIF('Detailed Attendance'!AG71:AG71, "A")+COUNTIF('Detailed Attendance'!AO71:AO71, "A")+COUNTIF('Detailed Attendance'!BA71:BA71, "A")+COUNTIF('Detailed Attendance'!BI71:BI71, "A")+COUNTIF('Detailed Attendance'!BU71:BU71, "A")+COUNTIF('Detailed Attendance'!CC71:CC71, "A")+COUNTIF('Detailed Attendance'!CR71:CR71, "A")+COUNTIF('Detailed Attendance'!CZ71:CZ71, "A")</f>
        <v/>
      </c>
      <c r="AM70" s="68">
        <f>IF((AK70+AL70)=0,"", AK70/(AK70+AL70))</f>
        <v/>
      </c>
      <c r="AN70" s="67">
        <f>Y70+AB70+AE70+AH70+AK70</f>
        <v/>
      </c>
      <c r="AO70" s="67">
        <f>Z70+AC70+AF70+AI70+AL70</f>
        <v/>
      </c>
      <c r="AP70" s="68">
        <f>IF((AN70+AO70)=0,"", AN70/(AN70+AO70))</f>
        <v/>
      </c>
      <c r="AQ70" s="69">
        <f>COUNTIF('Detailed Attendance'!CG71:CG71, "P")+COUNTIF('Detailed Attendance'!CH71:CH71, "P")+COUNTIF('Detailed Attendance'!V71:V71, "P")+COUNTIF('Detailed Attendance'!AP71:AP71, "P")+COUNTIF('Detailed Attendance'!BJ71:BJ71, "P")+COUNTIF('Detailed Attendance'!CD71:CD71, "P")+COUNTIF('Detailed Attendance'!DA71:DA71, "P")</f>
        <v/>
      </c>
      <c r="AR70" s="69">
        <f>COUNTIF('Detailed Attendance'!CG71:CG71, "A")+COUNTIF('Detailed Attendance'!CH71:CH71, "A")+COUNTIF('Detailed Attendance'!V71:V71, "A")+COUNTIF('Detailed Attendance'!AP71:AP71, "A")+COUNTIF('Detailed Attendance'!BJ71:BJ71, "A")+COUNTIF('Detailed Attendance'!CD71:CD71, "A")+COUNTIF('Detailed Attendance'!DA71:DA71, "A")</f>
        <v/>
      </c>
      <c r="AS70" s="70">
        <f>IF((AQ70+AR70)=0,"", AQ70/(AQ70+AR70))</f>
        <v/>
      </c>
      <c r="AT70" s="67">
        <f>COUNTIF('Detailed Attendance'!DF71:DF71, "P")+COUNTIF('Detailed Attendance'!DT71:DT71, "P")+COUNTIF('Detailed Attendance'!EC71:EC71, "P")+COUNTIF('Detailed Attendance'!EQ71:EQ71, "P")+COUNTIF('Detailed Attendance'!EW71:EW71, "P")+COUNTIF('Detailed Attendance'!FK71:FK71, "P")+COUNTIF('Detailed Attendance'!FM71:FM71, "P")+COUNTIF('Detailed Attendance'!GA71:GA71, "P")</f>
        <v/>
      </c>
      <c r="AU70" s="67">
        <f>COUNTIF('Detailed Attendance'!DF71:DF71, "A")+COUNTIF('Detailed Attendance'!DT71:DT71, "A")+COUNTIF('Detailed Attendance'!EC71:EC71, "A")+COUNTIF('Detailed Attendance'!EQ71:EQ71, "A")+COUNTIF('Detailed Attendance'!EW71:EW71, "A")+COUNTIF('Detailed Attendance'!FK71:FK71, "A")+COUNTIF('Detailed Attendance'!FM71:FM71, "A")+COUNTIF('Detailed Attendance'!GA71:GA71, "A")</f>
        <v/>
      </c>
      <c r="AV70" s="68">
        <f>IF((AT70+AU70)=0,"", AT70/(AT70+AU70))</f>
        <v/>
      </c>
      <c r="AW70" s="67">
        <f>COUNTIF('Detailed Attendance'!DK71:DK71, "P")+COUNTIF('Detailed Attendance'!DS71:DS71, "P")+COUNTIF('Detailed Attendance'!EH71:EH71, "P")+COUNTIF('Detailed Attendance'!EP71:EP71, "P")+COUNTIF('Detailed Attendance'!FB71:FB71, "P")+COUNTIF('Detailed Attendance'!FJ71:FJ71, "P")+COUNTIF('Detailed Attendance'!FR71:FR71, "P")+COUNTIF('Detailed Attendance'!FZ71:FZ71, "P")</f>
        <v/>
      </c>
      <c r="AX70" s="67">
        <f>COUNTIF('Detailed Attendance'!DK71:DK71, "A")+COUNTIF('Detailed Attendance'!DS71:DS71, "A")+COUNTIF('Detailed Attendance'!EH71:EH71, "A")+COUNTIF('Detailed Attendance'!EP71:EP71, "A")+COUNTIF('Detailed Attendance'!FB71:FB71, "A")+COUNTIF('Detailed Attendance'!FJ71:FJ71, "A")+COUNTIF('Detailed Attendance'!FR71:FR71, "A")+COUNTIF('Detailed Attendance'!FZ71:FZ71, "A")</f>
        <v/>
      </c>
      <c r="AY70" s="68">
        <f>IF((AW70+AX70)=0,"", AW70/(AW70+AX70))</f>
        <v/>
      </c>
      <c r="AZ70" s="67">
        <f>COUNTIF('Detailed Attendance'!DN71:DN71, "P")+COUNTIF('Detailed Attendance'!DR71:DR71, "P")+COUNTIF('Detailed Attendance'!EK71:EK71, "P")+COUNTIF('Detailed Attendance'!EO71:EO71, "P")+COUNTIF('Detailed Attendance'!FE71:FE71, "P")+COUNTIF('Detailed Attendance'!FI71:FI71, "P")+COUNTIF('Detailed Attendance'!FU71:FU71, "P")+COUNTIF('Detailed Attendance'!FY71:FY71, "P")</f>
        <v/>
      </c>
      <c r="BA70" s="67">
        <f>COUNTIF('Detailed Attendance'!DN71:DN71, "A")+COUNTIF('Detailed Attendance'!DR71:DR71, "A")+COUNTIF('Detailed Attendance'!EK71:EK71, "A")+COUNTIF('Detailed Attendance'!EO71:EO71, "A")+COUNTIF('Detailed Attendance'!FE71:FE71, "A")+COUNTIF('Detailed Attendance'!FI71:FI71, "A")+COUNTIF('Detailed Attendance'!FU71:FU71, "A")+COUNTIF('Detailed Attendance'!FY71:FY71, "A")</f>
        <v/>
      </c>
      <c r="BB70" s="68">
        <f>IF((AZ70+BA70)=0,"", AZ70/(AZ70+BA70))</f>
        <v/>
      </c>
      <c r="BC70" s="67">
        <f>COUNTIF('Detailed Attendance'!DC71:DC71, "P")+COUNTIF('Detailed Attendance'!DV71:DV71, "P")+COUNTIF('Detailed Attendance'!DZ71:DZ71, "P")+COUNTIF('Detailed Attendance'!ES71:ES71, "P")+COUNTIF('Detailed Attendance'!GC71:GC71, "P")+COUNTIF('Detailed Attendance'!GG71:GG71, "P")</f>
        <v/>
      </c>
      <c r="BD70" s="67">
        <f>COUNTIF('Detailed Attendance'!DC71:DC71, "A")+COUNTIF('Detailed Attendance'!DV71:DV71, "A")+COUNTIF('Detailed Attendance'!DZ71:DZ71, "A")+COUNTIF('Detailed Attendance'!ES71:ES71, "A")+COUNTIF('Detailed Attendance'!GC71:GC71, "A")+COUNTIF('Detailed Attendance'!GG71:GG71, "A")</f>
        <v/>
      </c>
      <c r="BE70" s="68">
        <f>IF((BC70+BD70)=0,"", BC70/(BC70+BD70))</f>
        <v/>
      </c>
      <c r="BF70" s="67">
        <f>COUNTIF('Detailed Attendance'!DO71:DO71, "P")+COUNTIF('Detailed Attendance'!DW71:DW71, "P")+COUNTIF('Detailed Attendance'!EL71:EL71, "P")+COUNTIF('Detailed Attendance'!ET71:ET71, "P")+COUNTIF('Detailed Attendance'!FF71:FF71, "P")+COUNTIF('Detailed Attendance'!FV71:FV71, "P")+COUNTIF('Detailed Attendance'!GD71:GD71, "P")</f>
        <v/>
      </c>
      <c r="BG70" s="67">
        <f>COUNTIF('Detailed Attendance'!DO71:DO71, "A")+COUNTIF('Detailed Attendance'!DW71:DW71, "A")+COUNTIF('Detailed Attendance'!EL71:EL71, "A")+COUNTIF('Detailed Attendance'!ET71:ET71, "A")+COUNTIF('Detailed Attendance'!FF71:FF71, "A")+COUNTIF('Detailed Attendance'!FV71:FV71, "A")+COUNTIF('Detailed Attendance'!GD71:GD71, "A")</f>
        <v/>
      </c>
      <c r="BH70" s="68">
        <f>IF((BF70+BG70)=0,"", BF70/(BF70+BG70))</f>
        <v/>
      </c>
      <c r="BI70" s="67">
        <f>AT70+AW70+AZ70+BC70+BF70</f>
        <v/>
      </c>
      <c r="BJ70" s="67">
        <f>AU70+AX70+BA70+BD70+BG70</f>
        <v/>
      </c>
      <c r="BK70" s="68">
        <f>IF((BI70+BJ70)=0,"", BI70/(BI70+BJ70))</f>
        <v/>
      </c>
      <c r="BL70" s="69">
        <f>COUNTIF('Detailed Attendance'!DD71:DD71, "P")+COUNTIF('Detailed Attendance'!EA71:EA71, "P")+COUNTIF('Detailed Attendance'!GH71:GH71, "P")+COUNTIF('Detailed Attendance'!DE71:DE71, "P")+COUNTIF('Detailed Attendance'!EB71:EB71, "P")+COUNTIF('Detailed Attendance'!GI71:GI71, "P")+COUNTIF('Detailed Attendance'!DX71:DX71, "P")+COUNTIF('Detailed Attendance'!EU71:EU71, "P")+COUNTIF('Detailed Attendance'!GE71:GE71, "P")</f>
        <v/>
      </c>
      <c r="BM70" s="69">
        <f>COUNTIF('Detailed Attendance'!DD71:DD71, "A")+COUNTIF('Detailed Attendance'!EA71:EA71, "A")+COUNTIF('Detailed Attendance'!GH71:GH71, "A")+COUNTIF('Detailed Attendance'!DE71:DE71, "A")+COUNTIF('Detailed Attendance'!EB71:EB71, "A")+COUNTIF('Detailed Attendance'!GI71:GI71, "A")+COUNTIF('Detailed Attendance'!DX71:DX71, "A")+COUNTIF('Detailed Attendance'!EU71:EU71, "A")+COUNTIF('Detailed Attendance'!GE71:GE71, "A")</f>
        <v/>
      </c>
      <c r="BN70" s="70">
        <f>IF((BL70+BM70)=0,"", BL70/(BL70+BM70))</f>
        <v/>
      </c>
      <c r="BO70" s="67">
        <f>D70+Y70+AT70</f>
        <v/>
      </c>
      <c r="BP70" s="67">
        <f>E70+Z70+AU70</f>
        <v/>
      </c>
      <c r="BQ70" s="68">
        <f>IF((BO70+BP70)=0,"", BO70/(BO70+BP70))</f>
        <v/>
      </c>
      <c r="BR70" s="67">
        <f>G70+AB70+AW70</f>
        <v/>
      </c>
      <c r="BS70" s="67">
        <f>H70+AC70+AX70</f>
        <v/>
      </c>
      <c r="BT70" s="68">
        <f>IF((BR70+BS70)=0,"", BR70/(BR70+BS70))</f>
        <v/>
      </c>
      <c r="BU70" s="67">
        <f>J70+AE70+AZ70</f>
        <v/>
      </c>
      <c r="BV70" s="67">
        <f>K70+AF70+BA70</f>
        <v/>
      </c>
      <c r="BW70" s="68">
        <f>IF((BU70+BV70)=0,"", BU70/(BU70+BV70))</f>
        <v/>
      </c>
      <c r="BX70" s="67">
        <f>M70+AH70+BC70</f>
        <v/>
      </c>
      <c r="BY70" s="67">
        <f>N70+AI70+BD70</f>
        <v/>
      </c>
      <c r="BZ70" s="68">
        <f>IF((BX70+BY70)=0,"", BX70/(BX70+BY70))</f>
        <v/>
      </c>
      <c r="CA70" s="67">
        <f>P70+AK70+BF70</f>
        <v/>
      </c>
      <c r="CB70" s="67">
        <f>Q70+AL70+BG70</f>
        <v/>
      </c>
      <c r="CC70" s="68">
        <f>IF((CA70+CB70)=0,"", CA70/(CA70+CB70))</f>
        <v/>
      </c>
      <c r="CD70" s="67">
        <f>S70+AN70+BI70</f>
        <v/>
      </c>
      <c r="CE70" s="67">
        <f>T70+AO70+BJ70</f>
        <v/>
      </c>
      <c r="CF70" s="68">
        <f>IF((CD70+CE70)=0,"", CD70/(CD70+CE70))</f>
        <v/>
      </c>
      <c r="CG70" s="69">
        <f>V70+AQ70+BL70</f>
        <v/>
      </c>
      <c r="CH70" s="69">
        <f>W70+AR70+BM70</f>
        <v/>
      </c>
      <c r="CI70" s="70">
        <f>IF((CG70+CH70)=0,"", CG70/(CG70+CH70))</f>
        <v/>
      </c>
      <c r="CJ70" s="67">
        <f>CD70+(CG70*2)</f>
        <v/>
      </c>
      <c r="CK70" s="67">
        <f>CE70+(CH70*2)</f>
        <v/>
      </c>
      <c r="CL70" s="68">
        <f>IF((CJ70+CK70)=0,"", CJ70/(CJ70+CK70))</f>
        <v/>
      </c>
      <c r="CM70" s="67" t="inlineStr">
        <is>
          <t>Batch 2</t>
        </is>
      </c>
    </row>
    <row r="71" ht="14.25" customHeight="1" s="34">
      <c r="A71" s="46" t="n">
        <v>69</v>
      </c>
      <c r="B71" s="46" t="inlineStr">
        <is>
          <t>325106410069</t>
        </is>
      </c>
      <c r="C71" s="46" t="inlineStr">
        <is>
          <t>ABDULRAHMAN HAGEB</t>
        </is>
      </c>
      <c r="D71" s="63" t="n">
        <v>0</v>
      </c>
      <c r="E71" s="63" t="n">
        <v>0</v>
      </c>
      <c r="F71" s="64">
        <f>IF((D71+E71)=0,"", D71/(D71+E71))</f>
        <v/>
      </c>
      <c r="G71" s="63">
        <f>COUNTIF('Detailed Attendance'!I72:I72, "P")</f>
        <v/>
      </c>
      <c r="H71" s="63">
        <f>COUNTIF('Detailed Attendance'!I72:I72, "A")</f>
        <v/>
      </c>
      <c r="I71" s="64">
        <f>IF((G71+H71)=0,"", G71/(G71+H71))</f>
        <v/>
      </c>
      <c r="J71" s="63" t="n">
        <v>0</v>
      </c>
      <c r="K71" s="63" t="n">
        <v>0</v>
      </c>
      <c r="L71" s="64">
        <f>IF((J71+K71)=0,"", J71/(J71+K71))</f>
        <v/>
      </c>
      <c r="M71" s="63">
        <f>COUNTIF('Detailed Attendance'!D72:D72, "P")</f>
        <v/>
      </c>
      <c r="N71" s="63">
        <f>COUNTIF('Detailed Attendance'!D72:D72, "A")</f>
        <v/>
      </c>
      <c r="O71" s="64">
        <f>IF((M71+N71)=0,"", M71/(M71+N71))</f>
        <v/>
      </c>
      <c r="P71" s="63" t="n">
        <v>0</v>
      </c>
      <c r="Q71" s="63" t="n">
        <v>0</v>
      </c>
      <c r="R71" s="64">
        <f>IF((P71+Q71)=0,"", P71/(P71+Q71))</f>
        <v/>
      </c>
      <c r="S71" s="63">
        <f>D71+G71+J71+M71+P71</f>
        <v/>
      </c>
      <c r="T71" s="63">
        <f>E71+H71+K71+N71+Q71</f>
        <v/>
      </c>
      <c r="U71" s="64">
        <f>IF((S71+T71)=0,"", S71/(S71+T71))</f>
        <v/>
      </c>
      <c r="V71" s="65" t="n">
        <v>0</v>
      </c>
      <c r="W71" s="65" t="n">
        <v>0</v>
      </c>
      <c r="X71" s="66">
        <f>IF((V71+W71)=0,"", V71/(V71+W71))</f>
        <v/>
      </c>
      <c r="Y71" s="63">
        <f>COUNTIF('Detailed Attendance'!R72:R72, "P")+COUNTIF('Detailed Attendance'!X72:X72, "P")+COUNTIF('Detailed Attendance'!AL72:AL72, "P")+COUNTIF('Detailed Attendance'!BF72:BF72, "P")+COUNTIF('Detailed Attendance'!BL72:BL72, "P")+COUNTIF('Detailed Attendance'!BZ72:BZ72, "P")+COUNTIF('Detailed Attendance'!CI72:CI72, "P")+COUNTIF('Detailed Attendance'!CW72:CW72, "P")</f>
        <v/>
      </c>
      <c r="Z71" s="63">
        <f>COUNTIF('Detailed Attendance'!R72:R72, "A")+COUNTIF('Detailed Attendance'!X72:X72, "A")+COUNTIF('Detailed Attendance'!AL72:AL72, "A")+COUNTIF('Detailed Attendance'!BF72:BF72, "A")+COUNTIF('Detailed Attendance'!BL72:BL72, "A")+COUNTIF('Detailed Attendance'!BZ72:BZ72, "A")+COUNTIF('Detailed Attendance'!CI72:CI72, "A")+COUNTIF('Detailed Attendance'!CW72:CW72, "A")</f>
        <v/>
      </c>
      <c r="AA71" s="64">
        <f>IF((Y71+Z71)=0,"", Y71/(Y71+Z71))</f>
        <v/>
      </c>
      <c r="AB71" s="63">
        <f>COUNTIF('Detailed Attendance'!Q72:Q72, "P")+COUNTIF('Detailed Attendance'!AC72:AC72, "P")+COUNTIF('Detailed Attendance'!AK72:AK72, "P")+COUNTIF('Detailed Attendance'!AW72:AW72, "P")+COUNTIF('Detailed Attendance'!BE72:BE72, "P")+COUNTIF('Detailed Attendance'!BQ72:BQ72, "P")+COUNTIF('Detailed Attendance'!BY72:BY72, "P")+COUNTIF('Detailed Attendance'!CN72:CN72, "P")+COUNTIF('Detailed Attendance'!CV72:CV72, "P")</f>
        <v/>
      </c>
      <c r="AC71" s="63">
        <f>COUNTIF('Detailed Attendance'!Q72:Q72, "A")+COUNTIF('Detailed Attendance'!AC72:AC72, "A")+COUNTIF('Detailed Attendance'!AK72:AK72, "A")+COUNTIF('Detailed Attendance'!AW72:AW72, "A")+COUNTIF('Detailed Attendance'!BE72:BE72, "A")+COUNTIF('Detailed Attendance'!BQ72:BQ72, "A")+COUNTIF('Detailed Attendance'!BY72:BY72, "A")+COUNTIF('Detailed Attendance'!CN72:CN72, "A")+COUNTIF('Detailed Attendance'!CV72:CV72, "A")</f>
        <v/>
      </c>
      <c r="AD71" s="64">
        <f>IF((AB71+AC71)=0,"", AB71/(AB71+AC71))</f>
        <v/>
      </c>
      <c r="AE71" s="63">
        <f>COUNTIF('Detailed Attendance'!L72:L72, "P")+COUNTIF('Detailed Attendance'!P72:P72, "P")+COUNTIF('Detailed Attendance'!AF72:AF72, "P")+COUNTIF('Detailed Attendance'!AJ72:AJ72, "P")+COUNTIF('Detailed Attendance'!AZ72:AZ72, "P")+COUNTIF('Detailed Attendance'!BD72:BD72, "P")+COUNTIF('Detailed Attendance'!BT72:BT72, "P")+COUNTIF('Detailed Attendance'!BX72:BX72, "P")+COUNTIF('Detailed Attendance'!CQ72:CQ72, "P")+COUNTIF('Detailed Attendance'!CU72:CU72, "P")</f>
        <v/>
      </c>
      <c r="AF71" s="67">
        <f>COUNTIF('Detailed Attendance'!L72:L72, "A")+COUNTIF('Detailed Attendance'!P72:P72, "A")+COUNTIF('Detailed Attendance'!AF72:AF72, "A")+COUNTIF('Detailed Attendance'!AJ72:AJ72, "A")+COUNTIF('Detailed Attendance'!AZ72:AZ72, "A")+COUNTIF('Detailed Attendance'!BD72:BD72, "A")+COUNTIF('Detailed Attendance'!BT72:BT72, "A")+COUNTIF('Detailed Attendance'!BX72:BX72, "A")+COUNTIF('Detailed Attendance'!CQ72:CQ72, "A")+COUNTIF('Detailed Attendance'!CU72:CU72, "A")</f>
        <v/>
      </c>
      <c r="AG71" s="68">
        <f>IF((AE71+AF71)=0,"", AE71/(AE71+AF71))</f>
        <v/>
      </c>
      <c r="AH71" s="67">
        <f>COUNTIF('Detailed Attendance'!T72:T72, "P")+COUNTIF('Detailed Attendance'!AN72:AN72, "P")+COUNTIF('Detailed Attendance'!AR72:AR72, "P")+COUNTIF('Detailed Attendance'!BH72:BH72, "P")+COUNTIF('Detailed Attendance'!CB72:CB72, "P")+COUNTIF('Detailed Attendance'!CF72:CF72, "P")+COUNTIF('Detailed Attendance'!CY72:CY72, "P")</f>
        <v/>
      </c>
      <c r="AI71" s="67">
        <f>COUNTIF('Detailed Attendance'!T72:T72, "A")+COUNTIF('Detailed Attendance'!AN72:AN72, "A")+COUNTIF('Detailed Attendance'!AR72:AR72, "A")+COUNTIF('Detailed Attendance'!BH72:BH72, "A")+COUNTIF('Detailed Attendance'!CB72:CB72, "A")+COUNTIF('Detailed Attendance'!CF72:CF72, "A")+COUNTIF('Detailed Attendance'!CY72:CY72, "A")</f>
        <v/>
      </c>
      <c r="AJ71" s="68">
        <f>IF((AH71+AI71)=0,"", AH71/(AH71+AI71))</f>
        <v/>
      </c>
      <c r="AK71" s="67">
        <f>COUNTIF('Detailed Attendance'!M72:M72, "P")+COUNTIF('Detailed Attendance'!U72:U72, "P")+COUNTIF('Detailed Attendance'!AG72:AG72, "P")+COUNTIF('Detailed Attendance'!AO72:AO72, "P")+COUNTIF('Detailed Attendance'!BA72:BA72, "P")+COUNTIF('Detailed Attendance'!BI72:BI72, "P")+COUNTIF('Detailed Attendance'!BU72:BU72, "P")+COUNTIF('Detailed Attendance'!CC72:CC72, "P")+COUNTIF('Detailed Attendance'!CR72:CR72, "P")+COUNTIF('Detailed Attendance'!CZ72:CZ72, "P")</f>
        <v/>
      </c>
      <c r="AL71" s="67">
        <f>COUNTIF('Detailed Attendance'!M72:M72, "A")+COUNTIF('Detailed Attendance'!U72:U72, "A")+COUNTIF('Detailed Attendance'!AG72:AG72, "A")+COUNTIF('Detailed Attendance'!AO72:AO72, "A")+COUNTIF('Detailed Attendance'!BA72:BA72, "A")+COUNTIF('Detailed Attendance'!BI72:BI72, "A")+COUNTIF('Detailed Attendance'!BU72:BU72, "A")+COUNTIF('Detailed Attendance'!CC72:CC72, "A")+COUNTIF('Detailed Attendance'!CR72:CR72, "A")+COUNTIF('Detailed Attendance'!CZ72:CZ72, "A")</f>
        <v/>
      </c>
      <c r="AM71" s="68">
        <f>IF((AK71+AL71)=0,"", AK71/(AK71+AL71))</f>
        <v/>
      </c>
      <c r="AN71" s="67">
        <f>Y71+AB71+AE71+AH71+AK71</f>
        <v/>
      </c>
      <c r="AO71" s="67">
        <f>Z71+AC71+AF71+AI71+AL71</f>
        <v/>
      </c>
      <c r="AP71" s="68">
        <f>IF((AN71+AO71)=0,"", AN71/(AN71+AO71))</f>
        <v/>
      </c>
      <c r="AQ71" s="69">
        <f>COUNTIF('Detailed Attendance'!CG72:CG72, "P")+COUNTIF('Detailed Attendance'!CH72:CH72, "P")+COUNTIF('Detailed Attendance'!V72:V72, "P")+COUNTIF('Detailed Attendance'!AP72:AP72, "P")+COUNTIF('Detailed Attendance'!BJ72:BJ72, "P")+COUNTIF('Detailed Attendance'!CD72:CD72, "P")+COUNTIF('Detailed Attendance'!DA72:DA72, "P")</f>
        <v/>
      </c>
      <c r="AR71" s="69">
        <f>COUNTIF('Detailed Attendance'!CG72:CG72, "A")+COUNTIF('Detailed Attendance'!CH72:CH72, "A")+COUNTIF('Detailed Attendance'!V72:V72, "A")+COUNTIF('Detailed Attendance'!AP72:AP72, "A")+COUNTIF('Detailed Attendance'!BJ72:BJ72, "A")+COUNTIF('Detailed Attendance'!CD72:CD72, "A")+COUNTIF('Detailed Attendance'!DA72:DA72, "A")</f>
        <v/>
      </c>
      <c r="AS71" s="70">
        <f>IF((AQ71+AR71)=0,"", AQ71/(AQ71+AR71))</f>
        <v/>
      </c>
      <c r="AT71" s="67">
        <f>COUNTIF('Detailed Attendance'!DF72:DF72, "P")+COUNTIF('Detailed Attendance'!DT72:DT72, "P")+COUNTIF('Detailed Attendance'!EC72:EC72, "P")+COUNTIF('Detailed Attendance'!EQ72:EQ72, "P")+COUNTIF('Detailed Attendance'!EW72:EW72, "P")+COUNTIF('Detailed Attendance'!FK72:FK72, "P")+COUNTIF('Detailed Attendance'!FM72:FM72, "P")+COUNTIF('Detailed Attendance'!GA72:GA72, "P")</f>
        <v/>
      </c>
      <c r="AU71" s="67">
        <f>COUNTIF('Detailed Attendance'!DF72:DF72, "A")+COUNTIF('Detailed Attendance'!DT72:DT72, "A")+COUNTIF('Detailed Attendance'!EC72:EC72, "A")+COUNTIF('Detailed Attendance'!EQ72:EQ72, "A")+COUNTIF('Detailed Attendance'!EW72:EW72, "A")+COUNTIF('Detailed Attendance'!FK72:FK72, "A")+COUNTIF('Detailed Attendance'!FM72:FM72, "A")+COUNTIF('Detailed Attendance'!GA72:GA72, "A")</f>
        <v/>
      </c>
      <c r="AV71" s="68">
        <f>IF((AT71+AU71)=0,"", AT71/(AT71+AU71))</f>
        <v/>
      </c>
      <c r="AW71" s="67">
        <f>COUNTIF('Detailed Attendance'!DK72:DK72, "P")+COUNTIF('Detailed Attendance'!DS72:DS72, "P")+COUNTIF('Detailed Attendance'!EH72:EH72, "P")+COUNTIF('Detailed Attendance'!EP72:EP72, "P")+COUNTIF('Detailed Attendance'!FB72:FB72, "P")+COUNTIF('Detailed Attendance'!FJ72:FJ72, "P")+COUNTIF('Detailed Attendance'!FR72:FR72, "P")+COUNTIF('Detailed Attendance'!FZ72:FZ72, "P")</f>
        <v/>
      </c>
      <c r="AX71" s="67">
        <f>COUNTIF('Detailed Attendance'!DK72:DK72, "A")+COUNTIF('Detailed Attendance'!DS72:DS72, "A")+COUNTIF('Detailed Attendance'!EH72:EH72, "A")+COUNTIF('Detailed Attendance'!EP72:EP72, "A")+COUNTIF('Detailed Attendance'!FB72:FB72, "A")+COUNTIF('Detailed Attendance'!FJ72:FJ72, "A")+COUNTIF('Detailed Attendance'!FR72:FR72, "A")+COUNTIF('Detailed Attendance'!FZ72:FZ72, "A")</f>
        <v/>
      </c>
      <c r="AY71" s="68">
        <f>IF((AW71+AX71)=0,"", AW71/(AW71+AX71))</f>
        <v/>
      </c>
      <c r="AZ71" s="67">
        <f>COUNTIF('Detailed Attendance'!DN72:DN72, "P")+COUNTIF('Detailed Attendance'!DR72:DR72, "P")+COUNTIF('Detailed Attendance'!EK72:EK72, "P")+COUNTIF('Detailed Attendance'!EO72:EO72, "P")+COUNTIF('Detailed Attendance'!FE72:FE72, "P")+COUNTIF('Detailed Attendance'!FI72:FI72, "P")+COUNTIF('Detailed Attendance'!FU72:FU72, "P")+COUNTIF('Detailed Attendance'!FY72:FY72, "P")</f>
        <v/>
      </c>
      <c r="BA71" s="67">
        <f>COUNTIF('Detailed Attendance'!DN72:DN72, "A")+COUNTIF('Detailed Attendance'!DR72:DR72, "A")+COUNTIF('Detailed Attendance'!EK72:EK72, "A")+COUNTIF('Detailed Attendance'!EO72:EO72, "A")+COUNTIF('Detailed Attendance'!FE72:FE72, "A")+COUNTIF('Detailed Attendance'!FI72:FI72, "A")+COUNTIF('Detailed Attendance'!FU72:FU72, "A")+COUNTIF('Detailed Attendance'!FY72:FY72, "A")</f>
        <v/>
      </c>
      <c r="BB71" s="68">
        <f>IF((AZ71+BA71)=0,"", AZ71/(AZ71+BA71))</f>
        <v/>
      </c>
      <c r="BC71" s="67">
        <f>COUNTIF('Detailed Attendance'!DC72:DC72, "P")+COUNTIF('Detailed Attendance'!DV72:DV72, "P")+COUNTIF('Detailed Attendance'!DZ72:DZ72, "P")+COUNTIF('Detailed Attendance'!ES72:ES72, "P")+COUNTIF('Detailed Attendance'!GC72:GC72, "P")+COUNTIF('Detailed Attendance'!GG72:GG72, "P")</f>
        <v/>
      </c>
      <c r="BD71" s="67">
        <f>COUNTIF('Detailed Attendance'!DC72:DC72, "A")+COUNTIF('Detailed Attendance'!DV72:DV72, "A")+COUNTIF('Detailed Attendance'!DZ72:DZ72, "A")+COUNTIF('Detailed Attendance'!ES72:ES72, "A")+COUNTIF('Detailed Attendance'!GC72:GC72, "A")+COUNTIF('Detailed Attendance'!GG72:GG72, "A")</f>
        <v/>
      </c>
      <c r="BE71" s="68">
        <f>IF((BC71+BD71)=0,"", BC71/(BC71+BD71))</f>
        <v/>
      </c>
      <c r="BF71" s="67">
        <f>COUNTIF('Detailed Attendance'!DO72:DO72, "P")+COUNTIF('Detailed Attendance'!DW72:DW72, "P")+COUNTIF('Detailed Attendance'!EL72:EL72, "P")+COUNTIF('Detailed Attendance'!ET72:ET72, "P")+COUNTIF('Detailed Attendance'!FF72:FF72, "P")+COUNTIF('Detailed Attendance'!FV72:FV72, "P")+COUNTIF('Detailed Attendance'!GD72:GD72, "P")</f>
        <v/>
      </c>
      <c r="BG71" s="67">
        <f>COUNTIF('Detailed Attendance'!DO72:DO72, "A")+COUNTIF('Detailed Attendance'!DW72:DW72, "A")+COUNTIF('Detailed Attendance'!EL72:EL72, "A")+COUNTIF('Detailed Attendance'!ET72:ET72, "A")+COUNTIF('Detailed Attendance'!FF72:FF72, "A")+COUNTIF('Detailed Attendance'!FV72:FV72, "A")+COUNTIF('Detailed Attendance'!GD72:GD72, "A")</f>
        <v/>
      </c>
      <c r="BH71" s="68">
        <f>IF((BF71+BG71)=0,"", BF71/(BF71+BG71))</f>
        <v/>
      </c>
      <c r="BI71" s="67">
        <f>AT71+AW71+AZ71+BC71+BF71</f>
        <v/>
      </c>
      <c r="BJ71" s="67">
        <f>AU71+AX71+BA71+BD71+BG71</f>
        <v/>
      </c>
      <c r="BK71" s="68">
        <f>IF((BI71+BJ71)=0,"", BI71/(BI71+BJ71))</f>
        <v/>
      </c>
      <c r="BL71" s="69">
        <f>COUNTIF('Detailed Attendance'!DD72:DD72, "P")+COUNTIF('Detailed Attendance'!EA72:EA72, "P")+COUNTIF('Detailed Attendance'!GH72:GH72, "P")+COUNTIF('Detailed Attendance'!DE72:DE72, "P")+COUNTIF('Detailed Attendance'!EB72:EB72, "P")+COUNTIF('Detailed Attendance'!GI72:GI72, "P")+COUNTIF('Detailed Attendance'!DX72:DX72, "P")+COUNTIF('Detailed Attendance'!EU72:EU72, "P")+COUNTIF('Detailed Attendance'!GE72:GE72, "P")</f>
        <v/>
      </c>
      <c r="BM71" s="69">
        <f>COUNTIF('Detailed Attendance'!DD72:DD72, "A")+COUNTIF('Detailed Attendance'!EA72:EA72, "A")+COUNTIF('Detailed Attendance'!GH72:GH72, "A")+COUNTIF('Detailed Attendance'!DE72:DE72, "A")+COUNTIF('Detailed Attendance'!EB72:EB72, "A")+COUNTIF('Detailed Attendance'!GI72:GI72, "A")+COUNTIF('Detailed Attendance'!DX72:DX72, "A")+COUNTIF('Detailed Attendance'!EU72:EU72, "A")+COUNTIF('Detailed Attendance'!GE72:GE72, "A")</f>
        <v/>
      </c>
      <c r="BN71" s="70">
        <f>IF((BL71+BM71)=0,"", BL71/(BL71+BM71))</f>
        <v/>
      </c>
      <c r="BO71" s="67">
        <f>D71+Y71+AT71</f>
        <v/>
      </c>
      <c r="BP71" s="67">
        <f>E71+Z71+AU71</f>
        <v/>
      </c>
      <c r="BQ71" s="68">
        <f>IF((BO71+BP71)=0,"", BO71/(BO71+BP71))</f>
        <v/>
      </c>
      <c r="BR71" s="67">
        <f>G71+AB71+AW71</f>
        <v/>
      </c>
      <c r="BS71" s="67">
        <f>H71+AC71+AX71</f>
        <v/>
      </c>
      <c r="BT71" s="68">
        <f>IF((BR71+BS71)=0,"", BR71/(BR71+BS71))</f>
        <v/>
      </c>
      <c r="BU71" s="67">
        <f>J71+AE71+AZ71</f>
        <v/>
      </c>
      <c r="BV71" s="67">
        <f>K71+AF71+BA71</f>
        <v/>
      </c>
      <c r="BW71" s="68">
        <f>IF((BU71+BV71)=0,"", BU71/(BU71+BV71))</f>
        <v/>
      </c>
      <c r="BX71" s="67">
        <f>M71+AH71+BC71</f>
        <v/>
      </c>
      <c r="BY71" s="67">
        <f>N71+AI71+BD71</f>
        <v/>
      </c>
      <c r="BZ71" s="68">
        <f>IF((BX71+BY71)=0,"", BX71/(BX71+BY71))</f>
        <v/>
      </c>
      <c r="CA71" s="67">
        <f>P71+AK71+BF71</f>
        <v/>
      </c>
      <c r="CB71" s="67">
        <f>Q71+AL71+BG71</f>
        <v/>
      </c>
      <c r="CC71" s="68">
        <f>IF((CA71+CB71)=0,"", CA71/(CA71+CB71))</f>
        <v/>
      </c>
      <c r="CD71" s="67">
        <f>S71+AN71+BI71</f>
        <v/>
      </c>
      <c r="CE71" s="67">
        <f>T71+AO71+BJ71</f>
        <v/>
      </c>
      <c r="CF71" s="68">
        <f>IF((CD71+CE71)=0,"", CD71/(CD71+CE71))</f>
        <v/>
      </c>
      <c r="CG71" s="69">
        <f>V71+AQ71+BL71</f>
        <v/>
      </c>
      <c r="CH71" s="69">
        <f>W71+AR71+BM71</f>
        <v/>
      </c>
      <c r="CI71" s="70">
        <f>IF((CG71+CH71)=0,"", CG71/(CG71+CH71))</f>
        <v/>
      </c>
      <c r="CJ71" s="67">
        <f>CD71+(CG71*2)</f>
        <v/>
      </c>
      <c r="CK71" s="67">
        <f>CE71+(CH71*2)</f>
        <v/>
      </c>
      <c r="CL71" s="68">
        <f>IF((CJ71+CK71)=0,"", CJ71/(CJ71+CK71))</f>
        <v/>
      </c>
      <c r="CM71" s="67" t="inlineStr">
        <is>
          <t>Batch 2</t>
        </is>
      </c>
    </row>
    <row r="72" ht="14.25" customHeight="1" s="34">
      <c r="A72" s="46" t="n">
        <v>70</v>
      </c>
      <c r="B72" s="46" t="inlineStr">
        <is>
          <t>325106410070</t>
        </is>
      </c>
      <c r="C72" s="46" t="inlineStr">
        <is>
          <t>ABUBAKAR SAMINU</t>
        </is>
      </c>
      <c r="D72" s="63" t="n">
        <v>0</v>
      </c>
      <c r="E72" s="63" t="n">
        <v>0</v>
      </c>
      <c r="F72" s="64">
        <f>IF((D72+E72)=0,"", D72/(D72+E72))</f>
        <v/>
      </c>
      <c r="G72" s="63">
        <f>COUNTIF('Detailed Attendance'!I73:I73, "P")</f>
        <v/>
      </c>
      <c r="H72" s="63">
        <f>COUNTIF('Detailed Attendance'!I73:I73, "A")</f>
        <v/>
      </c>
      <c r="I72" s="64">
        <f>IF((G72+H72)=0,"", G72/(G72+H72))</f>
        <v/>
      </c>
      <c r="J72" s="63" t="n">
        <v>0</v>
      </c>
      <c r="K72" s="63" t="n">
        <v>0</v>
      </c>
      <c r="L72" s="64">
        <f>IF((J72+K72)=0,"", J72/(J72+K72))</f>
        <v/>
      </c>
      <c r="M72" s="63">
        <f>COUNTIF('Detailed Attendance'!D73:D73, "P")</f>
        <v/>
      </c>
      <c r="N72" s="63">
        <f>COUNTIF('Detailed Attendance'!D73:D73, "A")</f>
        <v/>
      </c>
      <c r="O72" s="64">
        <f>IF((M72+N72)=0,"", M72/(M72+N72))</f>
        <v/>
      </c>
      <c r="P72" s="63" t="n">
        <v>0</v>
      </c>
      <c r="Q72" s="63" t="n">
        <v>0</v>
      </c>
      <c r="R72" s="64">
        <f>IF((P72+Q72)=0,"", P72/(P72+Q72))</f>
        <v/>
      </c>
      <c r="S72" s="63">
        <f>D72+G72+J72+M72+P72</f>
        <v/>
      </c>
      <c r="T72" s="63">
        <f>E72+H72+K72+N72+Q72</f>
        <v/>
      </c>
      <c r="U72" s="64">
        <f>IF((S72+T72)=0,"", S72/(S72+T72))</f>
        <v/>
      </c>
      <c r="V72" s="65" t="n">
        <v>0</v>
      </c>
      <c r="W72" s="65" t="n">
        <v>0</v>
      </c>
      <c r="X72" s="66">
        <f>IF((V72+W72)=0,"", V72/(V72+W72))</f>
        <v/>
      </c>
      <c r="Y72" s="63">
        <f>COUNTIF('Detailed Attendance'!R73:R73, "P")+COUNTIF('Detailed Attendance'!X73:X73, "P")+COUNTIF('Detailed Attendance'!AL73:AL73, "P")+COUNTIF('Detailed Attendance'!BF73:BF73, "P")+COUNTIF('Detailed Attendance'!BL73:BL73, "P")+COUNTIF('Detailed Attendance'!BZ73:BZ73, "P")+COUNTIF('Detailed Attendance'!CI73:CI73, "P")+COUNTIF('Detailed Attendance'!CW73:CW73, "P")</f>
        <v/>
      </c>
      <c r="Z72" s="63">
        <f>COUNTIF('Detailed Attendance'!R73:R73, "A")+COUNTIF('Detailed Attendance'!X73:X73, "A")+COUNTIF('Detailed Attendance'!AL73:AL73, "A")+COUNTIF('Detailed Attendance'!BF73:BF73, "A")+COUNTIF('Detailed Attendance'!BL73:BL73, "A")+COUNTIF('Detailed Attendance'!BZ73:BZ73, "A")+COUNTIF('Detailed Attendance'!CI73:CI73, "A")+COUNTIF('Detailed Attendance'!CW73:CW73, "A")</f>
        <v/>
      </c>
      <c r="AA72" s="64">
        <f>IF((Y72+Z72)=0,"", Y72/(Y72+Z72))</f>
        <v/>
      </c>
      <c r="AB72" s="63">
        <f>COUNTIF('Detailed Attendance'!Q73:Q73, "P")+COUNTIF('Detailed Attendance'!AC73:AC73, "P")+COUNTIF('Detailed Attendance'!AK73:AK73, "P")+COUNTIF('Detailed Attendance'!AW73:AW73, "P")+COUNTIF('Detailed Attendance'!BE73:BE73, "P")+COUNTIF('Detailed Attendance'!BQ73:BQ73, "P")+COUNTIF('Detailed Attendance'!BY73:BY73, "P")+COUNTIF('Detailed Attendance'!CN73:CN73, "P")+COUNTIF('Detailed Attendance'!CV73:CV73, "P")</f>
        <v/>
      </c>
      <c r="AC72" s="63">
        <f>COUNTIF('Detailed Attendance'!Q73:Q73, "A")+COUNTIF('Detailed Attendance'!AC73:AC73, "A")+COUNTIF('Detailed Attendance'!AK73:AK73, "A")+COUNTIF('Detailed Attendance'!AW73:AW73, "A")+COUNTIF('Detailed Attendance'!BE73:BE73, "A")+COUNTIF('Detailed Attendance'!BQ73:BQ73, "A")+COUNTIF('Detailed Attendance'!BY73:BY73, "A")+COUNTIF('Detailed Attendance'!CN73:CN73, "A")+COUNTIF('Detailed Attendance'!CV73:CV73, "A")</f>
        <v/>
      </c>
      <c r="AD72" s="64">
        <f>IF((AB72+AC72)=0,"", AB72/(AB72+AC72))</f>
        <v/>
      </c>
      <c r="AE72" s="63">
        <f>COUNTIF('Detailed Attendance'!L73:L73, "P")+COUNTIF('Detailed Attendance'!P73:P73, "P")+COUNTIF('Detailed Attendance'!AF73:AF73, "P")+COUNTIF('Detailed Attendance'!AJ73:AJ73, "P")+COUNTIF('Detailed Attendance'!AZ73:AZ73, "P")+COUNTIF('Detailed Attendance'!BD73:BD73, "P")+COUNTIF('Detailed Attendance'!BT73:BT73, "P")+COUNTIF('Detailed Attendance'!BX73:BX73, "P")+COUNTIF('Detailed Attendance'!CQ73:CQ73, "P")+COUNTIF('Detailed Attendance'!CU73:CU73, "P")</f>
        <v/>
      </c>
      <c r="AF72" s="67">
        <f>COUNTIF('Detailed Attendance'!L73:L73, "A")+COUNTIF('Detailed Attendance'!P73:P73, "A")+COUNTIF('Detailed Attendance'!AF73:AF73, "A")+COUNTIF('Detailed Attendance'!AJ73:AJ73, "A")+COUNTIF('Detailed Attendance'!AZ73:AZ73, "A")+COUNTIF('Detailed Attendance'!BD73:BD73, "A")+COUNTIF('Detailed Attendance'!BT73:BT73, "A")+COUNTIF('Detailed Attendance'!BX73:BX73, "A")+COUNTIF('Detailed Attendance'!CQ73:CQ73, "A")+COUNTIF('Detailed Attendance'!CU73:CU73, "A")</f>
        <v/>
      </c>
      <c r="AG72" s="68">
        <f>IF((AE72+AF72)=0,"", AE72/(AE72+AF72))</f>
        <v/>
      </c>
      <c r="AH72" s="67">
        <f>COUNTIF('Detailed Attendance'!T73:T73, "P")+COUNTIF('Detailed Attendance'!AN73:AN73, "P")+COUNTIF('Detailed Attendance'!AR73:AR73, "P")+COUNTIF('Detailed Attendance'!BH73:BH73, "P")+COUNTIF('Detailed Attendance'!CB73:CB73, "P")+COUNTIF('Detailed Attendance'!CF73:CF73, "P")+COUNTIF('Detailed Attendance'!CY73:CY73, "P")</f>
        <v/>
      </c>
      <c r="AI72" s="67">
        <f>COUNTIF('Detailed Attendance'!T73:T73, "A")+COUNTIF('Detailed Attendance'!AN73:AN73, "A")+COUNTIF('Detailed Attendance'!AR73:AR73, "A")+COUNTIF('Detailed Attendance'!BH73:BH73, "A")+COUNTIF('Detailed Attendance'!CB73:CB73, "A")+COUNTIF('Detailed Attendance'!CF73:CF73, "A")+COUNTIF('Detailed Attendance'!CY73:CY73, "A")</f>
        <v/>
      </c>
      <c r="AJ72" s="68">
        <f>IF((AH72+AI72)=0,"", AH72/(AH72+AI72))</f>
        <v/>
      </c>
      <c r="AK72" s="67">
        <f>COUNTIF('Detailed Attendance'!M73:M73, "P")+COUNTIF('Detailed Attendance'!U73:U73, "P")+COUNTIF('Detailed Attendance'!AG73:AG73, "P")+COUNTIF('Detailed Attendance'!AO73:AO73, "P")+COUNTIF('Detailed Attendance'!BA73:BA73, "P")+COUNTIF('Detailed Attendance'!BI73:BI73, "P")+COUNTIF('Detailed Attendance'!BU73:BU73, "P")+COUNTIF('Detailed Attendance'!CC73:CC73, "P")+COUNTIF('Detailed Attendance'!CR73:CR73, "P")+COUNTIF('Detailed Attendance'!CZ73:CZ73, "P")</f>
        <v/>
      </c>
      <c r="AL72" s="67">
        <f>COUNTIF('Detailed Attendance'!M73:M73, "A")+COUNTIF('Detailed Attendance'!U73:U73, "A")+COUNTIF('Detailed Attendance'!AG73:AG73, "A")+COUNTIF('Detailed Attendance'!AO73:AO73, "A")+COUNTIF('Detailed Attendance'!BA73:BA73, "A")+COUNTIF('Detailed Attendance'!BI73:BI73, "A")+COUNTIF('Detailed Attendance'!BU73:BU73, "A")+COUNTIF('Detailed Attendance'!CC73:CC73, "A")+COUNTIF('Detailed Attendance'!CR73:CR73, "A")+COUNTIF('Detailed Attendance'!CZ73:CZ73, "A")</f>
        <v/>
      </c>
      <c r="AM72" s="68">
        <f>IF((AK72+AL72)=0,"", AK72/(AK72+AL72))</f>
        <v/>
      </c>
      <c r="AN72" s="67">
        <f>Y72+AB72+AE72+AH72+AK72</f>
        <v/>
      </c>
      <c r="AO72" s="67">
        <f>Z72+AC72+AF72+AI72+AL72</f>
        <v/>
      </c>
      <c r="AP72" s="68">
        <f>IF((AN72+AO72)=0,"", AN72/(AN72+AO72))</f>
        <v/>
      </c>
      <c r="AQ72" s="69">
        <f>COUNTIF('Detailed Attendance'!CG73:CG73, "P")+COUNTIF('Detailed Attendance'!CH73:CH73, "P")+COUNTIF('Detailed Attendance'!V73:V73, "P")+COUNTIF('Detailed Attendance'!AP73:AP73, "P")+COUNTIF('Detailed Attendance'!BJ73:BJ73, "P")+COUNTIF('Detailed Attendance'!CD73:CD73, "P")+COUNTIF('Detailed Attendance'!DA73:DA73, "P")</f>
        <v/>
      </c>
      <c r="AR72" s="69">
        <f>COUNTIF('Detailed Attendance'!CG73:CG73, "A")+COUNTIF('Detailed Attendance'!CH73:CH73, "A")+COUNTIF('Detailed Attendance'!V73:V73, "A")+COUNTIF('Detailed Attendance'!AP73:AP73, "A")+COUNTIF('Detailed Attendance'!BJ73:BJ73, "A")+COUNTIF('Detailed Attendance'!CD73:CD73, "A")+COUNTIF('Detailed Attendance'!DA73:DA73, "A")</f>
        <v/>
      </c>
      <c r="AS72" s="70">
        <f>IF((AQ72+AR72)=0,"", AQ72/(AQ72+AR72))</f>
        <v/>
      </c>
      <c r="AT72" s="67">
        <f>COUNTIF('Detailed Attendance'!DF73:DF73, "P")+COUNTIF('Detailed Attendance'!DT73:DT73, "P")+COUNTIF('Detailed Attendance'!EC73:EC73, "P")+COUNTIF('Detailed Attendance'!EQ73:EQ73, "P")+COUNTIF('Detailed Attendance'!EW73:EW73, "P")+COUNTIF('Detailed Attendance'!FK73:FK73, "P")+COUNTIF('Detailed Attendance'!FM73:FM73, "P")+COUNTIF('Detailed Attendance'!GA73:GA73, "P")</f>
        <v/>
      </c>
      <c r="AU72" s="67">
        <f>COUNTIF('Detailed Attendance'!DF73:DF73, "A")+COUNTIF('Detailed Attendance'!DT73:DT73, "A")+COUNTIF('Detailed Attendance'!EC73:EC73, "A")+COUNTIF('Detailed Attendance'!EQ73:EQ73, "A")+COUNTIF('Detailed Attendance'!EW73:EW73, "A")+COUNTIF('Detailed Attendance'!FK73:FK73, "A")+COUNTIF('Detailed Attendance'!FM73:FM73, "A")+COUNTIF('Detailed Attendance'!GA73:GA73, "A")</f>
        <v/>
      </c>
      <c r="AV72" s="68">
        <f>IF((AT72+AU72)=0,"", AT72/(AT72+AU72))</f>
        <v/>
      </c>
      <c r="AW72" s="67">
        <f>COUNTIF('Detailed Attendance'!DK73:DK73, "P")+COUNTIF('Detailed Attendance'!DS73:DS73, "P")+COUNTIF('Detailed Attendance'!EH73:EH73, "P")+COUNTIF('Detailed Attendance'!EP73:EP73, "P")+COUNTIF('Detailed Attendance'!FB73:FB73, "P")+COUNTIF('Detailed Attendance'!FJ73:FJ73, "P")+COUNTIF('Detailed Attendance'!FR73:FR73, "P")+COUNTIF('Detailed Attendance'!FZ73:FZ73, "P")</f>
        <v/>
      </c>
      <c r="AX72" s="67">
        <f>COUNTIF('Detailed Attendance'!DK73:DK73, "A")+COUNTIF('Detailed Attendance'!DS73:DS73, "A")+COUNTIF('Detailed Attendance'!EH73:EH73, "A")+COUNTIF('Detailed Attendance'!EP73:EP73, "A")+COUNTIF('Detailed Attendance'!FB73:FB73, "A")+COUNTIF('Detailed Attendance'!FJ73:FJ73, "A")+COUNTIF('Detailed Attendance'!FR73:FR73, "A")+COUNTIF('Detailed Attendance'!FZ73:FZ73, "A")</f>
        <v/>
      </c>
      <c r="AY72" s="68">
        <f>IF((AW72+AX72)=0,"", AW72/(AW72+AX72))</f>
        <v/>
      </c>
      <c r="AZ72" s="67">
        <f>COUNTIF('Detailed Attendance'!DN73:DN73, "P")+COUNTIF('Detailed Attendance'!DR73:DR73, "P")+COUNTIF('Detailed Attendance'!EK73:EK73, "P")+COUNTIF('Detailed Attendance'!EO73:EO73, "P")+COUNTIF('Detailed Attendance'!FE73:FE73, "P")+COUNTIF('Detailed Attendance'!FI73:FI73, "P")+COUNTIF('Detailed Attendance'!FU73:FU73, "P")+COUNTIF('Detailed Attendance'!FY73:FY73, "P")</f>
        <v/>
      </c>
      <c r="BA72" s="67">
        <f>COUNTIF('Detailed Attendance'!DN73:DN73, "A")+COUNTIF('Detailed Attendance'!DR73:DR73, "A")+COUNTIF('Detailed Attendance'!EK73:EK73, "A")+COUNTIF('Detailed Attendance'!EO73:EO73, "A")+COUNTIF('Detailed Attendance'!FE73:FE73, "A")+COUNTIF('Detailed Attendance'!FI73:FI73, "A")+COUNTIF('Detailed Attendance'!FU73:FU73, "A")+COUNTIF('Detailed Attendance'!FY73:FY73, "A")</f>
        <v/>
      </c>
      <c r="BB72" s="68">
        <f>IF((AZ72+BA72)=0,"", AZ72/(AZ72+BA72))</f>
        <v/>
      </c>
      <c r="BC72" s="67">
        <f>COUNTIF('Detailed Attendance'!DC73:DC73, "P")+COUNTIF('Detailed Attendance'!DV73:DV73, "P")+COUNTIF('Detailed Attendance'!DZ73:DZ73, "P")+COUNTIF('Detailed Attendance'!ES73:ES73, "P")+COUNTIF('Detailed Attendance'!GC73:GC73, "P")+COUNTIF('Detailed Attendance'!GG73:GG73, "P")</f>
        <v/>
      </c>
      <c r="BD72" s="67">
        <f>COUNTIF('Detailed Attendance'!DC73:DC73, "A")+COUNTIF('Detailed Attendance'!DV73:DV73, "A")+COUNTIF('Detailed Attendance'!DZ73:DZ73, "A")+COUNTIF('Detailed Attendance'!ES73:ES73, "A")+COUNTIF('Detailed Attendance'!GC73:GC73, "A")+COUNTIF('Detailed Attendance'!GG73:GG73, "A")</f>
        <v/>
      </c>
      <c r="BE72" s="68">
        <f>IF((BC72+BD72)=0,"", BC72/(BC72+BD72))</f>
        <v/>
      </c>
      <c r="BF72" s="67">
        <f>COUNTIF('Detailed Attendance'!DO73:DO73, "P")+COUNTIF('Detailed Attendance'!DW73:DW73, "P")+COUNTIF('Detailed Attendance'!EL73:EL73, "P")+COUNTIF('Detailed Attendance'!ET73:ET73, "P")+COUNTIF('Detailed Attendance'!FF73:FF73, "P")+COUNTIF('Detailed Attendance'!FV73:FV73, "P")+COUNTIF('Detailed Attendance'!GD73:GD73, "P")</f>
        <v/>
      </c>
      <c r="BG72" s="67">
        <f>COUNTIF('Detailed Attendance'!DO73:DO73, "A")+COUNTIF('Detailed Attendance'!DW73:DW73, "A")+COUNTIF('Detailed Attendance'!EL73:EL73, "A")+COUNTIF('Detailed Attendance'!ET73:ET73, "A")+COUNTIF('Detailed Attendance'!FF73:FF73, "A")+COUNTIF('Detailed Attendance'!FV73:FV73, "A")+COUNTIF('Detailed Attendance'!GD73:GD73, "A")</f>
        <v/>
      </c>
      <c r="BH72" s="68">
        <f>IF((BF72+BG72)=0,"", BF72/(BF72+BG72))</f>
        <v/>
      </c>
      <c r="BI72" s="67">
        <f>AT72+AW72+AZ72+BC72+BF72</f>
        <v/>
      </c>
      <c r="BJ72" s="67">
        <f>AU72+AX72+BA72+BD72+BG72</f>
        <v/>
      </c>
      <c r="BK72" s="68">
        <f>IF((BI72+BJ72)=0,"", BI72/(BI72+BJ72))</f>
        <v/>
      </c>
      <c r="BL72" s="69">
        <f>COUNTIF('Detailed Attendance'!DD73:DD73, "P")+COUNTIF('Detailed Attendance'!EA73:EA73, "P")+COUNTIF('Detailed Attendance'!GH73:GH73, "P")+COUNTIF('Detailed Attendance'!DE73:DE73, "P")+COUNTIF('Detailed Attendance'!EB73:EB73, "P")+COUNTIF('Detailed Attendance'!GI73:GI73, "P")+COUNTIF('Detailed Attendance'!DX73:DX73, "P")+COUNTIF('Detailed Attendance'!EU73:EU73, "P")+COUNTIF('Detailed Attendance'!GE73:GE73, "P")</f>
        <v/>
      </c>
      <c r="BM72" s="69">
        <f>COUNTIF('Detailed Attendance'!DD73:DD73, "A")+COUNTIF('Detailed Attendance'!EA73:EA73, "A")+COUNTIF('Detailed Attendance'!GH73:GH73, "A")+COUNTIF('Detailed Attendance'!DE73:DE73, "A")+COUNTIF('Detailed Attendance'!EB73:EB73, "A")+COUNTIF('Detailed Attendance'!GI73:GI73, "A")+COUNTIF('Detailed Attendance'!DX73:DX73, "A")+COUNTIF('Detailed Attendance'!EU73:EU73, "A")+COUNTIF('Detailed Attendance'!GE73:GE73, "A")</f>
        <v/>
      </c>
      <c r="BN72" s="70">
        <f>IF((BL72+BM72)=0,"", BL72/(BL72+BM72))</f>
        <v/>
      </c>
      <c r="BO72" s="67">
        <f>D72+Y72+AT72</f>
        <v/>
      </c>
      <c r="BP72" s="67">
        <f>E72+Z72+AU72</f>
        <v/>
      </c>
      <c r="BQ72" s="68">
        <f>IF((BO72+BP72)=0,"", BO72/(BO72+BP72))</f>
        <v/>
      </c>
      <c r="BR72" s="67">
        <f>G72+AB72+AW72</f>
        <v/>
      </c>
      <c r="BS72" s="67">
        <f>H72+AC72+AX72</f>
        <v/>
      </c>
      <c r="BT72" s="68">
        <f>IF((BR72+BS72)=0,"", BR72/(BR72+BS72))</f>
        <v/>
      </c>
      <c r="BU72" s="67">
        <f>J72+AE72+AZ72</f>
        <v/>
      </c>
      <c r="BV72" s="67">
        <f>K72+AF72+BA72</f>
        <v/>
      </c>
      <c r="BW72" s="68">
        <f>IF((BU72+BV72)=0,"", BU72/(BU72+BV72))</f>
        <v/>
      </c>
      <c r="BX72" s="67">
        <f>M72+AH72+BC72</f>
        <v/>
      </c>
      <c r="BY72" s="67">
        <f>N72+AI72+BD72</f>
        <v/>
      </c>
      <c r="BZ72" s="68">
        <f>IF((BX72+BY72)=0,"", BX72/(BX72+BY72))</f>
        <v/>
      </c>
      <c r="CA72" s="67">
        <f>P72+AK72+BF72</f>
        <v/>
      </c>
      <c r="CB72" s="67">
        <f>Q72+AL72+BG72</f>
        <v/>
      </c>
      <c r="CC72" s="68">
        <f>IF((CA72+CB72)=0,"", CA72/(CA72+CB72))</f>
        <v/>
      </c>
      <c r="CD72" s="67">
        <f>S72+AN72+BI72</f>
        <v/>
      </c>
      <c r="CE72" s="67">
        <f>T72+AO72+BJ72</f>
        <v/>
      </c>
      <c r="CF72" s="68">
        <f>IF((CD72+CE72)=0,"", CD72/(CD72+CE72))</f>
        <v/>
      </c>
      <c r="CG72" s="69">
        <f>V72+AQ72+BL72</f>
        <v/>
      </c>
      <c r="CH72" s="69">
        <f>W72+AR72+BM72</f>
        <v/>
      </c>
      <c r="CI72" s="70">
        <f>IF((CG72+CH72)=0,"", CG72/(CG72+CH72))</f>
        <v/>
      </c>
      <c r="CJ72" s="67">
        <f>CD72+(CG72*2)</f>
        <v/>
      </c>
      <c r="CK72" s="67">
        <f>CE72+(CH72*2)</f>
        <v/>
      </c>
      <c r="CL72" s="68">
        <f>IF((CJ72+CK72)=0,"", CJ72/(CJ72+CK72))</f>
        <v/>
      </c>
      <c r="CM72" s="67" t="inlineStr">
        <is>
          <t>Batch 2</t>
        </is>
      </c>
    </row>
    <row r="73" ht="14.25" customHeight="1" s="34">
      <c r="A73" s="46" t="n">
        <v>71</v>
      </c>
      <c r="B73" s="46" t="inlineStr">
        <is>
          <t>325106410071</t>
        </is>
      </c>
      <c r="C73" s="46" t="inlineStr">
        <is>
          <t>ANGIRA CHOWDHURY</t>
        </is>
      </c>
      <c r="D73" s="63" t="n">
        <v>0</v>
      </c>
      <c r="E73" s="63" t="n">
        <v>0</v>
      </c>
      <c r="F73" s="64">
        <f>IF((D73+E73)=0,"", D73/(D73+E73))</f>
        <v/>
      </c>
      <c r="G73" s="63">
        <f>COUNTIF('Detailed Attendance'!I74:I74, "P")</f>
        <v/>
      </c>
      <c r="H73" s="63">
        <f>COUNTIF('Detailed Attendance'!I74:I74, "A")</f>
        <v/>
      </c>
      <c r="I73" s="64">
        <f>IF((G73+H73)=0,"", G73/(G73+H73))</f>
        <v/>
      </c>
      <c r="J73" s="63" t="n">
        <v>0</v>
      </c>
      <c r="K73" s="63" t="n">
        <v>0</v>
      </c>
      <c r="L73" s="64">
        <f>IF((J73+K73)=0,"", J73/(J73+K73))</f>
        <v/>
      </c>
      <c r="M73" s="63">
        <f>COUNTIF('Detailed Attendance'!D74:D74, "P")</f>
        <v/>
      </c>
      <c r="N73" s="63">
        <f>COUNTIF('Detailed Attendance'!D74:D74, "A")</f>
        <v/>
      </c>
      <c r="O73" s="64">
        <f>IF((M73+N73)=0,"", M73/(M73+N73))</f>
        <v/>
      </c>
      <c r="P73" s="63" t="n">
        <v>0</v>
      </c>
      <c r="Q73" s="63" t="n">
        <v>0</v>
      </c>
      <c r="R73" s="64">
        <f>IF((P73+Q73)=0,"", P73/(P73+Q73))</f>
        <v/>
      </c>
      <c r="S73" s="63">
        <f>D73+G73+J73+M73+P73</f>
        <v/>
      </c>
      <c r="T73" s="63">
        <f>E73+H73+K73+N73+Q73</f>
        <v/>
      </c>
      <c r="U73" s="64">
        <f>IF((S73+T73)=0,"", S73/(S73+T73))</f>
        <v/>
      </c>
      <c r="V73" s="65" t="n">
        <v>0</v>
      </c>
      <c r="W73" s="65" t="n">
        <v>0</v>
      </c>
      <c r="X73" s="66">
        <f>IF((V73+W73)=0,"", V73/(V73+W73))</f>
        <v/>
      </c>
      <c r="Y73" s="63">
        <f>COUNTIF('Detailed Attendance'!R74:R74, "P")+COUNTIF('Detailed Attendance'!X74:X74, "P")+COUNTIF('Detailed Attendance'!AL74:AL74, "P")+COUNTIF('Detailed Attendance'!BF74:BF74, "P")+COUNTIF('Detailed Attendance'!BL74:BL74, "P")+COUNTIF('Detailed Attendance'!BZ74:BZ74, "P")+COUNTIF('Detailed Attendance'!CI74:CI74, "P")+COUNTIF('Detailed Attendance'!CW74:CW74, "P")</f>
        <v/>
      </c>
      <c r="Z73" s="63">
        <f>COUNTIF('Detailed Attendance'!R74:R74, "A")+COUNTIF('Detailed Attendance'!X74:X74, "A")+COUNTIF('Detailed Attendance'!AL74:AL74, "A")+COUNTIF('Detailed Attendance'!BF74:BF74, "A")+COUNTIF('Detailed Attendance'!BL74:BL74, "A")+COUNTIF('Detailed Attendance'!BZ74:BZ74, "A")+COUNTIF('Detailed Attendance'!CI74:CI74, "A")+COUNTIF('Detailed Attendance'!CW74:CW74, "A")</f>
        <v/>
      </c>
      <c r="AA73" s="64">
        <f>IF((Y73+Z73)=0,"", Y73/(Y73+Z73))</f>
        <v/>
      </c>
      <c r="AB73" s="63">
        <f>COUNTIF('Detailed Attendance'!Q74:Q74, "P")+COUNTIF('Detailed Attendance'!AC74:AC74, "P")+COUNTIF('Detailed Attendance'!AK74:AK74, "P")+COUNTIF('Detailed Attendance'!AW74:AW74, "P")+COUNTIF('Detailed Attendance'!BE74:BE74, "P")+COUNTIF('Detailed Attendance'!BQ74:BQ74, "P")+COUNTIF('Detailed Attendance'!BY74:BY74, "P")+COUNTIF('Detailed Attendance'!CN74:CN74, "P")+COUNTIF('Detailed Attendance'!CV74:CV74, "P")</f>
        <v/>
      </c>
      <c r="AC73" s="63">
        <f>COUNTIF('Detailed Attendance'!Q74:Q74, "A")+COUNTIF('Detailed Attendance'!AC74:AC74, "A")+COUNTIF('Detailed Attendance'!AK74:AK74, "A")+COUNTIF('Detailed Attendance'!AW74:AW74, "A")+COUNTIF('Detailed Attendance'!BE74:BE74, "A")+COUNTIF('Detailed Attendance'!BQ74:BQ74, "A")+COUNTIF('Detailed Attendance'!BY74:BY74, "A")+COUNTIF('Detailed Attendance'!CN74:CN74, "A")+COUNTIF('Detailed Attendance'!CV74:CV74, "A")</f>
        <v/>
      </c>
      <c r="AD73" s="64">
        <f>IF((AB73+AC73)=0,"", AB73/(AB73+AC73))</f>
        <v/>
      </c>
      <c r="AE73" s="63">
        <f>COUNTIF('Detailed Attendance'!L74:L74, "P")+COUNTIF('Detailed Attendance'!P74:P74, "P")+COUNTIF('Detailed Attendance'!AF74:AF74, "P")+COUNTIF('Detailed Attendance'!AJ74:AJ74, "P")+COUNTIF('Detailed Attendance'!AZ74:AZ74, "P")+COUNTIF('Detailed Attendance'!BD74:BD74, "P")+COUNTIF('Detailed Attendance'!BT74:BT74, "P")+COUNTIF('Detailed Attendance'!BX74:BX74, "P")+COUNTIF('Detailed Attendance'!CQ74:CQ74, "P")+COUNTIF('Detailed Attendance'!CU74:CU74, "P")</f>
        <v/>
      </c>
      <c r="AF73" s="67">
        <f>COUNTIF('Detailed Attendance'!L74:L74, "A")+COUNTIF('Detailed Attendance'!P74:P74, "A")+COUNTIF('Detailed Attendance'!AF74:AF74, "A")+COUNTIF('Detailed Attendance'!AJ74:AJ74, "A")+COUNTIF('Detailed Attendance'!AZ74:AZ74, "A")+COUNTIF('Detailed Attendance'!BD74:BD74, "A")+COUNTIF('Detailed Attendance'!BT74:BT74, "A")+COUNTIF('Detailed Attendance'!BX74:BX74, "A")+COUNTIF('Detailed Attendance'!CQ74:CQ74, "A")+COUNTIF('Detailed Attendance'!CU74:CU74, "A")</f>
        <v/>
      </c>
      <c r="AG73" s="68">
        <f>IF((AE73+AF73)=0,"", AE73/(AE73+AF73))</f>
        <v/>
      </c>
      <c r="AH73" s="67">
        <f>COUNTIF('Detailed Attendance'!T74:T74, "P")+COUNTIF('Detailed Attendance'!AN74:AN74, "P")+COUNTIF('Detailed Attendance'!AR74:AR74, "P")+COUNTIF('Detailed Attendance'!BH74:BH74, "P")+COUNTIF('Detailed Attendance'!CB74:CB74, "P")+COUNTIF('Detailed Attendance'!CF74:CF74, "P")+COUNTIF('Detailed Attendance'!CY74:CY74, "P")</f>
        <v/>
      </c>
      <c r="AI73" s="67">
        <f>COUNTIF('Detailed Attendance'!T74:T74, "A")+COUNTIF('Detailed Attendance'!AN74:AN74, "A")+COUNTIF('Detailed Attendance'!AR74:AR74, "A")+COUNTIF('Detailed Attendance'!BH74:BH74, "A")+COUNTIF('Detailed Attendance'!CB74:CB74, "A")+COUNTIF('Detailed Attendance'!CF74:CF74, "A")+COUNTIF('Detailed Attendance'!CY74:CY74, "A")</f>
        <v/>
      </c>
      <c r="AJ73" s="68">
        <f>IF((AH73+AI73)=0,"", AH73/(AH73+AI73))</f>
        <v/>
      </c>
      <c r="AK73" s="67">
        <f>COUNTIF('Detailed Attendance'!M74:M74, "P")+COUNTIF('Detailed Attendance'!U74:U74, "P")+COUNTIF('Detailed Attendance'!AG74:AG74, "P")+COUNTIF('Detailed Attendance'!AO74:AO74, "P")+COUNTIF('Detailed Attendance'!BA74:BA74, "P")+COUNTIF('Detailed Attendance'!BI74:BI74, "P")+COUNTIF('Detailed Attendance'!BU74:BU74, "P")+COUNTIF('Detailed Attendance'!CC74:CC74, "P")+COUNTIF('Detailed Attendance'!CR74:CR74, "P")+COUNTIF('Detailed Attendance'!CZ74:CZ74, "P")</f>
        <v/>
      </c>
      <c r="AL73" s="67">
        <f>COUNTIF('Detailed Attendance'!M74:M74, "A")+COUNTIF('Detailed Attendance'!U74:U74, "A")+COUNTIF('Detailed Attendance'!AG74:AG74, "A")+COUNTIF('Detailed Attendance'!AO74:AO74, "A")+COUNTIF('Detailed Attendance'!BA74:BA74, "A")+COUNTIF('Detailed Attendance'!BI74:BI74, "A")+COUNTIF('Detailed Attendance'!BU74:BU74, "A")+COUNTIF('Detailed Attendance'!CC74:CC74, "A")+COUNTIF('Detailed Attendance'!CR74:CR74, "A")+COUNTIF('Detailed Attendance'!CZ74:CZ74, "A")</f>
        <v/>
      </c>
      <c r="AM73" s="68">
        <f>IF((AK73+AL73)=0,"", AK73/(AK73+AL73))</f>
        <v/>
      </c>
      <c r="AN73" s="67">
        <f>Y73+AB73+AE73+AH73+AK73</f>
        <v/>
      </c>
      <c r="AO73" s="67">
        <f>Z73+AC73+AF73+AI73+AL73</f>
        <v/>
      </c>
      <c r="AP73" s="68">
        <f>IF((AN73+AO73)=0,"", AN73/(AN73+AO73))</f>
        <v/>
      </c>
      <c r="AQ73" s="69">
        <f>COUNTIF('Detailed Attendance'!CG74:CG74, "P")+COUNTIF('Detailed Attendance'!CH74:CH74, "P")+COUNTIF('Detailed Attendance'!V74:V74, "P")+COUNTIF('Detailed Attendance'!AP74:AP74, "P")+COUNTIF('Detailed Attendance'!BJ74:BJ74, "P")+COUNTIF('Detailed Attendance'!CD74:CD74, "P")+COUNTIF('Detailed Attendance'!DA74:DA74, "P")</f>
        <v/>
      </c>
      <c r="AR73" s="69">
        <f>COUNTIF('Detailed Attendance'!CG74:CG74, "A")+COUNTIF('Detailed Attendance'!CH74:CH74, "A")+COUNTIF('Detailed Attendance'!V74:V74, "A")+COUNTIF('Detailed Attendance'!AP74:AP74, "A")+COUNTIF('Detailed Attendance'!BJ74:BJ74, "A")+COUNTIF('Detailed Attendance'!CD74:CD74, "A")+COUNTIF('Detailed Attendance'!DA74:DA74, "A")</f>
        <v/>
      </c>
      <c r="AS73" s="70">
        <f>IF((AQ73+AR73)=0,"", AQ73/(AQ73+AR73))</f>
        <v/>
      </c>
      <c r="AT73" s="67">
        <f>COUNTIF('Detailed Attendance'!DF74:DF74, "P")+COUNTIF('Detailed Attendance'!DT74:DT74, "P")+COUNTIF('Detailed Attendance'!EC74:EC74, "P")+COUNTIF('Detailed Attendance'!EQ74:EQ74, "P")+COUNTIF('Detailed Attendance'!EW74:EW74, "P")+COUNTIF('Detailed Attendance'!FK74:FK74, "P")+COUNTIF('Detailed Attendance'!FM74:FM74, "P")+COUNTIF('Detailed Attendance'!GA74:GA74, "P")</f>
        <v/>
      </c>
      <c r="AU73" s="67">
        <f>COUNTIF('Detailed Attendance'!DF74:DF74, "A")+COUNTIF('Detailed Attendance'!DT74:DT74, "A")+COUNTIF('Detailed Attendance'!EC74:EC74, "A")+COUNTIF('Detailed Attendance'!EQ74:EQ74, "A")+COUNTIF('Detailed Attendance'!EW74:EW74, "A")+COUNTIF('Detailed Attendance'!FK74:FK74, "A")+COUNTIF('Detailed Attendance'!FM74:FM74, "A")+COUNTIF('Detailed Attendance'!GA74:GA74, "A")</f>
        <v/>
      </c>
      <c r="AV73" s="68">
        <f>IF((AT73+AU73)=0,"", AT73/(AT73+AU73))</f>
        <v/>
      </c>
      <c r="AW73" s="67">
        <f>COUNTIF('Detailed Attendance'!DK74:DK74, "P")+COUNTIF('Detailed Attendance'!DS74:DS74, "P")+COUNTIF('Detailed Attendance'!EH74:EH74, "P")+COUNTIF('Detailed Attendance'!EP74:EP74, "P")+COUNTIF('Detailed Attendance'!FB74:FB74, "P")+COUNTIF('Detailed Attendance'!FJ74:FJ74, "P")+COUNTIF('Detailed Attendance'!FR74:FR74, "P")+COUNTIF('Detailed Attendance'!FZ74:FZ74, "P")</f>
        <v/>
      </c>
      <c r="AX73" s="67">
        <f>COUNTIF('Detailed Attendance'!DK74:DK74, "A")+COUNTIF('Detailed Attendance'!DS74:DS74, "A")+COUNTIF('Detailed Attendance'!EH74:EH74, "A")+COUNTIF('Detailed Attendance'!EP74:EP74, "A")+COUNTIF('Detailed Attendance'!FB74:FB74, "A")+COUNTIF('Detailed Attendance'!FJ74:FJ74, "A")+COUNTIF('Detailed Attendance'!FR74:FR74, "A")+COUNTIF('Detailed Attendance'!FZ74:FZ74, "A")</f>
        <v/>
      </c>
      <c r="AY73" s="68">
        <f>IF((AW73+AX73)=0,"", AW73/(AW73+AX73))</f>
        <v/>
      </c>
      <c r="AZ73" s="67">
        <f>COUNTIF('Detailed Attendance'!DN74:DN74, "P")+COUNTIF('Detailed Attendance'!DR74:DR74, "P")+COUNTIF('Detailed Attendance'!EK74:EK74, "P")+COUNTIF('Detailed Attendance'!EO74:EO74, "P")+COUNTIF('Detailed Attendance'!FE74:FE74, "P")+COUNTIF('Detailed Attendance'!FI74:FI74, "P")+COUNTIF('Detailed Attendance'!FU74:FU74, "P")+COUNTIF('Detailed Attendance'!FY74:FY74, "P")</f>
        <v/>
      </c>
      <c r="BA73" s="67">
        <f>COUNTIF('Detailed Attendance'!DN74:DN74, "A")+COUNTIF('Detailed Attendance'!DR74:DR74, "A")+COUNTIF('Detailed Attendance'!EK74:EK74, "A")+COUNTIF('Detailed Attendance'!EO74:EO74, "A")+COUNTIF('Detailed Attendance'!FE74:FE74, "A")+COUNTIF('Detailed Attendance'!FI74:FI74, "A")+COUNTIF('Detailed Attendance'!FU74:FU74, "A")+COUNTIF('Detailed Attendance'!FY74:FY74, "A")</f>
        <v/>
      </c>
      <c r="BB73" s="68">
        <f>IF((AZ73+BA73)=0,"", AZ73/(AZ73+BA73))</f>
        <v/>
      </c>
      <c r="BC73" s="67">
        <f>COUNTIF('Detailed Attendance'!DC74:DC74, "P")+COUNTIF('Detailed Attendance'!DV74:DV74, "P")+COUNTIF('Detailed Attendance'!DZ74:DZ74, "P")+COUNTIF('Detailed Attendance'!ES74:ES74, "P")+COUNTIF('Detailed Attendance'!GC74:GC74, "P")+COUNTIF('Detailed Attendance'!GG74:GG74, "P")</f>
        <v/>
      </c>
      <c r="BD73" s="67">
        <f>COUNTIF('Detailed Attendance'!DC74:DC74, "A")+COUNTIF('Detailed Attendance'!DV74:DV74, "A")+COUNTIF('Detailed Attendance'!DZ74:DZ74, "A")+COUNTIF('Detailed Attendance'!ES74:ES74, "A")+COUNTIF('Detailed Attendance'!GC74:GC74, "A")+COUNTIF('Detailed Attendance'!GG74:GG74, "A")</f>
        <v/>
      </c>
      <c r="BE73" s="68">
        <f>IF((BC73+BD73)=0,"", BC73/(BC73+BD73))</f>
        <v/>
      </c>
      <c r="BF73" s="67">
        <f>COUNTIF('Detailed Attendance'!DO74:DO74, "P")+COUNTIF('Detailed Attendance'!DW74:DW74, "P")+COUNTIF('Detailed Attendance'!EL74:EL74, "P")+COUNTIF('Detailed Attendance'!ET74:ET74, "P")+COUNTIF('Detailed Attendance'!FF74:FF74, "P")+COUNTIF('Detailed Attendance'!FV74:FV74, "P")+COUNTIF('Detailed Attendance'!GD74:GD74, "P")</f>
        <v/>
      </c>
      <c r="BG73" s="67">
        <f>COUNTIF('Detailed Attendance'!DO74:DO74, "A")+COUNTIF('Detailed Attendance'!DW74:DW74, "A")+COUNTIF('Detailed Attendance'!EL74:EL74, "A")+COUNTIF('Detailed Attendance'!ET74:ET74, "A")+COUNTIF('Detailed Attendance'!FF74:FF74, "A")+COUNTIF('Detailed Attendance'!FV74:FV74, "A")+COUNTIF('Detailed Attendance'!GD74:GD74, "A")</f>
        <v/>
      </c>
      <c r="BH73" s="68">
        <f>IF((BF73+BG73)=0,"", BF73/(BF73+BG73))</f>
        <v/>
      </c>
      <c r="BI73" s="67">
        <f>AT73+AW73+AZ73+BC73+BF73</f>
        <v/>
      </c>
      <c r="BJ73" s="67">
        <f>AU73+AX73+BA73+BD73+BG73</f>
        <v/>
      </c>
      <c r="BK73" s="68">
        <f>IF((BI73+BJ73)=0,"", BI73/(BI73+BJ73))</f>
        <v/>
      </c>
      <c r="BL73" s="69">
        <f>COUNTIF('Detailed Attendance'!DD74:DD74, "P")+COUNTIF('Detailed Attendance'!EA74:EA74, "P")+COUNTIF('Detailed Attendance'!GH74:GH74, "P")+COUNTIF('Detailed Attendance'!DE74:DE74, "P")+COUNTIF('Detailed Attendance'!EB74:EB74, "P")+COUNTIF('Detailed Attendance'!GI74:GI74, "P")+COUNTIF('Detailed Attendance'!DX74:DX74, "P")+COUNTIF('Detailed Attendance'!EU74:EU74, "P")+COUNTIF('Detailed Attendance'!GE74:GE74, "P")</f>
        <v/>
      </c>
      <c r="BM73" s="69">
        <f>COUNTIF('Detailed Attendance'!DD74:DD74, "A")+COUNTIF('Detailed Attendance'!EA74:EA74, "A")+COUNTIF('Detailed Attendance'!GH74:GH74, "A")+COUNTIF('Detailed Attendance'!DE74:DE74, "A")+COUNTIF('Detailed Attendance'!EB74:EB74, "A")+COUNTIF('Detailed Attendance'!GI74:GI74, "A")+COUNTIF('Detailed Attendance'!DX74:DX74, "A")+COUNTIF('Detailed Attendance'!EU74:EU74, "A")+COUNTIF('Detailed Attendance'!GE74:GE74, "A")</f>
        <v/>
      </c>
      <c r="BN73" s="70">
        <f>IF((BL73+BM73)=0,"", BL73/(BL73+BM73))</f>
        <v/>
      </c>
      <c r="BO73" s="67">
        <f>D73+Y73+AT73</f>
        <v/>
      </c>
      <c r="BP73" s="67">
        <f>E73+Z73+AU73</f>
        <v/>
      </c>
      <c r="BQ73" s="68">
        <f>IF((BO73+BP73)=0,"", BO73/(BO73+BP73))</f>
        <v/>
      </c>
      <c r="BR73" s="67">
        <f>G73+AB73+AW73</f>
        <v/>
      </c>
      <c r="BS73" s="67">
        <f>H73+AC73+AX73</f>
        <v/>
      </c>
      <c r="BT73" s="68">
        <f>IF((BR73+BS73)=0,"", BR73/(BR73+BS73))</f>
        <v/>
      </c>
      <c r="BU73" s="67">
        <f>J73+AE73+AZ73</f>
        <v/>
      </c>
      <c r="BV73" s="67">
        <f>K73+AF73+BA73</f>
        <v/>
      </c>
      <c r="BW73" s="68">
        <f>IF((BU73+BV73)=0,"", BU73/(BU73+BV73))</f>
        <v/>
      </c>
      <c r="BX73" s="67">
        <f>M73+AH73+BC73</f>
        <v/>
      </c>
      <c r="BY73" s="67">
        <f>N73+AI73+BD73</f>
        <v/>
      </c>
      <c r="BZ73" s="68">
        <f>IF((BX73+BY73)=0,"", BX73/(BX73+BY73))</f>
        <v/>
      </c>
      <c r="CA73" s="67">
        <f>P73+AK73+BF73</f>
        <v/>
      </c>
      <c r="CB73" s="67">
        <f>Q73+AL73+BG73</f>
        <v/>
      </c>
      <c r="CC73" s="68">
        <f>IF((CA73+CB73)=0,"", CA73/(CA73+CB73))</f>
        <v/>
      </c>
      <c r="CD73" s="67">
        <f>S73+AN73+BI73</f>
        <v/>
      </c>
      <c r="CE73" s="67">
        <f>T73+AO73+BJ73</f>
        <v/>
      </c>
      <c r="CF73" s="68">
        <f>IF((CD73+CE73)=0,"", CD73/(CD73+CE73))</f>
        <v/>
      </c>
      <c r="CG73" s="69">
        <f>V73+AQ73+BL73</f>
        <v/>
      </c>
      <c r="CH73" s="69">
        <f>W73+AR73+BM73</f>
        <v/>
      </c>
      <c r="CI73" s="70">
        <f>IF((CG73+CH73)=0,"", CG73/(CG73+CH73))</f>
        <v/>
      </c>
      <c r="CJ73" s="67">
        <f>CD73+(CG73*2)</f>
        <v/>
      </c>
      <c r="CK73" s="67">
        <f>CE73+(CH73*2)</f>
        <v/>
      </c>
      <c r="CL73" s="68">
        <f>IF((CJ73+CK73)=0,"", CJ73/(CJ73+CK73))</f>
        <v/>
      </c>
      <c r="CM73" s="67" t="inlineStr">
        <is>
          <t>Batch 2</t>
        </is>
      </c>
    </row>
    <row r="74" ht="14.25" customHeight="1" s="34">
      <c r="A74" s="46" t="n">
        <v>72</v>
      </c>
      <c r="B74" s="46" t="inlineStr">
        <is>
          <t>325106410072</t>
        </is>
      </c>
      <c r="C74" s="46" t="inlineStr">
        <is>
          <t>ANIRBAN SAHA ARGHO</t>
        </is>
      </c>
      <c r="D74" s="63" t="n">
        <v>0</v>
      </c>
      <c r="E74" s="63" t="n">
        <v>0</v>
      </c>
      <c r="F74" s="64">
        <f>IF((D74+E74)=0,"", D74/(D74+E74))</f>
        <v/>
      </c>
      <c r="G74" s="63">
        <f>COUNTIF('Detailed Attendance'!I75:I75, "P")</f>
        <v/>
      </c>
      <c r="H74" s="63">
        <f>COUNTIF('Detailed Attendance'!I75:I75, "A")</f>
        <v/>
      </c>
      <c r="I74" s="64">
        <f>IF((G74+H74)=0,"", G74/(G74+H74))</f>
        <v/>
      </c>
      <c r="J74" s="63" t="n">
        <v>0</v>
      </c>
      <c r="K74" s="63" t="n">
        <v>0</v>
      </c>
      <c r="L74" s="64">
        <f>IF((J74+K74)=0,"", J74/(J74+K74))</f>
        <v/>
      </c>
      <c r="M74" s="63">
        <f>COUNTIF('Detailed Attendance'!D75:D75, "P")</f>
        <v/>
      </c>
      <c r="N74" s="63">
        <f>COUNTIF('Detailed Attendance'!D75:D75, "A")</f>
        <v/>
      </c>
      <c r="O74" s="64">
        <f>IF((M74+N74)=0,"", M74/(M74+N74))</f>
        <v/>
      </c>
      <c r="P74" s="63" t="n">
        <v>0</v>
      </c>
      <c r="Q74" s="63" t="n">
        <v>0</v>
      </c>
      <c r="R74" s="64">
        <f>IF((P74+Q74)=0,"", P74/(P74+Q74))</f>
        <v/>
      </c>
      <c r="S74" s="63">
        <f>D74+G74+J74+M74+P74</f>
        <v/>
      </c>
      <c r="T74" s="63">
        <f>E74+H74+K74+N74+Q74</f>
        <v/>
      </c>
      <c r="U74" s="64">
        <f>IF((S74+T74)=0,"", S74/(S74+T74))</f>
        <v/>
      </c>
      <c r="V74" s="65" t="n">
        <v>0</v>
      </c>
      <c r="W74" s="65" t="n">
        <v>0</v>
      </c>
      <c r="X74" s="66">
        <f>IF((V74+W74)=0,"", V74/(V74+W74))</f>
        <v/>
      </c>
      <c r="Y74" s="63">
        <f>COUNTIF('Detailed Attendance'!R75:R75, "P")+COUNTIF('Detailed Attendance'!X75:X75, "P")+COUNTIF('Detailed Attendance'!AL75:AL75, "P")+COUNTIF('Detailed Attendance'!BF75:BF75, "P")+COUNTIF('Detailed Attendance'!BL75:BL75, "P")+COUNTIF('Detailed Attendance'!BZ75:BZ75, "P")+COUNTIF('Detailed Attendance'!CI75:CI75, "P")+COUNTIF('Detailed Attendance'!CW75:CW75, "P")</f>
        <v/>
      </c>
      <c r="Z74" s="63">
        <f>COUNTIF('Detailed Attendance'!R75:R75, "A")+COUNTIF('Detailed Attendance'!X75:X75, "A")+COUNTIF('Detailed Attendance'!AL75:AL75, "A")+COUNTIF('Detailed Attendance'!BF75:BF75, "A")+COUNTIF('Detailed Attendance'!BL75:BL75, "A")+COUNTIF('Detailed Attendance'!BZ75:BZ75, "A")+COUNTIF('Detailed Attendance'!CI75:CI75, "A")+COUNTIF('Detailed Attendance'!CW75:CW75, "A")</f>
        <v/>
      </c>
      <c r="AA74" s="64">
        <f>IF((Y74+Z74)=0,"", Y74/(Y74+Z74))</f>
        <v/>
      </c>
      <c r="AB74" s="63">
        <f>COUNTIF('Detailed Attendance'!Q75:Q75, "P")+COUNTIF('Detailed Attendance'!AC75:AC75, "P")+COUNTIF('Detailed Attendance'!AK75:AK75, "P")+COUNTIF('Detailed Attendance'!AW75:AW75, "P")+COUNTIF('Detailed Attendance'!BE75:BE75, "P")+COUNTIF('Detailed Attendance'!BQ75:BQ75, "P")+COUNTIF('Detailed Attendance'!BY75:BY75, "P")+COUNTIF('Detailed Attendance'!CN75:CN75, "P")+COUNTIF('Detailed Attendance'!CV75:CV75, "P")</f>
        <v/>
      </c>
      <c r="AC74" s="63">
        <f>COUNTIF('Detailed Attendance'!Q75:Q75, "A")+COUNTIF('Detailed Attendance'!AC75:AC75, "A")+COUNTIF('Detailed Attendance'!AK75:AK75, "A")+COUNTIF('Detailed Attendance'!AW75:AW75, "A")+COUNTIF('Detailed Attendance'!BE75:BE75, "A")+COUNTIF('Detailed Attendance'!BQ75:BQ75, "A")+COUNTIF('Detailed Attendance'!BY75:BY75, "A")+COUNTIF('Detailed Attendance'!CN75:CN75, "A")+COUNTIF('Detailed Attendance'!CV75:CV75, "A")</f>
        <v/>
      </c>
      <c r="AD74" s="64">
        <f>IF((AB74+AC74)=0,"", AB74/(AB74+AC74))</f>
        <v/>
      </c>
      <c r="AE74" s="63">
        <f>COUNTIF('Detailed Attendance'!L75:L75, "P")+COUNTIF('Detailed Attendance'!P75:P75, "P")+COUNTIF('Detailed Attendance'!AF75:AF75, "P")+COUNTIF('Detailed Attendance'!AJ75:AJ75, "P")+COUNTIF('Detailed Attendance'!AZ75:AZ75, "P")+COUNTIF('Detailed Attendance'!BD75:BD75, "P")+COUNTIF('Detailed Attendance'!BT75:BT75, "P")+COUNTIF('Detailed Attendance'!BX75:BX75, "P")+COUNTIF('Detailed Attendance'!CQ75:CQ75, "P")+COUNTIF('Detailed Attendance'!CU75:CU75, "P")</f>
        <v/>
      </c>
      <c r="AF74" s="67">
        <f>COUNTIF('Detailed Attendance'!L75:L75, "A")+COUNTIF('Detailed Attendance'!P75:P75, "A")+COUNTIF('Detailed Attendance'!AF75:AF75, "A")+COUNTIF('Detailed Attendance'!AJ75:AJ75, "A")+COUNTIF('Detailed Attendance'!AZ75:AZ75, "A")+COUNTIF('Detailed Attendance'!BD75:BD75, "A")+COUNTIF('Detailed Attendance'!BT75:BT75, "A")+COUNTIF('Detailed Attendance'!BX75:BX75, "A")+COUNTIF('Detailed Attendance'!CQ75:CQ75, "A")+COUNTIF('Detailed Attendance'!CU75:CU75, "A")</f>
        <v/>
      </c>
      <c r="AG74" s="68">
        <f>IF((AE74+AF74)=0,"", AE74/(AE74+AF74))</f>
        <v/>
      </c>
      <c r="AH74" s="67">
        <f>COUNTIF('Detailed Attendance'!T75:T75, "P")+COUNTIF('Detailed Attendance'!AN75:AN75, "P")+COUNTIF('Detailed Attendance'!AR75:AR75, "P")+COUNTIF('Detailed Attendance'!BH75:BH75, "P")+COUNTIF('Detailed Attendance'!CB75:CB75, "P")+COUNTIF('Detailed Attendance'!CF75:CF75, "P")+COUNTIF('Detailed Attendance'!CY75:CY75, "P")</f>
        <v/>
      </c>
      <c r="AI74" s="67">
        <f>COUNTIF('Detailed Attendance'!T75:T75, "A")+COUNTIF('Detailed Attendance'!AN75:AN75, "A")+COUNTIF('Detailed Attendance'!AR75:AR75, "A")+COUNTIF('Detailed Attendance'!BH75:BH75, "A")+COUNTIF('Detailed Attendance'!CB75:CB75, "A")+COUNTIF('Detailed Attendance'!CF75:CF75, "A")+COUNTIF('Detailed Attendance'!CY75:CY75, "A")</f>
        <v/>
      </c>
      <c r="AJ74" s="68">
        <f>IF((AH74+AI74)=0,"", AH74/(AH74+AI74))</f>
        <v/>
      </c>
      <c r="AK74" s="67">
        <f>COUNTIF('Detailed Attendance'!M75:M75, "P")+COUNTIF('Detailed Attendance'!U75:U75, "P")+COUNTIF('Detailed Attendance'!AG75:AG75, "P")+COUNTIF('Detailed Attendance'!AO75:AO75, "P")+COUNTIF('Detailed Attendance'!BA75:BA75, "P")+COUNTIF('Detailed Attendance'!BI75:BI75, "P")+COUNTIF('Detailed Attendance'!BU75:BU75, "P")+COUNTIF('Detailed Attendance'!CC75:CC75, "P")+COUNTIF('Detailed Attendance'!CR75:CR75, "P")+COUNTIF('Detailed Attendance'!CZ75:CZ75, "P")</f>
        <v/>
      </c>
      <c r="AL74" s="67">
        <f>COUNTIF('Detailed Attendance'!M75:M75, "A")+COUNTIF('Detailed Attendance'!U75:U75, "A")+COUNTIF('Detailed Attendance'!AG75:AG75, "A")+COUNTIF('Detailed Attendance'!AO75:AO75, "A")+COUNTIF('Detailed Attendance'!BA75:BA75, "A")+COUNTIF('Detailed Attendance'!BI75:BI75, "A")+COUNTIF('Detailed Attendance'!BU75:BU75, "A")+COUNTIF('Detailed Attendance'!CC75:CC75, "A")+COUNTIF('Detailed Attendance'!CR75:CR75, "A")+COUNTIF('Detailed Attendance'!CZ75:CZ75, "A")</f>
        <v/>
      </c>
      <c r="AM74" s="68">
        <f>IF((AK74+AL74)=0,"", AK74/(AK74+AL74))</f>
        <v/>
      </c>
      <c r="AN74" s="67">
        <f>Y74+AB74+AE74+AH74+AK74</f>
        <v/>
      </c>
      <c r="AO74" s="67">
        <f>Z74+AC74+AF74+AI74+AL74</f>
        <v/>
      </c>
      <c r="AP74" s="68">
        <f>IF((AN74+AO74)=0,"", AN74/(AN74+AO74))</f>
        <v/>
      </c>
      <c r="AQ74" s="69">
        <f>COUNTIF('Detailed Attendance'!CG75:CG75, "P")+COUNTIF('Detailed Attendance'!CH75:CH75, "P")+COUNTIF('Detailed Attendance'!V75:V75, "P")+COUNTIF('Detailed Attendance'!AP75:AP75, "P")+COUNTIF('Detailed Attendance'!BJ75:BJ75, "P")+COUNTIF('Detailed Attendance'!CD75:CD75, "P")+COUNTIF('Detailed Attendance'!DA75:DA75, "P")</f>
        <v/>
      </c>
      <c r="AR74" s="69">
        <f>COUNTIF('Detailed Attendance'!CG75:CG75, "A")+COUNTIF('Detailed Attendance'!CH75:CH75, "A")+COUNTIF('Detailed Attendance'!V75:V75, "A")+COUNTIF('Detailed Attendance'!AP75:AP75, "A")+COUNTIF('Detailed Attendance'!BJ75:BJ75, "A")+COUNTIF('Detailed Attendance'!CD75:CD75, "A")+COUNTIF('Detailed Attendance'!DA75:DA75, "A")</f>
        <v/>
      </c>
      <c r="AS74" s="70">
        <f>IF((AQ74+AR74)=0,"", AQ74/(AQ74+AR74))</f>
        <v/>
      </c>
      <c r="AT74" s="67">
        <f>COUNTIF('Detailed Attendance'!DF75:DF75, "P")+COUNTIF('Detailed Attendance'!DT75:DT75, "P")+COUNTIF('Detailed Attendance'!EC75:EC75, "P")+COUNTIF('Detailed Attendance'!EQ75:EQ75, "P")+COUNTIF('Detailed Attendance'!EW75:EW75, "P")+COUNTIF('Detailed Attendance'!FK75:FK75, "P")+COUNTIF('Detailed Attendance'!FM75:FM75, "P")+COUNTIF('Detailed Attendance'!GA75:GA75, "P")</f>
        <v/>
      </c>
      <c r="AU74" s="67">
        <f>COUNTIF('Detailed Attendance'!DF75:DF75, "A")+COUNTIF('Detailed Attendance'!DT75:DT75, "A")+COUNTIF('Detailed Attendance'!EC75:EC75, "A")+COUNTIF('Detailed Attendance'!EQ75:EQ75, "A")+COUNTIF('Detailed Attendance'!EW75:EW75, "A")+COUNTIF('Detailed Attendance'!FK75:FK75, "A")+COUNTIF('Detailed Attendance'!FM75:FM75, "A")+COUNTIF('Detailed Attendance'!GA75:GA75, "A")</f>
        <v/>
      </c>
      <c r="AV74" s="68">
        <f>IF((AT74+AU74)=0,"", AT74/(AT74+AU74))</f>
        <v/>
      </c>
      <c r="AW74" s="67">
        <f>COUNTIF('Detailed Attendance'!DK75:DK75, "P")+COUNTIF('Detailed Attendance'!DS75:DS75, "P")+COUNTIF('Detailed Attendance'!EH75:EH75, "P")+COUNTIF('Detailed Attendance'!EP75:EP75, "P")+COUNTIF('Detailed Attendance'!FB75:FB75, "P")+COUNTIF('Detailed Attendance'!FJ75:FJ75, "P")+COUNTIF('Detailed Attendance'!FR75:FR75, "P")+COUNTIF('Detailed Attendance'!FZ75:FZ75, "P")</f>
        <v/>
      </c>
      <c r="AX74" s="67">
        <f>COUNTIF('Detailed Attendance'!DK75:DK75, "A")+COUNTIF('Detailed Attendance'!DS75:DS75, "A")+COUNTIF('Detailed Attendance'!EH75:EH75, "A")+COUNTIF('Detailed Attendance'!EP75:EP75, "A")+COUNTIF('Detailed Attendance'!FB75:FB75, "A")+COUNTIF('Detailed Attendance'!FJ75:FJ75, "A")+COUNTIF('Detailed Attendance'!FR75:FR75, "A")+COUNTIF('Detailed Attendance'!FZ75:FZ75, "A")</f>
        <v/>
      </c>
      <c r="AY74" s="68">
        <f>IF((AW74+AX74)=0,"", AW74/(AW74+AX74))</f>
        <v/>
      </c>
      <c r="AZ74" s="67">
        <f>COUNTIF('Detailed Attendance'!DN75:DN75, "P")+COUNTIF('Detailed Attendance'!DR75:DR75, "P")+COUNTIF('Detailed Attendance'!EK75:EK75, "P")+COUNTIF('Detailed Attendance'!EO75:EO75, "P")+COUNTIF('Detailed Attendance'!FE75:FE75, "P")+COUNTIF('Detailed Attendance'!FI75:FI75, "P")+COUNTIF('Detailed Attendance'!FU75:FU75, "P")+COUNTIF('Detailed Attendance'!FY75:FY75, "P")</f>
        <v/>
      </c>
      <c r="BA74" s="67">
        <f>COUNTIF('Detailed Attendance'!DN75:DN75, "A")+COUNTIF('Detailed Attendance'!DR75:DR75, "A")+COUNTIF('Detailed Attendance'!EK75:EK75, "A")+COUNTIF('Detailed Attendance'!EO75:EO75, "A")+COUNTIF('Detailed Attendance'!FE75:FE75, "A")+COUNTIF('Detailed Attendance'!FI75:FI75, "A")+COUNTIF('Detailed Attendance'!FU75:FU75, "A")+COUNTIF('Detailed Attendance'!FY75:FY75, "A")</f>
        <v/>
      </c>
      <c r="BB74" s="68">
        <f>IF((AZ74+BA74)=0,"", AZ74/(AZ74+BA74))</f>
        <v/>
      </c>
      <c r="BC74" s="67">
        <f>COUNTIF('Detailed Attendance'!DC75:DC75, "P")+COUNTIF('Detailed Attendance'!DV75:DV75, "P")+COUNTIF('Detailed Attendance'!DZ75:DZ75, "P")+COUNTIF('Detailed Attendance'!ES75:ES75, "P")+COUNTIF('Detailed Attendance'!GC75:GC75, "P")+COUNTIF('Detailed Attendance'!GG75:GG75, "P")</f>
        <v/>
      </c>
      <c r="BD74" s="67">
        <f>COUNTIF('Detailed Attendance'!DC75:DC75, "A")+COUNTIF('Detailed Attendance'!DV75:DV75, "A")+COUNTIF('Detailed Attendance'!DZ75:DZ75, "A")+COUNTIF('Detailed Attendance'!ES75:ES75, "A")+COUNTIF('Detailed Attendance'!GC75:GC75, "A")+COUNTIF('Detailed Attendance'!GG75:GG75, "A")</f>
        <v/>
      </c>
      <c r="BE74" s="68">
        <f>IF((BC74+BD74)=0,"", BC74/(BC74+BD74))</f>
        <v/>
      </c>
      <c r="BF74" s="67">
        <f>COUNTIF('Detailed Attendance'!DO75:DO75, "P")+COUNTIF('Detailed Attendance'!DW75:DW75, "P")+COUNTIF('Detailed Attendance'!EL75:EL75, "P")+COUNTIF('Detailed Attendance'!ET75:ET75, "P")+COUNTIF('Detailed Attendance'!FF75:FF75, "P")+COUNTIF('Detailed Attendance'!FV75:FV75, "P")+COUNTIF('Detailed Attendance'!GD75:GD75, "P")</f>
        <v/>
      </c>
      <c r="BG74" s="67">
        <f>COUNTIF('Detailed Attendance'!DO75:DO75, "A")+COUNTIF('Detailed Attendance'!DW75:DW75, "A")+COUNTIF('Detailed Attendance'!EL75:EL75, "A")+COUNTIF('Detailed Attendance'!ET75:ET75, "A")+COUNTIF('Detailed Attendance'!FF75:FF75, "A")+COUNTIF('Detailed Attendance'!FV75:FV75, "A")+COUNTIF('Detailed Attendance'!GD75:GD75, "A")</f>
        <v/>
      </c>
      <c r="BH74" s="68">
        <f>IF((BF74+BG74)=0,"", BF74/(BF74+BG74))</f>
        <v/>
      </c>
      <c r="BI74" s="67">
        <f>AT74+AW74+AZ74+BC74+BF74</f>
        <v/>
      </c>
      <c r="BJ74" s="67">
        <f>AU74+AX74+BA74+BD74+BG74</f>
        <v/>
      </c>
      <c r="BK74" s="68">
        <f>IF((BI74+BJ74)=0,"", BI74/(BI74+BJ74))</f>
        <v/>
      </c>
      <c r="BL74" s="69">
        <f>COUNTIF('Detailed Attendance'!DD75:DD75, "P")+COUNTIF('Detailed Attendance'!EA75:EA75, "P")+COUNTIF('Detailed Attendance'!GH75:GH75, "P")+COUNTIF('Detailed Attendance'!DE75:DE75, "P")+COUNTIF('Detailed Attendance'!EB75:EB75, "P")+COUNTIF('Detailed Attendance'!GI75:GI75, "P")+COUNTIF('Detailed Attendance'!DX75:DX75, "P")+COUNTIF('Detailed Attendance'!EU75:EU75, "P")+COUNTIF('Detailed Attendance'!GE75:GE75, "P")</f>
        <v/>
      </c>
      <c r="BM74" s="69">
        <f>COUNTIF('Detailed Attendance'!DD75:DD75, "A")+COUNTIF('Detailed Attendance'!EA75:EA75, "A")+COUNTIF('Detailed Attendance'!GH75:GH75, "A")+COUNTIF('Detailed Attendance'!DE75:DE75, "A")+COUNTIF('Detailed Attendance'!EB75:EB75, "A")+COUNTIF('Detailed Attendance'!GI75:GI75, "A")+COUNTIF('Detailed Attendance'!DX75:DX75, "A")+COUNTIF('Detailed Attendance'!EU75:EU75, "A")+COUNTIF('Detailed Attendance'!GE75:GE75, "A")</f>
        <v/>
      </c>
      <c r="BN74" s="70">
        <f>IF((BL74+BM74)=0,"", BL74/(BL74+BM74))</f>
        <v/>
      </c>
      <c r="BO74" s="67">
        <f>D74+Y74+AT74</f>
        <v/>
      </c>
      <c r="BP74" s="67">
        <f>E74+Z74+AU74</f>
        <v/>
      </c>
      <c r="BQ74" s="68">
        <f>IF((BO74+BP74)=0,"", BO74/(BO74+BP74))</f>
        <v/>
      </c>
      <c r="BR74" s="67">
        <f>G74+AB74+AW74</f>
        <v/>
      </c>
      <c r="BS74" s="67">
        <f>H74+AC74+AX74</f>
        <v/>
      </c>
      <c r="BT74" s="68">
        <f>IF((BR74+BS74)=0,"", BR74/(BR74+BS74))</f>
        <v/>
      </c>
      <c r="BU74" s="67">
        <f>J74+AE74+AZ74</f>
        <v/>
      </c>
      <c r="BV74" s="67">
        <f>K74+AF74+BA74</f>
        <v/>
      </c>
      <c r="BW74" s="68">
        <f>IF((BU74+BV74)=0,"", BU74/(BU74+BV74))</f>
        <v/>
      </c>
      <c r="BX74" s="67">
        <f>M74+AH74+BC74</f>
        <v/>
      </c>
      <c r="BY74" s="67">
        <f>N74+AI74+BD74</f>
        <v/>
      </c>
      <c r="BZ74" s="68">
        <f>IF((BX74+BY74)=0,"", BX74/(BX74+BY74))</f>
        <v/>
      </c>
      <c r="CA74" s="67">
        <f>P74+AK74+BF74</f>
        <v/>
      </c>
      <c r="CB74" s="67">
        <f>Q74+AL74+BG74</f>
        <v/>
      </c>
      <c r="CC74" s="68">
        <f>IF((CA74+CB74)=0,"", CA74/(CA74+CB74))</f>
        <v/>
      </c>
      <c r="CD74" s="67">
        <f>S74+AN74+BI74</f>
        <v/>
      </c>
      <c r="CE74" s="67">
        <f>T74+AO74+BJ74</f>
        <v/>
      </c>
      <c r="CF74" s="68">
        <f>IF((CD74+CE74)=0,"", CD74/(CD74+CE74))</f>
        <v/>
      </c>
      <c r="CG74" s="69">
        <f>V74+AQ74+BL74</f>
        <v/>
      </c>
      <c r="CH74" s="69">
        <f>W74+AR74+BM74</f>
        <v/>
      </c>
      <c r="CI74" s="70">
        <f>IF((CG74+CH74)=0,"", CG74/(CG74+CH74))</f>
        <v/>
      </c>
      <c r="CJ74" s="67">
        <f>CD74+(CG74*2)</f>
        <v/>
      </c>
      <c r="CK74" s="67">
        <f>CE74+(CH74*2)</f>
        <v/>
      </c>
      <c r="CL74" s="68">
        <f>IF((CJ74+CK74)=0,"", CJ74/(CJ74+CK74))</f>
        <v/>
      </c>
      <c r="CM74" s="67" t="inlineStr">
        <is>
          <t>Batch 2</t>
        </is>
      </c>
    </row>
    <row r="75" ht="14.25" customHeight="1" s="34">
      <c r="A75" s="46" t="n">
        <v>73</v>
      </c>
      <c r="B75" s="46" t="inlineStr">
        <is>
          <t>325106410073</t>
        </is>
      </c>
      <c r="C75" s="46" t="inlineStr">
        <is>
          <t>SAMUEL ANTWI MALIK</t>
        </is>
      </c>
      <c r="D75" s="63" t="n">
        <v>0</v>
      </c>
      <c r="E75" s="63" t="n">
        <v>0</v>
      </c>
      <c r="F75" s="64">
        <f>IF((D75+E75)=0,"", D75/(D75+E75))</f>
        <v/>
      </c>
      <c r="G75" s="63">
        <f>COUNTIF('Detailed Attendance'!I76:I76, "P")</f>
        <v/>
      </c>
      <c r="H75" s="63">
        <f>COUNTIF('Detailed Attendance'!I76:I76, "A")</f>
        <v/>
      </c>
      <c r="I75" s="64">
        <f>IF((G75+H75)=0,"", G75/(G75+H75))</f>
        <v/>
      </c>
      <c r="J75" s="63" t="n">
        <v>0</v>
      </c>
      <c r="K75" s="63" t="n">
        <v>0</v>
      </c>
      <c r="L75" s="64">
        <f>IF((J75+K75)=0,"", J75/(J75+K75))</f>
        <v/>
      </c>
      <c r="M75" s="63">
        <f>COUNTIF('Detailed Attendance'!D76:D76, "P")</f>
        <v/>
      </c>
      <c r="N75" s="63">
        <f>COUNTIF('Detailed Attendance'!D76:D76, "A")</f>
        <v/>
      </c>
      <c r="O75" s="64">
        <f>IF((M75+N75)=0,"", M75/(M75+N75))</f>
        <v/>
      </c>
      <c r="P75" s="63" t="n">
        <v>0</v>
      </c>
      <c r="Q75" s="63" t="n">
        <v>0</v>
      </c>
      <c r="R75" s="64">
        <f>IF((P75+Q75)=0,"", P75/(P75+Q75))</f>
        <v/>
      </c>
      <c r="S75" s="63">
        <f>D75+G75+J75+M75+P75</f>
        <v/>
      </c>
      <c r="T75" s="63">
        <f>E75+H75+K75+N75+Q75</f>
        <v/>
      </c>
      <c r="U75" s="64">
        <f>IF((S75+T75)=0,"", S75/(S75+T75))</f>
        <v/>
      </c>
      <c r="V75" s="65" t="n">
        <v>0</v>
      </c>
      <c r="W75" s="65" t="n">
        <v>0</v>
      </c>
      <c r="X75" s="66">
        <f>IF((V75+W75)=0,"", V75/(V75+W75))</f>
        <v/>
      </c>
      <c r="Y75" s="63">
        <f>COUNTIF('Detailed Attendance'!R76:R76, "P")+COUNTIF('Detailed Attendance'!X76:X76, "P")+COUNTIF('Detailed Attendance'!AL76:AL76, "P")+COUNTIF('Detailed Attendance'!BF76:BF76, "P")+COUNTIF('Detailed Attendance'!BL76:BL76, "P")+COUNTIF('Detailed Attendance'!BZ76:BZ76, "P")+COUNTIF('Detailed Attendance'!CI76:CI76, "P")+COUNTIF('Detailed Attendance'!CW76:CW76, "P")</f>
        <v/>
      </c>
      <c r="Z75" s="63">
        <f>COUNTIF('Detailed Attendance'!R76:R76, "A")+COUNTIF('Detailed Attendance'!X76:X76, "A")+COUNTIF('Detailed Attendance'!AL76:AL76, "A")+COUNTIF('Detailed Attendance'!BF76:BF76, "A")+COUNTIF('Detailed Attendance'!BL76:BL76, "A")+COUNTIF('Detailed Attendance'!BZ76:BZ76, "A")+COUNTIF('Detailed Attendance'!CI76:CI76, "A")+COUNTIF('Detailed Attendance'!CW76:CW76, "A")</f>
        <v/>
      </c>
      <c r="AA75" s="64">
        <f>IF((Y75+Z75)=0,"", Y75/(Y75+Z75))</f>
        <v/>
      </c>
      <c r="AB75" s="63">
        <f>COUNTIF('Detailed Attendance'!Q76:Q76, "P")+COUNTIF('Detailed Attendance'!AC76:AC76, "P")+COUNTIF('Detailed Attendance'!AK76:AK76, "P")+COUNTIF('Detailed Attendance'!AW76:AW76, "P")+COUNTIF('Detailed Attendance'!BE76:BE76, "P")+COUNTIF('Detailed Attendance'!BQ76:BQ76, "P")+COUNTIF('Detailed Attendance'!BY76:BY76, "P")+COUNTIF('Detailed Attendance'!CN76:CN76, "P")+COUNTIF('Detailed Attendance'!CV76:CV76, "P")</f>
        <v/>
      </c>
      <c r="AC75" s="63">
        <f>COUNTIF('Detailed Attendance'!Q76:Q76, "A")+COUNTIF('Detailed Attendance'!AC76:AC76, "A")+COUNTIF('Detailed Attendance'!AK76:AK76, "A")+COUNTIF('Detailed Attendance'!AW76:AW76, "A")+COUNTIF('Detailed Attendance'!BE76:BE76, "A")+COUNTIF('Detailed Attendance'!BQ76:BQ76, "A")+COUNTIF('Detailed Attendance'!BY76:BY76, "A")+COUNTIF('Detailed Attendance'!CN76:CN76, "A")+COUNTIF('Detailed Attendance'!CV76:CV76, "A")</f>
        <v/>
      </c>
      <c r="AD75" s="64">
        <f>IF((AB75+AC75)=0,"", AB75/(AB75+AC75))</f>
        <v/>
      </c>
      <c r="AE75" s="63">
        <f>COUNTIF('Detailed Attendance'!L76:L76, "P")+COUNTIF('Detailed Attendance'!P76:P76, "P")+COUNTIF('Detailed Attendance'!AF76:AF76, "P")+COUNTIF('Detailed Attendance'!AJ76:AJ76, "P")+COUNTIF('Detailed Attendance'!AZ76:AZ76, "P")+COUNTIF('Detailed Attendance'!BD76:BD76, "P")+COUNTIF('Detailed Attendance'!BT76:BT76, "P")+COUNTIF('Detailed Attendance'!BX76:BX76, "P")+COUNTIF('Detailed Attendance'!CQ76:CQ76, "P")+COUNTIF('Detailed Attendance'!CU76:CU76, "P")</f>
        <v/>
      </c>
      <c r="AF75" s="67">
        <f>COUNTIF('Detailed Attendance'!L76:L76, "A")+COUNTIF('Detailed Attendance'!P76:P76, "A")+COUNTIF('Detailed Attendance'!AF76:AF76, "A")+COUNTIF('Detailed Attendance'!AJ76:AJ76, "A")+COUNTIF('Detailed Attendance'!AZ76:AZ76, "A")+COUNTIF('Detailed Attendance'!BD76:BD76, "A")+COUNTIF('Detailed Attendance'!BT76:BT76, "A")+COUNTIF('Detailed Attendance'!BX76:BX76, "A")+COUNTIF('Detailed Attendance'!CQ76:CQ76, "A")+COUNTIF('Detailed Attendance'!CU76:CU76, "A")</f>
        <v/>
      </c>
      <c r="AG75" s="68">
        <f>IF((AE75+AF75)=0,"", AE75/(AE75+AF75))</f>
        <v/>
      </c>
      <c r="AH75" s="67">
        <f>COUNTIF('Detailed Attendance'!T76:T76, "P")+COUNTIF('Detailed Attendance'!AN76:AN76, "P")+COUNTIF('Detailed Attendance'!AR76:AR76, "P")+COUNTIF('Detailed Attendance'!BH76:BH76, "P")+COUNTIF('Detailed Attendance'!CB76:CB76, "P")+COUNTIF('Detailed Attendance'!CF76:CF76, "P")+COUNTIF('Detailed Attendance'!CY76:CY76, "P")</f>
        <v/>
      </c>
      <c r="AI75" s="67">
        <f>COUNTIF('Detailed Attendance'!T76:T76, "A")+COUNTIF('Detailed Attendance'!AN76:AN76, "A")+COUNTIF('Detailed Attendance'!AR76:AR76, "A")+COUNTIF('Detailed Attendance'!BH76:BH76, "A")+COUNTIF('Detailed Attendance'!CB76:CB76, "A")+COUNTIF('Detailed Attendance'!CF76:CF76, "A")+COUNTIF('Detailed Attendance'!CY76:CY76, "A")</f>
        <v/>
      </c>
      <c r="AJ75" s="68">
        <f>IF((AH75+AI75)=0,"", AH75/(AH75+AI75))</f>
        <v/>
      </c>
      <c r="AK75" s="67">
        <f>COUNTIF('Detailed Attendance'!M76:M76, "P")+COUNTIF('Detailed Attendance'!U76:U76, "P")+COUNTIF('Detailed Attendance'!AG76:AG76, "P")+COUNTIF('Detailed Attendance'!AO76:AO76, "P")+COUNTIF('Detailed Attendance'!BA76:BA76, "P")+COUNTIF('Detailed Attendance'!BI76:BI76, "P")+COUNTIF('Detailed Attendance'!BU76:BU76, "P")+COUNTIF('Detailed Attendance'!CC76:CC76, "P")+COUNTIF('Detailed Attendance'!CR76:CR76, "P")+COUNTIF('Detailed Attendance'!CZ76:CZ76, "P")</f>
        <v/>
      </c>
      <c r="AL75" s="67">
        <f>COUNTIF('Detailed Attendance'!M76:M76, "A")+COUNTIF('Detailed Attendance'!U76:U76, "A")+COUNTIF('Detailed Attendance'!AG76:AG76, "A")+COUNTIF('Detailed Attendance'!AO76:AO76, "A")+COUNTIF('Detailed Attendance'!BA76:BA76, "A")+COUNTIF('Detailed Attendance'!BI76:BI76, "A")+COUNTIF('Detailed Attendance'!BU76:BU76, "A")+COUNTIF('Detailed Attendance'!CC76:CC76, "A")+COUNTIF('Detailed Attendance'!CR76:CR76, "A")+COUNTIF('Detailed Attendance'!CZ76:CZ76, "A")</f>
        <v/>
      </c>
      <c r="AM75" s="68">
        <f>IF((AK75+AL75)=0,"", AK75/(AK75+AL75))</f>
        <v/>
      </c>
      <c r="AN75" s="67">
        <f>Y75+AB75+AE75+AH75+AK75</f>
        <v/>
      </c>
      <c r="AO75" s="67">
        <f>Z75+AC75+AF75+AI75+AL75</f>
        <v/>
      </c>
      <c r="AP75" s="68">
        <f>IF((AN75+AO75)=0,"", AN75/(AN75+AO75))</f>
        <v/>
      </c>
      <c r="AQ75" s="69">
        <f>COUNTIF('Detailed Attendance'!CG76:CG76, "P")+COUNTIF('Detailed Attendance'!CH76:CH76, "P")+COUNTIF('Detailed Attendance'!V76:V76, "P")+COUNTIF('Detailed Attendance'!AP76:AP76, "P")+COUNTIF('Detailed Attendance'!BJ76:BJ76, "P")+COUNTIF('Detailed Attendance'!CD76:CD76, "P")+COUNTIF('Detailed Attendance'!DA76:DA76, "P")</f>
        <v/>
      </c>
      <c r="AR75" s="69">
        <f>COUNTIF('Detailed Attendance'!CG76:CG76, "A")+COUNTIF('Detailed Attendance'!CH76:CH76, "A")+COUNTIF('Detailed Attendance'!V76:V76, "A")+COUNTIF('Detailed Attendance'!AP76:AP76, "A")+COUNTIF('Detailed Attendance'!BJ76:BJ76, "A")+COUNTIF('Detailed Attendance'!CD76:CD76, "A")+COUNTIF('Detailed Attendance'!DA76:DA76, "A")</f>
        <v/>
      </c>
      <c r="AS75" s="70">
        <f>IF((AQ75+AR75)=0,"", AQ75/(AQ75+AR75))</f>
        <v/>
      </c>
      <c r="AT75" s="67">
        <f>COUNTIF('Detailed Attendance'!DF76:DF76, "P")+COUNTIF('Detailed Attendance'!DT76:DT76, "P")+COUNTIF('Detailed Attendance'!EC76:EC76, "P")+COUNTIF('Detailed Attendance'!EQ76:EQ76, "P")+COUNTIF('Detailed Attendance'!EW76:EW76, "P")+COUNTIF('Detailed Attendance'!FK76:FK76, "P")+COUNTIF('Detailed Attendance'!FM76:FM76, "P")+COUNTIF('Detailed Attendance'!GA76:GA76, "P")</f>
        <v/>
      </c>
      <c r="AU75" s="67">
        <f>COUNTIF('Detailed Attendance'!DF76:DF76, "A")+COUNTIF('Detailed Attendance'!DT76:DT76, "A")+COUNTIF('Detailed Attendance'!EC76:EC76, "A")+COUNTIF('Detailed Attendance'!EQ76:EQ76, "A")+COUNTIF('Detailed Attendance'!EW76:EW76, "A")+COUNTIF('Detailed Attendance'!FK76:FK76, "A")+COUNTIF('Detailed Attendance'!FM76:FM76, "A")+COUNTIF('Detailed Attendance'!GA76:GA76, "A")</f>
        <v/>
      </c>
      <c r="AV75" s="68">
        <f>IF((AT75+AU75)=0,"", AT75/(AT75+AU75))</f>
        <v/>
      </c>
      <c r="AW75" s="67">
        <f>COUNTIF('Detailed Attendance'!DK76:DK76, "P")+COUNTIF('Detailed Attendance'!DS76:DS76, "P")+COUNTIF('Detailed Attendance'!EH76:EH76, "P")+COUNTIF('Detailed Attendance'!EP76:EP76, "P")+COUNTIF('Detailed Attendance'!FB76:FB76, "P")+COUNTIF('Detailed Attendance'!FJ76:FJ76, "P")+COUNTIF('Detailed Attendance'!FR76:FR76, "P")+COUNTIF('Detailed Attendance'!FZ76:FZ76, "P")</f>
        <v/>
      </c>
      <c r="AX75" s="67">
        <f>COUNTIF('Detailed Attendance'!DK76:DK76, "A")+COUNTIF('Detailed Attendance'!DS76:DS76, "A")+COUNTIF('Detailed Attendance'!EH76:EH76, "A")+COUNTIF('Detailed Attendance'!EP76:EP76, "A")+COUNTIF('Detailed Attendance'!FB76:FB76, "A")+COUNTIF('Detailed Attendance'!FJ76:FJ76, "A")+COUNTIF('Detailed Attendance'!FR76:FR76, "A")+COUNTIF('Detailed Attendance'!FZ76:FZ76, "A")</f>
        <v/>
      </c>
      <c r="AY75" s="68">
        <f>IF((AW75+AX75)=0,"", AW75/(AW75+AX75))</f>
        <v/>
      </c>
      <c r="AZ75" s="67">
        <f>COUNTIF('Detailed Attendance'!DN76:DN76, "P")+COUNTIF('Detailed Attendance'!DR76:DR76, "P")+COUNTIF('Detailed Attendance'!EK76:EK76, "P")+COUNTIF('Detailed Attendance'!EO76:EO76, "P")+COUNTIF('Detailed Attendance'!FE76:FE76, "P")+COUNTIF('Detailed Attendance'!FI76:FI76, "P")+COUNTIF('Detailed Attendance'!FU76:FU76, "P")+COUNTIF('Detailed Attendance'!FY76:FY76, "P")</f>
        <v/>
      </c>
      <c r="BA75" s="67">
        <f>COUNTIF('Detailed Attendance'!DN76:DN76, "A")+COUNTIF('Detailed Attendance'!DR76:DR76, "A")+COUNTIF('Detailed Attendance'!EK76:EK76, "A")+COUNTIF('Detailed Attendance'!EO76:EO76, "A")+COUNTIF('Detailed Attendance'!FE76:FE76, "A")+COUNTIF('Detailed Attendance'!FI76:FI76, "A")+COUNTIF('Detailed Attendance'!FU76:FU76, "A")+COUNTIF('Detailed Attendance'!FY76:FY76, "A")</f>
        <v/>
      </c>
      <c r="BB75" s="68">
        <f>IF((AZ75+BA75)=0,"", AZ75/(AZ75+BA75))</f>
        <v/>
      </c>
      <c r="BC75" s="67">
        <f>COUNTIF('Detailed Attendance'!DC76:DC76, "P")+COUNTIF('Detailed Attendance'!DV76:DV76, "P")+COUNTIF('Detailed Attendance'!DZ76:DZ76, "P")+COUNTIF('Detailed Attendance'!ES76:ES76, "P")+COUNTIF('Detailed Attendance'!GC76:GC76, "P")+COUNTIF('Detailed Attendance'!GG76:GG76, "P")</f>
        <v/>
      </c>
      <c r="BD75" s="67">
        <f>COUNTIF('Detailed Attendance'!DC76:DC76, "A")+COUNTIF('Detailed Attendance'!DV76:DV76, "A")+COUNTIF('Detailed Attendance'!DZ76:DZ76, "A")+COUNTIF('Detailed Attendance'!ES76:ES76, "A")+COUNTIF('Detailed Attendance'!GC76:GC76, "A")+COUNTIF('Detailed Attendance'!GG76:GG76, "A")</f>
        <v/>
      </c>
      <c r="BE75" s="68">
        <f>IF((BC75+BD75)=0,"", BC75/(BC75+BD75))</f>
        <v/>
      </c>
      <c r="BF75" s="67">
        <f>COUNTIF('Detailed Attendance'!DO76:DO76, "P")+COUNTIF('Detailed Attendance'!DW76:DW76, "P")+COUNTIF('Detailed Attendance'!EL76:EL76, "P")+COUNTIF('Detailed Attendance'!ET76:ET76, "P")+COUNTIF('Detailed Attendance'!FF76:FF76, "P")+COUNTIF('Detailed Attendance'!FV76:FV76, "P")+COUNTIF('Detailed Attendance'!GD76:GD76, "P")</f>
        <v/>
      </c>
      <c r="BG75" s="67">
        <f>COUNTIF('Detailed Attendance'!DO76:DO76, "A")+COUNTIF('Detailed Attendance'!DW76:DW76, "A")+COUNTIF('Detailed Attendance'!EL76:EL76, "A")+COUNTIF('Detailed Attendance'!ET76:ET76, "A")+COUNTIF('Detailed Attendance'!FF76:FF76, "A")+COUNTIF('Detailed Attendance'!FV76:FV76, "A")+COUNTIF('Detailed Attendance'!GD76:GD76, "A")</f>
        <v/>
      </c>
      <c r="BH75" s="68">
        <f>IF((BF75+BG75)=0,"", BF75/(BF75+BG75))</f>
        <v/>
      </c>
      <c r="BI75" s="67">
        <f>AT75+AW75+AZ75+BC75+BF75</f>
        <v/>
      </c>
      <c r="BJ75" s="67">
        <f>AU75+AX75+BA75+BD75+BG75</f>
        <v/>
      </c>
      <c r="BK75" s="68">
        <f>IF((BI75+BJ75)=0,"", BI75/(BI75+BJ75))</f>
        <v/>
      </c>
      <c r="BL75" s="69">
        <f>COUNTIF('Detailed Attendance'!DD76:DD76, "P")+COUNTIF('Detailed Attendance'!EA76:EA76, "P")+COUNTIF('Detailed Attendance'!GH76:GH76, "P")+COUNTIF('Detailed Attendance'!DE76:DE76, "P")+COUNTIF('Detailed Attendance'!EB76:EB76, "P")+COUNTIF('Detailed Attendance'!GI76:GI76, "P")+COUNTIF('Detailed Attendance'!DX76:DX76, "P")+COUNTIF('Detailed Attendance'!EU76:EU76, "P")+COUNTIF('Detailed Attendance'!GE76:GE76, "P")</f>
        <v/>
      </c>
      <c r="BM75" s="69">
        <f>COUNTIF('Detailed Attendance'!DD76:DD76, "A")+COUNTIF('Detailed Attendance'!EA76:EA76, "A")+COUNTIF('Detailed Attendance'!GH76:GH76, "A")+COUNTIF('Detailed Attendance'!DE76:DE76, "A")+COUNTIF('Detailed Attendance'!EB76:EB76, "A")+COUNTIF('Detailed Attendance'!GI76:GI76, "A")+COUNTIF('Detailed Attendance'!DX76:DX76, "A")+COUNTIF('Detailed Attendance'!EU76:EU76, "A")+COUNTIF('Detailed Attendance'!GE76:GE76, "A")</f>
        <v/>
      </c>
      <c r="BN75" s="70">
        <f>IF((BL75+BM75)=0,"", BL75/(BL75+BM75))</f>
        <v/>
      </c>
      <c r="BO75" s="67">
        <f>D75+Y75+AT75</f>
        <v/>
      </c>
      <c r="BP75" s="67">
        <f>E75+Z75+AU75</f>
        <v/>
      </c>
      <c r="BQ75" s="68">
        <f>IF((BO75+BP75)=0,"", BO75/(BO75+BP75))</f>
        <v/>
      </c>
      <c r="BR75" s="67">
        <f>G75+AB75+AW75</f>
        <v/>
      </c>
      <c r="BS75" s="67">
        <f>H75+AC75+AX75</f>
        <v/>
      </c>
      <c r="BT75" s="68">
        <f>IF((BR75+BS75)=0,"", BR75/(BR75+BS75))</f>
        <v/>
      </c>
      <c r="BU75" s="67">
        <f>J75+AE75+AZ75</f>
        <v/>
      </c>
      <c r="BV75" s="67">
        <f>K75+AF75+BA75</f>
        <v/>
      </c>
      <c r="BW75" s="68">
        <f>IF((BU75+BV75)=0,"", BU75/(BU75+BV75))</f>
        <v/>
      </c>
      <c r="BX75" s="67">
        <f>M75+AH75+BC75</f>
        <v/>
      </c>
      <c r="BY75" s="67">
        <f>N75+AI75+BD75</f>
        <v/>
      </c>
      <c r="BZ75" s="68">
        <f>IF((BX75+BY75)=0,"", BX75/(BX75+BY75))</f>
        <v/>
      </c>
      <c r="CA75" s="67">
        <f>P75+AK75+BF75</f>
        <v/>
      </c>
      <c r="CB75" s="67">
        <f>Q75+AL75+BG75</f>
        <v/>
      </c>
      <c r="CC75" s="68">
        <f>IF((CA75+CB75)=0,"", CA75/(CA75+CB75))</f>
        <v/>
      </c>
      <c r="CD75" s="67">
        <f>S75+AN75+BI75</f>
        <v/>
      </c>
      <c r="CE75" s="67">
        <f>T75+AO75+BJ75</f>
        <v/>
      </c>
      <c r="CF75" s="68">
        <f>IF((CD75+CE75)=0,"", CD75/(CD75+CE75))</f>
        <v/>
      </c>
      <c r="CG75" s="69">
        <f>V75+AQ75+BL75</f>
        <v/>
      </c>
      <c r="CH75" s="69">
        <f>W75+AR75+BM75</f>
        <v/>
      </c>
      <c r="CI75" s="70">
        <f>IF((CG75+CH75)=0,"", CG75/(CG75+CH75))</f>
        <v/>
      </c>
      <c r="CJ75" s="67">
        <f>CD75+(CG75*2)</f>
        <v/>
      </c>
      <c r="CK75" s="67">
        <f>CE75+(CH75*2)</f>
        <v/>
      </c>
      <c r="CL75" s="68">
        <f>IF((CJ75+CK75)=0,"", CJ75/(CJ75+CK75))</f>
        <v/>
      </c>
      <c r="CM75" s="67" t="inlineStr">
        <is>
          <t>Batch 2</t>
        </is>
      </c>
    </row>
    <row r="76" ht="14.25" customHeight="1" s="34">
      <c r="A76" s="46" t="n">
        <v>74</v>
      </c>
      <c r="B76" s="46" t="inlineStr">
        <is>
          <t>325106410074</t>
        </is>
      </c>
      <c r="C76" s="46" t="inlineStr">
        <is>
          <t>AOULADI AHAMADA</t>
        </is>
      </c>
      <c r="D76" s="63" t="n">
        <v>0</v>
      </c>
      <c r="E76" s="63" t="n">
        <v>0</v>
      </c>
      <c r="F76" s="64">
        <f>IF((D76+E76)=0,"", D76/(D76+E76))</f>
        <v/>
      </c>
      <c r="G76" s="63">
        <f>COUNTIF('Detailed Attendance'!I77:I77, "P")</f>
        <v/>
      </c>
      <c r="H76" s="63">
        <f>COUNTIF('Detailed Attendance'!I77:I77, "A")</f>
        <v/>
      </c>
      <c r="I76" s="64">
        <f>IF((G76+H76)=0,"", G76/(G76+H76))</f>
        <v/>
      </c>
      <c r="J76" s="63" t="n">
        <v>0</v>
      </c>
      <c r="K76" s="63" t="n">
        <v>0</v>
      </c>
      <c r="L76" s="64">
        <f>IF((J76+K76)=0,"", J76/(J76+K76))</f>
        <v/>
      </c>
      <c r="M76" s="63">
        <f>COUNTIF('Detailed Attendance'!D77:D77, "P")</f>
        <v/>
      </c>
      <c r="N76" s="63">
        <f>COUNTIF('Detailed Attendance'!D77:D77, "A")</f>
        <v/>
      </c>
      <c r="O76" s="64">
        <f>IF((M76+N76)=0,"", M76/(M76+N76))</f>
        <v/>
      </c>
      <c r="P76" s="63" t="n">
        <v>0</v>
      </c>
      <c r="Q76" s="63" t="n">
        <v>0</v>
      </c>
      <c r="R76" s="64">
        <f>IF((P76+Q76)=0,"", P76/(P76+Q76))</f>
        <v/>
      </c>
      <c r="S76" s="63">
        <f>D76+G76+J76+M76+P76</f>
        <v/>
      </c>
      <c r="T76" s="63">
        <f>E76+H76+K76+N76+Q76</f>
        <v/>
      </c>
      <c r="U76" s="64">
        <f>IF((S76+T76)=0,"", S76/(S76+T76))</f>
        <v/>
      </c>
      <c r="V76" s="65" t="n">
        <v>0</v>
      </c>
      <c r="W76" s="65" t="n">
        <v>0</v>
      </c>
      <c r="X76" s="66">
        <f>IF((V76+W76)=0,"", V76/(V76+W76))</f>
        <v/>
      </c>
      <c r="Y76" s="63">
        <f>COUNTIF('Detailed Attendance'!R77:R77, "P")+COUNTIF('Detailed Attendance'!X77:X77, "P")+COUNTIF('Detailed Attendance'!AL77:AL77, "P")+COUNTIF('Detailed Attendance'!BF77:BF77, "P")+COUNTIF('Detailed Attendance'!BL77:BL77, "P")+COUNTIF('Detailed Attendance'!BZ77:BZ77, "P")+COUNTIF('Detailed Attendance'!CI77:CI77, "P")+COUNTIF('Detailed Attendance'!CW77:CW77, "P")</f>
        <v/>
      </c>
      <c r="Z76" s="63">
        <f>COUNTIF('Detailed Attendance'!R77:R77, "A")+COUNTIF('Detailed Attendance'!X77:X77, "A")+COUNTIF('Detailed Attendance'!AL77:AL77, "A")+COUNTIF('Detailed Attendance'!BF77:BF77, "A")+COUNTIF('Detailed Attendance'!BL77:BL77, "A")+COUNTIF('Detailed Attendance'!BZ77:BZ77, "A")+COUNTIF('Detailed Attendance'!CI77:CI77, "A")+COUNTIF('Detailed Attendance'!CW77:CW77, "A")</f>
        <v/>
      </c>
      <c r="AA76" s="64">
        <f>IF((Y76+Z76)=0,"", Y76/(Y76+Z76))</f>
        <v/>
      </c>
      <c r="AB76" s="63">
        <f>COUNTIF('Detailed Attendance'!Q77:Q77, "P")+COUNTIF('Detailed Attendance'!AC77:AC77, "P")+COUNTIF('Detailed Attendance'!AK77:AK77, "P")+COUNTIF('Detailed Attendance'!AW77:AW77, "P")+COUNTIF('Detailed Attendance'!BE77:BE77, "P")+COUNTIF('Detailed Attendance'!BQ77:BQ77, "P")+COUNTIF('Detailed Attendance'!BY77:BY77, "P")+COUNTIF('Detailed Attendance'!CN77:CN77, "P")+COUNTIF('Detailed Attendance'!CV77:CV77, "P")</f>
        <v/>
      </c>
      <c r="AC76" s="63">
        <f>COUNTIF('Detailed Attendance'!Q77:Q77, "A")+COUNTIF('Detailed Attendance'!AC77:AC77, "A")+COUNTIF('Detailed Attendance'!AK77:AK77, "A")+COUNTIF('Detailed Attendance'!AW77:AW77, "A")+COUNTIF('Detailed Attendance'!BE77:BE77, "A")+COUNTIF('Detailed Attendance'!BQ77:BQ77, "A")+COUNTIF('Detailed Attendance'!BY77:BY77, "A")+COUNTIF('Detailed Attendance'!CN77:CN77, "A")+COUNTIF('Detailed Attendance'!CV77:CV77, "A")</f>
        <v/>
      </c>
      <c r="AD76" s="64">
        <f>IF((AB76+AC76)=0,"", AB76/(AB76+AC76))</f>
        <v/>
      </c>
      <c r="AE76" s="63">
        <f>COUNTIF('Detailed Attendance'!L77:L77, "P")+COUNTIF('Detailed Attendance'!P77:P77, "P")+COUNTIF('Detailed Attendance'!AF77:AF77, "P")+COUNTIF('Detailed Attendance'!AJ77:AJ77, "P")+COUNTIF('Detailed Attendance'!AZ77:AZ77, "P")+COUNTIF('Detailed Attendance'!BD77:BD77, "P")+COUNTIF('Detailed Attendance'!BT77:BT77, "P")+COUNTIF('Detailed Attendance'!BX77:BX77, "P")+COUNTIF('Detailed Attendance'!CQ77:CQ77, "P")+COUNTIF('Detailed Attendance'!CU77:CU77, "P")</f>
        <v/>
      </c>
      <c r="AF76" s="67">
        <f>COUNTIF('Detailed Attendance'!L77:L77, "A")+COUNTIF('Detailed Attendance'!P77:P77, "A")+COUNTIF('Detailed Attendance'!AF77:AF77, "A")+COUNTIF('Detailed Attendance'!AJ77:AJ77, "A")+COUNTIF('Detailed Attendance'!AZ77:AZ77, "A")+COUNTIF('Detailed Attendance'!BD77:BD77, "A")+COUNTIF('Detailed Attendance'!BT77:BT77, "A")+COUNTIF('Detailed Attendance'!BX77:BX77, "A")+COUNTIF('Detailed Attendance'!CQ77:CQ77, "A")+COUNTIF('Detailed Attendance'!CU77:CU77, "A")</f>
        <v/>
      </c>
      <c r="AG76" s="68">
        <f>IF((AE76+AF76)=0,"", AE76/(AE76+AF76))</f>
        <v/>
      </c>
      <c r="AH76" s="67">
        <f>COUNTIF('Detailed Attendance'!T77:T77, "P")+COUNTIF('Detailed Attendance'!AN77:AN77, "P")+COUNTIF('Detailed Attendance'!AR77:AR77, "P")+COUNTIF('Detailed Attendance'!BH77:BH77, "P")+COUNTIF('Detailed Attendance'!CB77:CB77, "P")+COUNTIF('Detailed Attendance'!CF77:CF77, "P")+COUNTIF('Detailed Attendance'!CY77:CY77, "P")</f>
        <v/>
      </c>
      <c r="AI76" s="67">
        <f>COUNTIF('Detailed Attendance'!T77:T77, "A")+COUNTIF('Detailed Attendance'!AN77:AN77, "A")+COUNTIF('Detailed Attendance'!AR77:AR77, "A")+COUNTIF('Detailed Attendance'!BH77:BH77, "A")+COUNTIF('Detailed Attendance'!CB77:CB77, "A")+COUNTIF('Detailed Attendance'!CF77:CF77, "A")+COUNTIF('Detailed Attendance'!CY77:CY77, "A")</f>
        <v/>
      </c>
      <c r="AJ76" s="68">
        <f>IF((AH76+AI76)=0,"", AH76/(AH76+AI76))</f>
        <v/>
      </c>
      <c r="AK76" s="67">
        <f>COUNTIF('Detailed Attendance'!M77:M77, "P")+COUNTIF('Detailed Attendance'!U77:U77, "P")+COUNTIF('Detailed Attendance'!AG77:AG77, "P")+COUNTIF('Detailed Attendance'!AO77:AO77, "P")+COUNTIF('Detailed Attendance'!BA77:BA77, "P")+COUNTIF('Detailed Attendance'!BI77:BI77, "P")+COUNTIF('Detailed Attendance'!BU77:BU77, "P")+COUNTIF('Detailed Attendance'!CC77:CC77, "P")+COUNTIF('Detailed Attendance'!CR77:CR77, "P")+COUNTIF('Detailed Attendance'!CZ77:CZ77, "P")</f>
        <v/>
      </c>
      <c r="AL76" s="67">
        <f>COUNTIF('Detailed Attendance'!M77:M77, "A")+COUNTIF('Detailed Attendance'!U77:U77, "A")+COUNTIF('Detailed Attendance'!AG77:AG77, "A")+COUNTIF('Detailed Attendance'!AO77:AO77, "A")+COUNTIF('Detailed Attendance'!BA77:BA77, "A")+COUNTIF('Detailed Attendance'!BI77:BI77, "A")+COUNTIF('Detailed Attendance'!BU77:BU77, "A")+COUNTIF('Detailed Attendance'!CC77:CC77, "A")+COUNTIF('Detailed Attendance'!CR77:CR77, "A")+COUNTIF('Detailed Attendance'!CZ77:CZ77, "A")</f>
        <v/>
      </c>
      <c r="AM76" s="68">
        <f>IF((AK76+AL76)=0,"", AK76/(AK76+AL76))</f>
        <v/>
      </c>
      <c r="AN76" s="67">
        <f>Y76+AB76+AE76+AH76+AK76</f>
        <v/>
      </c>
      <c r="AO76" s="67">
        <f>Z76+AC76+AF76+AI76+AL76</f>
        <v/>
      </c>
      <c r="AP76" s="68">
        <f>IF((AN76+AO76)=0,"", AN76/(AN76+AO76))</f>
        <v/>
      </c>
      <c r="AQ76" s="69">
        <f>COUNTIF('Detailed Attendance'!CG77:CG77, "P")+COUNTIF('Detailed Attendance'!CH77:CH77, "P")+COUNTIF('Detailed Attendance'!V77:V77, "P")+COUNTIF('Detailed Attendance'!AP77:AP77, "P")+COUNTIF('Detailed Attendance'!BJ77:BJ77, "P")+COUNTIF('Detailed Attendance'!CD77:CD77, "P")+COUNTIF('Detailed Attendance'!DA77:DA77, "P")</f>
        <v/>
      </c>
      <c r="AR76" s="69">
        <f>COUNTIF('Detailed Attendance'!CG77:CG77, "A")+COUNTIF('Detailed Attendance'!CH77:CH77, "A")+COUNTIF('Detailed Attendance'!V77:V77, "A")+COUNTIF('Detailed Attendance'!AP77:AP77, "A")+COUNTIF('Detailed Attendance'!BJ77:BJ77, "A")+COUNTIF('Detailed Attendance'!CD77:CD77, "A")+COUNTIF('Detailed Attendance'!DA77:DA77, "A")</f>
        <v/>
      </c>
      <c r="AS76" s="70">
        <f>IF((AQ76+AR76)=0,"", AQ76/(AQ76+AR76))</f>
        <v/>
      </c>
      <c r="AT76" s="67">
        <f>COUNTIF('Detailed Attendance'!DF77:DF77, "P")+COUNTIF('Detailed Attendance'!DT77:DT77, "P")+COUNTIF('Detailed Attendance'!EC77:EC77, "P")+COUNTIF('Detailed Attendance'!EQ77:EQ77, "P")+COUNTIF('Detailed Attendance'!EW77:EW77, "P")+COUNTIF('Detailed Attendance'!FK77:FK77, "P")+COUNTIF('Detailed Attendance'!FM77:FM77, "P")+COUNTIF('Detailed Attendance'!GA77:GA77, "P")</f>
        <v/>
      </c>
      <c r="AU76" s="67">
        <f>COUNTIF('Detailed Attendance'!DF77:DF77, "A")+COUNTIF('Detailed Attendance'!DT77:DT77, "A")+COUNTIF('Detailed Attendance'!EC77:EC77, "A")+COUNTIF('Detailed Attendance'!EQ77:EQ77, "A")+COUNTIF('Detailed Attendance'!EW77:EW77, "A")+COUNTIF('Detailed Attendance'!FK77:FK77, "A")+COUNTIF('Detailed Attendance'!FM77:FM77, "A")+COUNTIF('Detailed Attendance'!GA77:GA77, "A")</f>
        <v/>
      </c>
      <c r="AV76" s="68">
        <f>IF((AT76+AU76)=0,"", AT76/(AT76+AU76))</f>
        <v/>
      </c>
      <c r="AW76" s="67">
        <f>COUNTIF('Detailed Attendance'!DK77:DK77, "P")+COUNTIF('Detailed Attendance'!DS77:DS77, "P")+COUNTIF('Detailed Attendance'!EH77:EH77, "P")+COUNTIF('Detailed Attendance'!EP77:EP77, "P")+COUNTIF('Detailed Attendance'!FB77:FB77, "P")+COUNTIF('Detailed Attendance'!FJ77:FJ77, "P")+COUNTIF('Detailed Attendance'!FR77:FR77, "P")+COUNTIF('Detailed Attendance'!FZ77:FZ77, "P")</f>
        <v/>
      </c>
      <c r="AX76" s="67">
        <f>COUNTIF('Detailed Attendance'!DK77:DK77, "A")+COUNTIF('Detailed Attendance'!DS77:DS77, "A")+COUNTIF('Detailed Attendance'!EH77:EH77, "A")+COUNTIF('Detailed Attendance'!EP77:EP77, "A")+COUNTIF('Detailed Attendance'!FB77:FB77, "A")+COUNTIF('Detailed Attendance'!FJ77:FJ77, "A")+COUNTIF('Detailed Attendance'!FR77:FR77, "A")+COUNTIF('Detailed Attendance'!FZ77:FZ77, "A")</f>
        <v/>
      </c>
      <c r="AY76" s="68">
        <f>IF((AW76+AX76)=0,"", AW76/(AW76+AX76))</f>
        <v/>
      </c>
      <c r="AZ76" s="67">
        <f>COUNTIF('Detailed Attendance'!DN77:DN77, "P")+COUNTIF('Detailed Attendance'!DR77:DR77, "P")+COUNTIF('Detailed Attendance'!EK77:EK77, "P")+COUNTIF('Detailed Attendance'!EO77:EO77, "P")+COUNTIF('Detailed Attendance'!FE77:FE77, "P")+COUNTIF('Detailed Attendance'!FI77:FI77, "P")+COUNTIF('Detailed Attendance'!FU77:FU77, "P")+COUNTIF('Detailed Attendance'!FY77:FY77, "P")</f>
        <v/>
      </c>
      <c r="BA76" s="67">
        <f>COUNTIF('Detailed Attendance'!DN77:DN77, "A")+COUNTIF('Detailed Attendance'!DR77:DR77, "A")+COUNTIF('Detailed Attendance'!EK77:EK77, "A")+COUNTIF('Detailed Attendance'!EO77:EO77, "A")+COUNTIF('Detailed Attendance'!FE77:FE77, "A")+COUNTIF('Detailed Attendance'!FI77:FI77, "A")+COUNTIF('Detailed Attendance'!FU77:FU77, "A")+COUNTIF('Detailed Attendance'!FY77:FY77, "A")</f>
        <v/>
      </c>
      <c r="BB76" s="68">
        <f>IF((AZ76+BA76)=0,"", AZ76/(AZ76+BA76))</f>
        <v/>
      </c>
      <c r="BC76" s="67">
        <f>COUNTIF('Detailed Attendance'!DC77:DC77, "P")+COUNTIF('Detailed Attendance'!DV77:DV77, "P")+COUNTIF('Detailed Attendance'!DZ77:DZ77, "P")+COUNTIF('Detailed Attendance'!ES77:ES77, "P")+COUNTIF('Detailed Attendance'!GC77:GC77, "P")+COUNTIF('Detailed Attendance'!GG77:GG77, "P")</f>
        <v/>
      </c>
      <c r="BD76" s="67">
        <f>COUNTIF('Detailed Attendance'!DC77:DC77, "A")+COUNTIF('Detailed Attendance'!DV77:DV77, "A")+COUNTIF('Detailed Attendance'!DZ77:DZ77, "A")+COUNTIF('Detailed Attendance'!ES77:ES77, "A")+COUNTIF('Detailed Attendance'!GC77:GC77, "A")+COUNTIF('Detailed Attendance'!GG77:GG77, "A")</f>
        <v/>
      </c>
      <c r="BE76" s="68">
        <f>IF((BC76+BD76)=0,"", BC76/(BC76+BD76))</f>
        <v/>
      </c>
      <c r="BF76" s="67">
        <f>COUNTIF('Detailed Attendance'!DO77:DO77, "P")+COUNTIF('Detailed Attendance'!DW77:DW77, "P")+COUNTIF('Detailed Attendance'!EL77:EL77, "P")+COUNTIF('Detailed Attendance'!ET77:ET77, "P")+COUNTIF('Detailed Attendance'!FF77:FF77, "P")+COUNTIF('Detailed Attendance'!FV77:FV77, "P")+COUNTIF('Detailed Attendance'!GD77:GD77, "P")</f>
        <v/>
      </c>
      <c r="BG76" s="67">
        <f>COUNTIF('Detailed Attendance'!DO77:DO77, "A")+COUNTIF('Detailed Attendance'!DW77:DW77, "A")+COUNTIF('Detailed Attendance'!EL77:EL77, "A")+COUNTIF('Detailed Attendance'!ET77:ET77, "A")+COUNTIF('Detailed Attendance'!FF77:FF77, "A")+COUNTIF('Detailed Attendance'!FV77:FV77, "A")+COUNTIF('Detailed Attendance'!GD77:GD77, "A")</f>
        <v/>
      </c>
      <c r="BH76" s="68">
        <f>IF((BF76+BG76)=0,"", BF76/(BF76+BG76))</f>
        <v/>
      </c>
      <c r="BI76" s="67">
        <f>AT76+AW76+AZ76+BC76+BF76</f>
        <v/>
      </c>
      <c r="BJ76" s="67">
        <f>AU76+AX76+BA76+BD76+BG76</f>
        <v/>
      </c>
      <c r="BK76" s="68">
        <f>IF((BI76+BJ76)=0,"", BI76/(BI76+BJ76))</f>
        <v/>
      </c>
      <c r="BL76" s="69">
        <f>COUNTIF('Detailed Attendance'!DD77:DD77, "P")+COUNTIF('Detailed Attendance'!EA77:EA77, "P")+COUNTIF('Detailed Attendance'!GH77:GH77, "P")+COUNTIF('Detailed Attendance'!DE77:DE77, "P")+COUNTIF('Detailed Attendance'!EB77:EB77, "P")+COUNTIF('Detailed Attendance'!GI77:GI77, "P")+COUNTIF('Detailed Attendance'!DX77:DX77, "P")+COUNTIF('Detailed Attendance'!EU77:EU77, "P")+COUNTIF('Detailed Attendance'!GE77:GE77, "P")</f>
        <v/>
      </c>
      <c r="BM76" s="69">
        <f>COUNTIF('Detailed Attendance'!DD77:DD77, "A")+COUNTIF('Detailed Attendance'!EA77:EA77, "A")+COUNTIF('Detailed Attendance'!GH77:GH77, "A")+COUNTIF('Detailed Attendance'!DE77:DE77, "A")+COUNTIF('Detailed Attendance'!EB77:EB77, "A")+COUNTIF('Detailed Attendance'!GI77:GI77, "A")+COUNTIF('Detailed Attendance'!DX77:DX77, "A")+COUNTIF('Detailed Attendance'!EU77:EU77, "A")+COUNTIF('Detailed Attendance'!GE77:GE77, "A")</f>
        <v/>
      </c>
      <c r="BN76" s="70">
        <f>IF((BL76+BM76)=0,"", BL76/(BL76+BM76))</f>
        <v/>
      </c>
      <c r="BO76" s="67">
        <f>D76+Y76+AT76</f>
        <v/>
      </c>
      <c r="BP76" s="67">
        <f>E76+Z76+AU76</f>
        <v/>
      </c>
      <c r="BQ76" s="68">
        <f>IF((BO76+BP76)=0,"", BO76/(BO76+BP76))</f>
        <v/>
      </c>
      <c r="BR76" s="67">
        <f>G76+AB76+AW76</f>
        <v/>
      </c>
      <c r="BS76" s="67">
        <f>H76+AC76+AX76</f>
        <v/>
      </c>
      <c r="BT76" s="68">
        <f>IF((BR76+BS76)=0,"", BR76/(BR76+BS76))</f>
        <v/>
      </c>
      <c r="BU76" s="67">
        <f>J76+AE76+AZ76</f>
        <v/>
      </c>
      <c r="BV76" s="67">
        <f>K76+AF76+BA76</f>
        <v/>
      </c>
      <c r="BW76" s="68">
        <f>IF((BU76+BV76)=0,"", BU76/(BU76+BV76))</f>
        <v/>
      </c>
      <c r="BX76" s="67">
        <f>M76+AH76+BC76</f>
        <v/>
      </c>
      <c r="BY76" s="67">
        <f>N76+AI76+BD76</f>
        <v/>
      </c>
      <c r="BZ76" s="68">
        <f>IF((BX76+BY76)=0,"", BX76/(BX76+BY76))</f>
        <v/>
      </c>
      <c r="CA76" s="67">
        <f>P76+AK76+BF76</f>
        <v/>
      </c>
      <c r="CB76" s="67">
        <f>Q76+AL76+BG76</f>
        <v/>
      </c>
      <c r="CC76" s="68">
        <f>IF((CA76+CB76)=0,"", CA76/(CA76+CB76))</f>
        <v/>
      </c>
      <c r="CD76" s="67">
        <f>S76+AN76+BI76</f>
        <v/>
      </c>
      <c r="CE76" s="67">
        <f>T76+AO76+BJ76</f>
        <v/>
      </c>
      <c r="CF76" s="68">
        <f>IF((CD76+CE76)=0,"", CD76/(CD76+CE76))</f>
        <v/>
      </c>
      <c r="CG76" s="69">
        <f>V76+AQ76+BL76</f>
        <v/>
      </c>
      <c r="CH76" s="69">
        <f>W76+AR76+BM76</f>
        <v/>
      </c>
      <c r="CI76" s="70">
        <f>IF((CG76+CH76)=0,"", CG76/(CG76+CH76))</f>
        <v/>
      </c>
      <c r="CJ76" s="67">
        <f>CD76+(CG76*2)</f>
        <v/>
      </c>
      <c r="CK76" s="67">
        <f>CE76+(CH76*2)</f>
        <v/>
      </c>
      <c r="CL76" s="68">
        <f>IF((CJ76+CK76)=0,"", CJ76/(CJ76+CK76))</f>
        <v/>
      </c>
      <c r="CM76" s="67" t="inlineStr">
        <is>
          <t>Batch 2</t>
        </is>
      </c>
    </row>
    <row r="77" ht="14.25" customHeight="1" s="34">
      <c r="A77" s="46" t="n">
        <v>75</v>
      </c>
      <c r="B77" s="46" t="inlineStr">
        <is>
          <t>325106410075</t>
        </is>
      </c>
      <c r="C77" s="46" t="inlineStr">
        <is>
          <t>ARIYA DEY ARPI</t>
        </is>
      </c>
      <c r="D77" s="63" t="n">
        <v>0</v>
      </c>
      <c r="E77" s="63" t="n">
        <v>0</v>
      </c>
      <c r="F77" s="64">
        <f>IF((D77+E77)=0,"", D77/(D77+E77))</f>
        <v/>
      </c>
      <c r="G77" s="63">
        <f>COUNTIF('Detailed Attendance'!I78:I78, "P")</f>
        <v/>
      </c>
      <c r="H77" s="63">
        <f>COUNTIF('Detailed Attendance'!I78:I78, "A")</f>
        <v/>
      </c>
      <c r="I77" s="64">
        <f>IF((G77+H77)=0,"", G77/(G77+H77))</f>
        <v/>
      </c>
      <c r="J77" s="63" t="n">
        <v>0</v>
      </c>
      <c r="K77" s="63" t="n">
        <v>0</v>
      </c>
      <c r="L77" s="64">
        <f>IF((J77+K77)=0,"", J77/(J77+K77))</f>
        <v/>
      </c>
      <c r="M77" s="63">
        <f>COUNTIF('Detailed Attendance'!D78:D78, "P")</f>
        <v/>
      </c>
      <c r="N77" s="63">
        <f>COUNTIF('Detailed Attendance'!D78:D78, "A")</f>
        <v/>
      </c>
      <c r="O77" s="64">
        <f>IF((M77+N77)=0,"", M77/(M77+N77))</f>
        <v/>
      </c>
      <c r="P77" s="63" t="n">
        <v>0</v>
      </c>
      <c r="Q77" s="63" t="n">
        <v>0</v>
      </c>
      <c r="R77" s="64">
        <f>IF((P77+Q77)=0,"", P77/(P77+Q77))</f>
        <v/>
      </c>
      <c r="S77" s="63">
        <f>D77+G77+J77+M77+P77</f>
        <v/>
      </c>
      <c r="T77" s="63">
        <f>E77+H77+K77+N77+Q77</f>
        <v/>
      </c>
      <c r="U77" s="64">
        <f>IF((S77+T77)=0,"", S77/(S77+T77))</f>
        <v/>
      </c>
      <c r="V77" s="65" t="n">
        <v>0</v>
      </c>
      <c r="W77" s="65" t="n">
        <v>0</v>
      </c>
      <c r="X77" s="66">
        <f>IF((V77+W77)=0,"", V77/(V77+W77))</f>
        <v/>
      </c>
      <c r="Y77" s="63">
        <f>COUNTIF('Detailed Attendance'!R78:R78, "P")+COUNTIF('Detailed Attendance'!X78:X78, "P")+COUNTIF('Detailed Attendance'!AL78:AL78, "P")+COUNTIF('Detailed Attendance'!BF78:BF78, "P")+COUNTIF('Detailed Attendance'!BL78:BL78, "P")+COUNTIF('Detailed Attendance'!BZ78:BZ78, "P")+COUNTIF('Detailed Attendance'!CI78:CI78, "P")+COUNTIF('Detailed Attendance'!CW78:CW78, "P")</f>
        <v/>
      </c>
      <c r="Z77" s="63">
        <f>COUNTIF('Detailed Attendance'!R78:R78, "A")+COUNTIF('Detailed Attendance'!X78:X78, "A")+COUNTIF('Detailed Attendance'!AL78:AL78, "A")+COUNTIF('Detailed Attendance'!BF78:BF78, "A")+COUNTIF('Detailed Attendance'!BL78:BL78, "A")+COUNTIF('Detailed Attendance'!BZ78:BZ78, "A")+COUNTIF('Detailed Attendance'!CI78:CI78, "A")+COUNTIF('Detailed Attendance'!CW78:CW78, "A")</f>
        <v/>
      </c>
      <c r="AA77" s="64">
        <f>IF((Y77+Z77)=0,"", Y77/(Y77+Z77))</f>
        <v/>
      </c>
      <c r="AB77" s="63">
        <f>COUNTIF('Detailed Attendance'!Q78:Q78, "P")+COUNTIF('Detailed Attendance'!AC78:AC78, "P")+COUNTIF('Detailed Attendance'!AK78:AK78, "P")+COUNTIF('Detailed Attendance'!AW78:AW78, "P")+COUNTIF('Detailed Attendance'!BE78:BE78, "P")+COUNTIF('Detailed Attendance'!BQ78:BQ78, "P")+COUNTIF('Detailed Attendance'!BY78:BY78, "P")+COUNTIF('Detailed Attendance'!CN78:CN78, "P")+COUNTIF('Detailed Attendance'!CV78:CV78, "P")</f>
        <v/>
      </c>
      <c r="AC77" s="63">
        <f>COUNTIF('Detailed Attendance'!Q78:Q78, "A")+COUNTIF('Detailed Attendance'!AC78:AC78, "A")+COUNTIF('Detailed Attendance'!AK78:AK78, "A")+COUNTIF('Detailed Attendance'!AW78:AW78, "A")+COUNTIF('Detailed Attendance'!BE78:BE78, "A")+COUNTIF('Detailed Attendance'!BQ78:BQ78, "A")+COUNTIF('Detailed Attendance'!BY78:BY78, "A")+COUNTIF('Detailed Attendance'!CN78:CN78, "A")+COUNTIF('Detailed Attendance'!CV78:CV78, "A")</f>
        <v/>
      </c>
      <c r="AD77" s="64">
        <f>IF((AB77+AC77)=0,"", AB77/(AB77+AC77))</f>
        <v/>
      </c>
      <c r="AE77" s="63">
        <f>COUNTIF('Detailed Attendance'!L78:L78, "P")+COUNTIF('Detailed Attendance'!P78:P78, "P")+COUNTIF('Detailed Attendance'!AF78:AF78, "P")+COUNTIF('Detailed Attendance'!AJ78:AJ78, "P")+COUNTIF('Detailed Attendance'!AZ78:AZ78, "P")+COUNTIF('Detailed Attendance'!BD78:BD78, "P")+COUNTIF('Detailed Attendance'!BT78:BT78, "P")+COUNTIF('Detailed Attendance'!BX78:BX78, "P")+COUNTIF('Detailed Attendance'!CQ78:CQ78, "P")+COUNTIF('Detailed Attendance'!CU78:CU78, "P")</f>
        <v/>
      </c>
      <c r="AF77" s="67">
        <f>COUNTIF('Detailed Attendance'!L78:L78, "A")+COUNTIF('Detailed Attendance'!P78:P78, "A")+COUNTIF('Detailed Attendance'!AF78:AF78, "A")+COUNTIF('Detailed Attendance'!AJ78:AJ78, "A")+COUNTIF('Detailed Attendance'!AZ78:AZ78, "A")+COUNTIF('Detailed Attendance'!BD78:BD78, "A")+COUNTIF('Detailed Attendance'!BT78:BT78, "A")+COUNTIF('Detailed Attendance'!BX78:BX78, "A")+COUNTIF('Detailed Attendance'!CQ78:CQ78, "A")+COUNTIF('Detailed Attendance'!CU78:CU78, "A")</f>
        <v/>
      </c>
      <c r="AG77" s="68">
        <f>IF((AE77+AF77)=0,"", AE77/(AE77+AF77))</f>
        <v/>
      </c>
      <c r="AH77" s="67">
        <f>COUNTIF('Detailed Attendance'!T78:T78, "P")+COUNTIF('Detailed Attendance'!AN78:AN78, "P")+COUNTIF('Detailed Attendance'!AR78:AR78, "P")+COUNTIF('Detailed Attendance'!BH78:BH78, "P")+COUNTIF('Detailed Attendance'!CB78:CB78, "P")+COUNTIF('Detailed Attendance'!CF78:CF78, "P")+COUNTIF('Detailed Attendance'!CY78:CY78, "P")</f>
        <v/>
      </c>
      <c r="AI77" s="67">
        <f>COUNTIF('Detailed Attendance'!T78:T78, "A")+COUNTIF('Detailed Attendance'!AN78:AN78, "A")+COUNTIF('Detailed Attendance'!AR78:AR78, "A")+COUNTIF('Detailed Attendance'!BH78:BH78, "A")+COUNTIF('Detailed Attendance'!CB78:CB78, "A")+COUNTIF('Detailed Attendance'!CF78:CF78, "A")+COUNTIF('Detailed Attendance'!CY78:CY78, "A")</f>
        <v/>
      </c>
      <c r="AJ77" s="68">
        <f>IF((AH77+AI77)=0,"", AH77/(AH77+AI77))</f>
        <v/>
      </c>
      <c r="AK77" s="67">
        <f>COUNTIF('Detailed Attendance'!M78:M78, "P")+COUNTIF('Detailed Attendance'!U78:U78, "P")+COUNTIF('Detailed Attendance'!AG78:AG78, "P")+COUNTIF('Detailed Attendance'!AO78:AO78, "P")+COUNTIF('Detailed Attendance'!BA78:BA78, "P")+COUNTIF('Detailed Attendance'!BI78:BI78, "P")+COUNTIF('Detailed Attendance'!BU78:BU78, "P")+COUNTIF('Detailed Attendance'!CC78:CC78, "P")+COUNTIF('Detailed Attendance'!CR78:CR78, "P")+COUNTIF('Detailed Attendance'!CZ78:CZ78, "P")</f>
        <v/>
      </c>
      <c r="AL77" s="67">
        <f>COUNTIF('Detailed Attendance'!M78:M78, "A")+COUNTIF('Detailed Attendance'!U78:U78, "A")+COUNTIF('Detailed Attendance'!AG78:AG78, "A")+COUNTIF('Detailed Attendance'!AO78:AO78, "A")+COUNTIF('Detailed Attendance'!BA78:BA78, "A")+COUNTIF('Detailed Attendance'!BI78:BI78, "A")+COUNTIF('Detailed Attendance'!BU78:BU78, "A")+COUNTIF('Detailed Attendance'!CC78:CC78, "A")+COUNTIF('Detailed Attendance'!CR78:CR78, "A")+COUNTIF('Detailed Attendance'!CZ78:CZ78, "A")</f>
        <v/>
      </c>
      <c r="AM77" s="68">
        <f>IF((AK77+AL77)=0,"", AK77/(AK77+AL77))</f>
        <v/>
      </c>
      <c r="AN77" s="67">
        <f>Y77+AB77+AE77+AH77+AK77</f>
        <v/>
      </c>
      <c r="AO77" s="67">
        <f>Z77+AC77+AF77+AI77+AL77</f>
        <v/>
      </c>
      <c r="AP77" s="68">
        <f>IF((AN77+AO77)=0,"", AN77/(AN77+AO77))</f>
        <v/>
      </c>
      <c r="AQ77" s="69">
        <f>COUNTIF('Detailed Attendance'!CG78:CG78, "P")+COUNTIF('Detailed Attendance'!CH78:CH78, "P")+COUNTIF('Detailed Attendance'!V78:V78, "P")+COUNTIF('Detailed Attendance'!AP78:AP78, "P")+COUNTIF('Detailed Attendance'!BJ78:BJ78, "P")+COUNTIF('Detailed Attendance'!CD78:CD78, "P")+COUNTIF('Detailed Attendance'!DA78:DA78, "P")</f>
        <v/>
      </c>
      <c r="AR77" s="69">
        <f>COUNTIF('Detailed Attendance'!CG78:CG78, "A")+COUNTIF('Detailed Attendance'!CH78:CH78, "A")+COUNTIF('Detailed Attendance'!V78:V78, "A")+COUNTIF('Detailed Attendance'!AP78:AP78, "A")+COUNTIF('Detailed Attendance'!BJ78:BJ78, "A")+COUNTIF('Detailed Attendance'!CD78:CD78, "A")+COUNTIF('Detailed Attendance'!DA78:DA78, "A")</f>
        <v/>
      </c>
      <c r="AS77" s="70">
        <f>IF((AQ77+AR77)=0,"", AQ77/(AQ77+AR77))</f>
        <v/>
      </c>
      <c r="AT77" s="67">
        <f>COUNTIF('Detailed Attendance'!DF78:DF78, "P")+COUNTIF('Detailed Attendance'!DT78:DT78, "P")+COUNTIF('Detailed Attendance'!EC78:EC78, "P")+COUNTIF('Detailed Attendance'!EQ78:EQ78, "P")+COUNTIF('Detailed Attendance'!EW78:EW78, "P")+COUNTIF('Detailed Attendance'!FK78:FK78, "P")+COUNTIF('Detailed Attendance'!FM78:FM78, "P")+COUNTIF('Detailed Attendance'!GA78:GA78, "P")</f>
        <v/>
      </c>
      <c r="AU77" s="67">
        <f>COUNTIF('Detailed Attendance'!DF78:DF78, "A")+COUNTIF('Detailed Attendance'!DT78:DT78, "A")+COUNTIF('Detailed Attendance'!EC78:EC78, "A")+COUNTIF('Detailed Attendance'!EQ78:EQ78, "A")+COUNTIF('Detailed Attendance'!EW78:EW78, "A")+COUNTIF('Detailed Attendance'!FK78:FK78, "A")+COUNTIF('Detailed Attendance'!FM78:FM78, "A")+COUNTIF('Detailed Attendance'!GA78:GA78, "A")</f>
        <v/>
      </c>
      <c r="AV77" s="68">
        <f>IF((AT77+AU77)=0,"", AT77/(AT77+AU77))</f>
        <v/>
      </c>
      <c r="AW77" s="67">
        <f>COUNTIF('Detailed Attendance'!DK78:DK78, "P")+COUNTIF('Detailed Attendance'!DS78:DS78, "P")+COUNTIF('Detailed Attendance'!EH78:EH78, "P")+COUNTIF('Detailed Attendance'!EP78:EP78, "P")+COUNTIF('Detailed Attendance'!FB78:FB78, "P")+COUNTIF('Detailed Attendance'!FJ78:FJ78, "P")+COUNTIF('Detailed Attendance'!FR78:FR78, "P")+COUNTIF('Detailed Attendance'!FZ78:FZ78, "P")</f>
        <v/>
      </c>
      <c r="AX77" s="67">
        <f>COUNTIF('Detailed Attendance'!DK78:DK78, "A")+COUNTIF('Detailed Attendance'!DS78:DS78, "A")+COUNTIF('Detailed Attendance'!EH78:EH78, "A")+COUNTIF('Detailed Attendance'!EP78:EP78, "A")+COUNTIF('Detailed Attendance'!FB78:FB78, "A")+COUNTIF('Detailed Attendance'!FJ78:FJ78, "A")+COUNTIF('Detailed Attendance'!FR78:FR78, "A")+COUNTIF('Detailed Attendance'!FZ78:FZ78, "A")</f>
        <v/>
      </c>
      <c r="AY77" s="68">
        <f>IF((AW77+AX77)=0,"", AW77/(AW77+AX77))</f>
        <v/>
      </c>
      <c r="AZ77" s="67">
        <f>COUNTIF('Detailed Attendance'!DN78:DN78, "P")+COUNTIF('Detailed Attendance'!DR78:DR78, "P")+COUNTIF('Detailed Attendance'!EK78:EK78, "P")+COUNTIF('Detailed Attendance'!EO78:EO78, "P")+COUNTIF('Detailed Attendance'!FE78:FE78, "P")+COUNTIF('Detailed Attendance'!FI78:FI78, "P")+COUNTIF('Detailed Attendance'!FU78:FU78, "P")+COUNTIF('Detailed Attendance'!FY78:FY78, "P")</f>
        <v/>
      </c>
      <c r="BA77" s="67">
        <f>COUNTIF('Detailed Attendance'!DN78:DN78, "A")+COUNTIF('Detailed Attendance'!DR78:DR78, "A")+COUNTIF('Detailed Attendance'!EK78:EK78, "A")+COUNTIF('Detailed Attendance'!EO78:EO78, "A")+COUNTIF('Detailed Attendance'!FE78:FE78, "A")+COUNTIF('Detailed Attendance'!FI78:FI78, "A")+COUNTIF('Detailed Attendance'!FU78:FU78, "A")+COUNTIF('Detailed Attendance'!FY78:FY78, "A")</f>
        <v/>
      </c>
      <c r="BB77" s="68">
        <f>IF((AZ77+BA77)=0,"", AZ77/(AZ77+BA77))</f>
        <v/>
      </c>
      <c r="BC77" s="67">
        <f>COUNTIF('Detailed Attendance'!DC78:DC78, "P")+COUNTIF('Detailed Attendance'!DV78:DV78, "P")+COUNTIF('Detailed Attendance'!DZ78:DZ78, "P")+COUNTIF('Detailed Attendance'!ES78:ES78, "P")+COUNTIF('Detailed Attendance'!GC78:GC78, "P")+COUNTIF('Detailed Attendance'!GG78:GG78, "P")</f>
        <v/>
      </c>
      <c r="BD77" s="67">
        <f>COUNTIF('Detailed Attendance'!DC78:DC78, "A")+COUNTIF('Detailed Attendance'!DV78:DV78, "A")+COUNTIF('Detailed Attendance'!DZ78:DZ78, "A")+COUNTIF('Detailed Attendance'!ES78:ES78, "A")+COUNTIF('Detailed Attendance'!GC78:GC78, "A")+COUNTIF('Detailed Attendance'!GG78:GG78, "A")</f>
        <v/>
      </c>
      <c r="BE77" s="68">
        <f>IF((BC77+BD77)=0,"", BC77/(BC77+BD77))</f>
        <v/>
      </c>
      <c r="BF77" s="67">
        <f>COUNTIF('Detailed Attendance'!DO78:DO78, "P")+COUNTIF('Detailed Attendance'!DW78:DW78, "P")+COUNTIF('Detailed Attendance'!EL78:EL78, "P")+COUNTIF('Detailed Attendance'!ET78:ET78, "P")+COUNTIF('Detailed Attendance'!FF78:FF78, "P")+COUNTIF('Detailed Attendance'!FV78:FV78, "P")+COUNTIF('Detailed Attendance'!GD78:GD78, "P")</f>
        <v/>
      </c>
      <c r="BG77" s="67">
        <f>COUNTIF('Detailed Attendance'!DO78:DO78, "A")+COUNTIF('Detailed Attendance'!DW78:DW78, "A")+COUNTIF('Detailed Attendance'!EL78:EL78, "A")+COUNTIF('Detailed Attendance'!ET78:ET78, "A")+COUNTIF('Detailed Attendance'!FF78:FF78, "A")+COUNTIF('Detailed Attendance'!FV78:FV78, "A")+COUNTIF('Detailed Attendance'!GD78:GD78, "A")</f>
        <v/>
      </c>
      <c r="BH77" s="68">
        <f>IF((BF77+BG77)=0,"", BF77/(BF77+BG77))</f>
        <v/>
      </c>
      <c r="BI77" s="67">
        <f>AT77+AW77+AZ77+BC77+BF77</f>
        <v/>
      </c>
      <c r="BJ77" s="67">
        <f>AU77+AX77+BA77+BD77+BG77</f>
        <v/>
      </c>
      <c r="BK77" s="68">
        <f>IF((BI77+BJ77)=0,"", BI77/(BI77+BJ77))</f>
        <v/>
      </c>
      <c r="BL77" s="69">
        <f>COUNTIF('Detailed Attendance'!DD78:DD78, "P")+COUNTIF('Detailed Attendance'!EA78:EA78, "P")+COUNTIF('Detailed Attendance'!GH78:GH78, "P")+COUNTIF('Detailed Attendance'!DE78:DE78, "P")+COUNTIF('Detailed Attendance'!EB78:EB78, "P")+COUNTIF('Detailed Attendance'!GI78:GI78, "P")+COUNTIF('Detailed Attendance'!DX78:DX78, "P")+COUNTIF('Detailed Attendance'!EU78:EU78, "P")+COUNTIF('Detailed Attendance'!GE78:GE78, "P")</f>
        <v/>
      </c>
      <c r="BM77" s="69">
        <f>COUNTIF('Detailed Attendance'!DD78:DD78, "A")+COUNTIF('Detailed Attendance'!EA78:EA78, "A")+COUNTIF('Detailed Attendance'!GH78:GH78, "A")+COUNTIF('Detailed Attendance'!DE78:DE78, "A")+COUNTIF('Detailed Attendance'!EB78:EB78, "A")+COUNTIF('Detailed Attendance'!GI78:GI78, "A")+COUNTIF('Detailed Attendance'!DX78:DX78, "A")+COUNTIF('Detailed Attendance'!EU78:EU78, "A")+COUNTIF('Detailed Attendance'!GE78:GE78, "A")</f>
        <v/>
      </c>
      <c r="BN77" s="70">
        <f>IF((BL77+BM77)=0,"", BL77/(BL77+BM77))</f>
        <v/>
      </c>
      <c r="BO77" s="67">
        <f>D77+Y77+AT77</f>
        <v/>
      </c>
      <c r="BP77" s="67">
        <f>E77+Z77+AU77</f>
        <v/>
      </c>
      <c r="BQ77" s="68">
        <f>IF((BO77+BP77)=0,"", BO77/(BO77+BP77))</f>
        <v/>
      </c>
      <c r="BR77" s="67">
        <f>G77+AB77+AW77</f>
        <v/>
      </c>
      <c r="BS77" s="67">
        <f>H77+AC77+AX77</f>
        <v/>
      </c>
      <c r="BT77" s="68">
        <f>IF((BR77+BS77)=0,"", BR77/(BR77+BS77))</f>
        <v/>
      </c>
      <c r="BU77" s="67">
        <f>J77+AE77+AZ77</f>
        <v/>
      </c>
      <c r="BV77" s="67">
        <f>K77+AF77+BA77</f>
        <v/>
      </c>
      <c r="BW77" s="68">
        <f>IF((BU77+BV77)=0,"", BU77/(BU77+BV77))</f>
        <v/>
      </c>
      <c r="BX77" s="67">
        <f>M77+AH77+BC77</f>
        <v/>
      </c>
      <c r="BY77" s="67">
        <f>N77+AI77+BD77</f>
        <v/>
      </c>
      <c r="BZ77" s="68">
        <f>IF((BX77+BY77)=0,"", BX77/(BX77+BY77))</f>
        <v/>
      </c>
      <c r="CA77" s="67">
        <f>P77+AK77+BF77</f>
        <v/>
      </c>
      <c r="CB77" s="67">
        <f>Q77+AL77+BG77</f>
        <v/>
      </c>
      <c r="CC77" s="68">
        <f>IF((CA77+CB77)=0,"", CA77/(CA77+CB77))</f>
        <v/>
      </c>
      <c r="CD77" s="67">
        <f>S77+AN77+BI77</f>
        <v/>
      </c>
      <c r="CE77" s="67">
        <f>T77+AO77+BJ77</f>
        <v/>
      </c>
      <c r="CF77" s="68">
        <f>IF((CD77+CE77)=0,"", CD77/(CD77+CE77))</f>
        <v/>
      </c>
      <c r="CG77" s="69">
        <f>V77+AQ77+BL77</f>
        <v/>
      </c>
      <c r="CH77" s="69">
        <f>W77+AR77+BM77</f>
        <v/>
      </c>
      <c r="CI77" s="70">
        <f>IF((CG77+CH77)=0,"", CG77/(CG77+CH77))</f>
        <v/>
      </c>
      <c r="CJ77" s="67">
        <f>CD77+(CG77*2)</f>
        <v/>
      </c>
      <c r="CK77" s="67">
        <f>CE77+(CH77*2)</f>
        <v/>
      </c>
      <c r="CL77" s="68">
        <f>IF((CJ77+CK77)=0,"", CJ77/(CJ77+CK77))</f>
        <v/>
      </c>
      <c r="CM77" s="67" t="inlineStr">
        <is>
          <t>Batch 2</t>
        </is>
      </c>
    </row>
    <row r="78" ht="14.25" customHeight="1" s="34">
      <c r="A78" s="46" t="n">
        <v>76</v>
      </c>
      <c r="B78" s="46" t="inlineStr">
        <is>
          <t>325106410076</t>
        </is>
      </c>
      <c r="C78" s="46" t="inlineStr">
        <is>
          <t>ASEEL ABDELRHMAN MOHAMEDAHMED MOHAMEDKHAIR</t>
        </is>
      </c>
      <c r="D78" s="63" t="n">
        <v>0</v>
      </c>
      <c r="E78" s="63" t="n">
        <v>0</v>
      </c>
      <c r="F78" s="64">
        <f>IF((D78+E78)=0,"", D78/(D78+E78))</f>
        <v/>
      </c>
      <c r="G78" s="63">
        <f>COUNTIF('Detailed Attendance'!I79:I79, "P")</f>
        <v/>
      </c>
      <c r="H78" s="63">
        <f>COUNTIF('Detailed Attendance'!I79:I79, "A")</f>
        <v/>
      </c>
      <c r="I78" s="64">
        <f>IF((G78+H78)=0,"", G78/(G78+H78))</f>
        <v/>
      </c>
      <c r="J78" s="63" t="n">
        <v>0</v>
      </c>
      <c r="K78" s="63" t="n">
        <v>0</v>
      </c>
      <c r="L78" s="64">
        <f>IF((J78+K78)=0,"", J78/(J78+K78))</f>
        <v/>
      </c>
      <c r="M78" s="63">
        <f>COUNTIF('Detailed Attendance'!D79:D79, "P")</f>
        <v/>
      </c>
      <c r="N78" s="63">
        <f>COUNTIF('Detailed Attendance'!D79:D79, "A")</f>
        <v/>
      </c>
      <c r="O78" s="64">
        <f>IF((M78+N78)=0,"", M78/(M78+N78))</f>
        <v/>
      </c>
      <c r="P78" s="63" t="n">
        <v>0</v>
      </c>
      <c r="Q78" s="63" t="n">
        <v>0</v>
      </c>
      <c r="R78" s="64">
        <f>IF((P78+Q78)=0,"", P78/(P78+Q78))</f>
        <v/>
      </c>
      <c r="S78" s="63">
        <f>D78+G78+J78+M78+P78</f>
        <v/>
      </c>
      <c r="T78" s="63">
        <f>E78+H78+K78+N78+Q78</f>
        <v/>
      </c>
      <c r="U78" s="64">
        <f>IF((S78+T78)=0,"", S78/(S78+T78))</f>
        <v/>
      </c>
      <c r="V78" s="65" t="n">
        <v>0</v>
      </c>
      <c r="W78" s="65" t="n">
        <v>0</v>
      </c>
      <c r="X78" s="66">
        <f>IF((V78+W78)=0,"", V78/(V78+W78))</f>
        <v/>
      </c>
      <c r="Y78" s="63">
        <f>COUNTIF('Detailed Attendance'!R79:R79, "P")+COUNTIF('Detailed Attendance'!X79:X79, "P")+COUNTIF('Detailed Attendance'!AL79:AL79, "P")+COUNTIF('Detailed Attendance'!BF79:BF79, "P")+COUNTIF('Detailed Attendance'!BL79:BL79, "P")+COUNTIF('Detailed Attendance'!BZ79:BZ79, "P")+COUNTIF('Detailed Attendance'!CI79:CI79, "P")+COUNTIF('Detailed Attendance'!CW79:CW79, "P")</f>
        <v/>
      </c>
      <c r="Z78" s="63">
        <f>COUNTIF('Detailed Attendance'!R79:R79, "A")+COUNTIF('Detailed Attendance'!X79:X79, "A")+COUNTIF('Detailed Attendance'!AL79:AL79, "A")+COUNTIF('Detailed Attendance'!BF79:BF79, "A")+COUNTIF('Detailed Attendance'!BL79:BL79, "A")+COUNTIF('Detailed Attendance'!BZ79:BZ79, "A")+COUNTIF('Detailed Attendance'!CI79:CI79, "A")+COUNTIF('Detailed Attendance'!CW79:CW79, "A")</f>
        <v/>
      </c>
      <c r="AA78" s="64">
        <f>IF((Y78+Z78)=0,"", Y78/(Y78+Z78))</f>
        <v/>
      </c>
      <c r="AB78" s="63">
        <f>COUNTIF('Detailed Attendance'!Q79:Q79, "P")+COUNTIF('Detailed Attendance'!AC79:AC79, "P")+COUNTIF('Detailed Attendance'!AK79:AK79, "P")+COUNTIF('Detailed Attendance'!AW79:AW79, "P")+COUNTIF('Detailed Attendance'!BE79:BE79, "P")+COUNTIF('Detailed Attendance'!BQ79:BQ79, "P")+COUNTIF('Detailed Attendance'!BY79:BY79, "P")+COUNTIF('Detailed Attendance'!CN79:CN79, "P")+COUNTIF('Detailed Attendance'!CV79:CV79, "P")</f>
        <v/>
      </c>
      <c r="AC78" s="63">
        <f>COUNTIF('Detailed Attendance'!Q79:Q79, "A")+COUNTIF('Detailed Attendance'!AC79:AC79, "A")+COUNTIF('Detailed Attendance'!AK79:AK79, "A")+COUNTIF('Detailed Attendance'!AW79:AW79, "A")+COUNTIF('Detailed Attendance'!BE79:BE79, "A")+COUNTIF('Detailed Attendance'!BQ79:BQ79, "A")+COUNTIF('Detailed Attendance'!BY79:BY79, "A")+COUNTIF('Detailed Attendance'!CN79:CN79, "A")+COUNTIF('Detailed Attendance'!CV79:CV79, "A")</f>
        <v/>
      </c>
      <c r="AD78" s="64">
        <f>IF((AB78+AC78)=0,"", AB78/(AB78+AC78))</f>
        <v/>
      </c>
      <c r="AE78" s="63">
        <f>COUNTIF('Detailed Attendance'!L79:L79, "P")+COUNTIF('Detailed Attendance'!P79:P79, "P")+COUNTIF('Detailed Attendance'!AF79:AF79, "P")+COUNTIF('Detailed Attendance'!AJ79:AJ79, "P")+COUNTIF('Detailed Attendance'!AZ79:AZ79, "P")+COUNTIF('Detailed Attendance'!BD79:BD79, "P")+COUNTIF('Detailed Attendance'!BT79:BT79, "P")+COUNTIF('Detailed Attendance'!BX79:BX79, "P")+COUNTIF('Detailed Attendance'!CQ79:CQ79, "P")+COUNTIF('Detailed Attendance'!CU79:CU79, "P")</f>
        <v/>
      </c>
      <c r="AF78" s="67">
        <f>COUNTIF('Detailed Attendance'!L79:L79, "A")+COUNTIF('Detailed Attendance'!P79:P79, "A")+COUNTIF('Detailed Attendance'!AF79:AF79, "A")+COUNTIF('Detailed Attendance'!AJ79:AJ79, "A")+COUNTIF('Detailed Attendance'!AZ79:AZ79, "A")+COUNTIF('Detailed Attendance'!BD79:BD79, "A")+COUNTIF('Detailed Attendance'!BT79:BT79, "A")+COUNTIF('Detailed Attendance'!BX79:BX79, "A")+COUNTIF('Detailed Attendance'!CQ79:CQ79, "A")+COUNTIF('Detailed Attendance'!CU79:CU79, "A")</f>
        <v/>
      </c>
      <c r="AG78" s="68">
        <f>IF((AE78+AF78)=0,"", AE78/(AE78+AF78))</f>
        <v/>
      </c>
      <c r="AH78" s="67">
        <f>COUNTIF('Detailed Attendance'!T79:T79, "P")+COUNTIF('Detailed Attendance'!AN79:AN79, "P")+COUNTIF('Detailed Attendance'!AR79:AR79, "P")+COUNTIF('Detailed Attendance'!BH79:BH79, "P")+COUNTIF('Detailed Attendance'!CB79:CB79, "P")+COUNTIF('Detailed Attendance'!CF79:CF79, "P")+COUNTIF('Detailed Attendance'!CY79:CY79, "P")</f>
        <v/>
      </c>
      <c r="AI78" s="67">
        <f>COUNTIF('Detailed Attendance'!T79:T79, "A")+COUNTIF('Detailed Attendance'!AN79:AN79, "A")+COUNTIF('Detailed Attendance'!AR79:AR79, "A")+COUNTIF('Detailed Attendance'!BH79:BH79, "A")+COUNTIF('Detailed Attendance'!CB79:CB79, "A")+COUNTIF('Detailed Attendance'!CF79:CF79, "A")+COUNTIF('Detailed Attendance'!CY79:CY79, "A")</f>
        <v/>
      </c>
      <c r="AJ78" s="68">
        <f>IF((AH78+AI78)=0,"", AH78/(AH78+AI78))</f>
        <v/>
      </c>
      <c r="AK78" s="67">
        <f>COUNTIF('Detailed Attendance'!M79:M79, "P")+COUNTIF('Detailed Attendance'!U79:U79, "P")+COUNTIF('Detailed Attendance'!AG79:AG79, "P")+COUNTIF('Detailed Attendance'!AO79:AO79, "P")+COUNTIF('Detailed Attendance'!BA79:BA79, "P")+COUNTIF('Detailed Attendance'!BI79:BI79, "P")+COUNTIF('Detailed Attendance'!BU79:BU79, "P")+COUNTIF('Detailed Attendance'!CC79:CC79, "P")+COUNTIF('Detailed Attendance'!CR79:CR79, "P")+COUNTIF('Detailed Attendance'!CZ79:CZ79, "P")</f>
        <v/>
      </c>
      <c r="AL78" s="67">
        <f>COUNTIF('Detailed Attendance'!M79:M79, "A")+COUNTIF('Detailed Attendance'!U79:U79, "A")+COUNTIF('Detailed Attendance'!AG79:AG79, "A")+COUNTIF('Detailed Attendance'!AO79:AO79, "A")+COUNTIF('Detailed Attendance'!BA79:BA79, "A")+COUNTIF('Detailed Attendance'!BI79:BI79, "A")+COUNTIF('Detailed Attendance'!BU79:BU79, "A")+COUNTIF('Detailed Attendance'!CC79:CC79, "A")+COUNTIF('Detailed Attendance'!CR79:CR79, "A")+COUNTIF('Detailed Attendance'!CZ79:CZ79, "A")</f>
        <v/>
      </c>
      <c r="AM78" s="68">
        <f>IF((AK78+AL78)=0,"", AK78/(AK78+AL78))</f>
        <v/>
      </c>
      <c r="AN78" s="67">
        <f>Y78+AB78+AE78+AH78+AK78</f>
        <v/>
      </c>
      <c r="AO78" s="67">
        <f>Z78+AC78+AF78+AI78+AL78</f>
        <v/>
      </c>
      <c r="AP78" s="68">
        <f>IF((AN78+AO78)=0,"", AN78/(AN78+AO78))</f>
        <v/>
      </c>
      <c r="AQ78" s="69">
        <f>COUNTIF('Detailed Attendance'!CG79:CG79, "P")+COUNTIF('Detailed Attendance'!CH79:CH79, "P")+COUNTIF('Detailed Attendance'!V79:V79, "P")+COUNTIF('Detailed Attendance'!AP79:AP79, "P")+COUNTIF('Detailed Attendance'!BJ79:BJ79, "P")+COUNTIF('Detailed Attendance'!CD79:CD79, "P")+COUNTIF('Detailed Attendance'!DA79:DA79, "P")</f>
        <v/>
      </c>
      <c r="AR78" s="69">
        <f>COUNTIF('Detailed Attendance'!CG79:CG79, "A")+COUNTIF('Detailed Attendance'!CH79:CH79, "A")+COUNTIF('Detailed Attendance'!V79:V79, "A")+COUNTIF('Detailed Attendance'!AP79:AP79, "A")+COUNTIF('Detailed Attendance'!BJ79:BJ79, "A")+COUNTIF('Detailed Attendance'!CD79:CD79, "A")+COUNTIF('Detailed Attendance'!DA79:DA79, "A")</f>
        <v/>
      </c>
      <c r="AS78" s="70">
        <f>IF((AQ78+AR78)=0,"", AQ78/(AQ78+AR78))</f>
        <v/>
      </c>
      <c r="AT78" s="67">
        <f>COUNTIF('Detailed Attendance'!DF79:DF79, "P")+COUNTIF('Detailed Attendance'!DT79:DT79, "P")+COUNTIF('Detailed Attendance'!EC79:EC79, "P")+COUNTIF('Detailed Attendance'!EQ79:EQ79, "P")+COUNTIF('Detailed Attendance'!EW79:EW79, "P")+COUNTIF('Detailed Attendance'!FK79:FK79, "P")+COUNTIF('Detailed Attendance'!FM79:FM79, "P")+COUNTIF('Detailed Attendance'!GA79:GA79, "P")</f>
        <v/>
      </c>
      <c r="AU78" s="67">
        <f>COUNTIF('Detailed Attendance'!DF79:DF79, "A")+COUNTIF('Detailed Attendance'!DT79:DT79, "A")+COUNTIF('Detailed Attendance'!EC79:EC79, "A")+COUNTIF('Detailed Attendance'!EQ79:EQ79, "A")+COUNTIF('Detailed Attendance'!EW79:EW79, "A")+COUNTIF('Detailed Attendance'!FK79:FK79, "A")+COUNTIF('Detailed Attendance'!FM79:FM79, "A")+COUNTIF('Detailed Attendance'!GA79:GA79, "A")</f>
        <v/>
      </c>
      <c r="AV78" s="68">
        <f>IF((AT78+AU78)=0,"", AT78/(AT78+AU78))</f>
        <v/>
      </c>
      <c r="AW78" s="67">
        <f>COUNTIF('Detailed Attendance'!DK79:DK79, "P")+COUNTIF('Detailed Attendance'!DS79:DS79, "P")+COUNTIF('Detailed Attendance'!EH79:EH79, "P")+COUNTIF('Detailed Attendance'!EP79:EP79, "P")+COUNTIF('Detailed Attendance'!FB79:FB79, "P")+COUNTIF('Detailed Attendance'!FJ79:FJ79, "P")+COUNTIF('Detailed Attendance'!FR79:FR79, "P")+COUNTIF('Detailed Attendance'!FZ79:FZ79, "P")</f>
        <v/>
      </c>
      <c r="AX78" s="67">
        <f>COUNTIF('Detailed Attendance'!DK79:DK79, "A")+COUNTIF('Detailed Attendance'!DS79:DS79, "A")+COUNTIF('Detailed Attendance'!EH79:EH79, "A")+COUNTIF('Detailed Attendance'!EP79:EP79, "A")+COUNTIF('Detailed Attendance'!FB79:FB79, "A")+COUNTIF('Detailed Attendance'!FJ79:FJ79, "A")+COUNTIF('Detailed Attendance'!FR79:FR79, "A")+COUNTIF('Detailed Attendance'!FZ79:FZ79, "A")</f>
        <v/>
      </c>
      <c r="AY78" s="68">
        <f>IF((AW78+AX78)=0,"", AW78/(AW78+AX78))</f>
        <v/>
      </c>
      <c r="AZ78" s="67">
        <f>COUNTIF('Detailed Attendance'!DN79:DN79, "P")+COUNTIF('Detailed Attendance'!DR79:DR79, "P")+COUNTIF('Detailed Attendance'!EK79:EK79, "P")+COUNTIF('Detailed Attendance'!EO79:EO79, "P")+COUNTIF('Detailed Attendance'!FE79:FE79, "P")+COUNTIF('Detailed Attendance'!FI79:FI79, "P")+COUNTIF('Detailed Attendance'!FU79:FU79, "P")+COUNTIF('Detailed Attendance'!FY79:FY79, "P")</f>
        <v/>
      </c>
      <c r="BA78" s="67">
        <f>COUNTIF('Detailed Attendance'!DN79:DN79, "A")+COUNTIF('Detailed Attendance'!DR79:DR79, "A")+COUNTIF('Detailed Attendance'!EK79:EK79, "A")+COUNTIF('Detailed Attendance'!EO79:EO79, "A")+COUNTIF('Detailed Attendance'!FE79:FE79, "A")+COUNTIF('Detailed Attendance'!FI79:FI79, "A")+COUNTIF('Detailed Attendance'!FU79:FU79, "A")+COUNTIF('Detailed Attendance'!FY79:FY79, "A")</f>
        <v/>
      </c>
      <c r="BB78" s="68">
        <f>IF((AZ78+BA78)=0,"", AZ78/(AZ78+BA78))</f>
        <v/>
      </c>
      <c r="BC78" s="67">
        <f>COUNTIF('Detailed Attendance'!DC79:DC79, "P")+COUNTIF('Detailed Attendance'!DV79:DV79, "P")+COUNTIF('Detailed Attendance'!DZ79:DZ79, "P")+COUNTIF('Detailed Attendance'!ES79:ES79, "P")+COUNTIF('Detailed Attendance'!GC79:GC79, "P")+COUNTIF('Detailed Attendance'!GG79:GG79, "P")</f>
        <v/>
      </c>
      <c r="BD78" s="67">
        <f>COUNTIF('Detailed Attendance'!DC79:DC79, "A")+COUNTIF('Detailed Attendance'!DV79:DV79, "A")+COUNTIF('Detailed Attendance'!DZ79:DZ79, "A")+COUNTIF('Detailed Attendance'!ES79:ES79, "A")+COUNTIF('Detailed Attendance'!GC79:GC79, "A")+COUNTIF('Detailed Attendance'!GG79:GG79, "A")</f>
        <v/>
      </c>
      <c r="BE78" s="68">
        <f>IF((BC78+BD78)=0,"", BC78/(BC78+BD78))</f>
        <v/>
      </c>
      <c r="BF78" s="67">
        <f>COUNTIF('Detailed Attendance'!DO79:DO79, "P")+COUNTIF('Detailed Attendance'!DW79:DW79, "P")+COUNTIF('Detailed Attendance'!EL79:EL79, "P")+COUNTIF('Detailed Attendance'!ET79:ET79, "P")+COUNTIF('Detailed Attendance'!FF79:FF79, "P")+COUNTIF('Detailed Attendance'!FV79:FV79, "P")+COUNTIF('Detailed Attendance'!GD79:GD79, "P")</f>
        <v/>
      </c>
      <c r="BG78" s="67">
        <f>COUNTIF('Detailed Attendance'!DO79:DO79, "A")+COUNTIF('Detailed Attendance'!DW79:DW79, "A")+COUNTIF('Detailed Attendance'!EL79:EL79, "A")+COUNTIF('Detailed Attendance'!ET79:ET79, "A")+COUNTIF('Detailed Attendance'!FF79:FF79, "A")+COUNTIF('Detailed Attendance'!FV79:FV79, "A")+COUNTIF('Detailed Attendance'!GD79:GD79, "A")</f>
        <v/>
      </c>
      <c r="BH78" s="68">
        <f>IF((BF78+BG78)=0,"", BF78/(BF78+BG78))</f>
        <v/>
      </c>
      <c r="BI78" s="67">
        <f>AT78+AW78+AZ78+BC78+BF78</f>
        <v/>
      </c>
      <c r="BJ78" s="67">
        <f>AU78+AX78+BA78+BD78+BG78</f>
        <v/>
      </c>
      <c r="BK78" s="68">
        <f>IF((BI78+BJ78)=0,"", BI78/(BI78+BJ78))</f>
        <v/>
      </c>
      <c r="BL78" s="69">
        <f>COUNTIF('Detailed Attendance'!DD79:DD79, "P")+COUNTIF('Detailed Attendance'!EA79:EA79, "P")+COUNTIF('Detailed Attendance'!GH79:GH79, "P")+COUNTIF('Detailed Attendance'!DE79:DE79, "P")+COUNTIF('Detailed Attendance'!EB79:EB79, "P")+COUNTIF('Detailed Attendance'!GI79:GI79, "P")+COUNTIF('Detailed Attendance'!DX79:DX79, "P")+COUNTIF('Detailed Attendance'!EU79:EU79, "P")+COUNTIF('Detailed Attendance'!GE79:GE79, "P")</f>
        <v/>
      </c>
      <c r="BM78" s="69">
        <f>COUNTIF('Detailed Attendance'!DD79:DD79, "A")+COUNTIF('Detailed Attendance'!EA79:EA79, "A")+COUNTIF('Detailed Attendance'!GH79:GH79, "A")+COUNTIF('Detailed Attendance'!DE79:DE79, "A")+COUNTIF('Detailed Attendance'!EB79:EB79, "A")+COUNTIF('Detailed Attendance'!GI79:GI79, "A")+COUNTIF('Detailed Attendance'!DX79:DX79, "A")+COUNTIF('Detailed Attendance'!EU79:EU79, "A")+COUNTIF('Detailed Attendance'!GE79:GE79, "A")</f>
        <v/>
      </c>
      <c r="BN78" s="70">
        <f>IF((BL78+BM78)=0,"", BL78/(BL78+BM78))</f>
        <v/>
      </c>
      <c r="BO78" s="67">
        <f>D78+Y78+AT78</f>
        <v/>
      </c>
      <c r="BP78" s="67">
        <f>E78+Z78+AU78</f>
        <v/>
      </c>
      <c r="BQ78" s="68">
        <f>IF((BO78+BP78)=0,"", BO78/(BO78+BP78))</f>
        <v/>
      </c>
      <c r="BR78" s="67">
        <f>G78+AB78+AW78</f>
        <v/>
      </c>
      <c r="BS78" s="67">
        <f>H78+AC78+AX78</f>
        <v/>
      </c>
      <c r="BT78" s="68">
        <f>IF((BR78+BS78)=0,"", BR78/(BR78+BS78))</f>
        <v/>
      </c>
      <c r="BU78" s="67">
        <f>J78+AE78+AZ78</f>
        <v/>
      </c>
      <c r="BV78" s="67">
        <f>K78+AF78+BA78</f>
        <v/>
      </c>
      <c r="BW78" s="68">
        <f>IF((BU78+BV78)=0,"", BU78/(BU78+BV78))</f>
        <v/>
      </c>
      <c r="BX78" s="67">
        <f>M78+AH78+BC78</f>
        <v/>
      </c>
      <c r="BY78" s="67">
        <f>N78+AI78+BD78</f>
        <v/>
      </c>
      <c r="BZ78" s="68">
        <f>IF((BX78+BY78)=0,"", BX78/(BX78+BY78))</f>
        <v/>
      </c>
      <c r="CA78" s="67">
        <f>P78+AK78+BF78</f>
        <v/>
      </c>
      <c r="CB78" s="67">
        <f>Q78+AL78+BG78</f>
        <v/>
      </c>
      <c r="CC78" s="68">
        <f>IF((CA78+CB78)=0,"", CA78/(CA78+CB78))</f>
        <v/>
      </c>
      <c r="CD78" s="67">
        <f>S78+AN78+BI78</f>
        <v/>
      </c>
      <c r="CE78" s="67">
        <f>T78+AO78+BJ78</f>
        <v/>
      </c>
      <c r="CF78" s="68">
        <f>IF((CD78+CE78)=0,"", CD78/(CD78+CE78))</f>
        <v/>
      </c>
      <c r="CG78" s="69">
        <f>V78+AQ78+BL78</f>
        <v/>
      </c>
      <c r="CH78" s="69">
        <f>W78+AR78+BM78</f>
        <v/>
      </c>
      <c r="CI78" s="70">
        <f>IF((CG78+CH78)=0,"", CG78/(CG78+CH78))</f>
        <v/>
      </c>
      <c r="CJ78" s="67">
        <f>CD78+(CG78*2)</f>
        <v/>
      </c>
      <c r="CK78" s="67">
        <f>CE78+(CH78*2)</f>
        <v/>
      </c>
      <c r="CL78" s="68">
        <f>IF((CJ78+CK78)=0,"", CJ78/(CJ78+CK78))</f>
        <v/>
      </c>
      <c r="CM78" s="67" t="inlineStr">
        <is>
          <t>Batch 2</t>
        </is>
      </c>
    </row>
    <row r="79" ht="14.25" customHeight="1" s="34">
      <c r="A79" s="46" t="n">
        <v>77</v>
      </c>
      <c r="B79" s="46" t="inlineStr">
        <is>
          <t>325106410077</t>
        </is>
      </c>
      <c r="C79" s="46" t="inlineStr">
        <is>
          <t>BASMALA ELWALEED ISMAIL ABDALLA</t>
        </is>
      </c>
      <c r="D79" s="63" t="n">
        <v>0</v>
      </c>
      <c r="E79" s="63" t="n">
        <v>0</v>
      </c>
      <c r="F79" s="64">
        <f>IF((D79+E79)=0,"", D79/(D79+E79))</f>
        <v/>
      </c>
      <c r="G79" s="63">
        <f>COUNTIF('Detailed Attendance'!I80:I80, "P")</f>
        <v/>
      </c>
      <c r="H79" s="63">
        <f>COUNTIF('Detailed Attendance'!I80:I80, "A")</f>
        <v/>
      </c>
      <c r="I79" s="64">
        <f>IF((G79+H79)=0,"", G79/(G79+H79))</f>
        <v/>
      </c>
      <c r="J79" s="63" t="n">
        <v>0</v>
      </c>
      <c r="K79" s="63" t="n">
        <v>0</v>
      </c>
      <c r="L79" s="64">
        <f>IF((J79+K79)=0,"", J79/(J79+K79))</f>
        <v/>
      </c>
      <c r="M79" s="63">
        <f>COUNTIF('Detailed Attendance'!D80:D80, "P")</f>
        <v/>
      </c>
      <c r="N79" s="63">
        <f>COUNTIF('Detailed Attendance'!D80:D80, "A")</f>
        <v/>
      </c>
      <c r="O79" s="64">
        <f>IF((M79+N79)=0,"", M79/(M79+N79))</f>
        <v/>
      </c>
      <c r="P79" s="63" t="n">
        <v>0</v>
      </c>
      <c r="Q79" s="63" t="n">
        <v>0</v>
      </c>
      <c r="R79" s="64">
        <f>IF((P79+Q79)=0,"", P79/(P79+Q79))</f>
        <v/>
      </c>
      <c r="S79" s="63">
        <f>D79+G79+J79+M79+P79</f>
        <v/>
      </c>
      <c r="T79" s="63">
        <f>E79+H79+K79+N79+Q79</f>
        <v/>
      </c>
      <c r="U79" s="64">
        <f>IF((S79+T79)=0,"", S79/(S79+T79))</f>
        <v/>
      </c>
      <c r="V79" s="65" t="n">
        <v>0</v>
      </c>
      <c r="W79" s="65" t="n">
        <v>0</v>
      </c>
      <c r="X79" s="66">
        <f>IF((V79+W79)=0,"", V79/(V79+W79))</f>
        <v/>
      </c>
      <c r="Y79" s="63">
        <f>COUNTIF('Detailed Attendance'!R80:R80, "P")+COUNTIF('Detailed Attendance'!X80:X80, "P")+COUNTIF('Detailed Attendance'!AL80:AL80, "P")+COUNTIF('Detailed Attendance'!BF80:BF80, "P")+COUNTIF('Detailed Attendance'!BL80:BL80, "P")+COUNTIF('Detailed Attendance'!BZ80:BZ80, "P")+COUNTIF('Detailed Attendance'!CI80:CI80, "P")+COUNTIF('Detailed Attendance'!CW80:CW80, "P")</f>
        <v/>
      </c>
      <c r="Z79" s="63">
        <f>COUNTIF('Detailed Attendance'!R80:R80, "A")+COUNTIF('Detailed Attendance'!X80:X80, "A")+COUNTIF('Detailed Attendance'!AL80:AL80, "A")+COUNTIF('Detailed Attendance'!BF80:BF80, "A")+COUNTIF('Detailed Attendance'!BL80:BL80, "A")+COUNTIF('Detailed Attendance'!BZ80:BZ80, "A")+COUNTIF('Detailed Attendance'!CI80:CI80, "A")+COUNTIF('Detailed Attendance'!CW80:CW80, "A")</f>
        <v/>
      </c>
      <c r="AA79" s="64">
        <f>IF((Y79+Z79)=0,"", Y79/(Y79+Z79))</f>
        <v/>
      </c>
      <c r="AB79" s="63">
        <f>COUNTIF('Detailed Attendance'!Q80:Q80, "P")+COUNTIF('Detailed Attendance'!AC80:AC80, "P")+COUNTIF('Detailed Attendance'!AK80:AK80, "P")+COUNTIF('Detailed Attendance'!AW80:AW80, "P")+COUNTIF('Detailed Attendance'!BE80:BE80, "P")+COUNTIF('Detailed Attendance'!BQ80:BQ80, "P")+COUNTIF('Detailed Attendance'!BY80:BY80, "P")+COUNTIF('Detailed Attendance'!CN80:CN80, "P")+COUNTIF('Detailed Attendance'!CV80:CV80, "P")</f>
        <v/>
      </c>
      <c r="AC79" s="63">
        <f>COUNTIF('Detailed Attendance'!Q80:Q80, "A")+COUNTIF('Detailed Attendance'!AC80:AC80, "A")+COUNTIF('Detailed Attendance'!AK80:AK80, "A")+COUNTIF('Detailed Attendance'!AW80:AW80, "A")+COUNTIF('Detailed Attendance'!BE80:BE80, "A")+COUNTIF('Detailed Attendance'!BQ80:BQ80, "A")+COUNTIF('Detailed Attendance'!BY80:BY80, "A")+COUNTIF('Detailed Attendance'!CN80:CN80, "A")+COUNTIF('Detailed Attendance'!CV80:CV80, "A")</f>
        <v/>
      </c>
      <c r="AD79" s="64">
        <f>IF((AB79+AC79)=0,"", AB79/(AB79+AC79))</f>
        <v/>
      </c>
      <c r="AE79" s="63">
        <f>COUNTIF('Detailed Attendance'!L80:L80, "P")+COUNTIF('Detailed Attendance'!P80:P80, "P")+COUNTIF('Detailed Attendance'!AF80:AF80, "P")+COUNTIF('Detailed Attendance'!AJ80:AJ80, "P")+COUNTIF('Detailed Attendance'!AZ80:AZ80, "P")+COUNTIF('Detailed Attendance'!BD80:BD80, "P")+COUNTIF('Detailed Attendance'!BT80:BT80, "P")+COUNTIF('Detailed Attendance'!BX80:BX80, "P")+COUNTIF('Detailed Attendance'!CQ80:CQ80, "P")+COUNTIF('Detailed Attendance'!CU80:CU80, "P")</f>
        <v/>
      </c>
      <c r="AF79" s="67">
        <f>COUNTIF('Detailed Attendance'!L80:L80, "A")+COUNTIF('Detailed Attendance'!P80:P80, "A")+COUNTIF('Detailed Attendance'!AF80:AF80, "A")+COUNTIF('Detailed Attendance'!AJ80:AJ80, "A")+COUNTIF('Detailed Attendance'!AZ80:AZ80, "A")+COUNTIF('Detailed Attendance'!BD80:BD80, "A")+COUNTIF('Detailed Attendance'!BT80:BT80, "A")+COUNTIF('Detailed Attendance'!BX80:BX80, "A")+COUNTIF('Detailed Attendance'!CQ80:CQ80, "A")+COUNTIF('Detailed Attendance'!CU80:CU80, "A")</f>
        <v/>
      </c>
      <c r="AG79" s="68">
        <f>IF((AE79+AF79)=0,"", AE79/(AE79+AF79))</f>
        <v/>
      </c>
      <c r="AH79" s="67">
        <f>COUNTIF('Detailed Attendance'!T80:T80, "P")+COUNTIF('Detailed Attendance'!AN80:AN80, "P")+COUNTIF('Detailed Attendance'!AR80:AR80, "P")+COUNTIF('Detailed Attendance'!BH80:BH80, "P")+COUNTIF('Detailed Attendance'!CB80:CB80, "P")+COUNTIF('Detailed Attendance'!CF80:CF80, "P")+COUNTIF('Detailed Attendance'!CY80:CY80, "P")</f>
        <v/>
      </c>
      <c r="AI79" s="67">
        <f>COUNTIF('Detailed Attendance'!T80:T80, "A")+COUNTIF('Detailed Attendance'!AN80:AN80, "A")+COUNTIF('Detailed Attendance'!AR80:AR80, "A")+COUNTIF('Detailed Attendance'!BH80:BH80, "A")+COUNTIF('Detailed Attendance'!CB80:CB80, "A")+COUNTIF('Detailed Attendance'!CF80:CF80, "A")+COUNTIF('Detailed Attendance'!CY80:CY80, "A")</f>
        <v/>
      </c>
      <c r="AJ79" s="68">
        <f>IF((AH79+AI79)=0,"", AH79/(AH79+AI79))</f>
        <v/>
      </c>
      <c r="AK79" s="67">
        <f>COUNTIF('Detailed Attendance'!M80:M80, "P")+COUNTIF('Detailed Attendance'!U80:U80, "P")+COUNTIF('Detailed Attendance'!AG80:AG80, "P")+COUNTIF('Detailed Attendance'!AO80:AO80, "P")+COUNTIF('Detailed Attendance'!BA80:BA80, "P")+COUNTIF('Detailed Attendance'!BI80:BI80, "P")+COUNTIF('Detailed Attendance'!BU80:BU80, "P")+COUNTIF('Detailed Attendance'!CC80:CC80, "P")+COUNTIF('Detailed Attendance'!CR80:CR80, "P")+COUNTIF('Detailed Attendance'!CZ80:CZ80, "P")</f>
        <v/>
      </c>
      <c r="AL79" s="67">
        <f>COUNTIF('Detailed Attendance'!M80:M80, "A")+COUNTIF('Detailed Attendance'!U80:U80, "A")+COUNTIF('Detailed Attendance'!AG80:AG80, "A")+COUNTIF('Detailed Attendance'!AO80:AO80, "A")+COUNTIF('Detailed Attendance'!BA80:BA80, "A")+COUNTIF('Detailed Attendance'!BI80:BI80, "A")+COUNTIF('Detailed Attendance'!BU80:BU80, "A")+COUNTIF('Detailed Attendance'!CC80:CC80, "A")+COUNTIF('Detailed Attendance'!CR80:CR80, "A")+COUNTIF('Detailed Attendance'!CZ80:CZ80, "A")</f>
        <v/>
      </c>
      <c r="AM79" s="68">
        <f>IF((AK79+AL79)=0,"", AK79/(AK79+AL79))</f>
        <v/>
      </c>
      <c r="AN79" s="67">
        <f>Y79+AB79+AE79+AH79+AK79</f>
        <v/>
      </c>
      <c r="AO79" s="67">
        <f>Z79+AC79+AF79+AI79+AL79</f>
        <v/>
      </c>
      <c r="AP79" s="68">
        <f>IF((AN79+AO79)=0,"", AN79/(AN79+AO79))</f>
        <v/>
      </c>
      <c r="AQ79" s="69">
        <f>COUNTIF('Detailed Attendance'!CG80:CG80, "P")+COUNTIF('Detailed Attendance'!CH80:CH80, "P")+COUNTIF('Detailed Attendance'!V80:V80, "P")+COUNTIF('Detailed Attendance'!AP80:AP80, "P")+COUNTIF('Detailed Attendance'!BJ80:BJ80, "P")+COUNTIF('Detailed Attendance'!CD80:CD80, "P")+COUNTIF('Detailed Attendance'!DA80:DA80, "P")</f>
        <v/>
      </c>
      <c r="AR79" s="69">
        <f>COUNTIF('Detailed Attendance'!CG80:CG80, "A")+COUNTIF('Detailed Attendance'!CH80:CH80, "A")+COUNTIF('Detailed Attendance'!V80:V80, "A")+COUNTIF('Detailed Attendance'!AP80:AP80, "A")+COUNTIF('Detailed Attendance'!BJ80:BJ80, "A")+COUNTIF('Detailed Attendance'!CD80:CD80, "A")+COUNTIF('Detailed Attendance'!DA80:DA80, "A")</f>
        <v/>
      </c>
      <c r="AS79" s="70">
        <f>IF((AQ79+AR79)=0,"", AQ79/(AQ79+AR79))</f>
        <v/>
      </c>
      <c r="AT79" s="67">
        <f>COUNTIF('Detailed Attendance'!DF80:DF80, "P")+COUNTIF('Detailed Attendance'!DT80:DT80, "P")+COUNTIF('Detailed Attendance'!EC80:EC80, "P")+COUNTIF('Detailed Attendance'!EQ80:EQ80, "P")+COUNTIF('Detailed Attendance'!EW80:EW80, "P")+COUNTIF('Detailed Attendance'!FK80:FK80, "P")+COUNTIF('Detailed Attendance'!FM80:FM80, "P")+COUNTIF('Detailed Attendance'!GA80:GA80, "P")</f>
        <v/>
      </c>
      <c r="AU79" s="67">
        <f>COUNTIF('Detailed Attendance'!DF80:DF80, "A")+COUNTIF('Detailed Attendance'!DT80:DT80, "A")+COUNTIF('Detailed Attendance'!EC80:EC80, "A")+COUNTIF('Detailed Attendance'!EQ80:EQ80, "A")+COUNTIF('Detailed Attendance'!EW80:EW80, "A")+COUNTIF('Detailed Attendance'!FK80:FK80, "A")+COUNTIF('Detailed Attendance'!FM80:FM80, "A")+COUNTIF('Detailed Attendance'!GA80:GA80, "A")</f>
        <v/>
      </c>
      <c r="AV79" s="68">
        <f>IF((AT79+AU79)=0,"", AT79/(AT79+AU79))</f>
        <v/>
      </c>
      <c r="AW79" s="67">
        <f>COUNTIF('Detailed Attendance'!DK80:DK80, "P")+COUNTIF('Detailed Attendance'!DS80:DS80, "P")+COUNTIF('Detailed Attendance'!EH80:EH80, "P")+COUNTIF('Detailed Attendance'!EP80:EP80, "P")+COUNTIF('Detailed Attendance'!FB80:FB80, "P")+COUNTIF('Detailed Attendance'!FJ80:FJ80, "P")+COUNTIF('Detailed Attendance'!FR80:FR80, "P")+COUNTIF('Detailed Attendance'!FZ80:FZ80, "P")</f>
        <v/>
      </c>
      <c r="AX79" s="67">
        <f>COUNTIF('Detailed Attendance'!DK80:DK80, "A")+COUNTIF('Detailed Attendance'!DS80:DS80, "A")+COUNTIF('Detailed Attendance'!EH80:EH80, "A")+COUNTIF('Detailed Attendance'!EP80:EP80, "A")+COUNTIF('Detailed Attendance'!FB80:FB80, "A")+COUNTIF('Detailed Attendance'!FJ80:FJ80, "A")+COUNTIF('Detailed Attendance'!FR80:FR80, "A")+COUNTIF('Detailed Attendance'!FZ80:FZ80, "A")</f>
        <v/>
      </c>
      <c r="AY79" s="68">
        <f>IF((AW79+AX79)=0,"", AW79/(AW79+AX79))</f>
        <v/>
      </c>
      <c r="AZ79" s="67">
        <f>COUNTIF('Detailed Attendance'!DN80:DN80, "P")+COUNTIF('Detailed Attendance'!DR80:DR80, "P")+COUNTIF('Detailed Attendance'!EK80:EK80, "P")+COUNTIF('Detailed Attendance'!EO80:EO80, "P")+COUNTIF('Detailed Attendance'!FE80:FE80, "P")+COUNTIF('Detailed Attendance'!FI80:FI80, "P")+COUNTIF('Detailed Attendance'!FU80:FU80, "P")+COUNTIF('Detailed Attendance'!FY80:FY80, "P")</f>
        <v/>
      </c>
      <c r="BA79" s="67">
        <f>COUNTIF('Detailed Attendance'!DN80:DN80, "A")+COUNTIF('Detailed Attendance'!DR80:DR80, "A")+COUNTIF('Detailed Attendance'!EK80:EK80, "A")+COUNTIF('Detailed Attendance'!EO80:EO80, "A")+COUNTIF('Detailed Attendance'!FE80:FE80, "A")+COUNTIF('Detailed Attendance'!FI80:FI80, "A")+COUNTIF('Detailed Attendance'!FU80:FU80, "A")+COUNTIF('Detailed Attendance'!FY80:FY80, "A")</f>
        <v/>
      </c>
      <c r="BB79" s="68">
        <f>IF((AZ79+BA79)=0,"", AZ79/(AZ79+BA79))</f>
        <v/>
      </c>
      <c r="BC79" s="67">
        <f>COUNTIF('Detailed Attendance'!DC80:DC80, "P")+COUNTIF('Detailed Attendance'!DV80:DV80, "P")+COUNTIF('Detailed Attendance'!DZ80:DZ80, "P")+COUNTIF('Detailed Attendance'!ES80:ES80, "P")+COUNTIF('Detailed Attendance'!GC80:GC80, "P")+COUNTIF('Detailed Attendance'!GG80:GG80, "P")</f>
        <v/>
      </c>
      <c r="BD79" s="67">
        <f>COUNTIF('Detailed Attendance'!DC80:DC80, "A")+COUNTIF('Detailed Attendance'!DV80:DV80, "A")+COUNTIF('Detailed Attendance'!DZ80:DZ80, "A")+COUNTIF('Detailed Attendance'!ES80:ES80, "A")+COUNTIF('Detailed Attendance'!GC80:GC80, "A")+COUNTIF('Detailed Attendance'!GG80:GG80, "A")</f>
        <v/>
      </c>
      <c r="BE79" s="68">
        <f>IF((BC79+BD79)=0,"", BC79/(BC79+BD79))</f>
        <v/>
      </c>
      <c r="BF79" s="67">
        <f>COUNTIF('Detailed Attendance'!DO80:DO80, "P")+COUNTIF('Detailed Attendance'!DW80:DW80, "P")+COUNTIF('Detailed Attendance'!EL80:EL80, "P")+COUNTIF('Detailed Attendance'!ET80:ET80, "P")+COUNTIF('Detailed Attendance'!FF80:FF80, "P")+COUNTIF('Detailed Attendance'!FV80:FV80, "P")+COUNTIF('Detailed Attendance'!GD80:GD80, "P")</f>
        <v/>
      </c>
      <c r="BG79" s="67">
        <f>COUNTIF('Detailed Attendance'!DO80:DO80, "A")+COUNTIF('Detailed Attendance'!DW80:DW80, "A")+COUNTIF('Detailed Attendance'!EL80:EL80, "A")+COUNTIF('Detailed Attendance'!ET80:ET80, "A")+COUNTIF('Detailed Attendance'!FF80:FF80, "A")+COUNTIF('Detailed Attendance'!FV80:FV80, "A")+COUNTIF('Detailed Attendance'!GD80:GD80, "A")</f>
        <v/>
      </c>
      <c r="BH79" s="68">
        <f>IF((BF79+BG79)=0,"", BF79/(BF79+BG79))</f>
        <v/>
      </c>
      <c r="BI79" s="67">
        <f>AT79+AW79+AZ79+BC79+BF79</f>
        <v/>
      </c>
      <c r="BJ79" s="67">
        <f>AU79+AX79+BA79+BD79+BG79</f>
        <v/>
      </c>
      <c r="BK79" s="68">
        <f>IF((BI79+BJ79)=0,"", BI79/(BI79+BJ79))</f>
        <v/>
      </c>
      <c r="BL79" s="69">
        <f>COUNTIF('Detailed Attendance'!DD80:DD80, "P")+COUNTIF('Detailed Attendance'!EA80:EA80, "P")+COUNTIF('Detailed Attendance'!GH80:GH80, "P")+COUNTIF('Detailed Attendance'!DE80:DE80, "P")+COUNTIF('Detailed Attendance'!EB80:EB80, "P")+COUNTIF('Detailed Attendance'!GI80:GI80, "P")+COUNTIF('Detailed Attendance'!DX80:DX80, "P")+COUNTIF('Detailed Attendance'!EU80:EU80, "P")+COUNTIF('Detailed Attendance'!GE80:GE80, "P")</f>
        <v/>
      </c>
      <c r="BM79" s="69">
        <f>COUNTIF('Detailed Attendance'!DD80:DD80, "A")+COUNTIF('Detailed Attendance'!EA80:EA80, "A")+COUNTIF('Detailed Attendance'!GH80:GH80, "A")+COUNTIF('Detailed Attendance'!DE80:DE80, "A")+COUNTIF('Detailed Attendance'!EB80:EB80, "A")+COUNTIF('Detailed Attendance'!GI80:GI80, "A")+COUNTIF('Detailed Attendance'!DX80:DX80, "A")+COUNTIF('Detailed Attendance'!EU80:EU80, "A")+COUNTIF('Detailed Attendance'!GE80:GE80, "A")</f>
        <v/>
      </c>
      <c r="BN79" s="70">
        <f>IF((BL79+BM79)=0,"", BL79/(BL79+BM79))</f>
        <v/>
      </c>
      <c r="BO79" s="67">
        <f>D79+Y79+AT79</f>
        <v/>
      </c>
      <c r="BP79" s="67">
        <f>E79+Z79+AU79</f>
        <v/>
      </c>
      <c r="BQ79" s="68">
        <f>IF((BO79+BP79)=0,"", BO79/(BO79+BP79))</f>
        <v/>
      </c>
      <c r="BR79" s="67">
        <f>G79+AB79+AW79</f>
        <v/>
      </c>
      <c r="BS79" s="67">
        <f>H79+AC79+AX79</f>
        <v/>
      </c>
      <c r="BT79" s="68">
        <f>IF((BR79+BS79)=0,"", BR79/(BR79+BS79))</f>
        <v/>
      </c>
      <c r="BU79" s="67">
        <f>J79+AE79+AZ79</f>
        <v/>
      </c>
      <c r="BV79" s="67">
        <f>K79+AF79+BA79</f>
        <v/>
      </c>
      <c r="BW79" s="68">
        <f>IF((BU79+BV79)=0,"", BU79/(BU79+BV79))</f>
        <v/>
      </c>
      <c r="BX79" s="67">
        <f>M79+AH79+BC79</f>
        <v/>
      </c>
      <c r="BY79" s="67">
        <f>N79+AI79+BD79</f>
        <v/>
      </c>
      <c r="BZ79" s="68">
        <f>IF((BX79+BY79)=0,"", BX79/(BX79+BY79))</f>
        <v/>
      </c>
      <c r="CA79" s="67">
        <f>P79+AK79+BF79</f>
        <v/>
      </c>
      <c r="CB79" s="67">
        <f>Q79+AL79+BG79</f>
        <v/>
      </c>
      <c r="CC79" s="68">
        <f>IF((CA79+CB79)=0,"", CA79/(CA79+CB79))</f>
        <v/>
      </c>
      <c r="CD79" s="67">
        <f>S79+AN79+BI79</f>
        <v/>
      </c>
      <c r="CE79" s="67">
        <f>T79+AO79+BJ79</f>
        <v/>
      </c>
      <c r="CF79" s="68">
        <f>IF((CD79+CE79)=0,"", CD79/(CD79+CE79))</f>
        <v/>
      </c>
      <c r="CG79" s="69">
        <f>V79+AQ79+BL79</f>
        <v/>
      </c>
      <c r="CH79" s="69">
        <f>W79+AR79+BM79</f>
        <v/>
      </c>
      <c r="CI79" s="70">
        <f>IF((CG79+CH79)=0,"", CG79/(CG79+CH79))</f>
        <v/>
      </c>
      <c r="CJ79" s="67">
        <f>CD79+(CG79*2)</f>
        <v/>
      </c>
      <c r="CK79" s="67">
        <f>CE79+(CH79*2)</f>
        <v/>
      </c>
      <c r="CL79" s="68">
        <f>IF((CJ79+CK79)=0,"", CJ79/(CJ79+CK79))</f>
        <v/>
      </c>
      <c r="CM79" s="67" t="inlineStr">
        <is>
          <t>Batch 2</t>
        </is>
      </c>
    </row>
    <row r="80" ht="14.25" customHeight="1" s="34">
      <c r="A80" s="46" t="n">
        <v>78</v>
      </c>
      <c r="B80" s="46" t="inlineStr">
        <is>
          <t>325106410078</t>
        </is>
      </c>
      <c r="C80" s="46" t="inlineStr">
        <is>
          <t>BISHARUP CHANDRA BISHWAS</t>
        </is>
      </c>
      <c r="D80" s="63" t="n">
        <v>0</v>
      </c>
      <c r="E80" s="63" t="n">
        <v>0</v>
      </c>
      <c r="F80" s="64">
        <f>IF((D80+E80)=0,"", D80/(D80+E80))</f>
        <v/>
      </c>
      <c r="G80" s="63">
        <f>COUNTIF('Detailed Attendance'!I81:I81, "P")</f>
        <v/>
      </c>
      <c r="H80" s="63">
        <f>COUNTIF('Detailed Attendance'!I81:I81, "A")</f>
        <v/>
      </c>
      <c r="I80" s="64">
        <f>IF((G80+H80)=0,"", G80/(G80+H80))</f>
        <v/>
      </c>
      <c r="J80" s="63" t="n">
        <v>0</v>
      </c>
      <c r="K80" s="63" t="n">
        <v>0</v>
      </c>
      <c r="L80" s="64">
        <f>IF((J80+K80)=0,"", J80/(J80+K80))</f>
        <v/>
      </c>
      <c r="M80" s="63">
        <f>COUNTIF('Detailed Attendance'!D81:D81, "P")</f>
        <v/>
      </c>
      <c r="N80" s="63">
        <f>COUNTIF('Detailed Attendance'!D81:D81, "A")</f>
        <v/>
      </c>
      <c r="O80" s="64">
        <f>IF((M80+N80)=0,"", M80/(M80+N80))</f>
        <v/>
      </c>
      <c r="P80" s="63" t="n">
        <v>0</v>
      </c>
      <c r="Q80" s="63" t="n">
        <v>0</v>
      </c>
      <c r="R80" s="64">
        <f>IF((P80+Q80)=0,"", P80/(P80+Q80))</f>
        <v/>
      </c>
      <c r="S80" s="63">
        <f>D80+G80+J80+M80+P80</f>
        <v/>
      </c>
      <c r="T80" s="63">
        <f>E80+H80+K80+N80+Q80</f>
        <v/>
      </c>
      <c r="U80" s="64">
        <f>IF((S80+T80)=0,"", S80/(S80+T80))</f>
        <v/>
      </c>
      <c r="V80" s="65" t="n">
        <v>0</v>
      </c>
      <c r="W80" s="65" t="n">
        <v>0</v>
      </c>
      <c r="X80" s="66">
        <f>IF((V80+W80)=0,"", V80/(V80+W80))</f>
        <v/>
      </c>
      <c r="Y80" s="63">
        <f>COUNTIF('Detailed Attendance'!R81:R81, "P")+COUNTIF('Detailed Attendance'!X81:X81, "P")+COUNTIF('Detailed Attendance'!AL81:AL81, "P")+COUNTIF('Detailed Attendance'!BF81:BF81, "P")+COUNTIF('Detailed Attendance'!BL81:BL81, "P")+COUNTIF('Detailed Attendance'!BZ81:BZ81, "P")+COUNTIF('Detailed Attendance'!CI81:CI81, "P")+COUNTIF('Detailed Attendance'!CW81:CW81, "P")</f>
        <v/>
      </c>
      <c r="Z80" s="63">
        <f>COUNTIF('Detailed Attendance'!R81:R81, "A")+COUNTIF('Detailed Attendance'!X81:X81, "A")+COUNTIF('Detailed Attendance'!AL81:AL81, "A")+COUNTIF('Detailed Attendance'!BF81:BF81, "A")+COUNTIF('Detailed Attendance'!BL81:BL81, "A")+COUNTIF('Detailed Attendance'!BZ81:BZ81, "A")+COUNTIF('Detailed Attendance'!CI81:CI81, "A")+COUNTIF('Detailed Attendance'!CW81:CW81, "A")</f>
        <v/>
      </c>
      <c r="AA80" s="64">
        <f>IF((Y80+Z80)=0,"", Y80/(Y80+Z80))</f>
        <v/>
      </c>
      <c r="AB80" s="63">
        <f>COUNTIF('Detailed Attendance'!Q81:Q81, "P")+COUNTIF('Detailed Attendance'!AC81:AC81, "P")+COUNTIF('Detailed Attendance'!AK81:AK81, "P")+COUNTIF('Detailed Attendance'!AW81:AW81, "P")+COUNTIF('Detailed Attendance'!BE81:BE81, "P")+COUNTIF('Detailed Attendance'!BQ81:BQ81, "P")+COUNTIF('Detailed Attendance'!BY81:BY81, "P")+COUNTIF('Detailed Attendance'!CN81:CN81, "P")+COUNTIF('Detailed Attendance'!CV81:CV81, "P")</f>
        <v/>
      </c>
      <c r="AC80" s="63">
        <f>COUNTIF('Detailed Attendance'!Q81:Q81, "A")+COUNTIF('Detailed Attendance'!AC81:AC81, "A")+COUNTIF('Detailed Attendance'!AK81:AK81, "A")+COUNTIF('Detailed Attendance'!AW81:AW81, "A")+COUNTIF('Detailed Attendance'!BE81:BE81, "A")+COUNTIF('Detailed Attendance'!BQ81:BQ81, "A")+COUNTIF('Detailed Attendance'!BY81:BY81, "A")+COUNTIF('Detailed Attendance'!CN81:CN81, "A")+COUNTIF('Detailed Attendance'!CV81:CV81, "A")</f>
        <v/>
      </c>
      <c r="AD80" s="64">
        <f>IF((AB80+AC80)=0,"", AB80/(AB80+AC80))</f>
        <v/>
      </c>
      <c r="AE80" s="63">
        <f>COUNTIF('Detailed Attendance'!L81:L81, "P")+COUNTIF('Detailed Attendance'!P81:P81, "P")+COUNTIF('Detailed Attendance'!AF81:AF81, "P")+COUNTIF('Detailed Attendance'!AJ81:AJ81, "P")+COUNTIF('Detailed Attendance'!AZ81:AZ81, "P")+COUNTIF('Detailed Attendance'!BD81:BD81, "P")+COUNTIF('Detailed Attendance'!BT81:BT81, "P")+COUNTIF('Detailed Attendance'!BX81:BX81, "P")+COUNTIF('Detailed Attendance'!CQ81:CQ81, "P")+COUNTIF('Detailed Attendance'!CU81:CU81, "P")</f>
        <v/>
      </c>
      <c r="AF80" s="67">
        <f>COUNTIF('Detailed Attendance'!L81:L81, "A")+COUNTIF('Detailed Attendance'!P81:P81, "A")+COUNTIF('Detailed Attendance'!AF81:AF81, "A")+COUNTIF('Detailed Attendance'!AJ81:AJ81, "A")+COUNTIF('Detailed Attendance'!AZ81:AZ81, "A")+COUNTIF('Detailed Attendance'!BD81:BD81, "A")+COUNTIF('Detailed Attendance'!BT81:BT81, "A")+COUNTIF('Detailed Attendance'!BX81:BX81, "A")+COUNTIF('Detailed Attendance'!CQ81:CQ81, "A")+COUNTIF('Detailed Attendance'!CU81:CU81, "A")</f>
        <v/>
      </c>
      <c r="AG80" s="68">
        <f>IF((AE80+AF80)=0,"", AE80/(AE80+AF80))</f>
        <v/>
      </c>
      <c r="AH80" s="67">
        <f>COUNTIF('Detailed Attendance'!T81:T81, "P")+COUNTIF('Detailed Attendance'!AN81:AN81, "P")+COUNTIF('Detailed Attendance'!AR81:AR81, "P")+COUNTIF('Detailed Attendance'!BH81:BH81, "P")+COUNTIF('Detailed Attendance'!CB81:CB81, "P")+COUNTIF('Detailed Attendance'!CF81:CF81, "P")+COUNTIF('Detailed Attendance'!CY81:CY81, "P")</f>
        <v/>
      </c>
      <c r="AI80" s="67">
        <f>COUNTIF('Detailed Attendance'!T81:T81, "A")+COUNTIF('Detailed Attendance'!AN81:AN81, "A")+COUNTIF('Detailed Attendance'!AR81:AR81, "A")+COUNTIF('Detailed Attendance'!BH81:BH81, "A")+COUNTIF('Detailed Attendance'!CB81:CB81, "A")+COUNTIF('Detailed Attendance'!CF81:CF81, "A")+COUNTIF('Detailed Attendance'!CY81:CY81, "A")</f>
        <v/>
      </c>
      <c r="AJ80" s="68">
        <f>IF((AH80+AI80)=0,"", AH80/(AH80+AI80))</f>
        <v/>
      </c>
      <c r="AK80" s="67">
        <f>COUNTIF('Detailed Attendance'!M81:M81, "P")+COUNTIF('Detailed Attendance'!U81:U81, "P")+COUNTIF('Detailed Attendance'!AG81:AG81, "P")+COUNTIF('Detailed Attendance'!AO81:AO81, "P")+COUNTIF('Detailed Attendance'!BA81:BA81, "P")+COUNTIF('Detailed Attendance'!BI81:BI81, "P")+COUNTIF('Detailed Attendance'!BU81:BU81, "P")+COUNTIF('Detailed Attendance'!CC81:CC81, "P")+COUNTIF('Detailed Attendance'!CR81:CR81, "P")+COUNTIF('Detailed Attendance'!CZ81:CZ81, "P")</f>
        <v/>
      </c>
      <c r="AL80" s="67">
        <f>COUNTIF('Detailed Attendance'!M81:M81, "A")+COUNTIF('Detailed Attendance'!U81:U81, "A")+COUNTIF('Detailed Attendance'!AG81:AG81, "A")+COUNTIF('Detailed Attendance'!AO81:AO81, "A")+COUNTIF('Detailed Attendance'!BA81:BA81, "A")+COUNTIF('Detailed Attendance'!BI81:BI81, "A")+COUNTIF('Detailed Attendance'!BU81:BU81, "A")+COUNTIF('Detailed Attendance'!CC81:CC81, "A")+COUNTIF('Detailed Attendance'!CR81:CR81, "A")+COUNTIF('Detailed Attendance'!CZ81:CZ81, "A")</f>
        <v/>
      </c>
      <c r="AM80" s="68">
        <f>IF((AK80+AL80)=0,"", AK80/(AK80+AL80))</f>
        <v/>
      </c>
      <c r="AN80" s="67">
        <f>Y80+AB80+AE80+AH80+AK80</f>
        <v/>
      </c>
      <c r="AO80" s="67">
        <f>Z80+AC80+AF80+AI80+AL80</f>
        <v/>
      </c>
      <c r="AP80" s="68">
        <f>IF((AN80+AO80)=0,"", AN80/(AN80+AO80))</f>
        <v/>
      </c>
      <c r="AQ80" s="69">
        <f>COUNTIF('Detailed Attendance'!CG81:CG81, "P")+COUNTIF('Detailed Attendance'!CH81:CH81, "P")+COUNTIF('Detailed Attendance'!V81:V81, "P")+COUNTIF('Detailed Attendance'!AP81:AP81, "P")+COUNTIF('Detailed Attendance'!BJ81:BJ81, "P")+COUNTIF('Detailed Attendance'!CD81:CD81, "P")+COUNTIF('Detailed Attendance'!DA81:DA81, "P")</f>
        <v/>
      </c>
      <c r="AR80" s="69">
        <f>COUNTIF('Detailed Attendance'!CG81:CG81, "A")+COUNTIF('Detailed Attendance'!CH81:CH81, "A")+COUNTIF('Detailed Attendance'!V81:V81, "A")+COUNTIF('Detailed Attendance'!AP81:AP81, "A")+COUNTIF('Detailed Attendance'!BJ81:BJ81, "A")+COUNTIF('Detailed Attendance'!CD81:CD81, "A")+COUNTIF('Detailed Attendance'!DA81:DA81, "A")</f>
        <v/>
      </c>
      <c r="AS80" s="70">
        <f>IF((AQ80+AR80)=0,"", AQ80/(AQ80+AR80))</f>
        <v/>
      </c>
      <c r="AT80" s="67">
        <f>COUNTIF('Detailed Attendance'!DF81:DF81, "P")+COUNTIF('Detailed Attendance'!DT81:DT81, "P")+COUNTIF('Detailed Attendance'!EC81:EC81, "P")+COUNTIF('Detailed Attendance'!EQ81:EQ81, "P")+COUNTIF('Detailed Attendance'!EW81:EW81, "P")+COUNTIF('Detailed Attendance'!FK81:FK81, "P")+COUNTIF('Detailed Attendance'!FM81:FM81, "P")+COUNTIF('Detailed Attendance'!GA81:GA81, "P")</f>
        <v/>
      </c>
      <c r="AU80" s="67">
        <f>COUNTIF('Detailed Attendance'!DF81:DF81, "A")+COUNTIF('Detailed Attendance'!DT81:DT81, "A")+COUNTIF('Detailed Attendance'!EC81:EC81, "A")+COUNTIF('Detailed Attendance'!EQ81:EQ81, "A")+COUNTIF('Detailed Attendance'!EW81:EW81, "A")+COUNTIF('Detailed Attendance'!FK81:FK81, "A")+COUNTIF('Detailed Attendance'!FM81:FM81, "A")+COUNTIF('Detailed Attendance'!GA81:GA81, "A")</f>
        <v/>
      </c>
      <c r="AV80" s="68">
        <f>IF((AT80+AU80)=0,"", AT80/(AT80+AU80))</f>
        <v/>
      </c>
      <c r="AW80" s="67">
        <f>COUNTIF('Detailed Attendance'!DK81:DK81, "P")+COUNTIF('Detailed Attendance'!DS81:DS81, "P")+COUNTIF('Detailed Attendance'!EH81:EH81, "P")+COUNTIF('Detailed Attendance'!EP81:EP81, "P")+COUNTIF('Detailed Attendance'!FB81:FB81, "P")+COUNTIF('Detailed Attendance'!FJ81:FJ81, "P")+COUNTIF('Detailed Attendance'!FR81:FR81, "P")+COUNTIF('Detailed Attendance'!FZ81:FZ81, "P")</f>
        <v/>
      </c>
      <c r="AX80" s="67">
        <f>COUNTIF('Detailed Attendance'!DK81:DK81, "A")+COUNTIF('Detailed Attendance'!DS81:DS81, "A")+COUNTIF('Detailed Attendance'!EH81:EH81, "A")+COUNTIF('Detailed Attendance'!EP81:EP81, "A")+COUNTIF('Detailed Attendance'!FB81:FB81, "A")+COUNTIF('Detailed Attendance'!FJ81:FJ81, "A")+COUNTIF('Detailed Attendance'!FR81:FR81, "A")+COUNTIF('Detailed Attendance'!FZ81:FZ81, "A")</f>
        <v/>
      </c>
      <c r="AY80" s="68">
        <f>IF((AW80+AX80)=0,"", AW80/(AW80+AX80))</f>
        <v/>
      </c>
      <c r="AZ80" s="67">
        <f>COUNTIF('Detailed Attendance'!DN81:DN81, "P")+COUNTIF('Detailed Attendance'!DR81:DR81, "P")+COUNTIF('Detailed Attendance'!EK81:EK81, "P")+COUNTIF('Detailed Attendance'!EO81:EO81, "P")+COUNTIF('Detailed Attendance'!FE81:FE81, "P")+COUNTIF('Detailed Attendance'!FI81:FI81, "P")+COUNTIF('Detailed Attendance'!FU81:FU81, "P")+COUNTIF('Detailed Attendance'!FY81:FY81, "P")</f>
        <v/>
      </c>
      <c r="BA80" s="67">
        <f>COUNTIF('Detailed Attendance'!DN81:DN81, "A")+COUNTIF('Detailed Attendance'!DR81:DR81, "A")+COUNTIF('Detailed Attendance'!EK81:EK81, "A")+COUNTIF('Detailed Attendance'!EO81:EO81, "A")+COUNTIF('Detailed Attendance'!FE81:FE81, "A")+COUNTIF('Detailed Attendance'!FI81:FI81, "A")+COUNTIF('Detailed Attendance'!FU81:FU81, "A")+COUNTIF('Detailed Attendance'!FY81:FY81, "A")</f>
        <v/>
      </c>
      <c r="BB80" s="68">
        <f>IF((AZ80+BA80)=0,"", AZ80/(AZ80+BA80))</f>
        <v/>
      </c>
      <c r="BC80" s="67">
        <f>COUNTIF('Detailed Attendance'!DC81:DC81, "P")+COUNTIF('Detailed Attendance'!DV81:DV81, "P")+COUNTIF('Detailed Attendance'!DZ81:DZ81, "P")+COUNTIF('Detailed Attendance'!ES81:ES81, "P")+COUNTIF('Detailed Attendance'!GC81:GC81, "P")+COUNTIF('Detailed Attendance'!GG81:GG81, "P")</f>
        <v/>
      </c>
      <c r="BD80" s="67">
        <f>COUNTIF('Detailed Attendance'!DC81:DC81, "A")+COUNTIF('Detailed Attendance'!DV81:DV81, "A")+COUNTIF('Detailed Attendance'!DZ81:DZ81, "A")+COUNTIF('Detailed Attendance'!ES81:ES81, "A")+COUNTIF('Detailed Attendance'!GC81:GC81, "A")+COUNTIF('Detailed Attendance'!GG81:GG81, "A")</f>
        <v/>
      </c>
      <c r="BE80" s="68">
        <f>IF((BC80+BD80)=0,"", BC80/(BC80+BD80))</f>
        <v/>
      </c>
      <c r="BF80" s="67">
        <f>COUNTIF('Detailed Attendance'!DO81:DO81, "P")+COUNTIF('Detailed Attendance'!DW81:DW81, "P")+COUNTIF('Detailed Attendance'!EL81:EL81, "P")+COUNTIF('Detailed Attendance'!ET81:ET81, "P")+COUNTIF('Detailed Attendance'!FF81:FF81, "P")+COUNTIF('Detailed Attendance'!FV81:FV81, "P")+COUNTIF('Detailed Attendance'!GD81:GD81, "P")</f>
        <v/>
      </c>
      <c r="BG80" s="67">
        <f>COUNTIF('Detailed Attendance'!DO81:DO81, "A")+COUNTIF('Detailed Attendance'!DW81:DW81, "A")+COUNTIF('Detailed Attendance'!EL81:EL81, "A")+COUNTIF('Detailed Attendance'!ET81:ET81, "A")+COUNTIF('Detailed Attendance'!FF81:FF81, "A")+COUNTIF('Detailed Attendance'!FV81:FV81, "A")+COUNTIF('Detailed Attendance'!GD81:GD81, "A")</f>
        <v/>
      </c>
      <c r="BH80" s="68">
        <f>IF((BF80+BG80)=0,"", BF80/(BF80+BG80))</f>
        <v/>
      </c>
      <c r="BI80" s="67">
        <f>AT80+AW80+AZ80+BC80+BF80</f>
        <v/>
      </c>
      <c r="BJ80" s="67">
        <f>AU80+AX80+BA80+BD80+BG80</f>
        <v/>
      </c>
      <c r="BK80" s="68">
        <f>IF((BI80+BJ80)=0,"", BI80/(BI80+BJ80))</f>
        <v/>
      </c>
      <c r="BL80" s="69">
        <f>COUNTIF('Detailed Attendance'!DD81:DD81, "P")+COUNTIF('Detailed Attendance'!EA81:EA81, "P")+COUNTIF('Detailed Attendance'!GH81:GH81, "P")+COUNTIF('Detailed Attendance'!DE81:DE81, "P")+COUNTIF('Detailed Attendance'!EB81:EB81, "P")+COUNTIF('Detailed Attendance'!GI81:GI81, "P")+COUNTIF('Detailed Attendance'!DX81:DX81, "P")+COUNTIF('Detailed Attendance'!EU81:EU81, "P")+COUNTIF('Detailed Attendance'!GE81:GE81, "P")</f>
        <v/>
      </c>
      <c r="BM80" s="69">
        <f>COUNTIF('Detailed Attendance'!DD81:DD81, "A")+COUNTIF('Detailed Attendance'!EA81:EA81, "A")+COUNTIF('Detailed Attendance'!GH81:GH81, "A")+COUNTIF('Detailed Attendance'!DE81:DE81, "A")+COUNTIF('Detailed Attendance'!EB81:EB81, "A")+COUNTIF('Detailed Attendance'!GI81:GI81, "A")+COUNTIF('Detailed Attendance'!DX81:DX81, "A")+COUNTIF('Detailed Attendance'!EU81:EU81, "A")+COUNTIF('Detailed Attendance'!GE81:GE81, "A")</f>
        <v/>
      </c>
      <c r="BN80" s="70">
        <f>IF((BL80+BM80)=0,"", BL80/(BL80+BM80))</f>
        <v/>
      </c>
      <c r="BO80" s="67">
        <f>D80+Y80+AT80</f>
        <v/>
      </c>
      <c r="BP80" s="67">
        <f>E80+Z80+AU80</f>
        <v/>
      </c>
      <c r="BQ80" s="68">
        <f>IF((BO80+BP80)=0,"", BO80/(BO80+BP80))</f>
        <v/>
      </c>
      <c r="BR80" s="67">
        <f>G80+AB80+AW80</f>
        <v/>
      </c>
      <c r="BS80" s="67">
        <f>H80+AC80+AX80</f>
        <v/>
      </c>
      <c r="BT80" s="68">
        <f>IF((BR80+BS80)=0,"", BR80/(BR80+BS80))</f>
        <v/>
      </c>
      <c r="BU80" s="67">
        <f>J80+AE80+AZ80</f>
        <v/>
      </c>
      <c r="BV80" s="67">
        <f>K80+AF80+BA80</f>
        <v/>
      </c>
      <c r="BW80" s="68">
        <f>IF((BU80+BV80)=0,"", BU80/(BU80+BV80))</f>
        <v/>
      </c>
      <c r="BX80" s="67">
        <f>M80+AH80+BC80</f>
        <v/>
      </c>
      <c r="BY80" s="67">
        <f>N80+AI80+BD80</f>
        <v/>
      </c>
      <c r="BZ80" s="68">
        <f>IF((BX80+BY80)=0,"", BX80/(BX80+BY80))</f>
        <v/>
      </c>
      <c r="CA80" s="67">
        <f>P80+AK80+BF80</f>
        <v/>
      </c>
      <c r="CB80" s="67">
        <f>Q80+AL80+BG80</f>
        <v/>
      </c>
      <c r="CC80" s="68">
        <f>IF((CA80+CB80)=0,"", CA80/(CA80+CB80))</f>
        <v/>
      </c>
      <c r="CD80" s="67">
        <f>S80+AN80+BI80</f>
        <v/>
      </c>
      <c r="CE80" s="67">
        <f>T80+AO80+BJ80</f>
        <v/>
      </c>
      <c r="CF80" s="68">
        <f>IF((CD80+CE80)=0,"", CD80/(CD80+CE80))</f>
        <v/>
      </c>
      <c r="CG80" s="69">
        <f>V80+AQ80+BL80</f>
        <v/>
      </c>
      <c r="CH80" s="69">
        <f>W80+AR80+BM80</f>
        <v/>
      </c>
      <c r="CI80" s="70">
        <f>IF((CG80+CH80)=0,"", CG80/(CG80+CH80))</f>
        <v/>
      </c>
      <c r="CJ80" s="67">
        <f>CD80+(CG80*2)</f>
        <v/>
      </c>
      <c r="CK80" s="67">
        <f>CE80+(CH80*2)</f>
        <v/>
      </c>
      <c r="CL80" s="68">
        <f>IF((CJ80+CK80)=0,"", CJ80/(CJ80+CK80))</f>
        <v/>
      </c>
      <c r="CM80" s="67" t="inlineStr">
        <is>
          <t>Batch 2</t>
        </is>
      </c>
    </row>
    <row r="81" ht="14.25" customHeight="1" s="34">
      <c r="A81" s="46" t="n">
        <v>79</v>
      </c>
      <c r="B81" s="46" t="inlineStr">
        <is>
          <t>325106410079</t>
        </is>
      </c>
      <c r="C81" s="46" t="inlineStr">
        <is>
          <t>DADJA ELIE APOLLINAIRE TCHANDAO</t>
        </is>
      </c>
      <c r="D81" s="63" t="n">
        <v>0</v>
      </c>
      <c r="E81" s="63" t="n">
        <v>0</v>
      </c>
      <c r="F81" s="64">
        <f>IF((D81+E81)=0,"", D81/(D81+E81))</f>
        <v/>
      </c>
      <c r="G81" s="63">
        <f>COUNTIF('Detailed Attendance'!I82:I82, "P")</f>
        <v/>
      </c>
      <c r="H81" s="63">
        <f>COUNTIF('Detailed Attendance'!I82:I82, "A")</f>
        <v/>
      </c>
      <c r="I81" s="64">
        <f>IF((G81+H81)=0,"", G81/(G81+H81))</f>
        <v/>
      </c>
      <c r="J81" s="63" t="n">
        <v>0</v>
      </c>
      <c r="K81" s="63" t="n">
        <v>0</v>
      </c>
      <c r="L81" s="64">
        <f>IF((J81+K81)=0,"", J81/(J81+K81))</f>
        <v/>
      </c>
      <c r="M81" s="63">
        <f>COUNTIF('Detailed Attendance'!D82:D82, "P")</f>
        <v/>
      </c>
      <c r="N81" s="63">
        <f>COUNTIF('Detailed Attendance'!D82:D82, "A")</f>
        <v/>
      </c>
      <c r="O81" s="64">
        <f>IF((M81+N81)=0,"", M81/(M81+N81))</f>
        <v/>
      </c>
      <c r="P81" s="63" t="n">
        <v>0</v>
      </c>
      <c r="Q81" s="63" t="n">
        <v>0</v>
      </c>
      <c r="R81" s="64">
        <f>IF((P81+Q81)=0,"", P81/(P81+Q81))</f>
        <v/>
      </c>
      <c r="S81" s="63">
        <f>D81+G81+J81+M81+P81</f>
        <v/>
      </c>
      <c r="T81" s="63">
        <f>E81+H81+K81+N81+Q81</f>
        <v/>
      </c>
      <c r="U81" s="64">
        <f>IF((S81+T81)=0,"", S81/(S81+T81))</f>
        <v/>
      </c>
      <c r="V81" s="65" t="n">
        <v>0</v>
      </c>
      <c r="W81" s="65" t="n">
        <v>0</v>
      </c>
      <c r="X81" s="66">
        <f>IF((V81+W81)=0,"", V81/(V81+W81))</f>
        <v/>
      </c>
      <c r="Y81" s="63">
        <f>COUNTIF('Detailed Attendance'!R82:R82, "P")+COUNTIF('Detailed Attendance'!X82:X82, "P")+COUNTIF('Detailed Attendance'!AL82:AL82, "P")+COUNTIF('Detailed Attendance'!BF82:BF82, "P")+COUNTIF('Detailed Attendance'!BL82:BL82, "P")+COUNTIF('Detailed Attendance'!BZ82:BZ82, "P")+COUNTIF('Detailed Attendance'!CI82:CI82, "P")+COUNTIF('Detailed Attendance'!CW82:CW82, "P")</f>
        <v/>
      </c>
      <c r="Z81" s="63">
        <f>COUNTIF('Detailed Attendance'!R82:R82, "A")+COUNTIF('Detailed Attendance'!X82:X82, "A")+COUNTIF('Detailed Attendance'!AL82:AL82, "A")+COUNTIF('Detailed Attendance'!BF82:BF82, "A")+COUNTIF('Detailed Attendance'!BL82:BL82, "A")+COUNTIF('Detailed Attendance'!BZ82:BZ82, "A")+COUNTIF('Detailed Attendance'!CI82:CI82, "A")+COUNTIF('Detailed Attendance'!CW82:CW82, "A")</f>
        <v/>
      </c>
      <c r="AA81" s="64">
        <f>IF((Y81+Z81)=0,"", Y81/(Y81+Z81))</f>
        <v/>
      </c>
      <c r="AB81" s="63">
        <f>COUNTIF('Detailed Attendance'!Q82:Q82, "P")+COUNTIF('Detailed Attendance'!AC82:AC82, "P")+COUNTIF('Detailed Attendance'!AK82:AK82, "P")+COUNTIF('Detailed Attendance'!AW82:AW82, "P")+COUNTIF('Detailed Attendance'!BE82:BE82, "P")+COUNTIF('Detailed Attendance'!BQ82:BQ82, "P")+COUNTIF('Detailed Attendance'!BY82:BY82, "P")+COUNTIF('Detailed Attendance'!CN82:CN82, "P")+COUNTIF('Detailed Attendance'!CV82:CV82, "P")</f>
        <v/>
      </c>
      <c r="AC81" s="63">
        <f>COUNTIF('Detailed Attendance'!Q82:Q82, "A")+COUNTIF('Detailed Attendance'!AC82:AC82, "A")+COUNTIF('Detailed Attendance'!AK82:AK82, "A")+COUNTIF('Detailed Attendance'!AW82:AW82, "A")+COUNTIF('Detailed Attendance'!BE82:BE82, "A")+COUNTIF('Detailed Attendance'!BQ82:BQ82, "A")+COUNTIF('Detailed Attendance'!BY82:BY82, "A")+COUNTIF('Detailed Attendance'!CN82:CN82, "A")+COUNTIF('Detailed Attendance'!CV82:CV82, "A")</f>
        <v/>
      </c>
      <c r="AD81" s="64">
        <f>IF((AB81+AC81)=0,"", AB81/(AB81+AC81))</f>
        <v/>
      </c>
      <c r="AE81" s="63">
        <f>COUNTIF('Detailed Attendance'!L82:L82, "P")+COUNTIF('Detailed Attendance'!P82:P82, "P")+COUNTIF('Detailed Attendance'!AF82:AF82, "P")+COUNTIF('Detailed Attendance'!AJ82:AJ82, "P")+COUNTIF('Detailed Attendance'!AZ82:AZ82, "P")+COUNTIF('Detailed Attendance'!BD82:BD82, "P")+COUNTIF('Detailed Attendance'!BT82:BT82, "P")+COUNTIF('Detailed Attendance'!BX82:BX82, "P")+COUNTIF('Detailed Attendance'!CQ82:CQ82, "P")+COUNTIF('Detailed Attendance'!CU82:CU82, "P")</f>
        <v/>
      </c>
      <c r="AF81" s="67">
        <f>COUNTIF('Detailed Attendance'!L82:L82, "A")+COUNTIF('Detailed Attendance'!P82:P82, "A")+COUNTIF('Detailed Attendance'!AF82:AF82, "A")+COUNTIF('Detailed Attendance'!AJ82:AJ82, "A")+COUNTIF('Detailed Attendance'!AZ82:AZ82, "A")+COUNTIF('Detailed Attendance'!BD82:BD82, "A")+COUNTIF('Detailed Attendance'!BT82:BT82, "A")+COUNTIF('Detailed Attendance'!BX82:BX82, "A")+COUNTIF('Detailed Attendance'!CQ82:CQ82, "A")+COUNTIF('Detailed Attendance'!CU82:CU82, "A")</f>
        <v/>
      </c>
      <c r="AG81" s="68">
        <f>IF((AE81+AF81)=0,"", AE81/(AE81+AF81))</f>
        <v/>
      </c>
      <c r="AH81" s="67">
        <f>COUNTIF('Detailed Attendance'!T82:T82, "P")+COUNTIF('Detailed Attendance'!AN82:AN82, "P")+COUNTIF('Detailed Attendance'!AR82:AR82, "P")+COUNTIF('Detailed Attendance'!BH82:BH82, "P")+COUNTIF('Detailed Attendance'!CB82:CB82, "P")+COUNTIF('Detailed Attendance'!CF82:CF82, "P")+COUNTIF('Detailed Attendance'!CY82:CY82, "P")</f>
        <v/>
      </c>
      <c r="AI81" s="67">
        <f>COUNTIF('Detailed Attendance'!T82:T82, "A")+COUNTIF('Detailed Attendance'!AN82:AN82, "A")+COUNTIF('Detailed Attendance'!AR82:AR82, "A")+COUNTIF('Detailed Attendance'!BH82:BH82, "A")+COUNTIF('Detailed Attendance'!CB82:CB82, "A")+COUNTIF('Detailed Attendance'!CF82:CF82, "A")+COUNTIF('Detailed Attendance'!CY82:CY82, "A")</f>
        <v/>
      </c>
      <c r="AJ81" s="68">
        <f>IF((AH81+AI81)=0,"", AH81/(AH81+AI81))</f>
        <v/>
      </c>
      <c r="AK81" s="67">
        <f>COUNTIF('Detailed Attendance'!M82:M82, "P")+COUNTIF('Detailed Attendance'!U82:U82, "P")+COUNTIF('Detailed Attendance'!AG82:AG82, "P")+COUNTIF('Detailed Attendance'!AO82:AO82, "P")+COUNTIF('Detailed Attendance'!BA82:BA82, "P")+COUNTIF('Detailed Attendance'!BI82:BI82, "P")+COUNTIF('Detailed Attendance'!BU82:BU82, "P")+COUNTIF('Detailed Attendance'!CC82:CC82, "P")+COUNTIF('Detailed Attendance'!CR82:CR82, "P")+COUNTIF('Detailed Attendance'!CZ82:CZ82, "P")</f>
        <v/>
      </c>
      <c r="AL81" s="67">
        <f>COUNTIF('Detailed Attendance'!M82:M82, "A")+COUNTIF('Detailed Attendance'!U82:U82, "A")+COUNTIF('Detailed Attendance'!AG82:AG82, "A")+COUNTIF('Detailed Attendance'!AO82:AO82, "A")+COUNTIF('Detailed Attendance'!BA82:BA82, "A")+COUNTIF('Detailed Attendance'!BI82:BI82, "A")+COUNTIF('Detailed Attendance'!BU82:BU82, "A")+COUNTIF('Detailed Attendance'!CC82:CC82, "A")+COUNTIF('Detailed Attendance'!CR82:CR82, "A")+COUNTIF('Detailed Attendance'!CZ82:CZ82, "A")</f>
        <v/>
      </c>
      <c r="AM81" s="68">
        <f>IF((AK81+AL81)=0,"", AK81/(AK81+AL81))</f>
        <v/>
      </c>
      <c r="AN81" s="67">
        <f>Y81+AB81+AE81+AH81+AK81</f>
        <v/>
      </c>
      <c r="AO81" s="67">
        <f>Z81+AC81+AF81+AI81+AL81</f>
        <v/>
      </c>
      <c r="AP81" s="68">
        <f>IF((AN81+AO81)=0,"", AN81/(AN81+AO81))</f>
        <v/>
      </c>
      <c r="AQ81" s="69">
        <f>COUNTIF('Detailed Attendance'!CG82:CG82, "P")+COUNTIF('Detailed Attendance'!CH82:CH82, "P")+COUNTIF('Detailed Attendance'!V82:V82, "P")+COUNTIF('Detailed Attendance'!AP82:AP82, "P")+COUNTIF('Detailed Attendance'!BJ82:BJ82, "P")+COUNTIF('Detailed Attendance'!CD82:CD82, "P")+COUNTIF('Detailed Attendance'!DA82:DA82, "P")</f>
        <v/>
      </c>
      <c r="AR81" s="69">
        <f>COUNTIF('Detailed Attendance'!CG82:CG82, "A")+COUNTIF('Detailed Attendance'!CH82:CH82, "A")+COUNTIF('Detailed Attendance'!V82:V82, "A")+COUNTIF('Detailed Attendance'!AP82:AP82, "A")+COUNTIF('Detailed Attendance'!BJ82:BJ82, "A")+COUNTIF('Detailed Attendance'!CD82:CD82, "A")+COUNTIF('Detailed Attendance'!DA82:DA82, "A")</f>
        <v/>
      </c>
      <c r="AS81" s="70">
        <f>IF((AQ81+AR81)=0,"", AQ81/(AQ81+AR81))</f>
        <v/>
      </c>
      <c r="AT81" s="67">
        <f>COUNTIF('Detailed Attendance'!DF82:DF82, "P")+COUNTIF('Detailed Attendance'!DT82:DT82, "P")+COUNTIF('Detailed Attendance'!EC82:EC82, "P")+COUNTIF('Detailed Attendance'!EQ82:EQ82, "P")+COUNTIF('Detailed Attendance'!EW82:EW82, "P")+COUNTIF('Detailed Attendance'!FK82:FK82, "P")+COUNTIF('Detailed Attendance'!FM82:FM82, "P")+COUNTIF('Detailed Attendance'!GA82:GA82, "P")</f>
        <v/>
      </c>
      <c r="AU81" s="67">
        <f>COUNTIF('Detailed Attendance'!DF82:DF82, "A")+COUNTIF('Detailed Attendance'!DT82:DT82, "A")+COUNTIF('Detailed Attendance'!EC82:EC82, "A")+COUNTIF('Detailed Attendance'!EQ82:EQ82, "A")+COUNTIF('Detailed Attendance'!EW82:EW82, "A")+COUNTIF('Detailed Attendance'!FK82:FK82, "A")+COUNTIF('Detailed Attendance'!FM82:FM82, "A")+COUNTIF('Detailed Attendance'!GA82:GA82, "A")</f>
        <v/>
      </c>
      <c r="AV81" s="68">
        <f>IF((AT81+AU81)=0,"", AT81/(AT81+AU81))</f>
        <v/>
      </c>
      <c r="AW81" s="67">
        <f>COUNTIF('Detailed Attendance'!DK82:DK82, "P")+COUNTIF('Detailed Attendance'!DS82:DS82, "P")+COUNTIF('Detailed Attendance'!EH82:EH82, "P")+COUNTIF('Detailed Attendance'!EP82:EP82, "P")+COUNTIF('Detailed Attendance'!FB82:FB82, "P")+COUNTIF('Detailed Attendance'!FJ82:FJ82, "P")+COUNTIF('Detailed Attendance'!FR82:FR82, "P")+COUNTIF('Detailed Attendance'!FZ82:FZ82, "P")</f>
        <v/>
      </c>
      <c r="AX81" s="67">
        <f>COUNTIF('Detailed Attendance'!DK82:DK82, "A")+COUNTIF('Detailed Attendance'!DS82:DS82, "A")+COUNTIF('Detailed Attendance'!EH82:EH82, "A")+COUNTIF('Detailed Attendance'!EP82:EP82, "A")+COUNTIF('Detailed Attendance'!FB82:FB82, "A")+COUNTIF('Detailed Attendance'!FJ82:FJ82, "A")+COUNTIF('Detailed Attendance'!FR82:FR82, "A")+COUNTIF('Detailed Attendance'!FZ82:FZ82, "A")</f>
        <v/>
      </c>
      <c r="AY81" s="68">
        <f>IF((AW81+AX81)=0,"", AW81/(AW81+AX81))</f>
        <v/>
      </c>
      <c r="AZ81" s="67">
        <f>COUNTIF('Detailed Attendance'!DN82:DN82, "P")+COUNTIF('Detailed Attendance'!DR82:DR82, "P")+COUNTIF('Detailed Attendance'!EK82:EK82, "P")+COUNTIF('Detailed Attendance'!EO82:EO82, "P")+COUNTIF('Detailed Attendance'!FE82:FE82, "P")+COUNTIF('Detailed Attendance'!FI82:FI82, "P")+COUNTIF('Detailed Attendance'!FU82:FU82, "P")+COUNTIF('Detailed Attendance'!FY82:FY82, "P")</f>
        <v/>
      </c>
      <c r="BA81" s="67">
        <f>COUNTIF('Detailed Attendance'!DN82:DN82, "A")+COUNTIF('Detailed Attendance'!DR82:DR82, "A")+COUNTIF('Detailed Attendance'!EK82:EK82, "A")+COUNTIF('Detailed Attendance'!EO82:EO82, "A")+COUNTIF('Detailed Attendance'!FE82:FE82, "A")+COUNTIF('Detailed Attendance'!FI82:FI82, "A")+COUNTIF('Detailed Attendance'!FU82:FU82, "A")+COUNTIF('Detailed Attendance'!FY82:FY82, "A")</f>
        <v/>
      </c>
      <c r="BB81" s="68">
        <f>IF((AZ81+BA81)=0,"", AZ81/(AZ81+BA81))</f>
        <v/>
      </c>
      <c r="BC81" s="67">
        <f>COUNTIF('Detailed Attendance'!DC82:DC82, "P")+COUNTIF('Detailed Attendance'!DV82:DV82, "P")+COUNTIF('Detailed Attendance'!DZ82:DZ82, "P")+COUNTIF('Detailed Attendance'!ES82:ES82, "P")+COUNTIF('Detailed Attendance'!GC82:GC82, "P")+COUNTIF('Detailed Attendance'!GG82:GG82, "P")</f>
        <v/>
      </c>
      <c r="BD81" s="67">
        <f>COUNTIF('Detailed Attendance'!DC82:DC82, "A")+COUNTIF('Detailed Attendance'!DV82:DV82, "A")+COUNTIF('Detailed Attendance'!DZ82:DZ82, "A")+COUNTIF('Detailed Attendance'!ES82:ES82, "A")+COUNTIF('Detailed Attendance'!GC82:GC82, "A")+COUNTIF('Detailed Attendance'!GG82:GG82, "A")</f>
        <v/>
      </c>
      <c r="BE81" s="68">
        <f>IF((BC81+BD81)=0,"", BC81/(BC81+BD81))</f>
        <v/>
      </c>
      <c r="BF81" s="67">
        <f>COUNTIF('Detailed Attendance'!DO82:DO82, "P")+COUNTIF('Detailed Attendance'!DW82:DW82, "P")+COUNTIF('Detailed Attendance'!EL82:EL82, "P")+COUNTIF('Detailed Attendance'!ET82:ET82, "P")+COUNTIF('Detailed Attendance'!FF82:FF82, "P")+COUNTIF('Detailed Attendance'!FV82:FV82, "P")+COUNTIF('Detailed Attendance'!GD82:GD82, "P")</f>
        <v/>
      </c>
      <c r="BG81" s="67">
        <f>COUNTIF('Detailed Attendance'!DO82:DO82, "A")+COUNTIF('Detailed Attendance'!DW82:DW82, "A")+COUNTIF('Detailed Attendance'!EL82:EL82, "A")+COUNTIF('Detailed Attendance'!ET82:ET82, "A")+COUNTIF('Detailed Attendance'!FF82:FF82, "A")+COUNTIF('Detailed Attendance'!FV82:FV82, "A")+COUNTIF('Detailed Attendance'!GD82:GD82, "A")</f>
        <v/>
      </c>
      <c r="BH81" s="68">
        <f>IF((BF81+BG81)=0,"", BF81/(BF81+BG81))</f>
        <v/>
      </c>
      <c r="BI81" s="67">
        <f>AT81+AW81+AZ81+BC81+BF81</f>
        <v/>
      </c>
      <c r="BJ81" s="67">
        <f>AU81+AX81+BA81+BD81+BG81</f>
        <v/>
      </c>
      <c r="BK81" s="68">
        <f>IF((BI81+BJ81)=0,"", BI81/(BI81+BJ81))</f>
        <v/>
      </c>
      <c r="BL81" s="69">
        <f>COUNTIF('Detailed Attendance'!DD82:DD82, "P")+COUNTIF('Detailed Attendance'!EA82:EA82, "P")+COUNTIF('Detailed Attendance'!GH82:GH82, "P")+COUNTIF('Detailed Attendance'!DE82:DE82, "P")+COUNTIF('Detailed Attendance'!EB82:EB82, "P")+COUNTIF('Detailed Attendance'!GI82:GI82, "P")+COUNTIF('Detailed Attendance'!DX82:DX82, "P")+COUNTIF('Detailed Attendance'!EU82:EU82, "P")+COUNTIF('Detailed Attendance'!GE82:GE82, "P")</f>
        <v/>
      </c>
      <c r="BM81" s="69">
        <f>COUNTIF('Detailed Attendance'!DD82:DD82, "A")+COUNTIF('Detailed Attendance'!EA82:EA82, "A")+COUNTIF('Detailed Attendance'!GH82:GH82, "A")+COUNTIF('Detailed Attendance'!DE82:DE82, "A")+COUNTIF('Detailed Attendance'!EB82:EB82, "A")+COUNTIF('Detailed Attendance'!GI82:GI82, "A")+COUNTIF('Detailed Attendance'!DX82:DX82, "A")+COUNTIF('Detailed Attendance'!EU82:EU82, "A")+COUNTIF('Detailed Attendance'!GE82:GE82, "A")</f>
        <v/>
      </c>
      <c r="BN81" s="70">
        <f>IF((BL81+BM81)=0,"", BL81/(BL81+BM81))</f>
        <v/>
      </c>
      <c r="BO81" s="67">
        <f>D81+Y81+AT81</f>
        <v/>
      </c>
      <c r="BP81" s="67">
        <f>E81+Z81+AU81</f>
        <v/>
      </c>
      <c r="BQ81" s="68">
        <f>IF((BO81+BP81)=0,"", BO81/(BO81+BP81))</f>
        <v/>
      </c>
      <c r="BR81" s="67">
        <f>G81+AB81+AW81</f>
        <v/>
      </c>
      <c r="BS81" s="67">
        <f>H81+AC81+AX81</f>
        <v/>
      </c>
      <c r="BT81" s="68">
        <f>IF((BR81+BS81)=0,"", BR81/(BR81+BS81))</f>
        <v/>
      </c>
      <c r="BU81" s="67">
        <f>J81+AE81+AZ81</f>
        <v/>
      </c>
      <c r="BV81" s="67">
        <f>K81+AF81+BA81</f>
        <v/>
      </c>
      <c r="BW81" s="68">
        <f>IF((BU81+BV81)=0,"", BU81/(BU81+BV81))</f>
        <v/>
      </c>
      <c r="BX81" s="67">
        <f>M81+AH81+BC81</f>
        <v/>
      </c>
      <c r="BY81" s="67">
        <f>N81+AI81+BD81</f>
        <v/>
      </c>
      <c r="BZ81" s="68">
        <f>IF((BX81+BY81)=0,"", BX81/(BX81+BY81))</f>
        <v/>
      </c>
      <c r="CA81" s="67">
        <f>P81+AK81+BF81</f>
        <v/>
      </c>
      <c r="CB81" s="67">
        <f>Q81+AL81+BG81</f>
        <v/>
      </c>
      <c r="CC81" s="68">
        <f>IF((CA81+CB81)=0,"", CA81/(CA81+CB81))</f>
        <v/>
      </c>
      <c r="CD81" s="67">
        <f>S81+AN81+BI81</f>
        <v/>
      </c>
      <c r="CE81" s="67">
        <f>T81+AO81+BJ81</f>
        <v/>
      </c>
      <c r="CF81" s="68">
        <f>IF((CD81+CE81)=0,"", CD81/(CD81+CE81))</f>
        <v/>
      </c>
      <c r="CG81" s="69">
        <f>V81+AQ81+BL81</f>
        <v/>
      </c>
      <c r="CH81" s="69">
        <f>W81+AR81+BM81</f>
        <v/>
      </c>
      <c r="CI81" s="70">
        <f>IF((CG81+CH81)=0,"", CG81/(CG81+CH81))</f>
        <v/>
      </c>
      <c r="CJ81" s="67">
        <f>CD81+(CG81*2)</f>
        <v/>
      </c>
      <c r="CK81" s="67">
        <f>CE81+(CH81*2)</f>
        <v/>
      </c>
      <c r="CL81" s="68">
        <f>IF((CJ81+CK81)=0,"", CJ81/(CJ81+CK81))</f>
        <v/>
      </c>
      <c r="CM81" s="67" t="inlineStr">
        <is>
          <t>Batch 2</t>
        </is>
      </c>
    </row>
    <row r="82" ht="14.25" customHeight="1" s="34">
      <c r="A82" s="46" t="n">
        <v>80</v>
      </c>
      <c r="B82" s="46" t="inlineStr">
        <is>
          <t>325106410080</t>
        </is>
      </c>
      <c r="C82" s="46" t="inlineStr">
        <is>
          <t>DIBYA JYOTI ROY</t>
        </is>
      </c>
      <c r="D82" s="63" t="n">
        <v>0</v>
      </c>
      <c r="E82" s="63" t="n">
        <v>0</v>
      </c>
      <c r="F82" s="64">
        <f>IF((D82+E82)=0,"", D82/(D82+E82))</f>
        <v/>
      </c>
      <c r="G82" s="63">
        <f>COUNTIF('Detailed Attendance'!I83:I83, "P")</f>
        <v/>
      </c>
      <c r="H82" s="63">
        <f>COUNTIF('Detailed Attendance'!I83:I83, "A")</f>
        <v/>
      </c>
      <c r="I82" s="64">
        <f>IF((G82+H82)=0,"", G82/(G82+H82))</f>
        <v/>
      </c>
      <c r="J82" s="63" t="n">
        <v>0</v>
      </c>
      <c r="K82" s="63" t="n">
        <v>0</v>
      </c>
      <c r="L82" s="64">
        <f>IF((J82+K82)=0,"", J82/(J82+K82))</f>
        <v/>
      </c>
      <c r="M82" s="63">
        <f>COUNTIF('Detailed Attendance'!D83:D83, "P")</f>
        <v/>
      </c>
      <c r="N82" s="63">
        <f>COUNTIF('Detailed Attendance'!D83:D83, "A")</f>
        <v/>
      </c>
      <c r="O82" s="64">
        <f>IF((M82+N82)=0,"", M82/(M82+N82))</f>
        <v/>
      </c>
      <c r="P82" s="63" t="n">
        <v>0</v>
      </c>
      <c r="Q82" s="63" t="n">
        <v>0</v>
      </c>
      <c r="R82" s="64">
        <f>IF((P82+Q82)=0,"", P82/(P82+Q82))</f>
        <v/>
      </c>
      <c r="S82" s="63">
        <f>D82+G82+J82+M82+P82</f>
        <v/>
      </c>
      <c r="T82" s="63">
        <f>E82+H82+K82+N82+Q82</f>
        <v/>
      </c>
      <c r="U82" s="64">
        <f>IF((S82+T82)=0,"", S82/(S82+T82))</f>
        <v/>
      </c>
      <c r="V82" s="65" t="n">
        <v>0</v>
      </c>
      <c r="W82" s="65" t="n">
        <v>0</v>
      </c>
      <c r="X82" s="66">
        <f>IF((V82+W82)=0,"", V82/(V82+W82))</f>
        <v/>
      </c>
      <c r="Y82" s="63">
        <f>COUNTIF('Detailed Attendance'!R83:R83, "P")+COUNTIF('Detailed Attendance'!X83:X83, "P")+COUNTIF('Detailed Attendance'!AL83:AL83, "P")+COUNTIF('Detailed Attendance'!BF83:BF83, "P")+COUNTIF('Detailed Attendance'!BL83:BL83, "P")+COUNTIF('Detailed Attendance'!BZ83:BZ83, "P")+COUNTIF('Detailed Attendance'!CI83:CI83, "P")+COUNTIF('Detailed Attendance'!CW83:CW83, "P")</f>
        <v/>
      </c>
      <c r="Z82" s="63">
        <f>COUNTIF('Detailed Attendance'!R83:R83, "A")+COUNTIF('Detailed Attendance'!X83:X83, "A")+COUNTIF('Detailed Attendance'!AL83:AL83, "A")+COUNTIF('Detailed Attendance'!BF83:BF83, "A")+COUNTIF('Detailed Attendance'!BL83:BL83, "A")+COUNTIF('Detailed Attendance'!BZ83:BZ83, "A")+COUNTIF('Detailed Attendance'!CI83:CI83, "A")+COUNTIF('Detailed Attendance'!CW83:CW83, "A")</f>
        <v/>
      </c>
      <c r="AA82" s="64">
        <f>IF((Y82+Z82)=0,"", Y82/(Y82+Z82))</f>
        <v/>
      </c>
      <c r="AB82" s="63">
        <f>COUNTIF('Detailed Attendance'!Q83:Q83, "P")+COUNTIF('Detailed Attendance'!AC83:AC83, "P")+COUNTIF('Detailed Attendance'!AK83:AK83, "P")+COUNTIF('Detailed Attendance'!AW83:AW83, "P")+COUNTIF('Detailed Attendance'!BE83:BE83, "P")+COUNTIF('Detailed Attendance'!BQ83:BQ83, "P")+COUNTIF('Detailed Attendance'!BY83:BY83, "P")+COUNTIF('Detailed Attendance'!CN83:CN83, "P")+COUNTIF('Detailed Attendance'!CV83:CV83, "P")</f>
        <v/>
      </c>
      <c r="AC82" s="63">
        <f>COUNTIF('Detailed Attendance'!Q83:Q83, "A")+COUNTIF('Detailed Attendance'!AC83:AC83, "A")+COUNTIF('Detailed Attendance'!AK83:AK83, "A")+COUNTIF('Detailed Attendance'!AW83:AW83, "A")+COUNTIF('Detailed Attendance'!BE83:BE83, "A")+COUNTIF('Detailed Attendance'!BQ83:BQ83, "A")+COUNTIF('Detailed Attendance'!BY83:BY83, "A")+COUNTIF('Detailed Attendance'!CN83:CN83, "A")+COUNTIF('Detailed Attendance'!CV83:CV83, "A")</f>
        <v/>
      </c>
      <c r="AD82" s="64">
        <f>IF((AB82+AC82)=0,"", AB82/(AB82+AC82))</f>
        <v/>
      </c>
      <c r="AE82" s="63">
        <f>COUNTIF('Detailed Attendance'!L83:L83, "P")+COUNTIF('Detailed Attendance'!P83:P83, "P")+COUNTIF('Detailed Attendance'!AF83:AF83, "P")+COUNTIF('Detailed Attendance'!AJ83:AJ83, "P")+COUNTIF('Detailed Attendance'!AZ83:AZ83, "P")+COUNTIF('Detailed Attendance'!BD83:BD83, "P")+COUNTIF('Detailed Attendance'!BT83:BT83, "P")+COUNTIF('Detailed Attendance'!BX83:BX83, "P")+COUNTIF('Detailed Attendance'!CQ83:CQ83, "P")+COUNTIF('Detailed Attendance'!CU83:CU83, "P")</f>
        <v/>
      </c>
      <c r="AF82" s="67">
        <f>COUNTIF('Detailed Attendance'!L83:L83, "A")+COUNTIF('Detailed Attendance'!P83:P83, "A")+COUNTIF('Detailed Attendance'!AF83:AF83, "A")+COUNTIF('Detailed Attendance'!AJ83:AJ83, "A")+COUNTIF('Detailed Attendance'!AZ83:AZ83, "A")+COUNTIF('Detailed Attendance'!BD83:BD83, "A")+COUNTIF('Detailed Attendance'!BT83:BT83, "A")+COUNTIF('Detailed Attendance'!BX83:BX83, "A")+COUNTIF('Detailed Attendance'!CQ83:CQ83, "A")+COUNTIF('Detailed Attendance'!CU83:CU83, "A")</f>
        <v/>
      </c>
      <c r="AG82" s="68">
        <f>IF((AE82+AF82)=0,"", AE82/(AE82+AF82))</f>
        <v/>
      </c>
      <c r="AH82" s="67">
        <f>COUNTIF('Detailed Attendance'!T83:T83, "P")+COUNTIF('Detailed Attendance'!AN83:AN83, "P")+COUNTIF('Detailed Attendance'!AR83:AR83, "P")+COUNTIF('Detailed Attendance'!BH83:BH83, "P")+COUNTIF('Detailed Attendance'!CB83:CB83, "P")+COUNTIF('Detailed Attendance'!CF83:CF83, "P")+COUNTIF('Detailed Attendance'!CY83:CY83, "P")</f>
        <v/>
      </c>
      <c r="AI82" s="67">
        <f>COUNTIF('Detailed Attendance'!T83:T83, "A")+COUNTIF('Detailed Attendance'!AN83:AN83, "A")+COUNTIF('Detailed Attendance'!AR83:AR83, "A")+COUNTIF('Detailed Attendance'!BH83:BH83, "A")+COUNTIF('Detailed Attendance'!CB83:CB83, "A")+COUNTIF('Detailed Attendance'!CF83:CF83, "A")+COUNTIF('Detailed Attendance'!CY83:CY83, "A")</f>
        <v/>
      </c>
      <c r="AJ82" s="68">
        <f>IF((AH82+AI82)=0,"", AH82/(AH82+AI82))</f>
        <v/>
      </c>
      <c r="AK82" s="67">
        <f>COUNTIF('Detailed Attendance'!M83:M83, "P")+COUNTIF('Detailed Attendance'!U83:U83, "P")+COUNTIF('Detailed Attendance'!AG83:AG83, "P")+COUNTIF('Detailed Attendance'!AO83:AO83, "P")+COUNTIF('Detailed Attendance'!BA83:BA83, "P")+COUNTIF('Detailed Attendance'!BI83:BI83, "P")+COUNTIF('Detailed Attendance'!BU83:BU83, "P")+COUNTIF('Detailed Attendance'!CC83:CC83, "P")+COUNTIF('Detailed Attendance'!CR83:CR83, "P")+COUNTIF('Detailed Attendance'!CZ83:CZ83, "P")</f>
        <v/>
      </c>
      <c r="AL82" s="67">
        <f>COUNTIF('Detailed Attendance'!M83:M83, "A")+COUNTIF('Detailed Attendance'!U83:U83, "A")+COUNTIF('Detailed Attendance'!AG83:AG83, "A")+COUNTIF('Detailed Attendance'!AO83:AO83, "A")+COUNTIF('Detailed Attendance'!BA83:BA83, "A")+COUNTIF('Detailed Attendance'!BI83:BI83, "A")+COUNTIF('Detailed Attendance'!BU83:BU83, "A")+COUNTIF('Detailed Attendance'!CC83:CC83, "A")+COUNTIF('Detailed Attendance'!CR83:CR83, "A")+COUNTIF('Detailed Attendance'!CZ83:CZ83, "A")</f>
        <v/>
      </c>
      <c r="AM82" s="68">
        <f>IF((AK82+AL82)=0,"", AK82/(AK82+AL82))</f>
        <v/>
      </c>
      <c r="AN82" s="67">
        <f>Y82+AB82+AE82+AH82+AK82</f>
        <v/>
      </c>
      <c r="AO82" s="67">
        <f>Z82+AC82+AF82+AI82+AL82</f>
        <v/>
      </c>
      <c r="AP82" s="68">
        <f>IF((AN82+AO82)=0,"", AN82/(AN82+AO82))</f>
        <v/>
      </c>
      <c r="AQ82" s="69">
        <f>COUNTIF('Detailed Attendance'!CG83:CG83, "P")+COUNTIF('Detailed Attendance'!CH83:CH83, "P")+COUNTIF('Detailed Attendance'!V83:V83, "P")+COUNTIF('Detailed Attendance'!AP83:AP83, "P")+COUNTIF('Detailed Attendance'!BJ83:BJ83, "P")+COUNTIF('Detailed Attendance'!CD83:CD83, "P")+COUNTIF('Detailed Attendance'!DA83:DA83, "P")</f>
        <v/>
      </c>
      <c r="AR82" s="69">
        <f>COUNTIF('Detailed Attendance'!CG83:CG83, "A")+COUNTIF('Detailed Attendance'!CH83:CH83, "A")+COUNTIF('Detailed Attendance'!V83:V83, "A")+COUNTIF('Detailed Attendance'!AP83:AP83, "A")+COUNTIF('Detailed Attendance'!BJ83:BJ83, "A")+COUNTIF('Detailed Attendance'!CD83:CD83, "A")+COUNTIF('Detailed Attendance'!DA83:DA83, "A")</f>
        <v/>
      </c>
      <c r="AS82" s="70">
        <f>IF((AQ82+AR82)=0,"", AQ82/(AQ82+AR82))</f>
        <v/>
      </c>
      <c r="AT82" s="67">
        <f>COUNTIF('Detailed Attendance'!DF83:DF83, "P")+COUNTIF('Detailed Attendance'!DT83:DT83, "P")+COUNTIF('Detailed Attendance'!EC83:EC83, "P")+COUNTIF('Detailed Attendance'!EQ83:EQ83, "P")+COUNTIF('Detailed Attendance'!EW83:EW83, "P")+COUNTIF('Detailed Attendance'!FK83:FK83, "P")+COUNTIF('Detailed Attendance'!FM83:FM83, "P")+COUNTIF('Detailed Attendance'!GA83:GA83, "P")</f>
        <v/>
      </c>
      <c r="AU82" s="67">
        <f>COUNTIF('Detailed Attendance'!DF83:DF83, "A")+COUNTIF('Detailed Attendance'!DT83:DT83, "A")+COUNTIF('Detailed Attendance'!EC83:EC83, "A")+COUNTIF('Detailed Attendance'!EQ83:EQ83, "A")+COUNTIF('Detailed Attendance'!EW83:EW83, "A")+COUNTIF('Detailed Attendance'!FK83:FK83, "A")+COUNTIF('Detailed Attendance'!FM83:FM83, "A")+COUNTIF('Detailed Attendance'!GA83:GA83, "A")</f>
        <v/>
      </c>
      <c r="AV82" s="68">
        <f>IF((AT82+AU82)=0,"", AT82/(AT82+AU82))</f>
        <v/>
      </c>
      <c r="AW82" s="67">
        <f>COUNTIF('Detailed Attendance'!DK83:DK83, "P")+COUNTIF('Detailed Attendance'!DS83:DS83, "P")+COUNTIF('Detailed Attendance'!EH83:EH83, "P")+COUNTIF('Detailed Attendance'!EP83:EP83, "P")+COUNTIF('Detailed Attendance'!FB83:FB83, "P")+COUNTIF('Detailed Attendance'!FJ83:FJ83, "P")+COUNTIF('Detailed Attendance'!FR83:FR83, "P")+COUNTIF('Detailed Attendance'!FZ83:FZ83, "P")</f>
        <v/>
      </c>
      <c r="AX82" s="67">
        <f>COUNTIF('Detailed Attendance'!DK83:DK83, "A")+COUNTIF('Detailed Attendance'!DS83:DS83, "A")+COUNTIF('Detailed Attendance'!EH83:EH83, "A")+COUNTIF('Detailed Attendance'!EP83:EP83, "A")+COUNTIF('Detailed Attendance'!FB83:FB83, "A")+COUNTIF('Detailed Attendance'!FJ83:FJ83, "A")+COUNTIF('Detailed Attendance'!FR83:FR83, "A")+COUNTIF('Detailed Attendance'!FZ83:FZ83, "A")</f>
        <v/>
      </c>
      <c r="AY82" s="68">
        <f>IF((AW82+AX82)=0,"", AW82/(AW82+AX82))</f>
        <v/>
      </c>
      <c r="AZ82" s="67">
        <f>COUNTIF('Detailed Attendance'!DN83:DN83, "P")+COUNTIF('Detailed Attendance'!DR83:DR83, "P")+COUNTIF('Detailed Attendance'!EK83:EK83, "P")+COUNTIF('Detailed Attendance'!EO83:EO83, "P")+COUNTIF('Detailed Attendance'!FE83:FE83, "P")+COUNTIF('Detailed Attendance'!FI83:FI83, "P")+COUNTIF('Detailed Attendance'!FU83:FU83, "P")+COUNTIF('Detailed Attendance'!FY83:FY83, "P")</f>
        <v/>
      </c>
      <c r="BA82" s="67">
        <f>COUNTIF('Detailed Attendance'!DN83:DN83, "A")+COUNTIF('Detailed Attendance'!DR83:DR83, "A")+COUNTIF('Detailed Attendance'!EK83:EK83, "A")+COUNTIF('Detailed Attendance'!EO83:EO83, "A")+COUNTIF('Detailed Attendance'!FE83:FE83, "A")+COUNTIF('Detailed Attendance'!FI83:FI83, "A")+COUNTIF('Detailed Attendance'!FU83:FU83, "A")+COUNTIF('Detailed Attendance'!FY83:FY83, "A")</f>
        <v/>
      </c>
      <c r="BB82" s="68">
        <f>IF((AZ82+BA82)=0,"", AZ82/(AZ82+BA82))</f>
        <v/>
      </c>
      <c r="BC82" s="67">
        <f>COUNTIF('Detailed Attendance'!DC83:DC83, "P")+COUNTIF('Detailed Attendance'!DV83:DV83, "P")+COUNTIF('Detailed Attendance'!DZ83:DZ83, "P")+COUNTIF('Detailed Attendance'!ES83:ES83, "P")+COUNTIF('Detailed Attendance'!GC83:GC83, "P")+COUNTIF('Detailed Attendance'!GG83:GG83, "P")</f>
        <v/>
      </c>
      <c r="BD82" s="67">
        <f>COUNTIF('Detailed Attendance'!DC83:DC83, "A")+COUNTIF('Detailed Attendance'!DV83:DV83, "A")+COUNTIF('Detailed Attendance'!DZ83:DZ83, "A")+COUNTIF('Detailed Attendance'!ES83:ES83, "A")+COUNTIF('Detailed Attendance'!GC83:GC83, "A")+COUNTIF('Detailed Attendance'!GG83:GG83, "A")</f>
        <v/>
      </c>
      <c r="BE82" s="68">
        <f>IF((BC82+BD82)=0,"", BC82/(BC82+BD82))</f>
        <v/>
      </c>
      <c r="BF82" s="67">
        <f>COUNTIF('Detailed Attendance'!DO83:DO83, "P")+COUNTIF('Detailed Attendance'!DW83:DW83, "P")+COUNTIF('Detailed Attendance'!EL83:EL83, "P")+COUNTIF('Detailed Attendance'!ET83:ET83, "P")+COUNTIF('Detailed Attendance'!FF83:FF83, "P")+COUNTIF('Detailed Attendance'!FV83:FV83, "P")+COUNTIF('Detailed Attendance'!GD83:GD83, "P")</f>
        <v/>
      </c>
      <c r="BG82" s="67">
        <f>COUNTIF('Detailed Attendance'!DO83:DO83, "A")+COUNTIF('Detailed Attendance'!DW83:DW83, "A")+COUNTIF('Detailed Attendance'!EL83:EL83, "A")+COUNTIF('Detailed Attendance'!ET83:ET83, "A")+COUNTIF('Detailed Attendance'!FF83:FF83, "A")+COUNTIF('Detailed Attendance'!FV83:FV83, "A")+COUNTIF('Detailed Attendance'!GD83:GD83, "A")</f>
        <v/>
      </c>
      <c r="BH82" s="68">
        <f>IF((BF82+BG82)=0,"", BF82/(BF82+BG82))</f>
        <v/>
      </c>
      <c r="BI82" s="67">
        <f>AT82+AW82+AZ82+BC82+BF82</f>
        <v/>
      </c>
      <c r="BJ82" s="67">
        <f>AU82+AX82+BA82+BD82+BG82</f>
        <v/>
      </c>
      <c r="BK82" s="68">
        <f>IF((BI82+BJ82)=0,"", BI82/(BI82+BJ82))</f>
        <v/>
      </c>
      <c r="BL82" s="69">
        <f>COUNTIF('Detailed Attendance'!DD83:DD83, "P")+COUNTIF('Detailed Attendance'!EA83:EA83, "P")+COUNTIF('Detailed Attendance'!GH83:GH83, "P")+COUNTIF('Detailed Attendance'!DE83:DE83, "P")+COUNTIF('Detailed Attendance'!EB83:EB83, "P")+COUNTIF('Detailed Attendance'!GI83:GI83, "P")+COUNTIF('Detailed Attendance'!DX83:DX83, "P")+COUNTIF('Detailed Attendance'!EU83:EU83, "P")+COUNTIF('Detailed Attendance'!GE83:GE83, "P")</f>
        <v/>
      </c>
      <c r="BM82" s="69">
        <f>COUNTIF('Detailed Attendance'!DD83:DD83, "A")+COUNTIF('Detailed Attendance'!EA83:EA83, "A")+COUNTIF('Detailed Attendance'!GH83:GH83, "A")+COUNTIF('Detailed Attendance'!DE83:DE83, "A")+COUNTIF('Detailed Attendance'!EB83:EB83, "A")+COUNTIF('Detailed Attendance'!GI83:GI83, "A")+COUNTIF('Detailed Attendance'!DX83:DX83, "A")+COUNTIF('Detailed Attendance'!EU83:EU83, "A")+COUNTIF('Detailed Attendance'!GE83:GE83, "A")</f>
        <v/>
      </c>
      <c r="BN82" s="70">
        <f>IF((BL82+BM82)=0,"", BL82/(BL82+BM82))</f>
        <v/>
      </c>
      <c r="BO82" s="67">
        <f>D82+Y82+AT82</f>
        <v/>
      </c>
      <c r="BP82" s="67">
        <f>E82+Z82+AU82</f>
        <v/>
      </c>
      <c r="BQ82" s="68">
        <f>IF((BO82+BP82)=0,"", BO82/(BO82+BP82))</f>
        <v/>
      </c>
      <c r="BR82" s="67">
        <f>G82+AB82+AW82</f>
        <v/>
      </c>
      <c r="BS82" s="67">
        <f>H82+AC82+AX82</f>
        <v/>
      </c>
      <c r="BT82" s="68">
        <f>IF((BR82+BS82)=0,"", BR82/(BR82+BS82))</f>
        <v/>
      </c>
      <c r="BU82" s="67">
        <f>J82+AE82+AZ82</f>
        <v/>
      </c>
      <c r="BV82" s="67">
        <f>K82+AF82+BA82</f>
        <v/>
      </c>
      <c r="BW82" s="68">
        <f>IF((BU82+BV82)=0,"", BU82/(BU82+BV82))</f>
        <v/>
      </c>
      <c r="BX82" s="67">
        <f>M82+AH82+BC82</f>
        <v/>
      </c>
      <c r="BY82" s="67">
        <f>N82+AI82+BD82</f>
        <v/>
      </c>
      <c r="BZ82" s="68">
        <f>IF((BX82+BY82)=0,"", BX82/(BX82+BY82))</f>
        <v/>
      </c>
      <c r="CA82" s="67">
        <f>P82+AK82+BF82</f>
        <v/>
      </c>
      <c r="CB82" s="67">
        <f>Q82+AL82+BG82</f>
        <v/>
      </c>
      <c r="CC82" s="68">
        <f>IF((CA82+CB82)=0,"", CA82/(CA82+CB82))</f>
        <v/>
      </c>
      <c r="CD82" s="67">
        <f>S82+AN82+BI82</f>
        <v/>
      </c>
      <c r="CE82" s="67">
        <f>T82+AO82+BJ82</f>
        <v/>
      </c>
      <c r="CF82" s="68">
        <f>IF((CD82+CE82)=0,"", CD82/(CD82+CE82))</f>
        <v/>
      </c>
      <c r="CG82" s="69">
        <f>V82+AQ82+BL82</f>
        <v/>
      </c>
      <c r="CH82" s="69">
        <f>W82+AR82+BM82</f>
        <v/>
      </c>
      <c r="CI82" s="70">
        <f>IF((CG82+CH82)=0,"", CG82/(CG82+CH82))</f>
        <v/>
      </c>
      <c r="CJ82" s="67">
        <f>CD82+(CG82*2)</f>
        <v/>
      </c>
      <c r="CK82" s="67">
        <f>CE82+(CH82*2)</f>
        <v/>
      </c>
      <c r="CL82" s="68">
        <f>IF((CJ82+CK82)=0,"", CJ82/(CJ82+CK82))</f>
        <v/>
      </c>
      <c r="CM82" s="67" t="inlineStr">
        <is>
          <t>Batch 2</t>
        </is>
      </c>
    </row>
    <row r="83" ht="14.25" customHeight="1" s="34">
      <c r="A83" s="46" t="n">
        <v>81</v>
      </c>
      <c r="B83" s="46" t="inlineStr">
        <is>
          <t>325106410081</t>
        </is>
      </c>
      <c r="C83" s="46" t="inlineStr">
        <is>
          <t>GRACE TRYPHENE DJE</t>
        </is>
      </c>
      <c r="D83" s="63" t="n">
        <v>0</v>
      </c>
      <c r="E83" s="63" t="n">
        <v>0</v>
      </c>
      <c r="F83" s="64">
        <f>IF((D83+E83)=0,"", D83/(D83+E83))</f>
        <v/>
      </c>
      <c r="G83" s="63">
        <f>COUNTIF('Detailed Attendance'!I84:I84, "P")</f>
        <v/>
      </c>
      <c r="H83" s="63">
        <f>COUNTIF('Detailed Attendance'!I84:I84, "A")</f>
        <v/>
      </c>
      <c r="I83" s="64">
        <f>IF((G83+H83)=0,"", G83/(G83+H83))</f>
        <v/>
      </c>
      <c r="J83" s="63" t="n">
        <v>0</v>
      </c>
      <c r="K83" s="63" t="n">
        <v>0</v>
      </c>
      <c r="L83" s="64">
        <f>IF((J83+K83)=0,"", J83/(J83+K83))</f>
        <v/>
      </c>
      <c r="M83" s="63">
        <f>COUNTIF('Detailed Attendance'!D84:D84, "P")</f>
        <v/>
      </c>
      <c r="N83" s="63">
        <f>COUNTIF('Detailed Attendance'!D84:D84, "A")</f>
        <v/>
      </c>
      <c r="O83" s="64">
        <f>IF((M83+N83)=0,"", M83/(M83+N83))</f>
        <v/>
      </c>
      <c r="P83" s="63" t="n">
        <v>0</v>
      </c>
      <c r="Q83" s="63" t="n">
        <v>0</v>
      </c>
      <c r="R83" s="64">
        <f>IF((P83+Q83)=0,"", P83/(P83+Q83))</f>
        <v/>
      </c>
      <c r="S83" s="63">
        <f>D83+G83+J83+M83+P83</f>
        <v/>
      </c>
      <c r="T83" s="63">
        <f>E83+H83+K83+N83+Q83</f>
        <v/>
      </c>
      <c r="U83" s="64">
        <f>IF((S83+T83)=0,"", S83/(S83+T83))</f>
        <v/>
      </c>
      <c r="V83" s="65" t="n">
        <v>0</v>
      </c>
      <c r="W83" s="65" t="n">
        <v>0</v>
      </c>
      <c r="X83" s="66">
        <f>IF((V83+W83)=0,"", V83/(V83+W83))</f>
        <v/>
      </c>
      <c r="Y83" s="63">
        <f>COUNTIF('Detailed Attendance'!R84:R84, "P")+COUNTIF('Detailed Attendance'!X84:X84, "P")+COUNTIF('Detailed Attendance'!AL84:AL84, "P")+COUNTIF('Detailed Attendance'!BF84:BF84, "P")+COUNTIF('Detailed Attendance'!BL84:BL84, "P")+COUNTIF('Detailed Attendance'!BZ84:BZ84, "P")+COUNTIF('Detailed Attendance'!CI84:CI84, "P")+COUNTIF('Detailed Attendance'!CW84:CW84, "P")</f>
        <v/>
      </c>
      <c r="Z83" s="63">
        <f>COUNTIF('Detailed Attendance'!R84:R84, "A")+COUNTIF('Detailed Attendance'!X84:X84, "A")+COUNTIF('Detailed Attendance'!AL84:AL84, "A")+COUNTIF('Detailed Attendance'!BF84:BF84, "A")+COUNTIF('Detailed Attendance'!BL84:BL84, "A")+COUNTIF('Detailed Attendance'!BZ84:BZ84, "A")+COUNTIF('Detailed Attendance'!CI84:CI84, "A")+COUNTIF('Detailed Attendance'!CW84:CW84, "A")</f>
        <v/>
      </c>
      <c r="AA83" s="64">
        <f>IF((Y83+Z83)=0,"", Y83/(Y83+Z83))</f>
        <v/>
      </c>
      <c r="AB83" s="63">
        <f>COUNTIF('Detailed Attendance'!Q84:Q84, "P")+COUNTIF('Detailed Attendance'!AC84:AC84, "P")+COUNTIF('Detailed Attendance'!AK84:AK84, "P")+COUNTIF('Detailed Attendance'!AW84:AW84, "P")+COUNTIF('Detailed Attendance'!BE84:BE84, "P")+COUNTIF('Detailed Attendance'!BQ84:BQ84, "P")+COUNTIF('Detailed Attendance'!BY84:BY84, "P")+COUNTIF('Detailed Attendance'!CN84:CN84, "P")+COUNTIF('Detailed Attendance'!CV84:CV84, "P")</f>
        <v/>
      </c>
      <c r="AC83" s="63">
        <f>COUNTIF('Detailed Attendance'!Q84:Q84, "A")+COUNTIF('Detailed Attendance'!AC84:AC84, "A")+COUNTIF('Detailed Attendance'!AK84:AK84, "A")+COUNTIF('Detailed Attendance'!AW84:AW84, "A")+COUNTIF('Detailed Attendance'!BE84:BE84, "A")+COUNTIF('Detailed Attendance'!BQ84:BQ84, "A")+COUNTIF('Detailed Attendance'!BY84:BY84, "A")+COUNTIF('Detailed Attendance'!CN84:CN84, "A")+COUNTIF('Detailed Attendance'!CV84:CV84, "A")</f>
        <v/>
      </c>
      <c r="AD83" s="64">
        <f>IF((AB83+AC83)=0,"", AB83/(AB83+AC83))</f>
        <v/>
      </c>
      <c r="AE83" s="63">
        <f>COUNTIF('Detailed Attendance'!L84:L84, "P")+COUNTIF('Detailed Attendance'!P84:P84, "P")+COUNTIF('Detailed Attendance'!AF84:AF84, "P")+COUNTIF('Detailed Attendance'!AJ84:AJ84, "P")+COUNTIF('Detailed Attendance'!AZ84:AZ84, "P")+COUNTIF('Detailed Attendance'!BD84:BD84, "P")+COUNTIF('Detailed Attendance'!BT84:BT84, "P")+COUNTIF('Detailed Attendance'!BX84:BX84, "P")+COUNTIF('Detailed Attendance'!CQ84:CQ84, "P")+COUNTIF('Detailed Attendance'!CU84:CU84, "P")</f>
        <v/>
      </c>
      <c r="AF83" s="67">
        <f>COUNTIF('Detailed Attendance'!L84:L84, "A")+COUNTIF('Detailed Attendance'!P84:P84, "A")+COUNTIF('Detailed Attendance'!AF84:AF84, "A")+COUNTIF('Detailed Attendance'!AJ84:AJ84, "A")+COUNTIF('Detailed Attendance'!AZ84:AZ84, "A")+COUNTIF('Detailed Attendance'!BD84:BD84, "A")+COUNTIF('Detailed Attendance'!BT84:BT84, "A")+COUNTIF('Detailed Attendance'!BX84:BX84, "A")+COUNTIF('Detailed Attendance'!CQ84:CQ84, "A")+COUNTIF('Detailed Attendance'!CU84:CU84, "A")</f>
        <v/>
      </c>
      <c r="AG83" s="68">
        <f>IF((AE83+AF83)=0,"", AE83/(AE83+AF83))</f>
        <v/>
      </c>
      <c r="AH83" s="67">
        <f>COUNTIF('Detailed Attendance'!T84:T84, "P")+COUNTIF('Detailed Attendance'!AN84:AN84, "P")+COUNTIF('Detailed Attendance'!AR84:AR84, "P")+COUNTIF('Detailed Attendance'!BH84:BH84, "P")+COUNTIF('Detailed Attendance'!CB84:CB84, "P")+COUNTIF('Detailed Attendance'!CF84:CF84, "P")+COUNTIF('Detailed Attendance'!CY84:CY84, "P")</f>
        <v/>
      </c>
      <c r="AI83" s="67">
        <f>COUNTIF('Detailed Attendance'!T84:T84, "A")+COUNTIF('Detailed Attendance'!AN84:AN84, "A")+COUNTIF('Detailed Attendance'!AR84:AR84, "A")+COUNTIF('Detailed Attendance'!BH84:BH84, "A")+COUNTIF('Detailed Attendance'!CB84:CB84, "A")+COUNTIF('Detailed Attendance'!CF84:CF84, "A")+COUNTIF('Detailed Attendance'!CY84:CY84, "A")</f>
        <v/>
      </c>
      <c r="AJ83" s="68">
        <f>IF((AH83+AI83)=0,"", AH83/(AH83+AI83))</f>
        <v/>
      </c>
      <c r="AK83" s="67">
        <f>COUNTIF('Detailed Attendance'!M84:M84, "P")+COUNTIF('Detailed Attendance'!U84:U84, "P")+COUNTIF('Detailed Attendance'!AG84:AG84, "P")+COUNTIF('Detailed Attendance'!AO84:AO84, "P")+COUNTIF('Detailed Attendance'!BA84:BA84, "P")+COUNTIF('Detailed Attendance'!BI84:BI84, "P")+COUNTIF('Detailed Attendance'!BU84:BU84, "P")+COUNTIF('Detailed Attendance'!CC84:CC84, "P")+COUNTIF('Detailed Attendance'!CR84:CR84, "P")+COUNTIF('Detailed Attendance'!CZ84:CZ84, "P")</f>
        <v/>
      </c>
      <c r="AL83" s="67">
        <f>COUNTIF('Detailed Attendance'!M84:M84, "A")+COUNTIF('Detailed Attendance'!U84:U84, "A")+COUNTIF('Detailed Attendance'!AG84:AG84, "A")+COUNTIF('Detailed Attendance'!AO84:AO84, "A")+COUNTIF('Detailed Attendance'!BA84:BA84, "A")+COUNTIF('Detailed Attendance'!BI84:BI84, "A")+COUNTIF('Detailed Attendance'!BU84:BU84, "A")+COUNTIF('Detailed Attendance'!CC84:CC84, "A")+COUNTIF('Detailed Attendance'!CR84:CR84, "A")+COUNTIF('Detailed Attendance'!CZ84:CZ84, "A")</f>
        <v/>
      </c>
      <c r="AM83" s="68">
        <f>IF((AK83+AL83)=0,"", AK83/(AK83+AL83))</f>
        <v/>
      </c>
      <c r="AN83" s="67">
        <f>Y83+AB83+AE83+AH83+AK83</f>
        <v/>
      </c>
      <c r="AO83" s="67">
        <f>Z83+AC83+AF83+AI83+AL83</f>
        <v/>
      </c>
      <c r="AP83" s="68">
        <f>IF((AN83+AO83)=0,"", AN83/(AN83+AO83))</f>
        <v/>
      </c>
      <c r="AQ83" s="69">
        <f>COUNTIF('Detailed Attendance'!CG84:CG84, "P")+COUNTIF('Detailed Attendance'!CH84:CH84, "P")+COUNTIF('Detailed Attendance'!V84:V84, "P")+COUNTIF('Detailed Attendance'!AP84:AP84, "P")+COUNTIF('Detailed Attendance'!BJ84:BJ84, "P")+COUNTIF('Detailed Attendance'!CD84:CD84, "P")+COUNTIF('Detailed Attendance'!DA84:DA84, "P")</f>
        <v/>
      </c>
      <c r="AR83" s="69">
        <f>COUNTIF('Detailed Attendance'!CG84:CG84, "A")+COUNTIF('Detailed Attendance'!CH84:CH84, "A")+COUNTIF('Detailed Attendance'!V84:V84, "A")+COUNTIF('Detailed Attendance'!AP84:AP84, "A")+COUNTIF('Detailed Attendance'!BJ84:BJ84, "A")+COUNTIF('Detailed Attendance'!CD84:CD84, "A")+COUNTIF('Detailed Attendance'!DA84:DA84, "A")</f>
        <v/>
      </c>
      <c r="AS83" s="70">
        <f>IF((AQ83+AR83)=0,"", AQ83/(AQ83+AR83))</f>
        <v/>
      </c>
      <c r="AT83" s="67">
        <f>COUNTIF('Detailed Attendance'!DF84:DF84, "P")+COUNTIF('Detailed Attendance'!DT84:DT84, "P")+COUNTIF('Detailed Attendance'!EC84:EC84, "P")+COUNTIF('Detailed Attendance'!EQ84:EQ84, "P")+COUNTIF('Detailed Attendance'!EW84:EW84, "P")+COUNTIF('Detailed Attendance'!FK84:FK84, "P")+COUNTIF('Detailed Attendance'!FM84:FM84, "P")+COUNTIF('Detailed Attendance'!GA84:GA84, "P")</f>
        <v/>
      </c>
      <c r="AU83" s="67">
        <f>COUNTIF('Detailed Attendance'!DF84:DF84, "A")+COUNTIF('Detailed Attendance'!DT84:DT84, "A")+COUNTIF('Detailed Attendance'!EC84:EC84, "A")+COUNTIF('Detailed Attendance'!EQ84:EQ84, "A")+COUNTIF('Detailed Attendance'!EW84:EW84, "A")+COUNTIF('Detailed Attendance'!FK84:FK84, "A")+COUNTIF('Detailed Attendance'!FM84:FM84, "A")+COUNTIF('Detailed Attendance'!GA84:GA84, "A")</f>
        <v/>
      </c>
      <c r="AV83" s="68">
        <f>IF((AT83+AU83)=0,"", AT83/(AT83+AU83))</f>
        <v/>
      </c>
      <c r="AW83" s="67">
        <f>COUNTIF('Detailed Attendance'!DK84:DK84, "P")+COUNTIF('Detailed Attendance'!DS84:DS84, "P")+COUNTIF('Detailed Attendance'!EH84:EH84, "P")+COUNTIF('Detailed Attendance'!EP84:EP84, "P")+COUNTIF('Detailed Attendance'!FB84:FB84, "P")+COUNTIF('Detailed Attendance'!FJ84:FJ84, "P")+COUNTIF('Detailed Attendance'!FR84:FR84, "P")+COUNTIF('Detailed Attendance'!FZ84:FZ84, "P")</f>
        <v/>
      </c>
      <c r="AX83" s="67">
        <f>COUNTIF('Detailed Attendance'!DK84:DK84, "A")+COUNTIF('Detailed Attendance'!DS84:DS84, "A")+COUNTIF('Detailed Attendance'!EH84:EH84, "A")+COUNTIF('Detailed Attendance'!EP84:EP84, "A")+COUNTIF('Detailed Attendance'!FB84:FB84, "A")+COUNTIF('Detailed Attendance'!FJ84:FJ84, "A")+COUNTIF('Detailed Attendance'!FR84:FR84, "A")+COUNTIF('Detailed Attendance'!FZ84:FZ84, "A")</f>
        <v/>
      </c>
      <c r="AY83" s="68">
        <f>IF((AW83+AX83)=0,"", AW83/(AW83+AX83))</f>
        <v/>
      </c>
      <c r="AZ83" s="67">
        <f>COUNTIF('Detailed Attendance'!DN84:DN84, "P")+COUNTIF('Detailed Attendance'!DR84:DR84, "P")+COUNTIF('Detailed Attendance'!EK84:EK84, "P")+COUNTIF('Detailed Attendance'!EO84:EO84, "P")+COUNTIF('Detailed Attendance'!FE84:FE84, "P")+COUNTIF('Detailed Attendance'!FI84:FI84, "P")+COUNTIF('Detailed Attendance'!FU84:FU84, "P")+COUNTIF('Detailed Attendance'!FY84:FY84, "P")</f>
        <v/>
      </c>
      <c r="BA83" s="67">
        <f>COUNTIF('Detailed Attendance'!DN84:DN84, "A")+COUNTIF('Detailed Attendance'!DR84:DR84, "A")+COUNTIF('Detailed Attendance'!EK84:EK84, "A")+COUNTIF('Detailed Attendance'!EO84:EO84, "A")+COUNTIF('Detailed Attendance'!FE84:FE84, "A")+COUNTIF('Detailed Attendance'!FI84:FI84, "A")+COUNTIF('Detailed Attendance'!FU84:FU84, "A")+COUNTIF('Detailed Attendance'!FY84:FY84, "A")</f>
        <v/>
      </c>
      <c r="BB83" s="68">
        <f>IF((AZ83+BA83)=0,"", AZ83/(AZ83+BA83))</f>
        <v/>
      </c>
      <c r="BC83" s="67">
        <f>COUNTIF('Detailed Attendance'!DC84:DC84, "P")+COUNTIF('Detailed Attendance'!DV84:DV84, "P")+COUNTIF('Detailed Attendance'!DZ84:DZ84, "P")+COUNTIF('Detailed Attendance'!ES84:ES84, "P")+COUNTIF('Detailed Attendance'!GC84:GC84, "P")+COUNTIF('Detailed Attendance'!GG84:GG84, "P")</f>
        <v/>
      </c>
      <c r="BD83" s="67">
        <f>COUNTIF('Detailed Attendance'!DC84:DC84, "A")+COUNTIF('Detailed Attendance'!DV84:DV84, "A")+COUNTIF('Detailed Attendance'!DZ84:DZ84, "A")+COUNTIF('Detailed Attendance'!ES84:ES84, "A")+COUNTIF('Detailed Attendance'!GC84:GC84, "A")+COUNTIF('Detailed Attendance'!GG84:GG84, "A")</f>
        <v/>
      </c>
      <c r="BE83" s="68">
        <f>IF((BC83+BD83)=0,"", BC83/(BC83+BD83))</f>
        <v/>
      </c>
      <c r="BF83" s="67">
        <f>COUNTIF('Detailed Attendance'!DO84:DO84, "P")+COUNTIF('Detailed Attendance'!DW84:DW84, "P")+COUNTIF('Detailed Attendance'!EL84:EL84, "P")+COUNTIF('Detailed Attendance'!ET84:ET84, "P")+COUNTIF('Detailed Attendance'!FF84:FF84, "P")+COUNTIF('Detailed Attendance'!FV84:FV84, "P")+COUNTIF('Detailed Attendance'!GD84:GD84, "P")</f>
        <v/>
      </c>
      <c r="BG83" s="67">
        <f>COUNTIF('Detailed Attendance'!DO84:DO84, "A")+COUNTIF('Detailed Attendance'!DW84:DW84, "A")+COUNTIF('Detailed Attendance'!EL84:EL84, "A")+COUNTIF('Detailed Attendance'!ET84:ET84, "A")+COUNTIF('Detailed Attendance'!FF84:FF84, "A")+COUNTIF('Detailed Attendance'!FV84:FV84, "A")+COUNTIF('Detailed Attendance'!GD84:GD84, "A")</f>
        <v/>
      </c>
      <c r="BH83" s="68">
        <f>IF((BF83+BG83)=0,"", BF83/(BF83+BG83))</f>
        <v/>
      </c>
      <c r="BI83" s="67">
        <f>AT83+AW83+AZ83+BC83+BF83</f>
        <v/>
      </c>
      <c r="BJ83" s="67">
        <f>AU83+AX83+BA83+BD83+BG83</f>
        <v/>
      </c>
      <c r="BK83" s="68">
        <f>IF((BI83+BJ83)=0,"", BI83/(BI83+BJ83))</f>
        <v/>
      </c>
      <c r="BL83" s="69">
        <f>COUNTIF('Detailed Attendance'!DD84:DD84, "P")+COUNTIF('Detailed Attendance'!EA84:EA84, "P")+COUNTIF('Detailed Attendance'!GH84:GH84, "P")+COUNTIF('Detailed Attendance'!DE84:DE84, "P")+COUNTIF('Detailed Attendance'!EB84:EB84, "P")+COUNTIF('Detailed Attendance'!GI84:GI84, "P")+COUNTIF('Detailed Attendance'!DX84:DX84, "P")+COUNTIF('Detailed Attendance'!EU84:EU84, "P")+COUNTIF('Detailed Attendance'!GE84:GE84, "P")</f>
        <v/>
      </c>
      <c r="BM83" s="69">
        <f>COUNTIF('Detailed Attendance'!DD84:DD84, "A")+COUNTIF('Detailed Attendance'!EA84:EA84, "A")+COUNTIF('Detailed Attendance'!GH84:GH84, "A")+COUNTIF('Detailed Attendance'!DE84:DE84, "A")+COUNTIF('Detailed Attendance'!EB84:EB84, "A")+COUNTIF('Detailed Attendance'!GI84:GI84, "A")+COUNTIF('Detailed Attendance'!DX84:DX84, "A")+COUNTIF('Detailed Attendance'!EU84:EU84, "A")+COUNTIF('Detailed Attendance'!GE84:GE84, "A")</f>
        <v/>
      </c>
      <c r="BN83" s="70">
        <f>IF((BL83+BM83)=0,"", BL83/(BL83+BM83))</f>
        <v/>
      </c>
      <c r="BO83" s="67">
        <f>D83+Y83+AT83</f>
        <v/>
      </c>
      <c r="BP83" s="67">
        <f>E83+Z83+AU83</f>
        <v/>
      </c>
      <c r="BQ83" s="68">
        <f>IF((BO83+BP83)=0,"", BO83/(BO83+BP83))</f>
        <v/>
      </c>
      <c r="BR83" s="67">
        <f>G83+AB83+AW83</f>
        <v/>
      </c>
      <c r="BS83" s="67">
        <f>H83+AC83+AX83</f>
        <v/>
      </c>
      <c r="BT83" s="68">
        <f>IF((BR83+BS83)=0,"", BR83/(BR83+BS83))</f>
        <v/>
      </c>
      <c r="BU83" s="67">
        <f>J83+AE83+AZ83</f>
        <v/>
      </c>
      <c r="BV83" s="67">
        <f>K83+AF83+BA83</f>
        <v/>
      </c>
      <c r="BW83" s="68">
        <f>IF((BU83+BV83)=0,"", BU83/(BU83+BV83))</f>
        <v/>
      </c>
      <c r="BX83" s="67">
        <f>M83+AH83+BC83</f>
        <v/>
      </c>
      <c r="BY83" s="67">
        <f>N83+AI83+BD83</f>
        <v/>
      </c>
      <c r="BZ83" s="68">
        <f>IF((BX83+BY83)=0,"", BX83/(BX83+BY83))</f>
        <v/>
      </c>
      <c r="CA83" s="67">
        <f>P83+AK83+BF83</f>
        <v/>
      </c>
      <c r="CB83" s="67">
        <f>Q83+AL83+BG83</f>
        <v/>
      </c>
      <c r="CC83" s="68">
        <f>IF((CA83+CB83)=0,"", CA83/(CA83+CB83))</f>
        <v/>
      </c>
      <c r="CD83" s="67">
        <f>S83+AN83+BI83</f>
        <v/>
      </c>
      <c r="CE83" s="67">
        <f>T83+AO83+BJ83</f>
        <v/>
      </c>
      <c r="CF83" s="68">
        <f>IF((CD83+CE83)=0,"", CD83/(CD83+CE83))</f>
        <v/>
      </c>
      <c r="CG83" s="69">
        <f>V83+AQ83+BL83</f>
        <v/>
      </c>
      <c r="CH83" s="69">
        <f>W83+AR83+BM83</f>
        <v/>
      </c>
      <c r="CI83" s="70">
        <f>IF((CG83+CH83)=0,"", CG83/(CG83+CH83))</f>
        <v/>
      </c>
      <c r="CJ83" s="67">
        <f>CD83+(CG83*2)</f>
        <v/>
      </c>
      <c r="CK83" s="67">
        <f>CE83+(CH83*2)</f>
        <v/>
      </c>
      <c r="CL83" s="68">
        <f>IF((CJ83+CK83)=0,"", CJ83/(CJ83+CK83))</f>
        <v/>
      </c>
      <c r="CM83" s="67" t="inlineStr">
        <is>
          <t>Batch 2</t>
        </is>
      </c>
    </row>
    <row r="84" ht="14.25" customHeight="1" s="34">
      <c r="A84" s="46" t="n">
        <v>82</v>
      </c>
      <c r="B84" s="46" t="inlineStr">
        <is>
          <t>325106410082</t>
        </is>
      </c>
      <c r="C84" s="46" t="inlineStr">
        <is>
          <t>EBRIMA WARCH</t>
        </is>
      </c>
      <c r="D84" s="63" t="n">
        <v>0</v>
      </c>
      <c r="E84" s="63" t="n">
        <v>0</v>
      </c>
      <c r="F84" s="64">
        <f>IF((D84+E84)=0,"", D84/(D84+E84))</f>
        <v/>
      </c>
      <c r="G84" s="63">
        <f>COUNTIF('Detailed Attendance'!I85:I85, "P")</f>
        <v/>
      </c>
      <c r="H84" s="63">
        <f>COUNTIF('Detailed Attendance'!I85:I85, "A")</f>
        <v/>
      </c>
      <c r="I84" s="64">
        <f>IF((G84+H84)=0,"", G84/(G84+H84))</f>
        <v/>
      </c>
      <c r="J84" s="63" t="n">
        <v>0</v>
      </c>
      <c r="K84" s="63" t="n">
        <v>0</v>
      </c>
      <c r="L84" s="64">
        <f>IF((J84+K84)=0,"", J84/(J84+K84))</f>
        <v/>
      </c>
      <c r="M84" s="63">
        <f>COUNTIF('Detailed Attendance'!D85:D85, "P")</f>
        <v/>
      </c>
      <c r="N84" s="63">
        <f>COUNTIF('Detailed Attendance'!D85:D85, "A")</f>
        <v/>
      </c>
      <c r="O84" s="64">
        <f>IF((M84+N84)=0,"", M84/(M84+N84))</f>
        <v/>
      </c>
      <c r="P84" s="63" t="n">
        <v>0</v>
      </c>
      <c r="Q84" s="63" t="n">
        <v>0</v>
      </c>
      <c r="R84" s="64">
        <f>IF((P84+Q84)=0,"", P84/(P84+Q84))</f>
        <v/>
      </c>
      <c r="S84" s="63">
        <f>D84+G84+J84+M84+P84</f>
        <v/>
      </c>
      <c r="T84" s="63">
        <f>E84+H84+K84+N84+Q84</f>
        <v/>
      </c>
      <c r="U84" s="64">
        <f>IF((S84+T84)=0,"", S84/(S84+T84))</f>
        <v/>
      </c>
      <c r="V84" s="65" t="n">
        <v>0</v>
      </c>
      <c r="W84" s="65" t="n">
        <v>0</v>
      </c>
      <c r="X84" s="66">
        <f>IF((V84+W84)=0,"", V84/(V84+W84))</f>
        <v/>
      </c>
      <c r="Y84" s="63">
        <f>COUNTIF('Detailed Attendance'!R85:R85, "P")+COUNTIF('Detailed Attendance'!X85:X85, "P")+COUNTIF('Detailed Attendance'!AL85:AL85, "P")+COUNTIF('Detailed Attendance'!BF85:BF85, "P")+COUNTIF('Detailed Attendance'!BL85:BL85, "P")+COUNTIF('Detailed Attendance'!BZ85:BZ85, "P")+COUNTIF('Detailed Attendance'!CI85:CI85, "P")+COUNTIF('Detailed Attendance'!CW85:CW85, "P")</f>
        <v/>
      </c>
      <c r="Z84" s="63">
        <f>COUNTIF('Detailed Attendance'!R85:R85, "A")+COUNTIF('Detailed Attendance'!X85:X85, "A")+COUNTIF('Detailed Attendance'!AL85:AL85, "A")+COUNTIF('Detailed Attendance'!BF85:BF85, "A")+COUNTIF('Detailed Attendance'!BL85:BL85, "A")+COUNTIF('Detailed Attendance'!BZ85:BZ85, "A")+COUNTIF('Detailed Attendance'!CI85:CI85, "A")+COUNTIF('Detailed Attendance'!CW85:CW85, "A")</f>
        <v/>
      </c>
      <c r="AA84" s="64">
        <f>IF((Y84+Z84)=0,"", Y84/(Y84+Z84))</f>
        <v/>
      </c>
      <c r="AB84" s="63">
        <f>COUNTIF('Detailed Attendance'!Q85:Q85, "P")+COUNTIF('Detailed Attendance'!AC85:AC85, "P")+COUNTIF('Detailed Attendance'!AK85:AK85, "P")+COUNTIF('Detailed Attendance'!AW85:AW85, "P")+COUNTIF('Detailed Attendance'!BE85:BE85, "P")+COUNTIF('Detailed Attendance'!BQ85:BQ85, "P")+COUNTIF('Detailed Attendance'!BY85:BY85, "P")+COUNTIF('Detailed Attendance'!CN85:CN85, "P")+COUNTIF('Detailed Attendance'!CV85:CV85, "P")</f>
        <v/>
      </c>
      <c r="AC84" s="63">
        <f>COUNTIF('Detailed Attendance'!Q85:Q85, "A")+COUNTIF('Detailed Attendance'!AC85:AC85, "A")+COUNTIF('Detailed Attendance'!AK85:AK85, "A")+COUNTIF('Detailed Attendance'!AW85:AW85, "A")+COUNTIF('Detailed Attendance'!BE85:BE85, "A")+COUNTIF('Detailed Attendance'!BQ85:BQ85, "A")+COUNTIF('Detailed Attendance'!BY85:BY85, "A")+COUNTIF('Detailed Attendance'!CN85:CN85, "A")+COUNTIF('Detailed Attendance'!CV85:CV85, "A")</f>
        <v/>
      </c>
      <c r="AD84" s="64">
        <f>IF((AB84+AC84)=0,"", AB84/(AB84+AC84))</f>
        <v/>
      </c>
      <c r="AE84" s="63">
        <f>COUNTIF('Detailed Attendance'!L85:L85, "P")+COUNTIF('Detailed Attendance'!P85:P85, "P")+COUNTIF('Detailed Attendance'!AF85:AF85, "P")+COUNTIF('Detailed Attendance'!AJ85:AJ85, "P")+COUNTIF('Detailed Attendance'!AZ85:AZ85, "P")+COUNTIF('Detailed Attendance'!BD85:BD85, "P")+COUNTIF('Detailed Attendance'!BT85:BT85, "P")+COUNTIF('Detailed Attendance'!BX85:BX85, "P")+COUNTIF('Detailed Attendance'!CQ85:CQ85, "P")+COUNTIF('Detailed Attendance'!CU85:CU85, "P")</f>
        <v/>
      </c>
      <c r="AF84" s="67">
        <f>COUNTIF('Detailed Attendance'!L85:L85, "A")+COUNTIF('Detailed Attendance'!P85:P85, "A")+COUNTIF('Detailed Attendance'!AF85:AF85, "A")+COUNTIF('Detailed Attendance'!AJ85:AJ85, "A")+COUNTIF('Detailed Attendance'!AZ85:AZ85, "A")+COUNTIF('Detailed Attendance'!BD85:BD85, "A")+COUNTIF('Detailed Attendance'!BT85:BT85, "A")+COUNTIF('Detailed Attendance'!BX85:BX85, "A")+COUNTIF('Detailed Attendance'!CQ85:CQ85, "A")+COUNTIF('Detailed Attendance'!CU85:CU85, "A")</f>
        <v/>
      </c>
      <c r="AG84" s="68">
        <f>IF((AE84+AF84)=0,"", AE84/(AE84+AF84))</f>
        <v/>
      </c>
      <c r="AH84" s="67">
        <f>COUNTIF('Detailed Attendance'!T85:T85, "P")+COUNTIF('Detailed Attendance'!AN85:AN85, "P")+COUNTIF('Detailed Attendance'!AR85:AR85, "P")+COUNTIF('Detailed Attendance'!BH85:BH85, "P")+COUNTIF('Detailed Attendance'!CB85:CB85, "P")+COUNTIF('Detailed Attendance'!CF85:CF85, "P")+COUNTIF('Detailed Attendance'!CY85:CY85, "P")</f>
        <v/>
      </c>
      <c r="AI84" s="67">
        <f>COUNTIF('Detailed Attendance'!T85:T85, "A")+COUNTIF('Detailed Attendance'!AN85:AN85, "A")+COUNTIF('Detailed Attendance'!AR85:AR85, "A")+COUNTIF('Detailed Attendance'!BH85:BH85, "A")+COUNTIF('Detailed Attendance'!CB85:CB85, "A")+COUNTIF('Detailed Attendance'!CF85:CF85, "A")+COUNTIF('Detailed Attendance'!CY85:CY85, "A")</f>
        <v/>
      </c>
      <c r="AJ84" s="68">
        <f>IF((AH84+AI84)=0,"", AH84/(AH84+AI84))</f>
        <v/>
      </c>
      <c r="AK84" s="67">
        <f>COUNTIF('Detailed Attendance'!M85:M85, "P")+COUNTIF('Detailed Attendance'!U85:U85, "P")+COUNTIF('Detailed Attendance'!AG85:AG85, "P")+COUNTIF('Detailed Attendance'!AO85:AO85, "P")+COUNTIF('Detailed Attendance'!BA85:BA85, "P")+COUNTIF('Detailed Attendance'!BI85:BI85, "P")+COUNTIF('Detailed Attendance'!BU85:BU85, "P")+COUNTIF('Detailed Attendance'!CC85:CC85, "P")+COUNTIF('Detailed Attendance'!CR85:CR85, "P")+COUNTIF('Detailed Attendance'!CZ85:CZ85, "P")</f>
        <v/>
      </c>
      <c r="AL84" s="67">
        <f>COUNTIF('Detailed Attendance'!M85:M85, "A")+COUNTIF('Detailed Attendance'!U85:U85, "A")+COUNTIF('Detailed Attendance'!AG85:AG85, "A")+COUNTIF('Detailed Attendance'!AO85:AO85, "A")+COUNTIF('Detailed Attendance'!BA85:BA85, "A")+COUNTIF('Detailed Attendance'!BI85:BI85, "A")+COUNTIF('Detailed Attendance'!BU85:BU85, "A")+COUNTIF('Detailed Attendance'!CC85:CC85, "A")+COUNTIF('Detailed Attendance'!CR85:CR85, "A")+COUNTIF('Detailed Attendance'!CZ85:CZ85, "A")</f>
        <v/>
      </c>
      <c r="AM84" s="68">
        <f>IF((AK84+AL84)=0,"", AK84/(AK84+AL84))</f>
        <v/>
      </c>
      <c r="AN84" s="67">
        <f>Y84+AB84+AE84+AH84+AK84</f>
        <v/>
      </c>
      <c r="AO84" s="67">
        <f>Z84+AC84+AF84+AI84+AL84</f>
        <v/>
      </c>
      <c r="AP84" s="68">
        <f>IF((AN84+AO84)=0,"", AN84/(AN84+AO84))</f>
        <v/>
      </c>
      <c r="AQ84" s="69">
        <f>COUNTIF('Detailed Attendance'!CG85:CG85, "P")+COUNTIF('Detailed Attendance'!CH85:CH85, "P")+COUNTIF('Detailed Attendance'!V85:V85, "P")+COUNTIF('Detailed Attendance'!AP85:AP85, "P")+COUNTIF('Detailed Attendance'!BJ85:BJ85, "P")+COUNTIF('Detailed Attendance'!CD85:CD85, "P")+COUNTIF('Detailed Attendance'!DA85:DA85, "P")</f>
        <v/>
      </c>
      <c r="AR84" s="69">
        <f>COUNTIF('Detailed Attendance'!CG85:CG85, "A")+COUNTIF('Detailed Attendance'!CH85:CH85, "A")+COUNTIF('Detailed Attendance'!V85:V85, "A")+COUNTIF('Detailed Attendance'!AP85:AP85, "A")+COUNTIF('Detailed Attendance'!BJ85:BJ85, "A")+COUNTIF('Detailed Attendance'!CD85:CD85, "A")+COUNTIF('Detailed Attendance'!DA85:DA85, "A")</f>
        <v/>
      </c>
      <c r="AS84" s="70">
        <f>IF((AQ84+AR84)=0,"", AQ84/(AQ84+AR84))</f>
        <v/>
      </c>
      <c r="AT84" s="67">
        <f>COUNTIF('Detailed Attendance'!DF85:DF85, "P")+COUNTIF('Detailed Attendance'!DT85:DT85, "P")+COUNTIF('Detailed Attendance'!EC85:EC85, "P")+COUNTIF('Detailed Attendance'!EQ85:EQ85, "P")+COUNTIF('Detailed Attendance'!EW85:EW85, "P")+COUNTIF('Detailed Attendance'!FK85:FK85, "P")+COUNTIF('Detailed Attendance'!FM85:FM85, "P")+COUNTIF('Detailed Attendance'!GA85:GA85, "P")</f>
        <v/>
      </c>
      <c r="AU84" s="67">
        <f>COUNTIF('Detailed Attendance'!DF85:DF85, "A")+COUNTIF('Detailed Attendance'!DT85:DT85, "A")+COUNTIF('Detailed Attendance'!EC85:EC85, "A")+COUNTIF('Detailed Attendance'!EQ85:EQ85, "A")+COUNTIF('Detailed Attendance'!EW85:EW85, "A")+COUNTIF('Detailed Attendance'!FK85:FK85, "A")+COUNTIF('Detailed Attendance'!FM85:FM85, "A")+COUNTIF('Detailed Attendance'!GA85:GA85, "A")</f>
        <v/>
      </c>
      <c r="AV84" s="68">
        <f>IF((AT84+AU84)=0,"", AT84/(AT84+AU84))</f>
        <v/>
      </c>
      <c r="AW84" s="67">
        <f>COUNTIF('Detailed Attendance'!DK85:DK85, "P")+COUNTIF('Detailed Attendance'!DS85:DS85, "P")+COUNTIF('Detailed Attendance'!EH85:EH85, "P")+COUNTIF('Detailed Attendance'!EP85:EP85, "P")+COUNTIF('Detailed Attendance'!FB85:FB85, "P")+COUNTIF('Detailed Attendance'!FJ85:FJ85, "P")+COUNTIF('Detailed Attendance'!FR85:FR85, "P")+COUNTIF('Detailed Attendance'!FZ85:FZ85, "P")</f>
        <v/>
      </c>
      <c r="AX84" s="67">
        <f>COUNTIF('Detailed Attendance'!DK85:DK85, "A")+COUNTIF('Detailed Attendance'!DS85:DS85, "A")+COUNTIF('Detailed Attendance'!EH85:EH85, "A")+COUNTIF('Detailed Attendance'!EP85:EP85, "A")+COUNTIF('Detailed Attendance'!FB85:FB85, "A")+COUNTIF('Detailed Attendance'!FJ85:FJ85, "A")+COUNTIF('Detailed Attendance'!FR85:FR85, "A")+COUNTIF('Detailed Attendance'!FZ85:FZ85, "A")</f>
        <v/>
      </c>
      <c r="AY84" s="68">
        <f>IF((AW84+AX84)=0,"", AW84/(AW84+AX84))</f>
        <v/>
      </c>
      <c r="AZ84" s="67">
        <f>COUNTIF('Detailed Attendance'!DN85:DN85, "P")+COUNTIF('Detailed Attendance'!DR85:DR85, "P")+COUNTIF('Detailed Attendance'!EK85:EK85, "P")+COUNTIF('Detailed Attendance'!EO85:EO85, "P")+COUNTIF('Detailed Attendance'!FE85:FE85, "P")+COUNTIF('Detailed Attendance'!FI85:FI85, "P")+COUNTIF('Detailed Attendance'!FU85:FU85, "P")+COUNTIF('Detailed Attendance'!FY85:FY85, "P")</f>
        <v/>
      </c>
      <c r="BA84" s="67">
        <f>COUNTIF('Detailed Attendance'!DN85:DN85, "A")+COUNTIF('Detailed Attendance'!DR85:DR85, "A")+COUNTIF('Detailed Attendance'!EK85:EK85, "A")+COUNTIF('Detailed Attendance'!EO85:EO85, "A")+COUNTIF('Detailed Attendance'!FE85:FE85, "A")+COUNTIF('Detailed Attendance'!FI85:FI85, "A")+COUNTIF('Detailed Attendance'!FU85:FU85, "A")+COUNTIF('Detailed Attendance'!FY85:FY85, "A")</f>
        <v/>
      </c>
      <c r="BB84" s="68">
        <f>IF((AZ84+BA84)=0,"", AZ84/(AZ84+BA84))</f>
        <v/>
      </c>
      <c r="BC84" s="67">
        <f>COUNTIF('Detailed Attendance'!DC85:DC85, "P")+COUNTIF('Detailed Attendance'!DV85:DV85, "P")+COUNTIF('Detailed Attendance'!DZ85:DZ85, "P")+COUNTIF('Detailed Attendance'!ES85:ES85, "P")+COUNTIF('Detailed Attendance'!GC85:GC85, "P")+COUNTIF('Detailed Attendance'!GG85:GG85, "P")</f>
        <v/>
      </c>
      <c r="BD84" s="67">
        <f>COUNTIF('Detailed Attendance'!DC85:DC85, "A")+COUNTIF('Detailed Attendance'!DV85:DV85, "A")+COUNTIF('Detailed Attendance'!DZ85:DZ85, "A")+COUNTIF('Detailed Attendance'!ES85:ES85, "A")+COUNTIF('Detailed Attendance'!GC85:GC85, "A")+COUNTIF('Detailed Attendance'!GG85:GG85, "A")</f>
        <v/>
      </c>
      <c r="BE84" s="68">
        <f>IF((BC84+BD84)=0,"", BC84/(BC84+BD84))</f>
        <v/>
      </c>
      <c r="BF84" s="67">
        <f>COUNTIF('Detailed Attendance'!DO85:DO85, "P")+COUNTIF('Detailed Attendance'!DW85:DW85, "P")+COUNTIF('Detailed Attendance'!EL85:EL85, "P")+COUNTIF('Detailed Attendance'!ET85:ET85, "P")+COUNTIF('Detailed Attendance'!FF85:FF85, "P")+COUNTIF('Detailed Attendance'!FV85:FV85, "P")+COUNTIF('Detailed Attendance'!GD85:GD85, "P")</f>
        <v/>
      </c>
      <c r="BG84" s="67">
        <f>COUNTIF('Detailed Attendance'!DO85:DO85, "A")+COUNTIF('Detailed Attendance'!DW85:DW85, "A")+COUNTIF('Detailed Attendance'!EL85:EL85, "A")+COUNTIF('Detailed Attendance'!ET85:ET85, "A")+COUNTIF('Detailed Attendance'!FF85:FF85, "A")+COUNTIF('Detailed Attendance'!FV85:FV85, "A")+COUNTIF('Detailed Attendance'!GD85:GD85, "A")</f>
        <v/>
      </c>
      <c r="BH84" s="68">
        <f>IF((BF84+BG84)=0,"", BF84/(BF84+BG84))</f>
        <v/>
      </c>
      <c r="BI84" s="67">
        <f>AT84+AW84+AZ84+BC84+BF84</f>
        <v/>
      </c>
      <c r="BJ84" s="67">
        <f>AU84+AX84+BA84+BD84+BG84</f>
        <v/>
      </c>
      <c r="BK84" s="68">
        <f>IF((BI84+BJ84)=0,"", BI84/(BI84+BJ84))</f>
        <v/>
      </c>
      <c r="BL84" s="69">
        <f>COUNTIF('Detailed Attendance'!DD85:DD85, "P")+COUNTIF('Detailed Attendance'!EA85:EA85, "P")+COUNTIF('Detailed Attendance'!GH85:GH85, "P")+COUNTIF('Detailed Attendance'!DE85:DE85, "P")+COUNTIF('Detailed Attendance'!EB85:EB85, "P")+COUNTIF('Detailed Attendance'!GI85:GI85, "P")+COUNTIF('Detailed Attendance'!DX85:DX85, "P")+COUNTIF('Detailed Attendance'!EU85:EU85, "P")+COUNTIF('Detailed Attendance'!GE85:GE85, "P")</f>
        <v/>
      </c>
      <c r="BM84" s="69">
        <f>COUNTIF('Detailed Attendance'!DD85:DD85, "A")+COUNTIF('Detailed Attendance'!EA85:EA85, "A")+COUNTIF('Detailed Attendance'!GH85:GH85, "A")+COUNTIF('Detailed Attendance'!DE85:DE85, "A")+COUNTIF('Detailed Attendance'!EB85:EB85, "A")+COUNTIF('Detailed Attendance'!GI85:GI85, "A")+COUNTIF('Detailed Attendance'!DX85:DX85, "A")+COUNTIF('Detailed Attendance'!EU85:EU85, "A")+COUNTIF('Detailed Attendance'!GE85:GE85, "A")</f>
        <v/>
      </c>
      <c r="BN84" s="70">
        <f>IF((BL84+BM84)=0,"", BL84/(BL84+BM84))</f>
        <v/>
      </c>
      <c r="BO84" s="67">
        <f>D84+Y84+AT84</f>
        <v/>
      </c>
      <c r="BP84" s="67">
        <f>E84+Z84+AU84</f>
        <v/>
      </c>
      <c r="BQ84" s="68">
        <f>IF((BO84+BP84)=0,"", BO84/(BO84+BP84))</f>
        <v/>
      </c>
      <c r="BR84" s="67">
        <f>G84+AB84+AW84</f>
        <v/>
      </c>
      <c r="BS84" s="67">
        <f>H84+AC84+AX84</f>
        <v/>
      </c>
      <c r="BT84" s="68">
        <f>IF((BR84+BS84)=0,"", BR84/(BR84+BS84))</f>
        <v/>
      </c>
      <c r="BU84" s="67">
        <f>J84+AE84+AZ84</f>
        <v/>
      </c>
      <c r="BV84" s="67">
        <f>K84+AF84+BA84</f>
        <v/>
      </c>
      <c r="BW84" s="68">
        <f>IF((BU84+BV84)=0,"", BU84/(BU84+BV84))</f>
        <v/>
      </c>
      <c r="BX84" s="67">
        <f>M84+AH84+BC84</f>
        <v/>
      </c>
      <c r="BY84" s="67">
        <f>N84+AI84+BD84</f>
        <v/>
      </c>
      <c r="BZ84" s="68">
        <f>IF((BX84+BY84)=0,"", BX84/(BX84+BY84))</f>
        <v/>
      </c>
      <c r="CA84" s="67">
        <f>P84+AK84+BF84</f>
        <v/>
      </c>
      <c r="CB84" s="67">
        <f>Q84+AL84+BG84</f>
        <v/>
      </c>
      <c r="CC84" s="68">
        <f>IF((CA84+CB84)=0,"", CA84/(CA84+CB84))</f>
        <v/>
      </c>
      <c r="CD84" s="67">
        <f>S84+AN84+BI84</f>
        <v/>
      </c>
      <c r="CE84" s="67">
        <f>T84+AO84+BJ84</f>
        <v/>
      </c>
      <c r="CF84" s="68">
        <f>IF((CD84+CE84)=0,"", CD84/(CD84+CE84))</f>
        <v/>
      </c>
      <c r="CG84" s="69">
        <f>V84+AQ84+BL84</f>
        <v/>
      </c>
      <c r="CH84" s="69">
        <f>W84+AR84+BM84</f>
        <v/>
      </c>
      <c r="CI84" s="70">
        <f>IF((CG84+CH84)=0,"", CG84/(CG84+CH84))</f>
        <v/>
      </c>
      <c r="CJ84" s="67">
        <f>CD84+(CG84*2)</f>
        <v/>
      </c>
      <c r="CK84" s="67">
        <f>CE84+(CH84*2)</f>
        <v/>
      </c>
      <c r="CL84" s="68">
        <f>IF((CJ84+CK84)=0,"", CJ84/(CJ84+CK84))</f>
        <v/>
      </c>
      <c r="CM84" s="67" t="inlineStr">
        <is>
          <t>Batch 2</t>
        </is>
      </c>
    </row>
    <row r="85" ht="14.25" customHeight="1" s="34">
      <c r="A85" s="46" t="n">
        <v>83</v>
      </c>
      <c r="B85" s="46" t="inlineStr">
        <is>
          <t>325106410083</t>
        </is>
      </c>
      <c r="C85" s="46" t="inlineStr">
        <is>
          <t>HAILEYESUS BITEW</t>
        </is>
      </c>
      <c r="D85" s="63" t="n">
        <v>0</v>
      </c>
      <c r="E85" s="63" t="n">
        <v>0</v>
      </c>
      <c r="F85" s="64">
        <f>IF((D85+E85)=0,"", D85/(D85+E85))</f>
        <v/>
      </c>
      <c r="G85" s="63">
        <f>COUNTIF('Detailed Attendance'!I86:I86, "P")</f>
        <v/>
      </c>
      <c r="H85" s="63">
        <f>COUNTIF('Detailed Attendance'!I86:I86, "A")</f>
        <v/>
      </c>
      <c r="I85" s="64">
        <f>IF((G85+H85)=0,"", G85/(G85+H85))</f>
        <v/>
      </c>
      <c r="J85" s="63" t="n">
        <v>0</v>
      </c>
      <c r="K85" s="63" t="n">
        <v>0</v>
      </c>
      <c r="L85" s="64">
        <f>IF((J85+K85)=0,"", J85/(J85+K85))</f>
        <v/>
      </c>
      <c r="M85" s="63">
        <f>COUNTIF('Detailed Attendance'!D86:D86, "P")</f>
        <v/>
      </c>
      <c r="N85" s="63">
        <f>COUNTIF('Detailed Attendance'!D86:D86, "A")</f>
        <v/>
      </c>
      <c r="O85" s="64">
        <f>IF((M85+N85)=0,"", M85/(M85+N85))</f>
        <v/>
      </c>
      <c r="P85" s="63" t="n">
        <v>0</v>
      </c>
      <c r="Q85" s="63" t="n">
        <v>0</v>
      </c>
      <c r="R85" s="64">
        <f>IF((P85+Q85)=0,"", P85/(P85+Q85))</f>
        <v/>
      </c>
      <c r="S85" s="63">
        <f>D85+G85+J85+M85+P85</f>
        <v/>
      </c>
      <c r="T85" s="63">
        <f>E85+H85+K85+N85+Q85</f>
        <v/>
      </c>
      <c r="U85" s="64">
        <f>IF((S85+T85)=0,"", S85/(S85+T85))</f>
        <v/>
      </c>
      <c r="V85" s="65">
        <f>COUNTIF('Detailed Attendance'!E86:E86, "P")+COUNTIF('Detailed Attendance'!H86:H86, "P")</f>
        <v/>
      </c>
      <c r="W85" s="65">
        <f>COUNTIF('Detailed Attendance'!E86:E86, "A")+COUNTIF('Detailed Attendance'!H86:H86, "A")</f>
        <v/>
      </c>
      <c r="X85" s="66">
        <f>IF((V85+W85)=0,"", V85/(V85+W85))</f>
        <v/>
      </c>
      <c r="Y85" s="63">
        <f>COUNTIF('Detailed Attendance'!R86:R86, "P")+COUNTIF('Detailed Attendance'!X86:X86, "P")+COUNTIF('Detailed Attendance'!AL86:AL86, "P")+COUNTIF('Detailed Attendance'!BF86:BF86, "P")+COUNTIF('Detailed Attendance'!BL86:BL86, "P")+COUNTIF('Detailed Attendance'!BZ86:BZ86, "P")+COUNTIF('Detailed Attendance'!CI86:CI86, "P")+COUNTIF('Detailed Attendance'!CW86:CW86, "P")</f>
        <v/>
      </c>
      <c r="Z85" s="63">
        <f>COUNTIF('Detailed Attendance'!R86:R86, "A")+COUNTIF('Detailed Attendance'!X86:X86, "A")+COUNTIF('Detailed Attendance'!AL86:AL86, "A")+COUNTIF('Detailed Attendance'!BF86:BF86, "A")+COUNTIF('Detailed Attendance'!BL86:BL86, "A")+COUNTIF('Detailed Attendance'!BZ86:BZ86, "A")+COUNTIF('Detailed Attendance'!CI86:CI86, "A")+COUNTIF('Detailed Attendance'!CW86:CW86, "A")</f>
        <v/>
      </c>
      <c r="AA85" s="64">
        <f>IF((Y85+Z85)=0,"", Y85/(Y85+Z85))</f>
        <v/>
      </c>
      <c r="AB85" s="63">
        <f>COUNTIF('Detailed Attendance'!Q86:Q86, "P")+COUNTIF('Detailed Attendance'!AC86:AC86, "P")+COUNTIF('Detailed Attendance'!AK86:AK86, "P")+COUNTIF('Detailed Attendance'!AW86:AW86, "P")+COUNTIF('Detailed Attendance'!BE86:BE86, "P")+COUNTIF('Detailed Attendance'!BQ86:BQ86, "P")+COUNTIF('Detailed Attendance'!BY86:BY86, "P")+COUNTIF('Detailed Attendance'!CN86:CN86, "P")+COUNTIF('Detailed Attendance'!CV86:CV86, "P")</f>
        <v/>
      </c>
      <c r="AC85" s="63">
        <f>COUNTIF('Detailed Attendance'!Q86:Q86, "A")+COUNTIF('Detailed Attendance'!AC86:AC86, "A")+COUNTIF('Detailed Attendance'!AK86:AK86, "A")+COUNTIF('Detailed Attendance'!AW86:AW86, "A")+COUNTIF('Detailed Attendance'!BE86:BE86, "A")+COUNTIF('Detailed Attendance'!BQ86:BQ86, "A")+COUNTIF('Detailed Attendance'!BY86:BY86, "A")+COUNTIF('Detailed Attendance'!CN86:CN86, "A")+COUNTIF('Detailed Attendance'!CV86:CV86, "A")</f>
        <v/>
      </c>
      <c r="AD85" s="64">
        <f>IF((AB85+AC85)=0,"", AB85/(AB85+AC85))</f>
        <v/>
      </c>
      <c r="AE85" s="63">
        <f>COUNTIF('Detailed Attendance'!L86:L86, "P")+COUNTIF('Detailed Attendance'!P86:P86, "P")+COUNTIF('Detailed Attendance'!AF86:AF86, "P")+COUNTIF('Detailed Attendance'!AJ86:AJ86, "P")+COUNTIF('Detailed Attendance'!AZ86:AZ86, "P")+COUNTIF('Detailed Attendance'!BD86:BD86, "P")+COUNTIF('Detailed Attendance'!BT86:BT86, "P")+COUNTIF('Detailed Attendance'!BX86:BX86, "P")+COUNTIF('Detailed Attendance'!CQ86:CQ86, "P")+COUNTIF('Detailed Attendance'!CU86:CU86, "P")</f>
        <v/>
      </c>
      <c r="AF85" s="67">
        <f>COUNTIF('Detailed Attendance'!L86:L86, "A")+COUNTIF('Detailed Attendance'!P86:P86, "A")+COUNTIF('Detailed Attendance'!AF86:AF86, "A")+COUNTIF('Detailed Attendance'!AJ86:AJ86, "A")+COUNTIF('Detailed Attendance'!AZ86:AZ86, "A")+COUNTIF('Detailed Attendance'!BD86:BD86, "A")+COUNTIF('Detailed Attendance'!BT86:BT86, "A")+COUNTIF('Detailed Attendance'!BX86:BX86, "A")+COUNTIF('Detailed Attendance'!CQ86:CQ86, "A")+COUNTIF('Detailed Attendance'!CU86:CU86, "A")</f>
        <v/>
      </c>
      <c r="AG85" s="68">
        <f>IF((AE85+AF85)=0,"", AE85/(AE85+AF85))</f>
        <v/>
      </c>
      <c r="AH85" s="67">
        <f>COUNTIF('Detailed Attendance'!T86:T86, "P")+COUNTIF('Detailed Attendance'!AN86:AN86, "P")+COUNTIF('Detailed Attendance'!AR86:AR86, "P")+COUNTIF('Detailed Attendance'!BH86:BH86, "P")+COUNTIF('Detailed Attendance'!CB86:CB86, "P")+COUNTIF('Detailed Attendance'!CF86:CF86, "P")+COUNTIF('Detailed Attendance'!CY86:CY86, "P")</f>
        <v/>
      </c>
      <c r="AI85" s="67">
        <f>COUNTIF('Detailed Attendance'!T86:T86, "A")+COUNTIF('Detailed Attendance'!AN86:AN86, "A")+COUNTIF('Detailed Attendance'!AR86:AR86, "A")+COUNTIF('Detailed Attendance'!BH86:BH86, "A")+COUNTIF('Detailed Attendance'!CB86:CB86, "A")+COUNTIF('Detailed Attendance'!CF86:CF86, "A")+COUNTIF('Detailed Attendance'!CY86:CY86, "A")</f>
        <v/>
      </c>
      <c r="AJ85" s="68">
        <f>IF((AH85+AI85)=0,"", AH85/(AH85+AI85))</f>
        <v/>
      </c>
      <c r="AK85" s="67">
        <f>COUNTIF('Detailed Attendance'!M86:M86, "P")+COUNTIF('Detailed Attendance'!U86:U86, "P")+COUNTIF('Detailed Attendance'!AG86:AG86, "P")+COUNTIF('Detailed Attendance'!AO86:AO86, "P")+COUNTIF('Detailed Attendance'!BA86:BA86, "P")+COUNTIF('Detailed Attendance'!BI86:BI86, "P")+COUNTIF('Detailed Attendance'!BU86:BU86, "P")+COUNTIF('Detailed Attendance'!CC86:CC86, "P")+COUNTIF('Detailed Attendance'!CR86:CR86, "P")+COUNTIF('Detailed Attendance'!CZ86:CZ86, "P")</f>
        <v/>
      </c>
      <c r="AL85" s="67">
        <f>COUNTIF('Detailed Attendance'!M86:M86, "A")+COUNTIF('Detailed Attendance'!U86:U86, "A")+COUNTIF('Detailed Attendance'!AG86:AG86, "A")+COUNTIF('Detailed Attendance'!AO86:AO86, "A")+COUNTIF('Detailed Attendance'!BA86:BA86, "A")+COUNTIF('Detailed Attendance'!BI86:BI86, "A")+COUNTIF('Detailed Attendance'!BU86:BU86, "A")+COUNTIF('Detailed Attendance'!CC86:CC86, "A")+COUNTIF('Detailed Attendance'!CR86:CR86, "A")+COUNTIF('Detailed Attendance'!CZ86:CZ86, "A")</f>
        <v/>
      </c>
      <c r="AM85" s="68">
        <f>IF((AK85+AL85)=0,"", AK85/(AK85+AL85))</f>
        <v/>
      </c>
      <c r="AN85" s="67">
        <f>Y85+AB85+AE85+AH85+AK85</f>
        <v/>
      </c>
      <c r="AO85" s="67">
        <f>Z85+AC85+AF85+AI85+AL85</f>
        <v/>
      </c>
      <c r="AP85" s="68">
        <f>IF((AN85+AO85)=0,"", AN85/(AN85+AO85))</f>
        <v/>
      </c>
      <c r="AQ85" s="69">
        <f>COUNTIF('Detailed Attendance'!CH86:CH86, "P")+COUNTIF('Detailed Attendance'!Y86:Y86, "P")+COUNTIF('Detailed Attendance'!AS86:AS86, "P")+COUNTIF('Detailed Attendance'!BM86:BM86, "P")+COUNTIF('Detailed Attendance'!CJ86:CJ86, "P")+COUNTIF('Detailed Attendance'!AB86:AB86, "P")+COUNTIF('Detailed Attendance'!AV86:AV86, "P")+COUNTIF('Detailed Attendance'!BP86:BP86, "P")+COUNTIF('Detailed Attendance'!CM86:CM86, "P")</f>
        <v/>
      </c>
      <c r="AR85" s="69">
        <f>COUNTIF('Detailed Attendance'!CH86:CH86, "A")+COUNTIF('Detailed Attendance'!Y86:Y86, "A")+COUNTIF('Detailed Attendance'!AS86:AS86, "A")+COUNTIF('Detailed Attendance'!BM86:BM86, "A")+COUNTIF('Detailed Attendance'!CJ86:CJ86, "A")+COUNTIF('Detailed Attendance'!AB86:AB86, "A")+COUNTIF('Detailed Attendance'!AV86:AV86, "A")+COUNTIF('Detailed Attendance'!BP86:BP86, "A")+COUNTIF('Detailed Attendance'!CM86:CM86, "A")</f>
        <v/>
      </c>
      <c r="AS85" s="70">
        <f>IF((AQ85+AR85)=0,"", AQ85/(AQ85+AR85))</f>
        <v/>
      </c>
      <c r="AT85" s="67">
        <f>COUNTIF('Detailed Attendance'!DF86:DF86, "P")+COUNTIF('Detailed Attendance'!DT86:DT86, "P")+COUNTIF('Detailed Attendance'!EC86:EC86, "P")+COUNTIF('Detailed Attendance'!EQ86:EQ86, "P")+COUNTIF('Detailed Attendance'!EW86:EW86, "P")+COUNTIF('Detailed Attendance'!FK86:FK86, "P")+COUNTIF('Detailed Attendance'!FM86:FM86, "P")+COUNTIF('Detailed Attendance'!GA86:GA86, "P")</f>
        <v/>
      </c>
      <c r="AU85" s="67">
        <f>COUNTIF('Detailed Attendance'!DF86:DF86, "A")+COUNTIF('Detailed Attendance'!DT86:DT86, "A")+COUNTIF('Detailed Attendance'!EC86:EC86, "A")+COUNTIF('Detailed Attendance'!EQ86:EQ86, "A")+COUNTIF('Detailed Attendance'!EW86:EW86, "A")+COUNTIF('Detailed Attendance'!FK86:FK86, "A")+COUNTIF('Detailed Attendance'!FM86:FM86, "A")+COUNTIF('Detailed Attendance'!GA86:GA86, "A")</f>
        <v/>
      </c>
      <c r="AV85" s="68">
        <f>IF((AT85+AU85)=0,"", AT85/(AT85+AU85))</f>
        <v/>
      </c>
      <c r="AW85" s="67">
        <f>COUNTIF('Detailed Attendance'!DK86:DK86, "P")+COUNTIF('Detailed Attendance'!DS86:DS86, "P")+COUNTIF('Detailed Attendance'!EH86:EH86, "P")+COUNTIF('Detailed Attendance'!EP86:EP86, "P")+COUNTIF('Detailed Attendance'!FB86:FB86, "P")+COUNTIF('Detailed Attendance'!FJ86:FJ86, "P")+COUNTIF('Detailed Attendance'!FR86:FR86, "P")+COUNTIF('Detailed Attendance'!FZ86:FZ86, "P")</f>
        <v/>
      </c>
      <c r="AX85" s="67">
        <f>COUNTIF('Detailed Attendance'!DK86:DK86, "A")+COUNTIF('Detailed Attendance'!DS86:DS86, "A")+COUNTIF('Detailed Attendance'!EH86:EH86, "A")+COUNTIF('Detailed Attendance'!EP86:EP86, "A")+COUNTIF('Detailed Attendance'!FB86:FB86, "A")+COUNTIF('Detailed Attendance'!FJ86:FJ86, "A")+COUNTIF('Detailed Attendance'!FR86:FR86, "A")+COUNTIF('Detailed Attendance'!FZ86:FZ86, "A")</f>
        <v/>
      </c>
      <c r="AY85" s="68">
        <f>IF((AW85+AX85)=0,"", AW85/(AW85+AX85))</f>
        <v/>
      </c>
      <c r="AZ85" s="67">
        <f>COUNTIF('Detailed Attendance'!DN86:DN86, "P")+COUNTIF('Detailed Attendance'!DR86:DR86, "P")+COUNTIF('Detailed Attendance'!EK86:EK86, "P")+COUNTIF('Detailed Attendance'!EO86:EO86, "P")+COUNTIF('Detailed Attendance'!FE86:FE86, "P")+COUNTIF('Detailed Attendance'!FI86:FI86, "P")+COUNTIF('Detailed Attendance'!FU86:FU86, "P")+COUNTIF('Detailed Attendance'!FY86:FY86, "P")</f>
        <v/>
      </c>
      <c r="BA85" s="67">
        <f>COUNTIF('Detailed Attendance'!DN86:DN86, "A")+COUNTIF('Detailed Attendance'!DR86:DR86, "A")+COUNTIF('Detailed Attendance'!EK86:EK86, "A")+COUNTIF('Detailed Attendance'!EO86:EO86, "A")+COUNTIF('Detailed Attendance'!FE86:FE86, "A")+COUNTIF('Detailed Attendance'!FI86:FI86, "A")+COUNTIF('Detailed Attendance'!FU86:FU86, "A")+COUNTIF('Detailed Attendance'!FY86:FY86, "A")</f>
        <v/>
      </c>
      <c r="BB85" s="68">
        <f>IF((AZ85+BA85)=0,"", AZ85/(AZ85+BA85))</f>
        <v/>
      </c>
      <c r="BC85" s="67">
        <f>COUNTIF('Detailed Attendance'!DC86:DC86, "P")+COUNTIF('Detailed Attendance'!DV86:DV86, "P")+COUNTIF('Detailed Attendance'!DZ86:DZ86, "P")+COUNTIF('Detailed Attendance'!ES86:ES86, "P")+COUNTIF('Detailed Attendance'!GC86:GC86, "P")+COUNTIF('Detailed Attendance'!GG86:GG86, "P")</f>
        <v/>
      </c>
      <c r="BD85" s="67">
        <f>COUNTIF('Detailed Attendance'!DC86:DC86, "A")+COUNTIF('Detailed Attendance'!DV86:DV86, "A")+COUNTIF('Detailed Attendance'!DZ86:DZ86, "A")+COUNTIF('Detailed Attendance'!ES86:ES86, "A")+COUNTIF('Detailed Attendance'!GC86:GC86, "A")+COUNTIF('Detailed Attendance'!GG86:GG86, "A")</f>
        <v/>
      </c>
      <c r="BE85" s="68">
        <f>IF((BC85+BD85)=0,"", BC85/(BC85+BD85))</f>
        <v/>
      </c>
      <c r="BF85" s="67">
        <f>COUNTIF('Detailed Attendance'!DO86:DO86, "P")+COUNTIF('Detailed Attendance'!DW86:DW86, "P")+COUNTIF('Detailed Attendance'!EL86:EL86, "P")+COUNTIF('Detailed Attendance'!ET86:ET86, "P")+COUNTIF('Detailed Attendance'!FF86:FF86, "P")+COUNTIF('Detailed Attendance'!FV86:FV86, "P")+COUNTIF('Detailed Attendance'!GD86:GD86, "P")</f>
        <v/>
      </c>
      <c r="BG85" s="67">
        <f>COUNTIF('Detailed Attendance'!DO86:DO86, "A")+COUNTIF('Detailed Attendance'!DW86:DW86, "A")+COUNTIF('Detailed Attendance'!EL86:EL86, "A")+COUNTIF('Detailed Attendance'!ET86:ET86, "A")+COUNTIF('Detailed Attendance'!FF86:FF86, "A")+COUNTIF('Detailed Attendance'!FV86:FV86, "A")+COUNTIF('Detailed Attendance'!GD86:GD86, "A")</f>
        <v/>
      </c>
      <c r="BH85" s="68">
        <f>IF((BF85+BG85)=0,"", BF85/(BF85+BG85))</f>
        <v/>
      </c>
      <c r="BI85" s="67">
        <f>AT85+AW85+AZ85+BC85+BF85</f>
        <v/>
      </c>
      <c r="BJ85" s="67">
        <f>AU85+AX85+BA85+BD85+BG85</f>
        <v/>
      </c>
      <c r="BK85" s="68">
        <f>IF((BI85+BJ85)=0,"", BI85/(BI85+BJ85))</f>
        <v/>
      </c>
      <c r="BL85" s="69">
        <f>COUNTIF('Detailed Attendance'!DE86:DE86, "P")+COUNTIF('Detailed Attendance'!EB86:EB86, "P")+COUNTIF('Detailed Attendance'!GI86:GI86, "P")+COUNTIF('Detailed Attendance'!DG86:DG86, "P")+COUNTIF('Detailed Attendance'!ED86:ED86, "P")+COUNTIF('Detailed Attendance'!EX86:EX86, "P")+COUNTIF('Detailed Attendance'!FN86:FN86, "P")+COUNTIF('Detailed Attendance'!DJ86:DJ86, "P")+COUNTIF('Detailed Attendance'!EG86:EG86, "P")+COUNTIF('Detailed Attendance'!FA86:FA86, "P")+COUNTIF('Detailed Attendance'!FQ86:FQ86, "P")</f>
        <v/>
      </c>
      <c r="BM85" s="69">
        <f>COUNTIF('Detailed Attendance'!DE86:DE86, "A")+COUNTIF('Detailed Attendance'!EB86:EB86, "A")+COUNTIF('Detailed Attendance'!GI86:GI86, "A")+COUNTIF('Detailed Attendance'!DG86:DG86, "A")+COUNTIF('Detailed Attendance'!ED86:ED86, "A")+COUNTIF('Detailed Attendance'!EX86:EX86, "A")+COUNTIF('Detailed Attendance'!FN86:FN86, "A")+COUNTIF('Detailed Attendance'!DJ86:DJ86, "A")+COUNTIF('Detailed Attendance'!EG86:EG86, "A")+COUNTIF('Detailed Attendance'!FA86:FA86, "A")+COUNTIF('Detailed Attendance'!FQ86:FQ86, "A")</f>
        <v/>
      </c>
      <c r="BN85" s="70">
        <f>IF((BL85+BM85)=0,"", BL85/(BL85+BM85))</f>
        <v/>
      </c>
      <c r="BO85" s="67">
        <f>D85+Y85+AT85</f>
        <v/>
      </c>
      <c r="BP85" s="67">
        <f>E85+Z85+AU85</f>
        <v/>
      </c>
      <c r="BQ85" s="68">
        <f>IF((BO85+BP85)=0,"", BO85/(BO85+BP85))</f>
        <v/>
      </c>
      <c r="BR85" s="67">
        <f>G85+AB85+AW85</f>
        <v/>
      </c>
      <c r="BS85" s="67">
        <f>H85+AC85+AX85</f>
        <v/>
      </c>
      <c r="BT85" s="68">
        <f>IF((BR85+BS85)=0,"", BR85/(BR85+BS85))</f>
        <v/>
      </c>
      <c r="BU85" s="67">
        <f>J85+AE85+AZ85</f>
        <v/>
      </c>
      <c r="BV85" s="67">
        <f>K85+AF85+BA85</f>
        <v/>
      </c>
      <c r="BW85" s="68">
        <f>IF((BU85+BV85)=0,"", BU85/(BU85+BV85))</f>
        <v/>
      </c>
      <c r="BX85" s="67">
        <f>M85+AH85+BC85</f>
        <v/>
      </c>
      <c r="BY85" s="67">
        <f>N85+AI85+BD85</f>
        <v/>
      </c>
      <c r="BZ85" s="68">
        <f>IF((BX85+BY85)=0,"", BX85/(BX85+BY85))</f>
        <v/>
      </c>
      <c r="CA85" s="67">
        <f>P85+AK85+BF85</f>
        <v/>
      </c>
      <c r="CB85" s="67">
        <f>Q85+AL85+BG85</f>
        <v/>
      </c>
      <c r="CC85" s="68">
        <f>IF((CA85+CB85)=0,"", CA85/(CA85+CB85))</f>
        <v/>
      </c>
      <c r="CD85" s="67">
        <f>S85+AN85+BI85</f>
        <v/>
      </c>
      <c r="CE85" s="67">
        <f>T85+AO85+BJ85</f>
        <v/>
      </c>
      <c r="CF85" s="68">
        <f>IF((CD85+CE85)=0,"", CD85/(CD85+CE85))</f>
        <v/>
      </c>
      <c r="CG85" s="69">
        <f>V85+AQ85+BL85</f>
        <v/>
      </c>
      <c r="CH85" s="69">
        <f>W85+AR85+BM85</f>
        <v/>
      </c>
      <c r="CI85" s="70">
        <f>IF((CG85+CH85)=0,"", CG85/(CG85+CH85))</f>
        <v/>
      </c>
      <c r="CJ85" s="67">
        <f>CD85+(CG85*2)</f>
        <v/>
      </c>
      <c r="CK85" s="67">
        <f>CE85+(CH85*2)</f>
        <v/>
      </c>
      <c r="CL85" s="68">
        <f>IF((CJ85+CK85)=0,"", CJ85/(CJ85+CK85))</f>
        <v/>
      </c>
      <c r="CM85" s="67" t="inlineStr">
        <is>
          <t>Batch 3</t>
        </is>
      </c>
    </row>
    <row r="86" ht="14.25" customHeight="1" s="34">
      <c r="A86" s="46" t="n">
        <v>84</v>
      </c>
      <c r="B86" s="46" t="inlineStr">
        <is>
          <t>325106410084</t>
        </is>
      </c>
      <c r="C86" s="46" t="inlineStr">
        <is>
          <t>HOR SONCHANDEVIN</t>
        </is>
      </c>
      <c r="D86" s="63" t="n">
        <v>0</v>
      </c>
      <c r="E86" s="63" t="n">
        <v>0</v>
      </c>
      <c r="F86" s="64">
        <f>IF((D86+E86)=0,"", D86/(D86+E86))</f>
        <v/>
      </c>
      <c r="G86" s="63">
        <f>COUNTIF('Detailed Attendance'!I87:I87, "P")</f>
        <v/>
      </c>
      <c r="H86" s="63">
        <f>COUNTIF('Detailed Attendance'!I87:I87, "A")</f>
        <v/>
      </c>
      <c r="I86" s="64">
        <f>IF((G86+H86)=0,"", G86/(G86+H86))</f>
        <v/>
      </c>
      <c r="J86" s="63" t="n">
        <v>0</v>
      </c>
      <c r="K86" s="63" t="n">
        <v>0</v>
      </c>
      <c r="L86" s="64">
        <f>IF((J86+K86)=0,"", J86/(J86+K86))</f>
        <v/>
      </c>
      <c r="M86" s="63">
        <f>COUNTIF('Detailed Attendance'!D87:D87, "P")</f>
        <v/>
      </c>
      <c r="N86" s="63">
        <f>COUNTIF('Detailed Attendance'!D87:D87, "A")</f>
        <v/>
      </c>
      <c r="O86" s="64">
        <f>IF((M86+N86)=0,"", M86/(M86+N86))</f>
        <v/>
      </c>
      <c r="P86" s="63" t="n">
        <v>0</v>
      </c>
      <c r="Q86" s="63" t="n">
        <v>0</v>
      </c>
      <c r="R86" s="64">
        <f>IF((P86+Q86)=0,"", P86/(P86+Q86))</f>
        <v/>
      </c>
      <c r="S86" s="63">
        <f>D86+G86+J86+M86+P86</f>
        <v/>
      </c>
      <c r="T86" s="63">
        <f>E86+H86+K86+N86+Q86</f>
        <v/>
      </c>
      <c r="U86" s="64">
        <f>IF((S86+T86)=0,"", S86/(S86+T86))</f>
        <v/>
      </c>
      <c r="V86" s="65">
        <f>COUNTIF('Detailed Attendance'!E87:E87, "P")+COUNTIF('Detailed Attendance'!H87:H87, "P")</f>
        <v/>
      </c>
      <c r="W86" s="65">
        <f>COUNTIF('Detailed Attendance'!E87:E87, "A")+COUNTIF('Detailed Attendance'!H87:H87, "A")</f>
        <v/>
      </c>
      <c r="X86" s="66">
        <f>IF((V86+W86)=0,"", V86/(V86+W86))</f>
        <v/>
      </c>
      <c r="Y86" s="63">
        <f>COUNTIF('Detailed Attendance'!R87:R87, "P")+COUNTIF('Detailed Attendance'!X87:X87, "P")+COUNTIF('Detailed Attendance'!AL87:AL87, "P")+COUNTIF('Detailed Attendance'!BF87:BF87, "P")+COUNTIF('Detailed Attendance'!BL87:BL87, "P")+COUNTIF('Detailed Attendance'!BZ87:BZ87, "P")+COUNTIF('Detailed Attendance'!CI87:CI87, "P")+COUNTIF('Detailed Attendance'!CW87:CW87, "P")</f>
        <v/>
      </c>
      <c r="Z86" s="63">
        <f>COUNTIF('Detailed Attendance'!R87:R87, "A")+COUNTIF('Detailed Attendance'!X87:X87, "A")+COUNTIF('Detailed Attendance'!AL87:AL87, "A")+COUNTIF('Detailed Attendance'!BF87:BF87, "A")+COUNTIF('Detailed Attendance'!BL87:BL87, "A")+COUNTIF('Detailed Attendance'!BZ87:BZ87, "A")+COUNTIF('Detailed Attendance'!CI87:CI87, "A")+COUNTIF('Detailed Attendance'!CW87:CW87, "A")</f>
        <v/>
      </c>
      <c r="AA86" s="64">
        <f>IF((Y86+Z86)=0,"", Y86/(Y86+Z86))</f>
        <v/>
      </c>
      <c r="AB86" s="63">
        <f>COUNTIF('Detailed Attendance'!Q87:Q87, "P")+COUNTIF('Detailed Attendance'!AC87:AC87, "P")+COUNTIF('Detailed Attendance'!AK87:AK87, "P")+COUNTIF('Detailed Attendance'!AW87:AW87, "P")+COUNTIF('Detailed Attendance'!BE87:BE87, "P")+COUNTIF('Detailed Attendance'!BQ87:BQ87, "P")+COUNTIF('Detailed Attendance'!BY87:BY87, "P")+COUNTIF('Detailed Attendance'!CN87:CN87, "P")+COUNTIF('Detailed Attendance'!CV87:CV87, "P")</f>
        <v/>
      </c>
      <c r="AC86" s="63">
        <f>COUNTIF('Detailed Attendance'!Q87:Q87, "A")+COUNTIF('Detailed Attendance'!AC87:AC87, "A")+COUNTIF('Detailed Attendance'!AK87:AK87, "A")+COUNTIF('Detailed Attendance'!AW87:AW87, "A")+COUNTIF('Detailed Attendance'!BE87:BE87, "A")+COUNTIF('Detailed Attendance'!BQ87:BQ87, "A")+COUNTIF('Detailed Attendance'!BY87:BY87, "A")+COUNTIF('Detailed Attendance'!CN87:CN87, "A")+COUNTIF('Detailed Attendance'!CV87:CV87, "A")</f>
        <v/>
      </c>
      <c r="AD86" s="64">
        <f>IF((AB86+AC86)=0,"", AB86/(AB86+AC86))</f>
        <v/>
      </c>
      <c r="AE86" s="63">
        <f>COUNTIF('Detailed Attendance'!L87:L87, "P")+COUNTIF('Detailed Attendance'!P87:P87, "P")+COUNTIF('Detailed Attendance'!AF87:AF87, "P")+COUNTIF('Detailed Attendance'!AJ87:AJ87, "P")+COUNTIF('Detailed Attendance'!AZ87:AZ87, "P")+COUNTIF('Detailed Attendance'!BD87:BD87, "P")+COUNTIF('Detailed Attendance'!BT87:BT87, "P")+COUNTIF('Detailed Attendance'!BX87:BX87, "P")+COUNTIF('Detailed Attendance'!CQ87:CQ87, "P")+COUNTIF('Detailed Attendance'!CU87:CU87, "P")</f>
        <v/>
      </c>
      <c r="AF86" s="67">
        <f>COUNTIF('Detailed Attendance'!L87:L87, "A")+COUNTIF('Detailed Attendance'!P87:P87, "A")+COUNTIF('Detailed Attendance'!AF87:AF87, "A")+COUNTIF('Detailed Attendance'!AJ87:AJ87, "A")+COUNTIF('Detailed Attendance'!AZ87:AZ87, "A")+COUNTIF('Detailed Attendance'!BD87:BD87, "A")+COUNTIF('Detailed Attendance'!BT87:BT87, "A")+COUNTIF('Detailed Attendance'!BX87:BX87, "A")+COUNTIF('Detailed Attendance'!CQ87:CQ87, "A")+COUNTIF('Detailed Attendance'!CU87:CU87, "A")</f>
        <v/>
      </c>
      <c r="AG86" s="68">
        <f>IF((AE86+AF86)=0,"", AE86/(AE86+AF86))</f>
        <v/>
      </c>
      <c r="AH86" s="67">
        <f>COUNTIF('Detailed Attendance'!T87:T87, "P")+COUNTIF('Detailed Attendance'!AN87:AN87, "P")+COUNTIF('Detailed Attendance'!AR87:AR87, "P")+COUNTIF('Detailed Attendance'!BH87:BH87, "P")+COUNTIF('Detailed Attendance'!CB87:CB87, "P")+COUNTIF('Detailed Attendance'!CF87:CF87, "P")+COUNTIF('Detailed Attendance'!CY87:CY87, "P")</f>
        <v/>
      </c>
      <c r="AI86" s="67">
        <f>COUNTIF('Detailed Attendance'!T87:T87, "A")+COUNTIF('Detailed Attendance'!AN87:AN87, "A")+COUNTIF('Detailed Attendance'!AR87:AR87, "A")+COUNTIF('Detailed Attendance'!BH87:BH87, "A")+COUNTIF('Detailed Attendance'!CB87:CB87, "A")+COUNTIF('Detailed Attendance'!CF87:CF87, "A")+COUNTIF('Detailed Attendance'!CY87:CY87, "A")</f>
        <v/>
      </c>
      <c r="AJ86" s="68">
        <f>IF((AH86+AI86)=0,"", AH86/(AH86+AI86))</f>
        <v/>
      </c>
      <c r="AK86" s="67">
        <f>COUNTIF('Detailed Attendance'!M87:M87, "P")+COUNTIF('Detailed Attendance'!U87:U87, "P")+COUNTIF('Detailed Attendance'!AG87:AG87, "P")+COUNTIF('Detailed Attendance'!AO87:AO87, "P")+COUNTIF('Detailed Attendance'!BA87:BA87, "P")+COUNTIF('Detailed Attendance'!BI87:BI87, "P")+COUNTIF('Detailed Attendance'!BU87:BU87, "P")+COUNTIF('Detailed Attendance'!CC87:CC87, "P")+COUNTIF('Detailed Attendance'!CR87:CR87, "P")+COUNTIF('Detailed Attendance'!CZ87:CZ87, "P")</f>
        <v/>
      </c>
      <c r="AL86" s="67">
        <f>COUNTIF('Detailed Attendance'!M87:M87, "A")+COUNTIF('Detailed Attendance'!U87:U87, "A")+COUNTIF('Detailed Attendance'!AG87:AG87, "A")+COUNTIF('Detailed Attendance'!AO87:AO87, "A")+COUNTIF('Detailed Attendance'!BA87:BA87, "A")+COUNTIF('Detailed Attendance'!BI87:BI87, "A")+COUNTIF('Detailed Attendance'!BU87:BU87, "A")+COUNTIF('Detailed Attendance'!CC87:CC87, "A")+COUNTIF('Detailed Attendance'!CR87:CR87, "A")+COUNTIF('Detailed Attendance'!CZ87:CZ87, "A")</f>
        <v/>
      </c>
      <c r="AM86" s="68">
        <f>IF((AK86+AL86)=0,"", AK86/(AK86+AL86))</f>
        <v/>
      </c>
      <c r="AN86" s="67">
        <f>Y86+AB86+AE86+AH86+AK86</f>
        <v/>
      </c>
      <c r="AO86" s="67">
        <f>Z86+AC86+AF86+AI86+AL86</f>
        <v/>
      </c>
      <c r="AP86" s="68">
        <f>IF((AN86+AO86)=0,"", AN86/(AN86+AO86))</f>
        <v/>
      </c>
      <c r="AQ86" s="69">
        <f>COUNTIF('Detailed Attendance'!CH87:CH87, "P")+COUNTIF('Detailed Attendance'!Y87:Y87, "P")+COUNTIF('Detailed Attendance'!AS87:AS87, "P")+COUNTIF('Detailed Attendance'!BM87:BM87, "P")+COUNTIF('Detailed Attendance'!CJ87:CJ87, "P")+COUNTIF('Detailed Attendance'!AB87:AB87, "P")+COUNTIF('Detailed Attendance'!AV87:AV87, "P")+COUNTIF('Detailed Attendance'!BP87:BP87, "P")+COUNTIF('Detailed Attendance'!CM87:CM87, "P")</f>
        <v/>
      </c>
      <c r="AR86" s="69">
        <f>COUNTIF('Detailed Attendance'!CH87:CH87, "A")+COUNTIF('Detailed Attendance'!Y87:Y87, "A")+COUNTIF('Detailed Attendance'!AS87:AS87, "A")+COUNTIF('Detailed Attendance'!BM87:BM87, "A")+COUNTIF('Detailed Attendance'!CJ87:CJ87, "A")+COUNTIF('Detailed Attendance'!AB87:AB87, "A")+COUNTIF('Detailed Attendance'!AV87:AV87, "A")+COUNTIF('Detailed Attendance'!BP87:BP87, "A")+COUNTIF('Detailed Attendance'!CM87:CM87, "A")</f>
        <v/>
      </c>
      <c r="AS86" s="70">
        <f>IF((AQ86+AR86)=0,"", AQ86/(AQ86+AR86))</f>
        <v/>
      </c>
      <c r="AT86" s="67">
        <f>COUNTIF('Detailed Attendance'!DF87:DF87, "P")+COUNTIF('Detailed Attendance'!DT87:DT87, "P")+COUNTIF('Detailed Attendance'!EC87:EC87, "P")+COUNTIF('Detailed Attendance'!EQ87:EQ87, "P")+COUNTIF('Detailed Attendance'!EW87:EW87, "P")+COUNTIF('Detailed Attendance'!FK87:FK87, "P")+COUNTIF('Detailed Attendance'!FM87:FM87, "P")+COUNTIF('Detailed Attendance'!GA87:GA87, "P")</f>
        <v/>
      </c>
      <c r="AU86" s="67">
        <f>COUNTIF('Detailed Attendance'!DF87:DF87, "A")+COUNTIF('Detailed Attendance'!DT87:DT87, "A")+COUNTIF('Detailed Attendance'!EC87:EC87, "A")+COUNTIF('Detailed Attendance'!EQ87:EQ87, "A")+COUNTIF('Detailed Attendance'!EW87:EW87, "A")+COUNTIF('Detailed Attendance'!FK87:FK87, "A")+COUNTIF('Detailed Attendance'!FM87:FM87, "A")+COUNTIF('Detailed Attendance'!GA87:GA87, "A")</f>
        <v/>
      </c>
      <c r="AV86" s="68">
        <f>IF((AT86+AU86)=0,"", AT86/(AT86+AU86))</f>
        <v/>
      </c>
      <c r="AW86" s="67">
        <f>COUNTIF('Detailed Attendance'!DK87:DK87, "P")+COUNTIF('Detailed Attendance'!DS87:DS87, "P")+COUNTIF('Detailed Attendance'!EH87:EH87, "P")+COUNTIF('Detailed Attendance'!EP87:EP87, "P")+COUNTIF('Detailed Attendance'!FB87:FB87, "P")+COUNTIF('Detailed Attendance'!FJ87:FJ87, "P")+COUNTIF('Detailed Attendance'!FR87:FR87, "P")+COUNTIF('Detailed Attendance'!FZ87:FZ87, "P")</f>
        <v/>
      </c>
      <c r="AX86" s="67">
        <f>COUNTIF('Detailed Attendance'!DK87:DK87, "A")+COUNTIF('Detailed Attendance'!DS87:DS87, "A")+COUNTIF('Detailed Attendance'!EH87:EH87, "A")+COUNTIF('Detailed Attendance'!EP87:EP87, "A")+COUNTIF('Detailed Attendance'!FB87:FB87, "A")+COUNTIF('Detailed Attendance'!FJ87:FJ87, "A")+COUNTIF('Detailed Attendance'!FR87:FR87, "A")+COUNTIF('Detailed Attendance'!FZ87:FZ87, "A")</f>
        <v/>
      </c>
      <c r="AY86" s="68">
        <f>IF((AW86+AX86)=0,"", AW86/(AW86+AX86))</f>
        <v/>
      </c>
      <c r="AZ86" s="67">
        <f>COUNTIF('Detailed Attendance'!DN87:DN87, "P")+COUNTIF('Detailed Attendance'!DR87:DR87, "P")+COUNTIF('Detailed Attendance'!EK87:EK87, "P")+COUNTIF('Detailed Attendance'!EO87:EO87, "P")+COUNTIF('Detailed Attendance'!FE87:FE87, "P")+COUNTIF('Detailed Attendance'!FI87:FI87, "P")+COUNTIF('Detailed Attendance'!FU87:FU87, "P")+COUNTIF('Detailed Attendance'!FY87:FY87, "P")</f>
        <v/>
      </c>
      <c r="BA86" s="67">
        <f>COUNTIF('Detailed Attendance'!DN87:DN87, "A")+COUNTIF('Detailed Attendance'!DR87:DR87, "A")+COUNTIF('Detailed Attendance'!EK87:EK87, "A")+COUNTIF('Detailed Attendance'!EO87:EO87, "A")+COUNTIF('Detailed Attendance'!FE87:FE87, "A")+COUNTIF('Detailed Attendance'!FI87:FI87, "A")+COUNTIF('Detailed Attendance'!FU87:FU87, "A")+COUNTIF('Detailed Attendance'!FY87:FY87, "A")</f>
        <v/>
      </c>
      <c r="BB86" s="68">
        <f>IF((AZ86+BA86)=0,"", AZ86/(AZ86+BA86))</f>
        <v/>
      </c>
      <c r="BC86" s="67">
        <f>COUNTIF('Detailed Attendance'!DC87:DC87, "P")+COUNTIF('Detailed Attendance'!DV87:DV87, "P")+COUNTIF('Detailed Attendance'!DZ87:DZ87, "P")+COUNTIF('Detailed Attendance'!ES87:ES87, "P")+COUNTIF('Detailed Attendance'!GC87:GC87, "P")+COUNTIF('Detailed Attendance'!GG87:GG87, "P")</f>
        <v/>
      </c>
      <c r="BD86" s="67">
        <f>COUNTIF('Detailed Attendance'!DC87:DC87, "A")+COUNTIF('Detailed Attendance'!DV87:DV87, "A")+COUNTIF('Detailed Attendance'!DZ87:DZ87, "A")+COUNTIF('Detailed Attendance'!ES87:ES87, "A")+COUNTIF('Detailed Attendance'!GC87:GC87, "A")+COUNTIF('Detailed Attendance'!GG87:GG87, "A")</f>
        <v/>
      </c>
      <c r="BE86" s="68">
        <f>IF((BC86+BD86)=0,"", BC86/(BC86+BD86))</f>
        <v/>
      </c>
      <c r="BF86" s="67">
        <f>COUNTIF('Detailed Attendance'!DO87:DO87, "P")+COUNTIF('Detailed Attendance'!DW87:DW87, "P")+COUNTIF('Detailed Attendance'!EL87:EL87, "P")+COUNTIF('Detailed Attendance'!ET87:ET87, "P")+COUNTIF('Detailed Attendance'!FF87:FF87, "P")+COUNTIF('Detailed Attendance'!FV87:FV87, "P")+COUNTIF('Detailed Attendance'!GD87:GD87, "P")</f>
        <v/>
      </c>
      <c r="BG86" s="67">
        <f>COUNTIF('Detailed Attendance'!DO87:DO87, "A")+COUNTIF('Detailed Attendance'!DW87:DW87, "A")+COUNTIF('Detailed Attendance'!EL87:EL87, "A")+COUNTIF('Detailed Attendance'!ET87:ET87, "A")+COUNTIF('Detailed Attendance'!FF87:FF87, "A")+COUNTIF('Detailed Attendance'!FV87:FV87, "A")+COUNTIF('Detailed Attendance'!GD87:GD87, "A")</f>
        <v/>
      </c>
      <c r="BH86" s="68">
        <f>IF((BF86+BG86)=0,"", BF86/(BF86+BG86))</f>
        <v/>
      </c>
      <c r="BI86" s="67">
        <f>AT86+AW86+AZ86+BC86+BF86</f>
        <v/>
      </c>
      <c r="BJ86" s="67">
        <f>AU86+AX86+BA86+BD86+BG86</f>
        <v/>
      </c>
      <c r="BK86" s="68">
        <f>IF((BI86+BJ86)=0,"", BI86/(BI86+BJ86))</f>
        <v/>
      </c>
      <c r="BL86" s="69">
        <f>COUNTIF('Detailed Attendance'!DE87:DE87, "P")+COUNTIF('Detailed Attendance'!EB87:EB87, "P")+COUNTIF('Detailed Attendance'!GI87:GI87, "P")+COUNTIF('Detailed Attendance'!DG87:DG87, "P")+COUNTIF('Detailed Attendance'!ED87:ED87, "P")+COUNTIF('Detailed Attendance'!EX87:EX87, "P")+COUNTIF('Detailed Attendance'!FN87:FN87, "P")+COUNTIF('Detailed Attendance'!DJ87:DJ87, "P")+COUNTIF('Detailed Attendance'!EG87:EG87, "P")+COUNTIF('Detailed Attendance'!FA87:FA87, "P")+COUNTIF('Detailed Attendance'!FQ87:FQ87, "P")</f>
        <v/>
      </c>
      <c r="BM86" s="69">
        <f>COUNTIF('Detailed Attendance'!DE87:DE87, "A")+COUNTIF('Detailed Attendance'!EB87:EB87, "A")+COUNTIF('Detailed Attendance'!GI87:GI87, "A")+COUNTIF('Detailed Attendance'!DG87:DG87, "A")+COUNTIF('Detailed Attendance'!ED87:ED87, "A")+COUNTIF('Detailed Attendance'!EX87:EX87, "A")+COUNTIF('Detailed Attendance'!FN87:FN87, "A")+COUNTIF('Detailed Attendance'!DJ87:DJ87, "A")+COUNTIF('Detailed Attendance'!EG87:EG87, "A")+COUNTIF('Detailed Attendance'!FA87:FA87, "A")+COUNTIF('Detailed Attendance'!FQ87:FQ87, "A")</f>
        <v/>
      </c>
      <c r="BN86" s="70">
        <f>IF((BL86+BM86)=0,"", BL86/(BL86+BM86))</f>
        <v/>
      </c>
      <c r="BO86" s="67">
        <f>D86+Y86+AT86</f>
        <v/>
      </c>
      <c r="BP86" s="67">
        <f>E86+Z86+AU86</f>
        <v/>
      </c>
      <c r="BQ86" s="68">
        <f>IF((BO86+BP86)=0,"", BO86/(BO86+BP86))</f>
        <v/>
      </c>
      <c r="BR86" s="67">
        <f>G86+AB86+AW86</f>
        <v/>
      </c>
      <c r="BS86" s="67">
        <f>H86+AC86+AX86</f>
        <v/>
      </c>
      <c r="BT86" s="68">
        <f>IF((BR86+BS86)=0,"", BR86/(BR86+BS86))</f>
        <v/>
      </c>
      <c r="BU86" s="67">
        <f>J86+AE86+AZ86</f>
        <v/>
      </c>
      <c r="BV86" s="67">
        <f>K86+AF86+BA86</f>
        <v/>
      </c>
      <c r="BW86" s="68">
        <f>IF((BU86+BV86)=0,"", BU86/(BU86+BV86))</f>
        <v/>
      </c>
      <c r="BX86" s="67">
        <f>M86+AH86+BC86</f>
        <v/>
      </c>
      <c r="BY86" s="67">
        <f>N86+AI86+BD86</f>
        <v/>
      </c>
      <c r="BZ86" s="68">
        <f>IF((BX86+BY86)=0,"", BX86/(BX86+BY86))</f>
        <v/>
      </c>
      <c r="CA86" s="67">
        <f>P86+AK86+BF86</f>
        <v/>
      </c>
      <c r="CB86" s="67">
        <f>Q86+AL86+BG86</f>
        <v/>
      </c>
      <c r="CC86" s="68">
        <f>IF((CA86+CB86)=0,"", CA86/(CA86+CB86))</f>
        <v/>
      </c>
      <c r="CD86" s="67">
        <f>S86+AN86+BI86</f>
        <v/>
      </c>
      <c r="CE86" s="67">
        <f>T86+AO86+BJ86</f>
        <v/>
      </c>
      <c r="CF86" s="68">
        <f>IF((CD86+CE86)=0,"", CD86/(CD86+CE86))</f>
        <v/>
      </c>
      <c r="CG86" s="69">
        <f>V86+AQ86+BL86</f>
        <v/>
      </c>
      <c r="CH86" s="69">
        <f>W86+AR86+BM86</f>
        <v/>
      </c>
      <c r="CI86" s="70">
        <f>IF((CG86+CH86)=0,"", CG86/(CG86+CH86))</f>
        <v/>
      </c>
      <c r="CJ86" s="67">
        <f>CD86+(CG86*2)</f>
        <v/>
      </c>
      <c r="CK86" s="67">
        <f>CE86+(CH86*2)</f>
        <v/>
      </c>
      <c r="CL86" s="68">
        <f>IF((CJ86+CK86)=0,"", CJ86/(CJ86+CK86))</f>
        <v/>
      </c>
      <c r="CM86" s="67" t="inlineStr">
        <is>
          <t>Batch 3</t>
        </is>
      </c>
    </row>
    <row r="87" ht="14.25" customHeight="1" s="34">
      <c r="A87" s="46" t="n">
        <v>85</v>
      </c>
      <c r="B87" s="46" t="inlineStr">
        <is>
          <t>325106410085</t>
        </is>
      </c>
      <c r="C87" s="46" t="inlineStr">
        <is>
          <t>JOVAN PONUEL BISWAS</t>
        </is>
      </c>
      <c r="D87" s="63" t="n">
        <v>0</v>
      </c>
      <c r="E87" s="63" t="n">
        <v>0</v>
      </c>
      <c r="F87" s="64">
        <f>IF((D87+E87)=0,"", D87/(D87+E87))</f>
        <v/>
      </c>
      <c r="G87" s="63">
        <f>COUNTIF('Detailed Attendance'!I88:I88, "P")</f>
        <v/>
      </c>
      <c r="H87" s="63">
        <f>COUNTIF('Detailed Attendance'!I88:I88, "A")</f>
        <v/>
      </c>
      <c r="I87" s="64">
        <f>IF((G87+H87)=0,"", G87/(G87+H87))</f>
        <v/>
      </c>
      <c r="J87" s="63" t="n">
        <v>0</v>
      </c>
      <c r="K87" s="63" t="n">
        <v>0</v>
      </c>
      <c r="L87" s="64">
        <f>IF((J87+K87)=0,"", J87/(J87+K87))</f>
        <v/>
      </c>
      <c r="M87" s="63">
        <f>COUNTIF('Detailed Attendance'!D88:D88, "P")</f>
        <v/>
      </c>
      <c r="N87" s="63">
        <f>COUNTIF('Detailed Attendance'!D88:D88, "A")</f>
        <v/>
      </c>
      <c r="O87" s="64">
        <f>IF((M87+N87)=0,"", M87/(M87+N87))</f>
        <v/>
      </c>
      <c r="P87" s="63" t="n">
        <v>0</v>
      </c>
      <c r="Q87" s="63" t="n">
        <v>0</v>
      </c>
      <c r="R87" s="64">
        <f>IF((P87+Q87)=0,"", P87/(P87+Q87))</f>
        <v/>
      </c>
      <c r="S87" s="63">
        <f>D87+G87+J87+M87+P87</f>
        <v/>
      </c>
      <c r="T87" s="63">
        <f>E87+H87+K87+N87+Q87</f>
        <v/>
      </c>
      <c r="U87" s="64">
        <f>IF((S87+T87)=0,"", S87/(S87+T87))</f>
        <v/>
      </c>
      <c r="V87" s="65">
        <f>COUNTIF('Detailed Attendance'!E88:E88, "P")+COUNTIF('Detailed Attendance'!H88:H88, "P")</f>
        <v/>
      </c>
      <c r="W87" s="65">
        <f>COUNTIF('Detailed Attendance'!E88:E88, "A")+COUNTIF('Detailed Attendance'!H88:H88, "A")</f>
        <v/>
      </c>
      <c r="X87" s="66">
        <f>IF((V87+W87)=0,"", V87/(V87+W87))</f>
        <v/>
      </c>
      <c r="Y87" s="63">
        <f>COUNTIF('Detailed Attendance'!R88:R88, "P")+COUNTIF('Detailed Attendance'!X88:X88, "P")+COUNTIF('Detailed Attendance'!AL88:AL88, "P")+COUNTIF('Detailed Attendance'!BF88:BF88, "P")+COUNTIF('Detailed Attendance'!BL88:BL88, "P")+COUNTIF('Detailed Attendance'!BZ88:BZ88, "P")+COUNTIF('Detailed Attendance'!CI88:CI88, "P")+COUNTIF('Detailed Attendance'!CW88:CW88, "P")</f>
        <v/>
      </c>
      <c r="Z87" s="63">
        <f>COUNTIF('Detailed Attendance'!R88:R88, "A")+COUNTIF('Detailed Attendance'!X88:X88, "A")+COUNTIF('Detailed Attendance'!AL88:AL88, "A")+COUNTIF('Detailed Attendance'!BF88:BF88, "A")+COUNTIF('Detailed Attendance'!BL88:BL88, "A")+COUNTIF('Detailed Attendance'!BZ88:BZ88, "A")+COUNTIF('Detailed Attendance'!CI88:CI88, "A")+COUNTIF('Detailed Attendance'!CW88:CW88, "A")</f>
        <v/>
      </c>
      <c r="AA87" s="64">
        <f>IF((Y87+Z87)=0,"", Y87/(Y87+Z87))</f>
        <v/>
      </c>
      <c r="AB87" s="63">
        <f>COUNTIF('Detailed Attendance'!Q88:Q88, "P")+COUNTIF('Detailed Attendance'!AC88:AC88, "P")+COUNTIF('Detailed Attendance'!AK88:AK88, "P")+COUNTIF('Detailed Attendance'!AW88:AW88, "P")+COUNTIF('Detailed Attendance'!BE88:BE88, "P")+COUNTIF('Detailed Attendance'!BQ88:BQ88, "P")+COUNTIF('Detailed Attendance'!BY88:BY88, "P")+COUNTIF('Detailed Attendance'!CN88:CN88, "P")+COUNTIF('Detailed Attendance'!CV88:CV88, "P")</f>
        <v/>
      </c>
      <c r="AC87" s="63">
        <f>COUNTIF('Detailed Attendance'!Q88:Q88, "A")+COUNTIF('Detailed Attendance'!AC88:AC88, "A")+COUNTIF('Detailed Attendance'!AK88:AK88, "A")+COUNTIF('Detailed Attendance'!AW88:AW88, "A")+COUNTIF('Detailed Attendance'!BE88:BE88, "A")+COUNTIF('Detailed Attendance'!BQ88:BQ88, "A")+COUNTIF('Detailed Attendance'!BY88:BY88, "A")+COUNTIF('Detailed Attendance'!CN88:CN88, "A")+COUNTIF('Detailed Attendance'!CV88:CV88, "A")</f>
        <v/>
      </c>
      <c r="AD87" s="64">
        <f>IF((AB87+AC87)=0,"", AB87/(AB87+AC87))</f>
        <v/>
      </c>
      <c r="AE87" s="63">
        <f>COUNTIF('Detailed Attendance'!L88:L88, "P")+COUNTIF('Detailed Attendance'!P88:P88, "P")+COUNTIF('Detailed Attendance'!AF88:AF88, "P")+COUNTIF('Detailed Attendance'!AJ88:AJ88, "P")+COUNTIF('Detailed Attendance'!AZ88:AZ88, "P")+COUNTIF('Detailed Attendance'!BD88:BD88, "P")+COUNTIF('Detailed Attendance'!BT88:BT88, "P")+COUNTIF('Detailed Attendance'!BX88:BX88, "P")+COUNTIF('Detailed Attendance'!CQ88:CQ88, "P")+COUNTIF('Detailed Attendance'!CU88:CU88, "P")</f>
        <v/>
      </c>
      <c r="AF87" s="67">
        <f>COUNTIF('Detailed Attendance'!L88:L88, "A")+COUNTIF('Detailed Attendance'!P88:P88, "A")+COUNTIF('Detailed Attendance'!AF88:AF88, "A")+COUNTIF('Detailed Attendance'!AJ88:AJ88, "A")+COUNTIF('Detailed Attendance'!AZ88:AZ88, "A")+COUNTIF('Detailed Attendance'!BD88:BD88, "A")+COUNTIF('Detailed Attendance'!BT88:BT88, "A")+COUNTIF('Detailed Attendance'!BX88:BX88, "A")+COUNTIF('Detailed Attendance'!CQ88:CQ88, "A")+COUNTIF('Detailed Attendance'!CU88:CU88, "A")</f>
        <v/>
      </c>
      <c r="AG87" s="68">
        <f>IF((AE87+AF87)=0,"", AE87/(AE87+AF87))</f>
        <v/>
      </c>
      <c r="AH87" s="67">
        <f>COUNTIF('Detailed Attendance'!T88:T88, "P")+COUNTIF('Detailed Attendance'!AN88:AN88, "P")+COUNTIF('Detailed Attendance'!AR88:AR88, "P")+COUNTIF('Detailed Attendance'!BH88:BH88, "P")+COUNTIF('Detailed Attendance'!CB88:CB88, "P")+COUNTIF('Detailed Attendance'!CF88:CF88, "P")+COUNTIF('Detailed Attendance'!CY88:CY88, "P")</f>
        <v/>
      </c>
      <c r="AI87" s="67">
        <f>COUNTIF('Detailed Attendance'!T88:T88, "A")+COUNTIF('Detailed Attendance'!AN88:AN88, "A")+COUNTIF('Detailed Attendance'!AR88:AR88, "A")+COUNTIF('Detailed Attendance'!BH88:BH88, "A")+COUNTIF('Detailed Attendance'!CB88:CB88, "A")+COUNTIF('Detailed Attendance'!CF88:CF88, "A")+COUNTIF('Detailed Attendance'!CY88:CY88, "A")</f>
        <v/>
      </c>
      <c r="AJ87" s="68">
        <f>IF((AH87+AI87)=0,"", AH87/(AH87+AI87))</f>
        <v/>
      </c>
      <c r="AK87" s="67">
        <f>COUNTIF('Detailed Attendance'!M88:M88, "P")+COUNTIF('Detailed Attendance'!U88:U88, "P")+COUNTIF('Detailed Attendance'!AG88:AG88, "P")+COUNTIF('Detailed Attendance'!AO88:AO88, "P")+COUNTIF('Detailed Attendance'!BA88:BA88, "P")+COUNTIF('Detailed Attendance'!BI88:BI88, "P")+COUNTIF('Detailed Attendance'!BU88:BU88, "P")+COUNTIF('Detailed Attendance'!CC88:CC88, "P")+COUNTIF('Detailed Attendance'!CR88:CR88, "P")+COUNTIF('Detailed Attendance'!CZ88:CZ88, "P")</f>
        <v/>
      </c>
      <c r="AL87" s="67">
        <f>COUNTIF('Detailed Attendance'!M88:M88, "A")+COUNTIF('Detailed Attendance'!U88:U88, "A")+COUNTIF('Detailed Attendance'!AG88:AG88, "A")+COUNTIF('Detailed Attendance'!AO88:AO88, "A")+COUNTIF('Detailed Attendance'!BA88:BA88, "A")+COUNTIF('Detailed Attendance'!BI88:BI88, "A")+COUNTIF('Detailed Attendance'!BU88:BU88, "A")+COUNTIF('Detailed Attendance'!CC88:CC88, "A")+COUNTIF('Detailed Attendance'!CR88:CR88, "A")+COUNTIF('Detailed Attendance'!CZ88:CZ88, "A")</f>
        <v/>
      </c>
      <c r="AM87" s="68">
        <f>IF((AK87+AL87)=0,"", AK87/(AK87+AL87))</f>
        <v/>
      </c>
      <c r="AN87" s="67">
        <f>Y87+AB87+AE87+AH87+AK87</f>
        <v/>
      </c>
      <c r="AO87" s="67">
        <f>Z87+AC87+AF87+AI87+AL87</f>
        <v/>
      </c>
      <c r="AP87" s="68">
        <f>IF((AN87+AO87)=0,"", AN87/(AN87+AO87))</f>
        <v/>
      </c>
      <c r="AQ87" s="69">
        <f>COUNTIF('Detailed Attendance'!CH88:CH88, "P")+COUNTIF('Detailed Attendance'!Y88:Y88, "P")+COUNTIF('Detailed Attendance'!AS88:AS88, "P")+COUNTIF('Detailed Attendance'!BM88:BM88, "P")+COUNTIF('Detailed Attendance'!CJ88:CJ88, "P")+COUNTIF('Detailed Attendance'!AB88:AB88, "P")+COUNTIF('Detailed Attendance'!AV88:AV88, "P")+COUNTIF('Detailed Attendance'!BP88:BP88, "P")+COUNTIF('Detailed Attendance'!CM88:CM88, "P")</f>
        <v/>
      </c>
      <c r="AR87" s="69">
        <f>COUNTIF('Detailed Attendance'!CH88:CH88, "A")+COUNTIF('Detailed Attendance'!Y88:Y88, "A")+COUNTIF('Detailed Attendance'!AS88:AS88, "A")+COUNTIF('Detailed Attendance'!BM88:BM88, "A")+COUNTIF('Detailed Attendance'!CJ88:CJ88, "A")+COUNTIF('Detailed Attendance'!AB88:AB88, "A")+COUNTIF('Detailed Attendance'!AV88:AV88, "A")+COUNTIF('Detailed Attendance'!BP88:BP88, "A")+COUNTIF('Detailed Attendance'!CM88:CM88, "A")</f>
        <v/>
      </c>
      <c r="AS87" s="70">
        <f>IF((AQ87+AR87)=0,"", AQ87/(AQ87+AR87))</f>
        <v/>
      </c>
      <c r="AT87" s="67">
        <f>COUNTIF('Detailed Attendance'!DF88:DF88, "P")+COUNTIF('Detailed Attendance'!DT88:DT88, "P")+COUNTIF('Detailed Attendance'!EC88:EC88, "P")+COUNTIF('Detailed Attendance'!EQ88:EQ88, "P")+COUNTIF('Detailed Attendance'!EW88:EW88, "P")+COUNTIF('Detailed Attendance'!FK88:FK88, "P")+COUNTIF('Detailed Attendance'!FM88:FM88, "P")+COUNTIF('Detailed Attendance'!GA88:GA88, "P")</f>
        <v/>
      </c>
      <c r="AU87" s="67">
        <f>COUNTIF('Detailed Attendance'!DF88:DF88, "A")+COUNTIF('Detailed Attendance'!DT88:DT88, "A")+COUNTIF('Detailed Attendance'!EC88:EC88, "A")+COUNTIF('Detailed Attendance'!EQ88:EQ88, "A")+COUNTIF('Detailed Attendance'!EW88:EW88, "A")+COUNTIF('Detailed Attendance'!FK88:FK88, "A")+COUNTIF('Detailed Attendance'!FM88:FM88, "A")+COUNTIF('Detailed Attendance'!GA88:GA88, "A")</f>
        <v/>
      </c>
      <c r="AV87" s="68">
        <f>IF((AT87+AU87)=0,"", AT87/(AT87+AU87))</f>
        <v/>
      </c>
      <c r="AW87" s="67">
        <f>COUNTIF('Detailed Attendance'!DK88:DK88, "P")+COUNTIF('Detailed Attendance'!DS88:DS88, "P")+COUNTIF('Detailed Attendance'!EH88:EH88, "P")+COUNTIF('Detailed Attendance'!EP88:EP88, "P")+COUNTIF('Detailed Attendance'!FB88:FB88, "P")+COUNTIF('Detailed Attendance'!FJ88:FJ88, "P")+COUNTIF('Detailed Attendance'!FR88:FR88, "P")+COUNTIF('Detailed Attendance'!FZ88:FZ88, "P")</f>
        <v/>
      </c>
      <c r="AX87" s="67">
        <f>COUNTIF('Detailed Attendance'!DK88:DK88, "A")+COUNTIF('Detailed Attendance'!DS88:DS88, "A")+COUNTIF('Detailed Attendance'!EH88:EH88, "A")+COUNTIF('Detailed Attendance'!EP88:EP88, "A")+COUNTIF('Detailed Attendance'!FB88:FB88, "A")+COUNTIF('Detailed Attendance'!FJ88:FJ88, "A")+COUNTIF('Detailed Attendance'!FR88:FR88, "A")+COUNTIF('Detailed Attendance'!FZ88:FZ88, "A")</f>
        <v/>
      </c>
      <c r="AY87" s="68">
        <f>IF((AW87+AX87)=0,"", AW87/(AW87+AX87))</f>
        <v/>
      </c>
      <c r="AZ87" s="67">
        <f>COUNTIF('Detailed Attendance'!DN88:DN88, "P")+COUNTIF('Detailed Attendance'!DR88:DR88, "P")+COUNTIF('Detailed Attendance'!EK88:EK88, "P")+COUNTIF('Detailed Attendance'!EO88:EO88, "P")+COUNTIF('Detailed Attendance'!FE88:FE88, "P")+COUNTIF('Detailed Attendance'!FI88:FI88, "P")+COUNTIF('Detailed Attendance'!FU88:FU88, "P")+COUNTIF('Detailed Attendance'!FY88:FY88, "P")</f>
        <v/>
      </c>
      <c r="BA87" s="67">
        <f>COUNTIF('Detailed Attendance'!DN88:DN88, "A")+COUNTIF('Detailed Attendance'!DR88:DR88, "A")+COUNTIF('Detailed Attendance'!EK88:EK88, "A")+COUNTIF('Detailed Attendance'!EO88:EO88, "A")+COUNTIF('Detailed Attendance'!FE88:FE88, "A")+COUNTIF('Detailed Attendance'!FI88:FI88, "A")+COUNTIF('Detailed Attendance'!FU88:FU88, "A")+COUNTIF('Detailed Attendance'!FY88:FY88, "A")</f>
        <v/>
      </c>
      <c r="BB87" s="68">
        <f>IF((AZ87+BA87)=0,"", AZ87/(AZ87+BA87))</f>
        <v/>
      </c>
      <c r="BC87" s="67">
        <f>COUNTIF('Detailed Attendance'!DC88:DC88, "P")+COUNTIF('Detailed Attendance'!DV88:DV88, "P")+COUNTIF('Detailed Attendance'!DZ88:DZ88, "P")+COUNTIF('Detailed Attendance'!ES88:ES88, "P")+COUNTIF('Detailed Attendance'!GC88:GC88, "P")+COUNTIF('Detailed Attendance'!GG88:GG88, "P")</f>
        <v/>
      </c>
      <c r="BD87" s="67">
        <f>COUNTIF('Detailed Attendance'!DC88:DC88, "A")+COUNTIF('Detailed Attendance'!DV88:DV88, "A")+COUNTIF('Detailed Attendance'!DZ88:DZ88, "A")+COUNTIF('Detailed Attendance'!ES88:ES88, "A")+COUNTIF('Detailed Attendance'!GC88:GC88, "A")+COUNTIF('Detailed Attendance'!GG88:GG88, "A")</f>
        <v/>
      </c>
      <c r="BE87" s="68">
        <f>IF((BC87+BD87)=0,"", BC87/(BC87+BD87))</f>
        <v/>
      </c>
      <c r="BF87" s="67">
        <f>COUNTIF('Detailed Attendance'!DO88:DO88, "P")+COUNTIF('Detailed Attendance'!DW88:DW88, "P")+COUNTIF('Detailed Attendance'!EL88:EL88, "P")+COUNTIF('Detailed Attendance'!ET88:ET88, "P")+COUNTIF('Detailed Attendance'!FF88:FF88, "P")+COUNTIF('Detailed Attendance'!FV88:FV88, "P")+COUNTIF('Detailed Attendance'!GD88:GD88, "P")</f>
        <v/>
      </c>
      <c r="BG87" s="67">
        <f>COUNTIF('Detailed Attendance'!DO88:DO88, "A")+COUNTIF('Detailed Attendance'!DW88:DW88, "A")+COUNTIF('Detailed Attendance'!EL88:EL88, "A")+COUNTIF('Detailed Attendance'!ET88:ET88, "A")+COUNTIF('Detailed Attendance'!FF88:FF88, "A")+COUNTIF('Detailed Attendance'!FV88:FV88, "A")+COUNTIF('Detailed Attendance'!GD88:GD88, "A")</f>
        <v/>
      </c>
      <c r="BH87" s="68">
        <f>IF((BF87+BG87)=0,"", BF87/(BF87+BG87))</f>
        <v/>
      </c>
      <c r="BI87" s="67">
        <f>AT87+AW87+AZ87+BC87+BF87</f>
        <v/>
      </c>
      <c r="BJ87" s="67">
        <f>AU87+AX87+BA87+BD87+BG87</f>
        <v/>
      </c>
      <c r="BK87" s="68">
        <f>IF((BI87+BJ87)=0,"", BI87/(BI87+BJ87))</f>
        <v/>
      </c>
      <c r="BL87" s="69">
        <f>COUNTIF('Detailed Attendance'!DE88:DE88, "P")+COUNTIF('Detailed Attendance'!EB88:EB88, "P")+COUNTIF('Detailed Attendance'!GI88:GI88, "P")+COUNTIF('Detailed Attendance'!DG88:DG88, "P")+COUNTIF('Detailed Attendance'!ED88:ED88, "P")+COUNTIF('Detailed Attendance'!EX88:EX88, "P")+COUNTIF('Detailed Attendance'!FN88:FN88, "P")+COUNTIF('Detailed Attendance'!DJ88:DJ88, "P")+COUNTIF('Detailed Attendance'!EG88:EG88, "P")+COUNTIF('Detailed Attendance'!FA88:FA88, "P")+COUNTIF('Detailed Attendance'!FQ88:FQ88, "P")</f>
        <v/>
      </c>
      <c r="BM87" s="69">
        <f>COUNTIF('Detailed Attendance'!DE88:DE88, "A")+COUNTIF('Detailed Attendance'!EB88:EB88, "A")+COUNTIF('Detailed Attendance'!GI88:GI88, "A")+COUNTIF('Detailed Attendance'!DG88:DG88, "A")+COUNTIF('Detailed Attendance'!ED88:ED88, "A")+COUNTIF('Detailed Attendance'!EX88:EX88, "A")+COUNTIF('Detailed Attendance'!FN88:FN88, "A")+COUNTIF('Detailed Attendance'!DJ88:DJ88, "A")+COUNTIF('Detailed Attendance'!EG88:EG88, "A")+COUNTIF('Detailed Attendance'!FA88:FA88, "A")+COUNTIF('Detailed Attendance'!FQ88:FQ88, "A")</f>
        <v/>
      </c>
      <c r="BN87" s="70">
        <f>IF((BL87+BM87)=0,"", BL87/(BL87+BM87))</f>
        <v/>
      </c>
      <c r="BO87" s="67">
        <f>D87+Y87+AT87</f>
        <v/>
      </c>
      <c r="BP87" s="67">
        <f>E87+Z87+AU87</f>
        <v/>
      </c>
      <c r="BQ87" s="68">
        <f>IF((BO87+BP87)=0,"", BO87/(BO87+BP87))</f>
        <v/>
      </c>
      <c r="BR87" s="67">
        <f>G87+AB87+AW87</f>
        <v/>
      </c>
      <c r="BS87" s="67">
        <f>H87+AC87+AX87</f>
        <v/>
      </c>
      <c r="BT87" s="68">
        <f>IF((BR87+BS87)=0,"", BR87/(BR87+BS87))</f>
        <v/>
      </c>
      <c r="BU87" s="67">
        <f>J87+AE87+AZ87</f>
        <v/>
      </c>
      <c r="BV87" s="67">
        <f>K87+AF87+BA87</f>
        <v/>
      </c>
      <c r="BW87" s="68">
        <f>IF((BU87+BV87)=0,"", BU87/(BU87+BV87))</f>
        <v/>
      </c>
      <c r="BX87" s="67">
        <f>M87+AH87+BC87</f>
        <v/>
      </c>
      <c r="BY87" s="67">
        <f>N87+AI87+BD87</f>
        <v/>
      </c>
      <c r="BZ87" s="68">
        <f>IF((BX87+BY87)=0,"", BX87/(BX87+BY87))</f>
        <v/>
      </c>
      <c r="CA87" s="67">
        <f>P87+AK87+BF87</f>
        <v/>
      </c>
      <c r="CB87" s="67">
        <f>Q87+AL87+BG87</f>
        <v/>
      </c>
      <c r="CC87" s="68">
        <f>IF((CA87+CB87)=0,"", CA87/(CA87+CB87))</f>
        <v/>
      </c>
      <c r="CD87" s="67">
        <f>S87+AN87+BI87</f>
        <v/>
      </c>
      <c r="CE87" s="67">
        <f>T87+AO87+BJ87</f>
        <v/>
      </c>
      <c r="CF87" s="68">
        <f>IF((CD87+CE87)=0,"", CD87/(CD87+CE87))</f>
        <v/>
      </c>
      <c r="CG87" s="69">
        <f>V87+AQ87+BL87</f>
        <v/>
      </c>
      <c r="CH87" s="69">
        <f>W87+AR87+BM87</f>
        <v/>
      </c>
      <c r="CI87" s="70">
        <f>IF((CG87+CH87)=0,"", CG87/(CG87+CH87))</f>
        <v/>
      </c>
      <c r="CJ87" s="67">
        <f>CD87+(CG87*2)</f>
        <v/>
      </c>
      <c r="CK87" s="67">
        <f>CE87+(CH87*2)</f>
        <v/>
      </c>
      <c r="CL87" s="68">
        <f>IF((CJ87+CK87)=0,"", CJ87/(CJ87+CK87))</f>
        <v/>
      </c>
      <c r="CM87" s="67" t="inlineStr">
        <is>
          <t>Batch 3</t>
        </is>
      </c>
    </row>
    <row r="88" ht="14.25" customHeight="1" s="34">
      <c r="A88" s="46" t="n">
        <v>86</v>
      </c>
      <c r="B88" s="46" t="inlineStr">
        <is>
          <t>325106410086</t>
        </is>
      </c>
      <c r="C88" s="46" t="inlineStr">
        <is>
          <t>KONATE MARIAM DJAMILA</t>
        </is>
      </c>
      <c r="D88" s="63" t="n">
        <v>0</v>
      </c>
      <c r="E88" s="63" t="n">
        <v>0</v>
      </c>
      <c r="F88" s="64">
        <f>IF((D88+E88)=0,"", D88/(D88+E88))</f>
        <v/>
      </c>
      <c r="G88" s="63">
        <f>COUNTIF('Detailed Attendance'!I89:I89, "P")</f>
        <v/>
      </c>
      <c r="H88" s="63">
        <f>COUNTIF('Detailed Attendance'!I89:I89, "A")</f>
        <v/>
      </c>
      <c r="I88" s="64">
        <f>IF((G88+H88)=0,"", G88/(G88+H88))</f>
        <v/>
      </c>
      <c r="J88" s="63" t="n">
        <v>0</v>
      </c>
      <c r="K88" s="63" t="n">
        <v>0</v>
      </c>
      <c r="L88" s="64">
        <f>IF((J88+K88)=0,"", J88/(J88+K88))</f>
        <v/>
      </c>
      <c r="M88" s="63">
        <f>COUNTIF('Detailed Attendance'!D89:D89, "P")</f>
        <v/>
      </c>
      <c r="N88" s="63">
        <f>COUNTIF('Detailed Attendance'!D89:D89, "A")</f>
        <v/>
      </c>
      <c r="O88" s="64">
        <f>IF((M88+N88)=0,"", M88/(M88+N88))</f>
        <v/>
      </c>
      <c r="P88" s="63" t="n">
        <v>0</v>
      </c>
      <c r="Q88" s="63" t="n">
        <v>0</v>
      </c>
      <c r="R88" s="64">
        <f>IF((P88+Q88)=0,"", P88/(P88+Q88))</f>
        <v/>
      </c>
      <c r="S88" s="63">
        <f>D88+G88+J88+M88+P88</f>
        <v/>
      </c>
      <c r="T88" s="63">
        <f>E88+H88+K88+N88+Q88</f>
        <v/>
      </c>
      <c r="U88" s="64">
        <f>IF((S88+T88)=0,"", S88/(S88+T88))</f>
        <v/>
      </c>
      <c r="V88" s="65">
        <f>COUNTIF('Detailed Attendance'!E89:E89, "P")+COUNTIF('Detailed Attendance'!H89:H89, "P")</f>
        <v/>
      </c>
      <c r="W88" s="65">
        <f>COUNTIF('Detailed Attendance'!E89:E89, "A")+COUNTIF('Detailed Attendance'!H89:H89, "A")</f>
        <v/>
      </c>
      <c r="X88" s="66">
        <f>IF((V88+W88)=0,"", V88/(V88+W88))</f>
        <v/>
      </c>
      <c r="Y88" s="63">
        <f>COUNTIF('Detailed Attendance'!R89:R89, "P")+COUNTIF('Detailed Attendance'!X89:X89, "P")+COUNTIF('Detailed Attendance'!AL89:AL89, "P")+COUNTIF('Detailed Attendance'!BF89:BF89, "P")+COUNTIF('Detailed Attendance'!BL89:BL89, "P")+COUNTIF('Detailed Attendance'!BZ89:BZ89, "P")+COUNTIF('Detailed Attendance'!CI89:CI89, "P")+COUNTIF('Detailed Attendance'!CW89:CW89, "P")</f>
        <v/>
      </c>
      <c r="Z88" s="63">
        <f>COUNTIF('Detailed Attendance'!R89:R89, "A")+COUNTIF('Detailed Attendance'!X89:X89, "A")+COUNTIF('Detailed Attendance'!AL89:AL89, "A")+COUNTIF('Detailed Attendance'!BF89:BF89, "A")+COUNTIF('Detailed Attendance'!BL89:BL89, "A")+COUNTIF('Detailed Attendance'!BZ89:BZ89, "A")+COUNTIF('Detailed Attendance'!CI89:CI89, "A")+COUNTIF('Detailed Attendance'!CW89:CW89, "A")</f>
        <v/>
      </c>
      <c r="AA88" s="64">
        <f>IF((Y88+Z88)=0,"", Y88/(Y88+Z88))</f>
        <v/>
      </c>
      <c r="AB88" s="63">
        <f>COUNTIF('Detailed Attendance'!Q89:Q89, "P")+COUNTIF('Detailed Attendance'!AC89:AC89, "P")+COUNTIF('Detailed Attendance'!AK89:AK89, "P")+COUNTIF('Detailed Attendance'!AW89:AW89, "P")+COUNTIF('Detailed Attendance'!BE89:BE89, "P")+COUNTIF('Detailed Attendance'!BQ89:BQ89, "P")+COUNTIF('Detailed Attendance'!BY89:BY89, "P")+COUNTIF('Detailed Attendance'!CN89:CN89, "P")+COUNTIF('Detailed Attendance'!CV89:CV89, "P")</f>
        <v/>
      </c>
      <c r="AC88" s="63">
        <f>COUNTIF('Detailed Attendance'!Q89:Q89, "A")+COUNTIF('Detailed Attendance'!AC89:AC89, "A")+COUNTIF('Detailed Attendance'!AK89:AK89, "A")+COUNTIF('Detailed Attendance'!AW89:AW89, "A")+COUNTIF('Detailed Attendance'!BE89:BE89, "A")+COUNTIF('Detailed Attendance'!BQ89:BQ89, "A")+COUNTIF('Detailed Attendance'!BY89:BY89, "A")+COUNTIF('Detailed Attendance'!CN89:CN89, "A")+COUNTIF('Detailed Attendance'!CV89:CV89, "A")</f>
        <v/>
      </c>
      <c r="AD88" s="64">
        <f>IF((AB88+AC88)=0,"", AB88/(AB88+AC88))</f>
        <v/>
      </c>
      <c r="AE88" s="63">
        <f>COUNTIF('Detailed Attendance'!L89:L89, "P")+COUNTIF('Detailed Attendance'!P89:P89, "P")+COUNTIF('Detailed Attendance'!AF89:AF89, "P")+COUNTIF('Detailed Attendance'!AJ89:AJ89, "P")+COUNTIF('Detailed Attendance'!AZ89:AZ89, "P")+COUNTIF('Detailed Attendance'!BD89:BD89, "P")+COUNTIF('Detailed Attendance'!BT89:BT89, "P")+COUNTIF('Detailed Attendance'!BX89:BX89, "P")+COUNTIF('Detailed Attendance'!CQ89:CQ89, "P")+COUNTIF('Detailed Attendance'!CU89:CU89, "P")</f>
        <v/>
      </c>
      <c r="AF88" s="67">
        <f>COUNTIF('Detailed Attendance'!L89:L89, "A")+COUNTIF('Detailed Attendance'!P89:P89, "A")+COUNTIF('Detailed Attendance'!AF89:AF89, "A")+COUNTIF('Detailed Attendance'!AJ89:AJ89, "A")+COUNTIF('Detailed Attendance'!AZ89:AZ89, "A")+COUNTIF('Detailed Attendance'!BD89:BD89, "A")+COUNTIF('Detailed Attendance'!BT89:BT89, "A")+COUNTIF('Detailed Attendance'!BX89:BX89, "A")+COUNTIF('Detailed Attendance'!CQ89:CQ89, "A")+COUNTIF('Detailed Attendance'!CU89:CU89, "A")</f>
        <v/>
      </c>
      <c r="AG88" s="68">
        <f>IF((AE88+AF88)=0,"", AE88/(AE88+AF88))</f>
        <v/>
      </c>
      <c r="AH88" s="67">
        <f>COUNTIF('Detailed Attendance'!T89:T89, "P")+COUNTIF('Detailed Attendance'!AN89:AN89, "P")+COUNTIF('Detailed Attendance'!AR89:AR89, "P")+COUNTIF('Detailed Attendance'!BH89:BH89, "P")+COUNTIF('Detailed Attendance'!CB89:CB89, "P")+COUNTIF('Detailed Attendance'!CF89:CF89, "P")+COUNTIF('Detailed Attendance'!CY89:CY89, "P")</f>
        <v/>
      </c>
      <c r="AI88" s="67">
        <f>COUNTIF('Detailed Attendance'!T89:T89, "A")+COUNTIF('Detailed Attendance'!AN89:AN89, "A")+COUNTIF('Detailed Attendance'!AR89:AR89, "A")+COUNTIF('Detailed Attendance'!BH89:BH89, "A")+COUNTIF('Detailed Attendance'!CB89:CB89, "A")+COUNTIF('Detailed Attendance'!CF89:CF89, "A")+COUNTIF('Detailed Attendance'!CY89:CY89, "A")</f>
        <v/>
      </c>
      <c r="AJ88" s="68">
        <f>IF((AH88+AI88)=0,"", AH88/(AH88+AI88))</f>
        <v/>
      </c>
      <c r="AK88" s="67">
        <f>COUNTIF('Detailed Attendance'!M89:M89, "P")+COUNTIF('Detailed Attendance'!U89:U89, "P")+COUNTIF('Detailed Attendance'!AG89:AG89, "P")+COUNTIF('Detailed Attendance'!AO89:AO89, "P")+COUNTIF('Detailed Attendance'!BA89:BA89, "P")+COUNTIF('Detailed Attendance'!BI89:BI89, "P")+COUNTIF('Detailed Attendance'!BU89:BU89, "P")+COUNTIF('Detailed Attendance'!CC89:CC89, "P")+COUNTIF('Detailed Attendance'!CR89:CR89, "P")+COUNTIF('Detailed Attendance'!CZ89:CZ89, "P")</f>
        <v/>
      </c>
      <c r="AL88" s="67">
        <f>COUNTIF('Detailed Attendance'!M89:M89, "A")+COUNTIF('Detailed Attendance'!U89:U89, "A")+COUNTIF('Detailed Attendance'!AG89:AG89, "A")+COUNTIF('Detailed Attendance'!AO89:AO89, "A")+COUNTIF('Detailed Attendance'!BA89:BA89, "A")+COUNTIF('Detailed Attendance'!BI89:BI89, "A")+COUNTIF('Detailed Attendance'!BU89:BU89, "A")+COUNTIF('Detailed Attendance'!CC89:CC89, "A")+COUNTIF('Detailed Attendance'!CR89:CR89, "A")+COUNTIF('Detailed Attendance'!CZ89:CZ89, "A")</f>
        <v/>
      </c>
      <c r="AM88" s="68">
        <f>IF((AK88+AL88)=0,"", AK88/(AK88+AL88))</f>
        <v/>
      </c>
      <c r="AN88" s="67">
        <f>Y88+AB88+AE88+AH88+AK88</f>
        <v/>
      </c>
      <c r="AO88" s="67">
        <f>Z88+AC88+AF88+AI88+AL88</f>
        <v/>
      </c>
      <c r="AP88" s="68">
        <f>IF((AN88+AO88)=0,"", AN88/(AN88+AO88))</f>
        <v/>
      </c>
      <c r="AQ88" s="69">
        <f>COUNTIF('Detailed Attendance'!CH89:CH89, "P")+COUNTIF('Detailed Attendance'!Y89:Y89, "P")+COUNTIF('Detailed Attendance'!AS89:AS89, "P")+COUNTIF('Detailed Attendance'!BM89:BM89, "P")+COUNTIF('Detailed Attendance'!CJ89:CJ89, "P")+COUNTIF('Detailed Attendance'!AB89:AB89, "P")+COUNTIF('Detailed Attendance'!AV89:AV89, "P")+COUNTIF('Detailed Attendance'!BP89:BP89, "P")+COUNTIF('Detailed Attendance'!CM89:CM89, "P")</f>
        <v/>
      </c>
      <c r="AR88" s="69">
        <f>COUNTIF('Detailed Attendance'!CH89:CH89, "A")+COUNTIF('Detailed Attendance'!Y89:Y89, "A")+COUNTIF('Detailed Attendance'!AS89:AS89, "A")+COUNTIF('Detailed Attendance'!BM89:BM89, "A")+COUNTIF('Detailed Attendance'!CJ89:CJ89, "A")+COUNTIF('Detailed Attendance'!AB89:AB89, "A")+COUNTIF('Detailed Attendance'!AV89:AV89, "A")+COUNTIF('Detailed Attendance'!BP89:BP89, "A")+COUNTIF('Detailed Attendance'!CM89:CM89, "A")</f>
        <v/>
      </c>
      <c r="AS88" s="70">
        <f>IF((AQ88+AR88)=0,"", AQ88/(AQ88+AR88))</f>
        <v/>
      </c>
      <c r="AT88" s="67">
        <f>COUNTIF('Detailed Attendance'!DF89:DF89, "P")+COUNTIF('Detailed Attendance'!DT89:DT89, "P")+COUNTIF('Detailed Attendance'!EC89:EC89, "P")+COUNTIF('Detailed Attendance'!EQ89:EQ89, "P")+COUNTIF('Detailed Attendance'!EW89:EW89, "P")+COUNTIF('Detailed Attendance'!FK89:FK89, "P")+COUNTIF('Detailed Attendance'!FM89:FM89, "P")+COUNTIF('Detailed Attendance'!GA89:GA89, "P")</f>
        <v/>
      </c>
      <c r="AU88" s="67">
        <f>COUNTIF('Detailed Attendance'!DF89:DF89, "A")+COUNTIF('Detailed Attendance'!DT89:DT89, "A")+COUNTIF('Detailed Attendance'!EC89:EC89, "A")+COUNTIF('Detailed Attendance'!EQ89:EQ89, "A")+COUNTIF('Detailed Attendance'!EW89:EW89, "A")+COUNTIF('Detailed Attendance'!FK89:FK89, "A")+COUNTIF('Detailed Attendance'!FM89:FM89, "A")+COUNTIF('Detailed Attendance'!GA89:GA89, "A")</f>
        <v/>
      </c>
      <c r="AV88" s="68">
        <f>IF((AT88+AU88)=0,"", AT88/(AT88+AU88))</f>
        <v/>
      </c>
      <c r="AW88" s="67">
        <f>COUNTIF('Detailed Attendance'!DK89:DK89, "P")+COUNTIF('Detailed Attendance'!DS89:DS89, "P")+COUNTIF('Detailed Attendance'!EH89:EH89, "P")+COUNTIF('Detailed Attendance'!EP89:EP89, "P")+COUNTIF('Detailed Attendance'!FB89:FB89, "P")+COUNTIF('Detailed Attendance'!FJ89:FJ89, "P")+COUNTIF('Detailed Attendance'!FR89:FR89, "P")+COUNTIF('Detailed Attendance'!FZ89:FZ89, "P")</f>
        <v/>
      </c>
      <c r="AX88" s="67">
        <f>COUNTIF('Detailed Attendance'!DK89:DK89, "A")+COUNTIF('Detailed Attendance'!DS89:DS89, "A")+COUNTIF('Detailed Attendance'!EH89:EH89, "A")+COUNTIF('Detailed Attendance'!EP89:EP89, "A")+COUNTIF('Detailed Attendance'!FB89:FB89, "A")+COUNTIF('Detailed Attendance'!FJ89:FJ89, "A")+COUNTIF('Detailed Attendance'!FR89:FR89, "A")+COUNTIF('Detailed Attendance'!FZ89:FZ89, "A")</f>
        <v/>
      </c>
      <c r="AY88" s="68">
        <f>IF((AW88+AX88)=0,"", AW88/(AW88+AX88))</f>
        <v/>
      </c>
      <c r="AZ88" s="67">
        <f>COUNTIF('Detailed Attendance'!DN89:DN89, "P")+COUNTIF('Detailed Attendance'!DR89:DR89, "P")+COUNTIF('Detailed Attendance'!EK89:EK89, "P")+COUNTIF('Detailed Attendance'!EO89:EO89, "P")+COUNTIF('Detailed Attendance'!FE89:FE89, "P")+COUNTIF('Detailed Attendance'!FI89:FI89, "P")+COUNTIF('Detailed Attendance'!FU89:FU89, "P")+COUNTIF('Detailed Attendance'!FY89:FY89, "P")</f>
        <v/>
      </c>
      <c r="BA88" s="67">
        <f>COUNTIF('Detailed Attendance'!DN89:DN89, "A")+COUNTIF('Detailed Attendance'!DR89:DR89, "A")+COUNTIF('Detailed Attendance'!EK89:EK89, "A")+COUNTIF('Detailed Attendance'!EO89:EO89, "A")+COUNTIF('Detailed Attendance'!FE89:FE89, "A")+COUNTIF('Detailed Attendance'!FI89:FI89, "A")+COUNTIF('Detailed Attendance'!FU89:FU89, "A")+COUNTIF('Detailed Attendance'!FY89:FY89, "A")</f>
        <v/>
      </c>
      <c r="BB88" s="68">
        <f>IF((AZ88+BA88)=0,"", AZ88/(AZ88+BA88))</f>
        <v/>
      </c>
      <c r="BC88" s="67">
        <f>COUNTIF('Detailed Attendance'!DC89:DC89, "P")+COUNTIF('Detailed Attendance'!DV89:DV89, "P")+COUNTIF('Detailed Attendance'!DZ89:DZ89, "P")+COUNTIF('Detailed Attendance'!ES89:ES89, "P")+COUNTIF('Detailed Attendance'!GC89:GC89, "P")+COUNTIF('Detailed Attendance'!GG89:GG89, "P")</f>
        <v/>
      </c>
      <c r="BD88" s="67">
        <f>COUNTIF('Detailed Attendance'!DC89:DC89, "A")+COUNTIF('Detailed Attendance'!DV89:DV89, "A")+COUNTIF('Detailed Attendance'!DZ89:DZ89, "A")+COUNTIF('Detailed Attendance'!ES89:ES89, "A")+COUNTIF('Detailed Attendance'!GC89:GC89, "A")+COUNTIF('Detailed Attendance'!GG89:GG89, "A")</f>
        <v/>
      </c>
      <c r="BE88" s="68">
        <f>IF((BC88+BD88)=0,"", BC88/(BC88+BD88))</f>
        <v/>
      </c>
      <c r="BF88" s="67">
        <f>COUNTIF('Detailed Attendance'!DO89:DO89, "P")+COUNTIF('Detailed Attendance'!DW89:DW89, "P")+COUNTIF('Detailed Attendance'!EL89:EL89, "P")+COUNTIF('Detailed Attendance'!ET89:ET89, "P")+COUNTIF('Detailed Attendance'!FF89:FF89, "P")+COUNTIF('Detailed Attendance'!FV89:FV89, "P")+COUNTIF('Detailed Attendance'!GD89:GD89, "P")</f>
        <v/>
      </c>
      <c r="BG88" s="67">
        <f>COUNTIF('Detailed Attendance'!DO89:DO89, "A")+COUNTIF('Detailed Attendance'!DW89:DW89, "A")+COUNTIF('Detailed Attendance'!EL89:EL89, "A")+COUNTIF('Detailed Attendance'!ET89:ET89, "A")+COUNTIF('Detailed Attendance'!FF89:FF89, "A")+COUNTIF('Detailed Attendance'!FV89:FV89, "A")+COUNTIF('Detailed Attendance'!GD89:GD89, "A")</f>
        <v/>
      </c>
      <c r="BH88" s="68">
        <f>IF((BF88+BG88)=0,"", BF88/(BF88+BG88))</f>
        <v/>
      </c>
      <c r="BI88" s="67">
        <f>AT88+AW88+AZ88+BC88+BF88</f>
        <v/>
      </c>
      <c r="BJ88" s="67">
        <f>AU88+AX88+BA88+BD88+BG88</f>
        <v/>
      </c>
      <c r="BK88" s="68">
        <f>IF((BI88+BJ88)=0,"", BI88/(BI88+BJ88))</f>
        <v/>
      </c>
      <c r="BL88" s="69">
        <f>COUNTIF('Detailed Attendance'!DE89:DE89, "P")+COUNTIF('Detailed Attendance'!EB89:EB89, "P")+COUNTIF('Detailed Attendance'!GI89:GI89, "P")+COUNTIF('Detailed Attendance'!DG89:DG89, "P")+COUNTIF('Detailed Attendance'!ED89:ED89, "P")+COUNTIF('Detailed Attendance'!EX89:EX89, "P")+COUNTIF('Detailed Attendance'!FN89:FN89, "P")+COUNTIF('Detailed Attendance'!DJ89:DJ89, "P")+COUNTIF('Detailed Attendance'!EG89:EG89, "P")+COUNTIF('Detailed Attendance'!FA89:FA89, "P")+COUNTIF('Detailed Attendance'!FQ89:FQ89, "P")</f>
        <v/>
      </c>
      <c r="BM88" s="69">
        <f>COUNTIF('Detailed Attendance'!DE89:DE89, "A")+COUNTIF('Detailed Attendance'!EB89:EB89, "A")+COUNTIF('Detailed Attendance'!GI89:GI89, "A")+COUNTIF('Detailed Attendance'!DG89:DG89, "A")+COUNTIF('Detailed Attendance'!ED89:ED89, "A")+COUNTIF('Detailed Attendance'!EX89:EX89, "A")+COUNTIF('Detailed Attendance'!FN89:FN89, "A")+COUNTIF('Detailed Attendance'!DJ89:DJ89, "A")+COUNTIF('Detailed Attendance'!EG89:EG89, "A")+COUNTIF('Detailed Attendance'!FA89:FA89, "A")+COUNTIF('Detailed Attendance'!FQ89:FQ89, "A")</f>
        <v/>
      </c>
      <c r="BN88" s="70">
        <f>IF((BL88+BM88)=0,"", BL88/(BL88+BM88))</f>
        <v/>
      </c>
      <c r="BO88" s="67">
        <f>D88+Y88+AT88</f>
        <v/>
      </c>
      <c r="BP88" s="67">
        <f>E88+Z88+AU88</f>
        <v/>
      </c>
      <c r="BQ88" s="68">
        <f>IF((BO88+BP88)=0,"", BO88/(BO88+BP88))</f>
        <v/>
      </c>
      <c r="BR88" s="67">
        <f>G88+AB88+AW88</f>
        <v/>
      </c>
      <c r="BS88" s="67">
        <f>H88+AC88+AX88</f>
        <v/>
      </c>
      <c r="BT88" s="68">
        <f>IF((BR88+BS88)=0,"", BR88/(BR88+BS88))</f>
        <v/>
      </c>
      <c r="BU88" s="67">
        <f>J88+AE88+AZ88</f>
        <v/>
      </c>
      <c r="BV88" s="67">
        <f>K88+AF88+BA88</f>
        <v/>
      </c>
      <c r="BW88" s="68">
        <f>IF((BU88+BV88)=0,"", BU88/(BU88+BV88))</f>
        <v/>
      </c>
      <c r="BX88" s="67">
        <f>M88+AH88+BC88</f>
        <v/>
      </c>
      <c r="BY88" s="67">
        <f>N88+AI88+BD88</f>
        <v/>
      </c>
      <c r="BZ88" s="68">
        <f>IF((BX88+BY88)=0,"", BX88/(BX88+BY88))</f>
        <v/>
      </c>
      <c r="CA88" s="67">
        <f>P88+AK88+BF88</f>
        <v/>
      </c>
      <c r="CB88" s="67">
        <f>Q88+AL88+BG88</f>
        <v/>
      </c>
      <c r="CC88" s="68">
        <f>IF((CA88+CB88)=0,"", CA88/(CA88+CB88))</f>
        <v/>
      </c>
      <c r="CD88" s="67">
        <f>S88+AN88+BI88</f>
        <v/>
      </c>
      <c r="CE88" s="67">
        <f>T88+AO88+BJ88</f>
        <v/>
      </c>
      <c r="CF88" s="68">
        <f>IF((CD88+CE88)=0,"", CD88/(CD88+CE88))</f>
        <v/>
      </c>
      <c r="CG88" s="69">
        <f>V88+AQ88+BL88</f>
        <v/>
      </c>
      <c r="CH88" s="69">
        <f>W88+AR88+BM88</f>
        <v/>
      </c>
      <c r="CI88" s="70">
        <f>IF((CG88+CH88)=0,"", CG88/(CG88+CH88))</f>
        <v/>
      </c>
      <c r="CJ88" s="67">
        <f>CD88+(CG88*2)</f>
        <v/>
      </c>
      <c r="CK88" s="67">
        <f>CE88+(CH88*2)</f>
        <v/>
      </c>
      <c r="CL88" s="68">
        <f>IF((CJ88+CK88)=0,"", CJ88/(CJ88+CK88))</f>
        <v/>
      </c>
      <c r="CM88" s="67" t="inlineStr">
        <is>
          <t>Batch 3</t>
        </is>
      </c>
    </row>
    <row r="89" ht="14.25" customHeight="1" s="34">
      <c r="A89" s="46" t="n">
        <v>87</v>
      </c>
      <c r="B89" s="46" t="inlineStr">
        <is>
          <t>325106410087</t>
        </is>
      </c>
      <c r="C89" s="46" t="inlineStr">
        <is>
          <t>LINDOKUHLE FRANCE DLAMINI</t>
        </is>
      </c>
      <c r="D89" s="63" t="n">
        <v>0</v>
      </c>
      <c r="E89" s="63" t="n">
        <v>0</v>
      </c>
      <c r="F89" s="64">
        <f>IF((D89+E89)=0,"", D89/(D89+E89))</f>
        <v/>
      </c>
      <c r="G89" s="63">
        <f>COUNTIF('Detailed Attendance'!I90:I90, "P")</f>
        <v/>
      </c>
      <c r="H89" s="63">
        <f>COUNTIF('Detailed Attendance'!I90:I90, "A")</f>
        <v/>
      </c>
      <c r="I89" s="64">
        <f>IF((G89+H89)=0,"", G89/(G89+H89))</f>
        <v/>
      </c>
      <c r="J89" s="63" t="n">
        <v>0</v>
      </c>
      <c r="K89" s="63" t="n">
        <v>0</v>
      </c>
      <c r="L89" s="64">
        <f>IF((J89+K89)=0,"", J89/(J89+K89))</f>
        <v/>
      </c>
      <c r="M89" s="63">
        <f>COUNTIF('Detailed Attendance'!D90:D90, "P")</f>
        <v/>
      </c>
      <c r="N89" s="63">
        <f>COUNTIF('Detailed Attendance'!D90:D90, "A")</f>
        <v/>
      </c>
      <c r="O89" s="64">
        <f>IF((M89+N89)=0,"", M89/(M89+N89))</f>
        <v/>
      </c>
      <c r="P89" s="63" t="n">
        <v>0</v>
      </c>
      <c r="Q89" s="63" t="n">
        <v>0</v>
      </c>
      <c r="R89" s="64">
        <f>IF((P89+Q89)=0,"", P89/(P89+Q89))</f>
        <v/>
      </c>
      <c r="S89" s="63">
        <f>D89+G89+J89+M89+P89</f>
        <v/>
      </c>
      <c r="T89" s="63">
        <f>E89+H89+K89+N89+Q89</f>
        <v/>
      </c>
      <c r="U89" s="64">
        <f>IF((S89+T89)=0,"", S89/(S89+T89))</f>
        <v/>
      </c>
      <c r="V89" s="65">
        <f>COUNTIF('Detailed Attendance'!E90:E90, "P")+COUNTIF('Detailed Attendance'!H90:H90, "P")</f>
        <v/>
      </c>
      <c r="W89" s="65">
        <f>COUNTIF('Detailed Attendance'!E90:E90, "A")+COUNTIF('Detailed Attendance'!H90:H90, "A")</f>
        <v/>
      </c>
      <c r="X89" s="66">
        <f>IF((V89+W89)=0,"", V89/(V89+W89))</f>
        <v/>
      </c>
      <c r="Y89" s="63">
        <f>COUNTIF('Detailed Attendance'!R90:R90, "P")+COUNTIF('Detailed Attendance'!X90:X90, "P")+COUNTIF('Detailed Attendance'!AL90:AL90, "P")+COUNTIF('Detailed Attendance'!BF90:BF90, "P")+COUNTIF('Detailed Attendance'!BL90:BL90, "P")+COUNTIF('Detailed Attendance'!BZ90:BZ90, "P")+COUNTIF('Detailed Attendance'!CI90:CI90, "P")+COUNTIF('Detailed Attendance'!CW90:CW90, "P")</f>
        <v/>
      </c>
      <c r="Z89" s="63">
        <f>COUNTIF('Detailed Attendance'!R90:R90, "A")+COUNTIF('Detailed Attendance'!X90:X90, "A")+COUNTIF('Detailed Attendance'!AL90:AL90, "A")+COUNTIF('Detailed Attendance'!BF90:BF90, "A")+COUNTIF('Detailed Attendance'!BL90:BL90, "A")+COUNTIF('Detailed Attendance'!BZ90:BZ90, "A")+COUNTIF('Detailed Attendance'!CI90:CI90, "A")+COUNTIF('Detailed Attendance'!CW90:CW90, "A")</f>
        <v/>
      </c>
      <c r="AA89" s="64">
        <f>IF((Y89+Z89)=0,"", Y89/(Y89+Z89))</f>
        <v/>
      </c>
      <c r="AB89" s="63">
        <f>COUNTIF('Detailed Attendance'!Q90:Q90, "P")+COUNTIF('Detailed Attendance'!AC90:AC90, "P")+COUNTIF('Detailed Attendance'!AK90:AK90, "P")+COUNTIF('Detailed Attendance'!AW90:AW90, "P")+COUNTIF('Detailed Attendance'!BE90:BE90, "P")+COUNTIF('Detailed Attendance'!BQ90:BQ90, "P")+COUNTIF('Detailed Attendance'!BY90:BY90, "P")+COUNTIF('Detailed Attendance'!CN90:CN90, "P")+COUNTIF('Detailed Attendance'!CV90:CV90, "P")</f>
        <v/>
      </c>
      <c r="AC89" s="63">
        <f>COUNTIF('Detailed Attendance'!Q90:Q90, "A")+COUNTIF('Detailed Attendance'!AC90:AC90, "A")+COUNTIF('Detailed Attendance'!AK90:AK90, "A")+COUNTIF('Detailed Attendance'!AW90:AW90, "A")+COUNTIF('Detailed Attendance'!BE90:BE90, "A")+COUNTIF('Detailed Attendance'!BQ90:BQ90, "A")+COUNTIF('Detailed Attendance'!BY90:BY90, "A")+COUNTIF('Detailed Attendance'!CN90:CN90, "A")+COUNTIF('Detailed Attendance'!CV90:CV90, "A")</f>
        <v/>
      </c>
      <c r="AD89" s="64">
        <f>IF((AB89+AC89)=0,"", AB89/(AB89+AC89))</f>
        <v/>
      </c>
      <c r="AE89" s="63">
        <f>COUNTIF('Detailed Attendance'!L90:L90, "P")+COUNTIF('Detailed Attendance'!P90:P90, "P")+COUNTIF('Detailed Attendance'!AF90:AF90, "P")+COUNTIF('Detailed Attendance'!AJ90:AJ90, "P")+COUNTIF('Detailed Attendance'!AZ90:AZ90, "P")+COUNTIF('Detailed Attendance'!BD90:BD90, "P")+COUNTIF('Detailed Attendance'!BT90:BT90, "P")+COUNTIF('Detailed Attendance'!BX90:BX90, "P")+COUNTIF('Detailed Attendance'!CQ90:CQ90, "P")+COUNTIF('Detailed Attendance'!CU90:CU90, "P")</f>
        <v/>
      </c>
      <c r="AF89" s="67">
        <f>COUNTIF('Detailed Attendance'!L90:L90, "A")+COUNTIF('Detailed Attendance'!P90:P90, "A")+COUNTIF('Detailed Attendance'!AF90:AF90, "A")+COUNTIF('Detailed Attendance'!AJ90:AJ90, "A")+COUNTIF('Detailed Attendance'!AZ90:AZ90, "A")+COUNTIF('Detailed Attendance'!BD90:BD90, "A")+COUNTIF('Detailed Attendance'!BT90:BT90, "A")+COUNTIF('Detailed Attendance'!BX90:BX90, "A")+COUNTIF('Detailed Attendance'!CQ90:CQ90, "A")+COUNTIF('Detailed Attendance'!CU90:CU90, "A")</f>
        <v/>
      </c>
      <c r="AG89" s="68">
        <f>IF((AE89+AF89)=0,"", AE89/(AE89+AF89))</f>
        <v/>
      </c>
      <c r="AH89" s="67">
        <f>COUNTIF('Detailed Attendance'!T90:T90, "P")+COUNTIF('Detailed Attendance'!AN90:AN90, "P")+COUNTIF('Detailed Attendance'!AR90:AR90, "P")+COUNTIF('Detailed Attendance'!BH90:BH90, "P")+COUNTIF('Detailed Attendance'!CB90:CB90, "P")+COUNTIF('Detailed Attendance'!CF90:CF90, "P")+COUNTIF('Detailed Attendance'!CY90:CY90, "P")</f>
        <v/>
      </c>
      <c r="AI89" s="67">
        <f>COUNTIF('Detailed Attendance'!T90:T90, "A")+COUNTIF('Detailed Attendance'!AN90:AN90, "A")+COUNTIF('Detailed Attendance'!AR90:AR90, "A")+COUNTIF('Detailed Attendance'!BH90:BH90, "A")+COUNTIF('Detailed Attendance'!CB90:CB90, "A")+COUNTIF('Detailed Attendance'!CF90:CF90, "A")+COUNTIF('Detailed Attendance'!CY90:CY90, "A")</f>
        <v/>
      </c>
      <c r="AJ89" s="68">
        <f>IF((AH89+AI89)=0,"", AH89/(AH89+AI89))</f>
        <v/>
      </c>
      <c r="AK89" s="67">
        <f>COUNTIF('Detailed Attendance'!M90:M90, "P")+COUNTIF('Detailed Attendance'!U90:U90, "P")+COUNTIF('Detailed Attendance'!AG90:AG90, "P")+COUNTIF('Detailed Attendance'!AO90:AO90, "P")+COUNTIF('Detailed Attendance'!BA90:BA90, "P")+COUNTIF('Detailed Attendance'!BI90:BI90, "P")+COUNTIF('Detailed Attendance'!BU90:BU90, "P")+COUNTIF('Detailed Attendance'!CC90:CC90, "P")+COUNTIF('Detailed Attendance'!CR90:CR90, "P")+COUNTIF('Detailed Attendance'!CZ90:CZ90, "P")</f>
        <v/>
      </c>
      <c r="AL89" s="67">
        <f>COUNTIF('Detailed Attendance'!M90:M90, "A")+COUNTIF('Detailed Attendance'!U90:U90, "A")+COUNTIF('Detailed Attendance'!AG90:AG90, "A")+COUNTIF('Detailed Attendance'!AO90:AO90, "A")+COUNTIF('Detailed Attendance'!BA90:BA90, "A")+COUNTIF('Detailed Attendance'!BI90:BI90, "A")+COUNTIF('Detailed Attendance'!BU90:BU90, "A")+COUNTIF('Detailed Attendance'!CC90:CC90, "A")+COUNTIF('Detailed Attendance'!CR90:CR90, "A")+COUNTIF('Detailed Attendance'!CZ90:CZ90, "A")</f>
        <v/>
      </c>
      <c r="AM89" s="68">
        <f>IF((AK89+AL89)=0,"", AK89/(AK89+AL89))</f>
        <v/>
      </c>
      <c r="AN89" s="67">
        <f>Y89+AB89+AE89+AH89+AK89</f>
        <v/>
      </c>
      <c r="AO89" s="67">
        <f>Z89+AC89+AF89+AI89+AL89</f>
        <v/>
      </c>
      <c r="AP89" s="68">
        <f>IF((AN89+AO89)=0,"", AN89/(AN89+AO89))</f>
        <v/>
      </c>
      <c r="AQ89" s="69">
        <f>COUNTIF('Detailed Attendance'!CH90:CH90, "P")+COUNTIF('Detailed Attendance'!Y90:Y90, "P")+COUNTIF('Detailed Attendance'!AS90:AS90, "P")+COUNTIF('Detailed Attendance'!BM90:BM90, "P")+COUNTIF('Detailed Attendance'!CJ90:CJ90, "P")+COUNTIF('Detailed Attendance'!AB90:AB90, "P")+COUNTIF('Detailed Attendance'!AV90:AV90, "P")+COUNTIF('Detailed Attendance'!BP90:BP90, "P")+COUNTIF('Detailed Attendance'!CM90:CM90, "P")</f>
        <v/>
      </c>
      <c r="AR89" s="69">
        <f>COUNTIF('Detailed Attendance'!CH90:CH90, "A")+COUNTIF('Detailed Attendance'!Y90:Y90, "A")+COUNTIF('Detailed Attendance'!AS90:AS90, "A")+COUNTIF('Detailed Attendance'!BM90:BM90, "A")+COUNTIF('Detailed Attendance'!CJ90:CJ90, "A")+COUNTIF('Detailed Attendance'!AB90:AB90, "A")+COUNTIF('Detailed Attendance'!AV90:AV90, "A")+COUNTIF('Detailed Attendance'!BP90:BP90, "A")+COUNTIF('Detailed Attendance'!CM90:CM90, "A")</f>
        <v/>
      </c>
      <c r="AS89" s="70">
        <f>IF((AQ89+AR89)=0,"", AQ89/(AQ89+AR89))</f>
        <v/>
      </c>
      <c r="AT89" s="67">
        <f>COUNTIF('Detailed Attendance'!DF90:DF90, "P")+COUNTIF('Detailed Attendance'!DT90:DT90, "P")+COUNTIF('Detailed Attendance'!EC90:EC90, "P")+COUNTIF('Detailed Attendance'!EQ90:EQ90, "P")+COUNTIF('Detailed Attendance'!EW90:EW90, "P")+COUNTIF('Detailed Attendance'!FK90:FK90, "P")+COUNTIF('Detailed Attendance'!FM90:FM90, "P")+COUNTIF('Detailed Attendance'!GA90:GA90, "P")</f>
        <v/>
      </c>
      <c r="AU89" s="67">
        <f>COUNTIF('Detailed Attendance'!DF90:DF90, "A")+COUNTIF('Detailed Attendance'!DT90:DT90, "A")+COUNTIF('Detailed Attendance'!EC90:EC90, "A")+COUNTIF('Detailed Attendance'!EQ90:EQ90, "A")+COUNTIF('Detailed Attendance'!EW90:EW90, "A")+COUNTIF('Detailed Attendance'!FK90:FK90, "A")+COUNTIF('Detailed Attendance'!FM90:FM90, "A")+COUNTIF('Detailed Attendance'!GA90:GA90, "A")</f>
        <v/>
      </c>
      <c r="AV89" s="68">
        <f>IF((AT89+AU89)=0,"", AT89/(AT89+AU89))</f>
        <v/>
      </c>
      <c r="AW89" s="67">
        <f>COUNTIF('Detailed Attendance'!DK90:DK90, "P")+COUNTIF('Detailed Attendance'!DS90:DS90, "P")+COUNTIF('Detailed Attendance'!EH90:EH90, "P")+COUNTIF('Detailed Attendance'!EP90:EP90, "P")+COUNTIF('Detailed Attendance'!FB90:FB90, "P")+COUNTIF('Detailed Attendance'!FJ90:FJ90, "P")+COUNTIF('Detailed Attendance'!FR90:FR90, "P")+COUNTIF('Detailed Attendance'!FZ90:FZ90, "P")</f>
        <v/>
      </c>
      <c r="AX89" s="67">
        <f>COUNTIF('Detailed Attendance'!DK90:DK90, "A")+COUNTIF('Detailed Attendance'!DS90:DS90, "A")+COUNTIF('Detailed Attendance'!EH90:EH90, "A")+COUNTIF('Detailed Attendance'!EP90:EP90, "A")+COUNTIF('Detailed Attendance'!FB90:FB90, "A")+COUNTIF('Detailed Attendance'!FJ90:FJ90, "A")+COUNTIF('Detailed Attendance'!FR90:FR90, "A")+COUNTIF('Detailed Attendance'!FZ90:FZ90, "A")</f>
        <v/>
      </c>
      <c r="AY89" s="68">
        <f>IF((AW89+AX89)=0,"", AW89/(AW89+AX89))</f>
        <v/>
      </c>
      <c r="AZ89" s="67">
        <f>COUNTIF('Detailed Attendance'!DN90:DN90, "P")+COUNTIF('Detailed Attendance'!DR90:DR90, "P")+COUNTIF('Detailed Attendance'!EK90:EK90, "P")+COUNTIF('Detailed Attendance'!EO90:EO90, "P")+COUNTIF('Detailed Attendance'!FE90:FE90, "P")+COUNTIF('Detailed Attendance'!FI90:FI90, "P")+COUNTIF('Detailed Attendance'!FU90:FU90, "P")+COUNTIF('Detailed Attendance'!FY90:FY90, "P")</f>
        <v/>
      </c>
      <c r="BA89" s="67">
        <f>COUNTIF('Detailed Attendance'!DN90:DN90, "A")+COUNTIF('Detailed Attendance'!DR90:DR90, "A")+COUNTIF('Detailed Attendance'!EK90:EK90, "A")+COUNTIF('Detailed Attendance'!EO90:EO90, "A")+COUNTIF('Detailed Attendance'!FE90:FE90, "A")+COUNTIF('Detailed Attendance'!FI90:FI90, "A")+COUNTIF('Detailed Attendance'!FU90:FU90, "A")+COUNTIF('Detailed Attendance'!FY90:FY90, "A")</f>
        <v/>
      </c>
      <c r="BB89" s="68">
        <f>IF((AZ89+BA89)=0,"", AZ89/(AZ89+BA89))</f>
        <v/>
      </c>
      <c r="BC89" s="67">
        <f>COUNTIF('Detailed Attendance'!DC90:DC90, "P")+COUNTIF('Detailed Attendance'!DV90:DV90, "P")+COUNTIF('Detailed Attendance'!DZ90:DZ90, "P")+COUNTIF('Detailed Attendance'!ES90:ES90, "P")+COUNTIF('Detailed Attendance'!GC90:GC90, "P")+COUNTIF('Detailed Attendance'!GG90:GG90, "P")</f>
        <v/>
      </c>
      <c r="BD89" s="67">
        <f>COUNTIF('Detailed Attendance'!DC90:DC90, "A")+COUNTIF('Detailed Attendance'!DV90:DV90, "A")+COUNTIF('Detailed Attendance'!DZ90:DZ90, "A")+COUNTIF('Detailed Attendance'!ES90:ES90, "A")+COUNTIF('Detailed Attendance'!GC90:GC90, "A")+COUNTIF('Detailed Attendance'!GG90:GG90, "A")</f>
        <v/>
      </c>
      <c r="BE89" s="68">
        <f>IF((BC89+BD89)=0,"", BC89/(BC89+BD89))</f>
        <v/>
      </c>
      <c r="BF89" s="67">
        <f>COUNTIF('Detailed Attendance'!DO90:DO90, "P")+COUNTIF('Detailed Attendance'!DW90:DW90, "P")+COUNTIF('Detailed Attendance'!EL90:EL90, "P")+COUNTIF('Detailed Attendance'!ET90:ET90, "P")+COUNTIF('Detailed Attendance'!FF90:FF90, "P")+COUNTIF('Detailed Attendance'!FV90:FV90, "P")+COUNTIF('Detailed Attendance'!GD90:GD90, "P")</f>
        <v/>
      </c>
      <c r="BG89" s="67">
        <f>COUNTIF('Detailed Attendance'!DO90:DO90, "A")+COUNTIF('Detailed Attendance'!DW90:DW90, "A")+COUNTIF('Detailed Attendance'!EL90:EL90, "A")+COUNTIF('Detailed Attendance'!ET90:ET90, "A")+COUNTIF('Detailed Attendance'!FF90:FF90, "A")+COUNTIF('Detailed Attendance'!FV90:FV90, "A")+COUNTIF('Detailed Attendance'!GD90:GD90, "A")</f>
        <v/>
      </c>
      <c r="BH89" s="68">
        <f>IF((BF89+BG89)=0,"", BF89/(BF89+BG89))</f>
        <v/>
      </c>
      <c r="BI89" s="67">
        <f>AT89+AW89+AZ89+BC89+BF89</f>
        <v/>
      </c>
      <c r="BJ89" s="67">
        <f>AU89+AX89+BA89+BD89+BG89</f>
        <v/>
      </c>
      <c r="BK89" s="68">
        <f>IF((BI89+BJ89)=0,"", BI89/(BI89+BJ89))</f>
        <v/>
      </c>
      <c r="BL89" s="69">
        <f>COUNTIF('Detailed Attendance'!DE90:DE90, "P")+COUNTIF('Detailed Attendance'!EB90:EB90, "P")+COUNTIF('Detailed Attendance'!GI90:GI90, "P")+COUNTIF('Detailed Attendance'!DG90:DG90, "P")+COUNTIF('Detailed Attendance'!ED90:ED90, "P")+COUNTIF('Detailed Attendance'!EX90:EX90, "P")+COUNTIF('Detailed Attendance'!FN90:FN90, "P")+COUNTIF('Detailed Attendance'!DJ90:DJ90, "P")+COUNTIF('Detailed Attendance'!EG90:EG90, "P")+COUNTIF('Detailed Attendance'!FA90:FA90, "P")+COUNTIF('Detailed Attendance'!FQ90:FQ90, "P")</f>
        <v/>
      </c>
      <c r="BM89" s="69">
        <f>COUNTIF('Detailed Attendance'!DE90:DE90, "A")+COUNTIF('Detailed Attendance'!EB90:EB90, "A")+COUNTIF('Detailed Attendance'!GI90:GI90, "A")+COUNTIF('Detailed Attendance'!DG90:DG90, "A")+COUNTIF('Detailed Attendance'!ED90:ED90, "A")+COUNTIF('Detailed Attendance'!EX90:EX90, "A")+COUNTIF('Detailed Attendance'!FN90:FN90, "A")+COUNTIF('Detailed Attendance'!DJ90:DJ90, "A")+COUNTIF('Detailed Attendance'!EG90:EG90, "A")+COUNTIF('Detailed Attendance'!FA90:FA90, "A")+COUNTIF('Detailed Attendance'!FQ90:FQ90, "A")</f>
        <v/>
      </c>
      <c r="BN89" s="70">
        <f>IF((BL89+BM89)=0,"", BL89/(BL89+BM89))</f>
        <v/>
      </c>
      <c r="BO89" s="67">
        <f>D89+Y89+AT89</f>
        <v/>
      </c>
      <c r="BP89" s="67">
        <f>E89+Z89+AU89</f>
        <v/>
      </c>
      <c r="BQ89" s="68">
        <f>IF((BO89+BP89)=0,"", BO89/(BO89+BP89))</f>
        <v/>
      </c>
      <c r="BR89" s="67">
        <f>G89+AB89+AW89</f>
        <v/>
      </c>
      <c r="BS89" s="67">
        <f>H89+AC89+AX89</f>
        <v/>
      </c>
      <c r="BT89" s="68">
        <f>IF((BR89+BS89)=0,"", BR89/(BR89+BS89))</f>
        <v/>
      </c>
      <c r="BU89" s="67">
        <f>J89+AE89+AZ89</f>
        <v/>
      </c>
      <c r="BV89" s="67">
        <f>K89+AF89+BA89</f>
        <v/>
      </c>
      <c r="BW89" s="68">
        <f>IF((BU89+BV89)=0,"", BU89/(BU89+BV89))</f>
        <v/>
      </c>
      <c r="BX89" s="67">
        <f>M89+AH89+BC89</f>
        <v/>
      </c>
      <c r="BY89" s="67">
        <f>N89+AI89+BD89</f>
        <v/>
      </c>
      <c r="BZ89" s="68">
        <f>IF((BX89+BY89)=0,"", BX89/(BX89+BY89))</f>
        <v/>
      </c>
      <c r="CA89" s="67">
        <f>P89+AK89+BF89</f>
        <v/>
      </c>
      <c r="CB89" s="67">
        <f>Q89+AL89+BG89</f>
        <v/>
      </c>
      <c r="CC89" s="68">
        <f>IF((CA89+CB89)=0,"", CA89/(CA89+CB89))</f>
        <v/>
      </c>
      <c r="CD89" s="67">
        <f>S89+AN89+BI89</f>
        <v/>
      </c>
      <c r="CE89" s="67">
        <f>T89+AO89+BJ89</f>
        <v/>
      </c>
      <c r="CF89" s="68">
        <f>IF((CD89+CE89)=0,"", CD89/(CD89+CE89))</f>
        <v/>
      </c>
      <c r="CG89" s="69">
        <f>V89+AQ89+BL89</f>
        <v/>
      </c>
      <c r="CH89" s="69">
        <f>W89+AR89+BM89</f>
        <v/>
      </c>
      <c r="CI89" s="70">
        <f>IF((CG89+CH89)=0,"", CG89/(CG89+CH89))</f>
        <v/>
      </c>
      <c r="CJ89" s="67">
        <f>CD89+(CG89*2)</f>
        <v/>
      </c>
      <c r="CK89" s="67">
        <f>CE89+(CH89*2)</f>
        <v/>
      </c>
      <c r="CL89" s="68">
        <f>IF((CJ89+CK89)=0,"", CJ89/(CJ89+CK89))</f>
        <v/>
      </c>
      <c r="CM89" s="67" t="inlineStr">
        <is>
          <t>Batch 3</t>
        </is>
      </c>
    </row>
    <row r="90" ht="14.25" customHeight="1" s="34">
      <c r="A90" s="46" t="n">
        <v>88</v>
      </c>
      <c r="B90" s="46" t="inlineStr">
        <is>
          <t>325106410088</t>
        </is>
      </c>
      <c r="C90" s="46" t="inlineStr">
        <is>
          <t>------</t>
        </is>
      </c>
      <c r="D90" s="63" t="n">
        <v>0</v>
      </c>
      <c r="E90" s="63" t="n">
        <v>0</v>
      </c>
      <c r="F90" s="64">
        <f>IF((D90+E90)=0,"", D90/(D90+E90))</f>
        <v/>
      </c>
      <c r="G90" s="63">
        <f>COUNTIF('Detailed Attendance'!I91:I91, "P")</f>
        <v/>
      </c>
      <c r="H90" s="63">
        <f>COUNTIF('Detailed Attendance'!I91:I91, "A")</f>
        <v/>
      </c>
      <c r="I90" s="64">
        <f>IF((G90+H90)=0,"", G90/(G90+H90))</f>
        <v/>
      </c>
      <c r="J90" s="63" t="n">
        <v>0</v>
      </c>
      <c r="K90" s="63" t="n">
        <v>0</v>
      </c>
      <c r="L90" s="64">
        <f>IF((J90+K90)=0,"", J90/(J90+K90))</f>
        <v/>
      </c>
      <c r="M90" s="63">
        <f>COUNTIF('Detailed Attendance'!D91:D91, "P")</f>
        <v/>
      </c>
      <c r="N90" s="63">
        <f>COUNTIF('Detailed Attendance'!D91:D91, "A")</f>
        <v/>
      </c>
      <c r="O90" s="64">
        <f>IF((M90+N90)=0,"", M90/(M90+N90))</f>
        <v/>
      </c>
      <c r="P90" s="63" t="n">
        <v>0</v>
      </c>
      <c r="Q90" s="63" t="n">
        <v>0</v>
      </c>
      <c r="R90" s="64">
        <f>IF((P90+Q90)=0,"", P90/(P90+Q90))</f>
        <v/>
      </c>
      <c r="S90" s="63">
        <f>D90+G90+J90+M90+P90</f>
        <v/>
      </c>
      <c r="T90" s="63">
        <f>E90+H90+K90+N90+Q90</f>
        <v/>
      </c>
      <c r="U90" s="64">
        <f>IF((S90+T90)=0,"", S90/(S90+T90))</f>
        <v/>
      </c>
      <c r="V90" s="65">
        <f>COUNTIF('Detailed Attendance'!E91:E91, "P")+COUNTIF('Detailed Attendance'!H91:H91, "P")</f>
        <v/>
      </c>
      <c r="W90" s="65">
        <f>COUNTIF('Detailed Attendance'!E91:E91, "A")+COUNTIF('Detailed Attendance'!H91:H91, "A")</f>
        <v/>
      </c>
      <c r="X90" s="66">
        <f>IF((V90+W90)=0,"", V90/(V90+W90))</f>
        <v/>
      </c>
      <c r="Y90" s="63">
        <f>COUNTIF('Detailed Attendance'!R91:R91, "P")+COUNTIF('Detailed Attendance'!X91:X91, "P")+COUNTIF('Detailed Attendance'!AL91:AL91, "P")+COUNTIF('Detailed Attendance'!BF91:BF91, "P")+COUNTIF('Detailed Attendance'!BL91:BL91, "P")+COUNTIF('Detailed Attendance'!BZ91:BZ91, "P")+COUNTIF('Detailed Attendance'!CI91:CI91, "P")+COUNTIF('Detailed Attendance'!CW91:CW91, "P")</f>
        <v/>
      </c>
      <c r="Z90" s="63">
        <f>COUNTIF('Detailed Attendance'!R91:R91, "A")+COUNTIF('Detailed Attendance'!X91:X91, "A")+COUNTIF('Detailed Attendance'!AL91:AL91, "A")+COUNTIF('Detailed Attendance'!BF91:BF91, "A")+COUNTIF('Detailed Attendance'!BL91:BL91, "A")+COUNTIF('Detailed Attendance'!BZ91:BZ91, "A")+COUNTIF('Detailed Attendance'!CI91:CI91, "A")+COUNTIF('Detailed Attendance'!CW91:CW91, "A")</f>
        <v/>
      </c>
      <c r="AA90" s="64">
        <f>IF((Y90+Z90)=0,"", Y90/(Y90+Z90))</f>
        <v/>
      </c>
      <c r="AB90" s="63">
        <f>COUNTIF('Detailed Attendance'!Q91:Q91, "P")+COUNTIF('Detailed Attendance'!AC91:AC91, "P")+COUNTIF('Detailed Attendance'!AK91:AK91, "P")+COUNTIF('Detailed Attendance'!AW91:AW91, "P")+COUNTIF('Detailed Attendance'!BE91:BE91, "P")+COUNTIF('Detailed Attendance'!BQ91:BQ91, "P")+COUNTIF('Detailed Attendance'!BY91:BY91, "P")+COUNTIF('Detailed Attendance'!CN91:CN91, "P")+COUNTIF('Detailed Attendance'!CV91:CV91, "P")</f>
        <v/>
      </c>
      <c r="AC90" s="63">
        <f>COUNTIF('Detailed Attendance'!Q91:Q91, "A")+COUNTIF('Detailed Attendance'!AC91:AC91, "A")+COUNTIF('Detailed Attendance'!AK91:AK91, "A")+COUNTIF('Detailed Attendance'!AW91:AW91, "A")+COUNTIF('Detailed Attendance'!BE91:BE91, "A")+COUNTIF('Detailed Attendance'!BQ91:BQ91, "A")+COUNTIF('Detailed Attendance'!BY91:BY91, "A")+COUNTIF('Detailed Attendance'!CN91:CN91, "A")+COUNTIF('Detailed Attendance'!CV91:CV91, "A")</f>
        <v/>
      </c>
      <c r="AD90" s="64">
        <f>IF((AB90+AC90)=0,"", AB90/(AB90+AC90))</f>
        <v/>
      </c>
      <c r="AE90" s="63">
        <f>COUNTIF('Detailed Attendance'!L91:L91, "P")+COUNTIF('Detailed Attendance'!P91:P91, "P")+COUNTIF('Detailed Attendance'!AF91:AF91, "P")+COUNTIF('Detailed Attendance'!AJ91:AJ91, "P")+COUNTIF('Detailed Attendance'!AZ91:AZ91, "P")+COUNTIF('Detailed Attendance'!BD91:BD91, "P")+COUNTIF('Detailed Attendance'!BT91:BT91, "P")+COUNTIF('Detailed Attendance'!BX91:BX91, "P")+COUNTIF('Detailed Attendance'!CQ91:CQ91, "P")+COUNTIF('Detailed Attendance'!CU91:CU91, "P")</f>
        <v/>
      </c>
      <c r="AF90" s="67">
        <f>COUNTIF('Detailed Attendance'!L91:L91, "A")+COUNTIF('Detailed Attendance'!P91:P91, "A")+COUNTIF('Detailed Attendance'!AF91:AF91, "A")+COUNTIF('Detailed Attendance'!AJ91:AJ91, "A")+COUNTIF('Detailed Attendance'!AZ91:AZ91, "A")+COUNTIF('Detailed Attendance'!BD91:BD91, "A")+COUNTIF('Detailed Attendance'!BT91:BT91, "A")+COUNTIF('Detailed Attendance'!BX91:BX91, "A")+COUNTIF('Detailed Attendance'!CQ91:CQ91, "A")+COUNTIF('Detailed Attendance'!CU91:CU91, "A")</f>
        <v/>
      </c>
      <c r="AG90" s="68">
        <f>IF((AE90+AF90)=0,"", AE90/(AE90+AF90))</f>
        <v/>
      </c>
      <c r="AH90" s="67">
        <f>COUNTIF('Detailed Attendance'!T91:T91, "P")+COUNTIF('Detailed Attendance'!AN91:AN91, "P")+COUNTIF('Detailed Attendance'!AR91:AR91, "P")+COUNTIF('Detailed Attendance'!BH91:BH91, "P")+COUNTIF('Detailed Attendance'!CB91:CB91, "P")+COUNTIF('Detailed Attendance'!CF91:CF91, "P")+COUNTIF('Detailed Attendance'!CY91:CY91, "P")</f>
        <v/>
      </c>
      <c r="AI90" s="67">
        <f>COUNTIF('Detailed Attendance'!T91:T91, "A")+COUNTIF('Detailed Attendance'!AN91:AN91, "A")+COUNTIF('Detailed Attendance'!AR91:AR91, "A")+COUNTIF('Detailed Attendance'!BH91:BH91, "A")+COUNTIF('Detailed Attendance'!CB91:CB91, "A")+COUNTIF('Detailed Attendance'!CF91:CF91, "A")+COUNTIF('Detailed Attendance'!CY91:CY91, "A")</f>
        <v/>
      </c>
      <c r="AJ90" s="68">
        <f>IF((AH90+AI90)=0,"", AH90/(AH90+AI90))</f>
        <v/>
      </c>
      <c r="AK90" s="67">
        <f>COUNTIF('Detailed Attendance'!M91:M91, "P")+COUNTIF('Detailed Attendance'!U91:U91, "P")+COUNTIF('Detailed Attendance'!AG91:AG91, "P")+COUNTIF('Detailed Attendance'!AO91:AO91, "P")+COUNTIF('Detailed Attendance'!BA91:BA91, "P")+COUNTIF('Detailed Attendance'!BI91:BI91, "P")+COUNTIF('Detailed Attendance'!BU91:BU91, "P")+COUNTIF('Detailed Attendance'!CC91:CC91, "P")+COUNTIF('Detailed Attendance'!CR91:CR91, "P")+COUNTIF('Detailed Attendance'!CZ91:CZ91, "P")</f>
        <v/>
      </c>
      <c r="AL90" s="67">
        <f>COUNTIF('Detailed Attendance'!M91:M91, "A")+COUNTIF('Detailed Attendance'!U91:U91, "A")+COUNTIF('Detailed Attendance'!AG91:AG91, "A")+COUNTIF('Detailed Attendance'!AO91:AO91, "A")+COUNTIF('Detailed Attendance'!BA91:BA91, "A")+COUNTIF('Detailed Attendance'!BI91:BI91, "A")+COUNTIF('Detailed Attendance'!BU91:BU91, "A")+COUNTIF('Detailed Attendance'!CC91:CC91, "A")+COUNTIF('Detailed Attendance'!CR91:CR91, "A")+COUNTIF('Detailed Attendance'!CZ91:CZ91, "A")</f>
        <v/>
      </c>
      <c r="AM90" s="68">
        <f>IF((AK90+AL90)=0,"", AK90/(AK90+AL90))</f>
        <v/>
      </c>
      <c r="AN90" s="67">
        <f>Y90+AB90+AE90+AH90+AK90</f>
        <v/>
      </c>
      <c r="AO90" s="67">
        <f>Z90+AC90+AF90+AI90+AL90</f>
        <v/>
      </c>
      <c r="AP90" s="68">
        <f>IF((AN90+AO90)=0,"", AN90/(AN90+AO90))</f>
        <v/>
      </c>
      <c r="AQ90" s="69">
        <f>COUNTIF('Detailed Attendance'!CH91:CH91, "P")+COUNTIF('Detailed Attendance'!Y91:Y91, "P")+COUNTIF('Detailed Attendance'!AS91:AS91, "P")+COUNTIF('Detailed Attendance'!BM91:BM91, "P")+COUNTIF('Detailed Attendance'!CJ91:CJ91, "P")+COUNTIF('Detailed Attendance'!AB91:AB91, "P")+COUNTIF('Detailed Attendance'!AV91:AV91, "P")+COUNTIF('Detailed Attendance'!BP91:BP91, "P")+COUNTIF('Detailed Attendance'!CM91:CM91, "P")</f>
        <v/>
      </c>
      <c r="AR90" s="69">
        <f>COUNTIF('Detailed Attendance'!CH91:CH91, "A")+COUNTIF('Detailed Attendance'!Y91:Y91, "A")+COUNTIF('Detailed Attendance'!AS91:AS91, "A")+COUNTIF('Detailed Attendance'!BM91:BM91, "A")+COUNTIF('Detailed Attendance'!CJ91:CJ91, "A")+COUNTIF('Detailed Attendance'!AB91:AB91, "A")+COUNTIF('Detailed Attendance'!AV91:AV91, "A")+COUNTIF('Detailed Attendance'!BP91:BP91, "A")+COUNTIF('Detailed Attendance'!CM91:CM91, "A")</f>
        <v/>
      </c>
      <c r="AS90" s="70">
        <f>IF((AQ90+AR90)=0,"", AQ90/(AQ90+AR90))</f>
        <v/>
      </c>
      <c r="AT90" s="67">
        <f>COUNTIF('Detailed Attendance'!DF91:DF91, "P")+COUNTIF('Detailed Attendance'!DT91:DT91, "P")+COUNTIF('Detailed Attendance'!EC91:EC91, "P")+COUNTIF('Detailed Attendance'!EQ91:EQ91, "P")+COUNTIF('Detailed Attendance'!EW91:EW91, "P")+COUNTIF('Detailed Attendance'!FK91:FK91, "P")+COUNTIF('Detailed Attendance'!FM91:FM91, "P")+COUNTIF('Detailed Attendance'!GA91:GA91, "P")</f>
        <v/>
      </c>
      <c r="AU90" s="67">
        <f>COUNTIF('Detailed Attendance'!DF91:DF91, "A")+COUNTIF('Detailed Attendance'!DT91:DT91, "A")+COUNTIF('Detailed Attendance'!EC91:EC91, "A")+COUNTIF('Detailed Attendance'!EQ91:EQ91, "A")+COUNTIF('Detailed Attendance'!EW91:EW91, "A")+COUNTIF('Detailed Attendance'!FK91:FK91, "A")+COUNTIF('Detailed Attendance'!FM91:FM91, "A")+COUNTIF('Detailed Attendance'!GA91:GA91, "A")</f>
        <v/>
      </c>
      <c r="AV90" s="68">
        <f>IF((AT90+AU90)=0,"", AT90/(AT90+AU90))</f>
        <v/>
      </c>
      <c r="AW90" s="67">
        <f>COUNTIF('Detailed Attendance'!DK91:DK91, "P")+COUNTIF('Detailed Attendance'!DS91:DS91, "P")+COUNTIF('Detailed Attendance'!EH91:EH91, "P")+COUNTIF('Detailed Attendance'!EP91:EP91, "P")+COUNTIF('Detailed Attendance'!FB91:FB91, "P")+COUNTIF('Detailed Attendance'!FJ91:FJ91, "P")+COUNTIF('Detailed Attendance'!FR91:FR91, "P")+COUNTIF('Detailed Attendance'!FZ91:FZ91, "P")</f>
        <v/>
      </c>
      <c r="AX90" s="67">
        <f>COUNTIF('Detailed Attendance'!DK91:DK91, "A")+COUNTIF('Detailed Attendance'!DS91:DS91, "A")+COUNTIF('Detailed Attendance'!EH91:EH91, "A")+COUNTIF('Detailed Attendance'!EP91:EP91, "A")+COUNTIF('Detailed Attendance'!FB91:FB91, "A")+COUNTIF('Detailed Attendance'!FJ91:FJ91, "A")+COUNTIF('Detailed Attendance'!FR91:FR91, "A")+COUNTIF('Detailed Attendance'!FZ91:FZ91, "A")</f>
        <v/>
      </c>
      <c r="AY90" s="68">
        <f>IF((AW90+AX90)=0,"", AW90/(AW90+AX90))</f>
        <v/>
      </c>
      <c r="AZ90" s="67">
        <f>COUNTIF('Detailed Attendance'!DN91:DN91, "P")+COUNTIF('Detailed Attendance'!DR91:DR91, "P")+COUNTIF('Detailed Attendance'!EK91:EK91, "P")+COUNTIF('Detailed Attendance'!EO91:EO91, "P")+COUNTIF('Detailed Attendance'!FE91:FE91, "P")+COUNTIF('Detailed Attendance'!FI91:FI91, "P")+COUNTIF('Detailed Attendance'!FU91:FU91, "P")+COUNTIF('Detailed Attendance'!FY91:FY91, "P")</f>
        <v/>
      </c>
      <c r="BA90" s="67">
        <f>COUNTIF('Detailed Attendance'!DN91:DN91, "A")+COUNTIF('Detailed Attendance'!DR91:DR91, "A")+COUNTIF('Detailed Attendance'!EK91:EK91, "A")+COUNTIF('Detailed Attendance'!EO91:EO91, "A")+COUNTIF('Detailed Attendance'!FE91:FE91, "A")+COUNTIF('Detailed Attendance'!FI91:FI91, "A")+COUNTIF('Detailed Attendance'!FU91:FU91, "A")+COUNTIF('Detailed Attendance'!FY91:FY91, "A")</f>
        <v/>
      </c>
      <c r="BB90" s="68">
        <f>IF((AZ90+BA90)=0,"", AZ90/(AZ90+BA90))</f>
        <v/>
      </c>
      <c r="BC90" s="67">
        <f>COUNTIF('Detailed Attendance'!DC91:DC91, "P")+COUNTIF('Detailed Attendance'!DV91:DV91, "P")+COUNTIF('Detailed Attendance'!DZ91:DZ91, "P")+COUNTIF('Detailed Attendance'!ES91:ES91, "P")+COUNTIF('Detailed Attendance'!GC91:GC91, "P")+COUNTIF('Detailed Attendance'!GG91:GG91, "P")</f>
        <v/>
      </c>
      <c r="BD90" s="67">
        <f>COUNTIF('Detailed Attendance'!DC91:DC91, "A")+COUNTIF('Detailed Attendance'!DV91:DV91, "A")+COUNTIF('Detailed Attendance'!DZ91:DZ91, "A")+COUNTIF('Detailed Attendance'!ES91:ES91, "A")+COUNTIF('Detailed Attendance'!GC91:GC91, "A")+COUNTIF('Detailed Attendance'!GG91:GG91, "A")</f>
        <v/>
      </c>
      <c r="BE90" s="68">
        <f>IF((BC90+BD90)=0,"", BC90/(BC90+BD90))</f>
        <v/>
      </c>
      <c r="BF90" s="67">
        <f>COUNTIF('Detailed Attendance'!DO91:DO91, "P")+COUNTIF('Detailed Attendance'!DW91:DW91, "P")+COUNTIF('Detailed Attendance'!EL91:EL91, "P")+COUNTIF('Detailed Attendance'!ET91:ET91, "P")+COUNTIF('Detailed Attendance'!FF91:FF91, "P")+COUNTIF('Detailed Attendance'!FV91:FV91, "P")+COUNTIF('Detailed Attendance'!GD91:GD91, "P")</f>
        <v/>
      </c>
      <c r="BG90" s="67">
        <f>COUNTIF('Detailed Attendance'!DO91:DO91, "A")+COUNTIF('Detailed Attendance'!DW91:DW91, "A")+COUNTIF('Detailed Attendance'!EL91:EL91, "A")+COUNTIF('Detailed Attendance'!ET91:ET91, "A")+COUNTIF('Detailed Attendance'!FF91:FF91, "A")+COUNTIF('Detailed Attendance'!FV91:FV91, "A")+COUNTIF('Detailed Attendance'!GD91:GD91, "A")</f>
        <v/>
      </c>
      <c r="BH90" s="68">
        <f>IF((BF90+BG90)=0,"", BF90/(BF90+BG90))</f>
        <v/>
      </c>
      <c r="BI90" s="67">
        <f>AT90+AW90+AZ90+BC90+BF90</f>
        <v/>
      </c>
      <c r="BJ90" s="67">
        <f>AU90+AX90+BA90+BD90+BG90</f>
        <v/>
      </c>
      <c r="BK90" s="68">
        <f>IF((BI90+BJ90)=0,"", BI90/(BI90+BJ90))</f>
        <v/>
      </c>
      <c r="BL90" s="69">
        <f>COUNTIF('Detailed Attendance'!DE91:DE91, "P")+COUNTIF('Detailed Attendance'!EB91:EB91, "P")+COUNTIF('Detailed Attendance'!GI91:GI91, "P")+COUNTIF('Detailed Attendance'!DG91:DG91, "P")+COUNTIF('Detailed Attendance'!ED91:ED91, "P")+COUNTIF('Detailed Attendance'!EX91:EX91, "P")+COUNTIF('Detailed Attendance'!FN91:FN91, "P")+COUNTIF('Detailed Attendance'!DJ91:DJ91, "P")+COUNTIF('Detailed Attendance'!EG91:EG91, "P")+COUNTIF('Detailed Attendance'!FA91:FA91, "P")+COUNTIF('Detailed Attendance'!FQ91:FQ91, "P")</f>
        <v/>
      </c>
      <c r="BM90" s="69">
        <f>COUNTIF('Detailed Attendance'!DE91:DE91, "A")+COUNTIF('Detailed Attendance'!EB91:EB91, "A")+COUNTIF('Detailed Attendance'!GI91:GI91, "A")+COUNTIF('Detailed Attendance'!DG91:DG91, "A")+COUNTIF('Detailed Attendance'!ED91:ED91, "A")+COUNTIF('Detailed Attendance'!EX91:EX91, "A")+COUNTIF('Detailed Attendance'!FN91:FN91, "A")+COUNTIF('Detailed Attendance'!DJ91:DJ91, "A")+COUNTIF('Detailed Attendance'!EG91:EG91, "A")+COUNTIF('Detailed Attendance'!FA91:FA91, "A")+COUNTIF('Detailed Attendance'!FQ91:FQ91, "A")</f>
        <v/>
      </c>
      <c r="BN90" s="70">
        <f>IF((BL90+BM90)=0,"", BL90/(BL90+BM90))</f>
        <v/>
      </c>
      <c r="BO90" s="67">
        <f>D90+Y90+AT90</f>
        <v/>
      </c>
      <c r="BP90" s="67">
        <f>E90+Z90+AU90</f>
        <v/>
      </c>
      <c r="BQ90" s="68">
        <f>IF((BO90+BP90)=0,"", BO90/(BO90+BP90))</f>
        <v/>
      </c>
      <c r="BR90" s="67">
        <f>G90+AB90+AW90</f>
        <v/>
      </c>
      <c r="BS90" s="67">
        <f>H90+AC90+AX90</f>
        <v/>
      </c>
      <c r="BT90" s="68">
        <f>IF((BR90+BS90)=0,"", BR90/(BR90+BS90))</f>
        <v/>
      </c>
      <c r="BU90" s="67">
        <f>J90+AE90+AZ90</f>
        <v/>
      </c>
      <c r="BV90" s="67">
        <f>K90+AF90+BA90</f>
        <v/>
      </c>
      <c r="BW90" s="68">
        <f>IF((BU90+BV90)=0,"", BU90/(BU90+BV90))</f>
        <v/>
      </c>
      <c r="BX90" s="67">
        <f>M90+AH90+BC90</f>
        <v/>
      </c>
      <c r="BY90" s="67">
        <f>N90+AI90+BD90</f>
        <v/>
      </c>
      <c r="BZ90" s="68">
        <f>IF((BX90+BY90)=0,"", BX90/(BX90+BY90))</f>
        <v/>
      </c>
      <c r="CA90" s="67">
        <f>P90+AK90+BF90</f>
        <v/>
      </c>
      <c r="CB90" s="67">
        <f>Q90+AL90+BG90</f>
        <v/>
      </c>
      <c r="CC90" s="68">
        <f>IF((CA90+CB90)=0,"", CA90/(CA90+CB90))</f>
        <v/>
      </c>
      <c r="CD90" s="67">
        <f>S90+AN90+BI90</f>
        <v/>
      </c>
      <c r="CE90" s="67">
        <f>T90+AO90+BJ90</f>
        <v/>
      </c>
      <c r="CF90" s="68">
        <f>IF((CD90+CE90)=0,"", CD90/(CD90+CE90))</f>
        <v/>
      </c>
      <c r="CG90" s="69">
        <f>V90+AQ90+BL90</f>
        <v/>
      </c>
      <c r="CH90" s="69">
        <f>W90+AR90+BM90</f>
        <v/>
      </c>
      <c r="CI90" s="70">
        <f>IF((CG90+CH90)=0,"", CG90/(CG90+CH90))</f>
        <v/>
      </c>
      <c r="CJ90" s="67">
        <f>CD90+(CG90*2)</f>
        <v/>
      </c>
      <c r="CK90" s="67">
        <f>CE90+(CH90*2)</f>
        <v/>
      </c>
      <c r="CL90" s="68">
        <f>IF((CJ90+CK90)=0,"", CJ90/(CJ90+CK90))</f>
        <v/>
      </c>
      <c r="CM90" s="67" t="inlineStr">
        <is>
          <t>Batch 3</t>
        </is>
      </c>
    </row>
    <row r="91" ht="14.25" customHeight="1" s="34">
      <c r="A91" s="46" t="n">
        <v>89</v>
      </c>
      <c r="B91" s="46" t="inlineStr">
        <is>
          <t>325106410089</t>
        </is>
      </c>
      <c r="C91" s="46" t="inlineStr">
        <is>
          <t>MARSON DOS SANTOS</t>
        </is>
      </c>
      <c r="D91" s="63" t="n">
        <v>0</v>
      </c>
      <c r="E91" s="63" t="n">
        <v>0</v>
      </c>
      <c r="F91" s="64">
        <f>IF((D91+E91)=0,"", D91/(D91+E91))</f>
        <v/>
      </c>
      <c r="G91" s="63">
        <f>COUNTIF('Detailed Attendance'!I92:I92, "P")</f>
        <v/>
      </c>
      <c r="H91" s="63">
        <f>COUNTIF('Detailed Attendance'!I92:I92, "A")</f>
        <v/>
      </c>
      <c r="I91" s="64">
        <f>IF((G91+H91)=0,"", G91/(G91+H91))</f>
        <v/>
      </c>
      <c r="J91" s="63" t="n">
        <v>0</v>
      </c>
      <c r="K91" s="63" t="n">
        <v>0</v>
      </c>
      <c r="L91" s="64">
        <f>IF((J91+K91)=0,"", J91/(J91+K91))</f>
        <v/>
      </c>
      <c r="M91" s="63">
        <f>COUNTIF('Detailed Attendance'!D92:D92, "P")</f>
        <v/>
      </c>
      <c r="N91" s="63">
        <f>COUNTIF('Detailed Attendance'!D92:D92, "A")</f>
        <v/>
      </c>
      <c r="O91" s="64">
        <f>IF((M91+N91)=0,"", M91/(M91+N91))</f>
        <v/>
      </c>
      <c r="P91" s="63" t="n">
        <v>0</v>
      </c>
      <c r="Q91" s="63" t="n">
        <v>0</v>
      </c>
      <c r="R91" s="64">
        <f>IF((P91+Q91)=0,"", P91/(P91+Q91))</f>
        <v/>
      </c>
      <c r="S91" s="63">
        <f>D91+G91+J91+M91+P91</f>
        <v/>
      </c>
      <c r="T91" s="63">
        <f>E91+H91+K91+N91+Q91</f>
        <v/>
      </c>
      <c r="U91" s="64">
        <f>IF((S91+T91)=0,"", S91/(S91+T91))</f>
        <v/>
      </c>
      <c r="V91" s="65">
        <f>COUNTIF('Detailed Attendance'!E92:E92, "P")+COUNTIF('Detailed Attendance'!H92:H92, "P")</f>
        <v/>
      </c>
      <c r="W91" s="65">
        <f>COUNTIF('Detailed Attendance'!E92:E92, "A")+COUNTIF('Detailed Attendance'!H92:H92, "A")</f>
        <v/>
      </c>
      <c r="X91" s="66">
        <f>IF((V91+W91)=0,"", V91/(V91+W91))</f>
        <v/>
      </c>
      <c r="Y91" s="63">
        <f>COUNTIF('Detailed Attendance'!R92:R92, "P")+COUNTIF('Detailed Attendance'!X92:X92, "P")+COUNTIF('Detailed Attendance'!AL92:AL92, "P")+COUNTIF('Detailed Attendance'!BF92:BF92, "P")+COUNTIF('Detailed Attendance'!BL92:BL92, "P")+COUNTIF('Detailed Attendance'!BZ92:BZ92, "P")+COUNTIF('Detailed Attendance'!CI92:CI92, "P")+COUNTIF('Detailed Attendance'!CW92:CW92, "P")</f>
        <v/>
      </c>
      <c r="Z91" s="63">
        <f>COUNTIF('Detailed Attendance'!R92:R92, "A")+COUNTIF('Detailed Attendance'!X92:X92, "A")+COUNTIF('Detailed Attendance'!AL92:AL92, "A")+COUNTIF('Detailed Attendance'!BF92:BF92, "A")+COUNTIF('Detailed Attendance'!BL92:BL92, "A")+COUNTIF('Detailed Attendance'!BZ92:BZ92, "A")+COUNTIF('Detailed Attendance'!CI92:CI92, "A")+COUNTIF('Detailed Attendance'!CW92:CW92, "A")</f>
        <v/>
      </c>
      <c r="AA91" s="64">
        <f>IF((Y91+Z91)=0,"", Y91/(Y91+Z91))</f>
        <v/>
      </c>
      <c r="AB91" s="63">
        <f>COUNTIF('Detailed Attendance'!Q92:Q92, "P")+COUNTIF('Detailed Attendance'!AC92:AC92, "P")+COUNTIF('Detailed Attendance'!AK92:AK92, "P")+COUNTIF('Detailed Attendance'!AW92:AW92, "P")+COUNTIF('Detailed Attendance'!BE92:BE92, "P")+COUNTIF('Detailed Attendance'!BQ92:BQ92, "P")+COUNTIF('Detailed Attendance'!BY92:BY92, "P")+COUNTIF('Detailed Attendance'!CN92:CN92, "P")+COUNTIF('Detailed Attendance'!CV92:CV92, "P")</f>
        <v/>
      </c>
      <c r="AC91" s="63">
        <f>COUNTIF('Detailed Attendance'!Q92:Q92, "A")+COUNTIF('Detailed Attendance'!AC92:AC92, "A")+COUNTIF('Detailed Attendance'!AK92:AK92, "A")+COUNTIF('Detailed Attendance'!AW92:AW92, "A")+COUNTIF('Detailed Attendance'!BE92:BE92, "A")+COUNTIF('Detailed Attendance'!BQ92:BQ92, "A")+COUNTIF('Detailed Attendance'!BY92:BY92, "A")+COUNTIF('Detailed Attendance'!CN92:CN92, "A")+COUNTIF('Detailed Attendance'!CV92:CV92, "A")</f>
        <v/>
      </c>
      <c r="AD91" s="64">
        <f>IF((AB91+AC91)=0,"", AB91/(AB91+AC91))</f>
        <v/>
      </c>
      <c r="AE91" s="63">
        <f>COUNTIF('Detailed Attendance'!L92:L92, "P")+COUNTIF('Detailed Attendance'!P92:P92, "P")+COUNTIF('Detailed Attendance'!AF92:AF92, "P")+COUNTIF('Detailed Attendance'!AJ92:AJ92, "P")+COUNTIF('Detailed Attendance'!AZ92:AZ92, "P")+COUNTIF('Detailed Attendance'!BD92:BD92, "P")+COUNTIF('Detailed Attendance'!BT92:BT92, "P")+COUNTIF('Detailed Attendance'!BX92:BX92, "P")+COUNTIF('Detailed Attendance'!CQ92:CQ92, "P")+COUNTIF('Detailed Attendance'!CU92:CU92, "P")</f>
        <v/>
      </c>
      <c r="AF91" s="67">
        <f>COUNTIF('Detailed Attendance'!L92:L92, "A")+COUNTIF('Detailed Attendance'!P92:P92, "A")+COUNTIF('Detailed Attendance'!AF92:AF92, "A")+COUNTIF('Detailed Attendance'!AJ92:AJ92, "A")+COUNTIF('Detailed Attendance'!AZ92:AZ92, "A")+COUNTIF('Detailed Attendance'!BD92:BD92, "A")+COUNTIF('Detailed Attendance'!BT92:BT92, "A")+COUNTIF('Detailed Attendance'!BX92:BX92, "A")+COUNTIF('Detailed Attendance'!CQ92:CQ92, "A")+COUNTIF('Detailed Attendance'!CU92:CU92, "A")</f>
        <v/>
      </c>
      <c r="AG91" s="68">
        <f>IF((AE91+AF91)=0,"", AE91/(AE91+AF91))</f>
        <v/>
      </c>
      <c r="AH91" s="67">
        <f>COUNTIF('Detailed Attendance'!T92:T92, "P")+COUNTIF('Detailed Attendance'!AN92:AN92, "P")+COUNTIF('Detailed Attendance'!AR92:AR92, "P")+COUNTIF('Detailed Attendance'!BH92:BH92, "P")+COUNTIF('Detailed Attendance'!CB92:CB92, "P")+COUNTIF('Detailed Attendance'!CF92:CF92, "P")+COUNTIF('Detailed Attendance'!CY92:CY92, "P")</f>
        <v/>
      </c>
      <c r="AI91" s="67">
        <f>COUNTIF('Detailed Attendance'!T92:T92, "A")+COUNTIF('Detailed Attendance'!AN92:AN92, "A")+COUNTIF('Detailed Attendance'!AR92:AR92, "A")+COUNTIF('Detailed Attendance'!BH92:BH92, "A")+COUNTIF('Detailed Attendance'!CB92:CB92, "A")+COUNTIF('Detailed Attendance'!CF92:CF92, "A")+COUNTIF('Detailed Attendance'!CY92:CY92, "A")</f>
        <v/>
      </c>
      <c r="AJ91" s="68">
        <f>IF((AH91+AI91)=0,"", AH91/(AH91+AI91))</f>
        <v/>
      </c>
      <c r="AK91" s="67">
        <f>COUNTIF('Detailed Attendance'!M92:M92, "P")+COUNTIF('Detailed Attendance'!U92:U92, "P")+COUNTIF('Detailed Attendance'!AG92:AG92, "P")+COUNTIF('Detailed Attendance'!AO92:AO92, "P")+COUNTIF('Detailed Attendance'!BA92:BA92, "P")+COUNTIF('Detailed Attendance'!BI92:BI92, "P")+COUNTIF('Detailed Attendance'!BU92:BU92, "P")+COUNTIF('Detailed Attendance'!CC92:CC92, "P")+COUNTIF('Detailed Attendance'!CR92:CR92, "P")+COUNTIF('Detailed Attendance'!CZ92:CZ92, "P")</f>
        <v/>
      </c>
      <c r="AL91" s="67">
        <f>COUNTIF('Detailed Attendance'!M92:M92, "A")+COUNTIF('Detailed Attendance'!U92:U92, "A")+COUNTIF('Detailed Attendance'!AG92:AG92, "A")+COUNTIF('Detailed Attendance'!AO92:AO92, "A")+COUNTIF('Detailed Attendance'!BA92:BA92, "A")+COUNTIF('Detailed Attendance'!BI92:BI92, "A")+COUNTIF('Detailed Attendance'!BU92:BU92, "A")+COUNTIF('Detailed Attendance'!CC92:CC92, "A")+COUNTIF('Detailed Attendance'!CR92:CR92, "A")+COUNTIF('Detailed Attendance'!CZ92:CZ92, "A")</f>
        <v/>
      </c>
      <c r="AM91" s="68">
        <f>IF((AK91+AL91)=0,"", AK91/(AK91+AL91))</f>
        <v/>
      </c>
      <c r="AN91" s="67">
        <f>Y91+AB91+AE91+AH91+AK91</f>
        <v/>
      </c>
      <c r="AO91" s="67">
        <f>Z91+AC91+AF91+AI91+AL91</f>
        <v/>
      </c>
      <c r="AP91" s="68">
        <f>IF((AN91+AO91)=0,"", AN91/(AN91+AO91))</f>
        <v/>
      </c>
      <c r="AQ91" s="69">
        <f>COUNTIF('Detailed Attendance'!CH92:CH92, "P")+COUNTIF('Detailed Attendance'!Y92:Y92, "P")+COUNTIF('Detailed Attendance'!AS92:AS92, "P")+COUNTIF('Detailed Attendance'!BM92:BM92, "P")+COUNTIF('Detailed Attendance'!CJ92:CJ92, "P")+COUNTIF('Detailed Attendance'!AB92:AB92, "P")+COUNTIF('Detailed Attendance'!AV92:AV92, "P")+COUNTIF('Detailed Attendance'!BP92:BP92, "P")+COUNTIF('Detailed Attendance'!CM92:CM92, "P")</f>
        <v/>
      </c>
      <c r="AR91" s="69">
        <f>COUNTIF('Detailed Attendance'!CH92:CH92, "A")+COUNTIF('Detailed Attendance'!Y92:Y92, "A")+COUNTIF('Detailed Attendance'!AS92:AS92, "A")+COUNTIF('Detailed Attendance'!BM92:BM92, "A")+COUNTIF('Detailed Attendance'!CJ92:CJ92, "A")+COUNTIF('Detailed Attendance'!AB92:AB92, "A")+COUNTIF('Detailed Attendance'!AV92:AV92, "A")+COUNTIF('Detailed Attendance'!BP92:BP92, "A")+COUNTIF('Detailed Attendance'!CM92:CM92, "A")</f>
        <v/>
      </c>
      <c r="AS91" s="70">
        <f>IF((AQ91+AR91)=0,"", AQ91/(AQ91+AR91))</f>
        <v/>
      </c>
      <c r="AT91" s="67">
        <f>COUNTIF('Detailed Attendance'!DF92:DF92, "P")+COUNTIF('Detailed Attendance'!DT92:DT92, "P")+COUNTIF('Detailed Attendance'!EC92:EC92, "P")+COUNTIF('Detailed Attendance'!EQ92:EQ92, "P")+COUNTIF('Detailed Attendance'!EW92:EW92, "P")+COUNTIF('Detailed Attendance'!FK92:FK92, "P")+COUNTIF('Detailed Attendance'!FM92:FM92, "P")+COUNTIF('Detailed Attendance'!GA92:GA92, "P")</f>
        <v/>
      </c>
      <c r="AU91" s="67">
        <f>COUNTIF('Detailed Attendance'!DF92:DF92, "A")+COUNTIF('Detailed Attendance'!DT92:DT92, "A")+COUNTIF('Detailed Attendance'!EC92:EC92, "A")+COUNTIF('Detailed Attendance'!EQ92:EQ92, "A")+COUNTIF('Detailed Attendance'!EW92:EW92, "A")+COUNTIF('Detailed Attendance'!FK92:FK92, "A")+COUNTIF('Detailed Attendance'!FM92:FM92, "A")+COUNTIF('Detailed Attendance'!GA92:GA92, "A")</f>
        <v/>
      </c>
      <c r="AV91" s="68">
        <f>IF((AT91+AU91)=0,"", AT91/(AT91+AU91))</f>
        <v/>
      </c>
      <c r="AW91" s="67">
        <f>COUNTIF('Detailed Attendance'!DK92:DK92, "P")+COUNTIF('Detailed Attendance'!DS92:DS92, "P")+COUNTIF('Detailed Attendance'!EH92:EH92, "P")+COUNTIF('Detailed Attendance'!EP92:EP92, "P")+COUNTIF('Detailed Attendance'!FB92:FB92, "P")+COUNTIF('Detailed Attendance'!FJ92:FJ92, "P")+COUNTIF('Detailed Attendance'!FR92:FR92, "P")+COUNTIF('Detailed Attendance'!FZ92:FZ92, "P")</f>
        <v/>
      </c>
      <c r="AX91" s="67">
        <f>COUNTIF('Detailed Attendance'!DK92:DK92, "A")+COUNTIF('Detailed Attendance'!DS92:DS92, "A")+COUNTIF('Detailed Attendance'!EH92:EH92, "A")+COUNTIF('Detailed Attendance'!EP92:EP92, "A")+COUNTIF('Detailed Attendance'!FB92:FB92, "A")+COUNTIF('Detailed Attendance'!FJ92:FJ92, "A")+COUNTIF('Detailed Attendance'!FR92:FR92, "A")+COUNTIF('Detailed Attendance'!FZ92:FZ92, "A")</f>
        <v/>
      </c>
      <c r="AY91" s="68">
        <f>IF((AW91+AX91)=0,"", AW91/(AW91+AX91))</f>
        <v/>
      </c>
      <c r="AZ91" s="67">
        <f>COUNTIF('Detailed Attendance'!DN92:DN92, "P")+COUNTIF('Detailed Attendance'!DR92:DR92, "P")+COUNTIF('Detailed Attendance'!EK92:EK92, "P")+COUNTIF('Detailed Attendance'!EO92:EO92, "P")+COUNTIF('Detailed Attendance'!FE92:FE92, "P")+COUNTIF('Detailed Attendance'!FI92:FI92, "P")+COUNTIF('Detailed Attendance'!FU92:FU92, "P")+COUNTIF('Detailed Attendance'!FY92:FY92, "P")</f>
        <v/>
      </c>
      <c r="BA91" s="67">
        <f>COUNTIF('Detailed Attendance'!DN92:DN92, "A")+COUNTIF('Detailed Attendance'!DR92:DR92, "A")+COUNTIF('Detailed Attendance'!EK92:EK92, "A")+COUNTIF('Detailed Attendance'!EO92:EO92, "A")+COUNTIF('Detailed Attendance'!FE92:FE92, "A")+COUNTIF('Detailed Attendance'!FI92:FI92, "A")+COUNTIF('Detailed Attendance'!FU92:FU92, "A")+COUNTIF('Detailed Attendance'!FY92:FY92, "A")</f>
        <v/>
      </c>
      <c r="BB91" s="68">
        <f>IF((AZ91+BA91)=0,"", AZ91/(AZ91+BA91))</f>
        <v/>
      </c>
      <c r="BC91" s="67">
        <f>COUNTIF('Detailed Attendance'!DC92:DC92, "P")+COUNTIF('Detailed Attendance'!DV92:DV92, "P")+COUNTIF('Detailed Attendance'!DZ92:DZ92, "P")+COUNTIF('Detailed Attendance'!ES92:ES92, "P")+COUNTIF('Detailed Attendance'!GC92:GC92, "P")+COUNTIF('Detailed Attendance'!GG92:GG92, "P")</f>
        <v/>
      </c>
      <c r="BD91" s="67">
        <f>COUNTIF('Detailed Attendance'!DC92:DC92, "A")+COUNTIF('Detailed Attendance'!DV92:DV92, "A")+COUNTIF('Detailed Attendance'!DZ92:DZ92, "A")+COUNTIF('Detailed Attendance'!ES92:ES92, "A")+COUNTIF('Detailed Attendance'!GC92:GC92, "A")+COUNTIF('Detailed Attendance'!GG92:GG92, "A")</f>
        <v/>
      </c>
      <c r="BE91" s="68">
        <f>IF((BC91+BD91)=0,"", BC91/(BC91+BD91))</f>
        <v/>
      </c>
      <c r="BF91" s="67">
        <f>COUNTIF('Detailed Attendance'!DO92:DO92, "P")+COUNTIF('Detailed Attendance'!DW92:DW92, "P")+COUNTIF('Detailed Attendance'!EL92:EL92, "P")+COUNTIF('Detailed Attendance'!ET92:ET92, "P")+COUNTIF('Detailed Attendance'!FF92:FF92, "P")+COUNTIF('Detailed Attendance'!FV92:FV92, "P")+COUNTIF('Detailed Attendance'!GD92:GD92, "P")</f>
        <v/>
      </c>
      <c r="BG91" s="67">
        <f>COUNTIF('Detailed Attendance'!DO92:DO92, "A")+COUNTIF('Detailed Attendance'!DW92:DW92, "A")+COUNTIF('Detailed Attendance'!EL92:EL92, "A")+COUNTIF('Detailed Attendance'!ET92:ET92, "A")+COUNTIF('Detailed Attendance'!FF92:FF92, "A")+COUNTIF('Detailed Attendance'!FV92:FV92, "A")+COUNTIF('Detailed Attendance'!GD92:GD92, "A")</f>
        <v/>
      </c>
      <c r="BH91" s="68">
        <f>IF((BF91+BG91)=0,"", BF91/(BF91+BG91))</f>
        <v/>
      </c>
      <c r="BI91" s="67">
        <f>AT91+AW91+AZ91+BC91+BF91</f>
        <v/>
      </c>
      <c r="BJ91" s="67">
        <f>AU91+AX91+BA91+BD91+BG91</f>
        <v/>
      </c>
      <c r="BK91" s="68">
        <f>IF((BI91+BJ91)=0,"", BI91/(BI91+BJ91))</f>
        <v/>
      </c>
      <c r="BL91" s="69">
        <f>COUNTIF('Detailed Attendance'!DE92:DE92, "P")+COUNTIF('Detailed Attendance'!EB92:EB92, "P")+COUNTIF('Detailed Attendance'!GI92:GI92, "P")+COUNTIF('Detailed Attendance'!DG92:DG92, "P")+COUNTIF('Detailed Attendance'!ED92:ED92, "P")+COUNTIF('Detailed Attendance'!EX92:EX92, "P")+COUNTIF('Detailed Attendance'!FN92:FN92, "P")+COUNTIF('Detailed Attendance'!DJ92:DJ92, "P")+COUNTIF('Detailed Attendance'!EG92:EG92, "P")+COUNTIF('Detailed Attendance'!FA92:FA92, "P")+COUNTIF('Detailed Attendance'!FQ92:FQ92, "P")</f>
        <v/>
      </c>
      <c r="BM91" s="69">
        <f>COUNTIF('Detailed Attendance'!DE92:DE92, "A")+COUNTIF('Detailed Attendance'!EB92:EB92, "A")+COUNTIF('Detailed Attendance'!GI92:GI92, "A")+COUNTIF('Detailed Attendance'!DG92:DG92, "A")+COUNTIF('Detailed Attendance'!ED92:ED92, "A")+COUNTIF('Detailed Attendance'!EX92:EX92, "A")+COUNTIF('Detailed Attendance'!FN92:FN92, "A")+COUNTIF('Detailed Attendance'!DJ92:DJ92, "A")+COUNTIF('Detailed Attendance'!EG92:EG92, "A")+COUNTIF('Detailed Attendance'!FA92:FA92, "A")+COUNTIF('Detailed Attendance'!FQ92:FQ92, "A")</f>
        <v/>
      </c>
      <c r="BN91" s="70">
        <f>IF((BL91+BM91)=0,"", BL91/(BL91+BM91))</f>
        <v/>
      </c>
      <c r="BO91" s="67">
        <f>D91+Y91+AT91</f>
        <v/>
      </c>
      <c r="BP91" s="67">
        <f>E91+Z91+AU91</f>
        <v/>
      </c>
      <c r="BQ91" s="68">
        <f>IF((BO91+BP91)=0,"", BO91/(BO91+BP91))</f>
        <v/>
      </c>
      <c r="BR91" s="67">
        <f>G91+AB91+AW91</f>
        <v/>
      </c>
      <c r="BS91" s="67">
        <f>H91+AC91+AX91</f>
        <v/>
      </c>
      <c r="BT91" s="68">
        <f>IF((BR91+BS91)=0,"", BR91/(BR91+BS91))</f>
        <v/>
      </c>
      <c r="BU91" s="67">
        <f>J91+AE91+AZ91</f>
        <v/>
      </c>
      <c r="BV91" s="67">
        <f>K91+AF91+BA91</f>
        <v/>
      </c>
      <c r="BW91" s="68">
        <f>IF((BU91+BV91)=0,"", BU91/(BU91+BV91))</f>
        <v/>
      </c>
      <c r="BX91" s="67">
        <f>M91+AH91+BC91</f>
        <v/>
      </c>
      <c r="BY91" s="67">
        <f>N91+AI91+BD91</f>
        <v/>
      </c>
      <c r="BZ91" s="68">
        <f>IF((BX91+BY91)=0,"", BX91/(BX91+BY91))</f>
        <v/>
      </c>
      <c r="CA91" s="67">
        <f>P91+AK91+BF91</f>
        <v/>
      </c>
      <c r="CB91" s="67">
        <f>Q91+AL91+BG91</f>
        <v/>
      </c>
      <c r="CC91" s="68">
        <f>IF((CA91+CB91)=0,"", CA91/(CA91+CB91))</f>
        <v/>
      </c>
      <c r="CD91" s="67">
        <f>S91+AN91+BI91</f>
        <v/>
      </c>
      <c r="CE91" s="67">
        <f>T91+AO91+BJ91</f>
        <v/>
      </c>
      <c r="CF91" s="68">
        <f>IF((CD91+CE91)=0,"", CD91/(CD91+CE91))</f>
        <v/>
      </c>
      <c r="CG91" s="69">
        <f>V91+AQ91+BL91</f>
        <v/>
      </c>
      <c r="CH91" s="69">
        <f>W91+AR91+BM91</f>
        <v/>
      </c>
      <c r="CI91" s="70">
        <f>IF((CG91+CH91)=0,"", CG91/(CG91+CH91))</f>
        <v/>
      </c>
      <c r="CJ91" s="67">
        <f>CD91+(CG91*2)</f>
        <v/>
      </c>
      <c r="CK91" s="67">
        <f>CE91+(CH91*2)</f>
        <v/>
      </c>
      <c r="CL91" s="68">
        <f>IF((CJ91+CK91)=0,"", CJ91/(CJ91+CK91))</f>
        <v/>
      </c>
      <c r="CM91" s="67" t="inlineStr">
        <is>
          <t>Batch 3</t>
        </is>
      </c>
    </row>
    <row r="92" ht="14.25" customHeight="1" s="34">
      <c r="A92" s="46" t="n">
        <v>90</v>
      </c>
      <c r="B92" s="46" t="inlineStr">
        <is>
          <t>325106410090</t>
        </is>
      </c>
      <c r="C92" s="46" t="inlineStr">
        <is>
          <t>MIKIAS GURMESA</t>
        </is>
      </c>
      <c r="D92" s="63" t="n">
        <v>0</v>
      </c>
      <c r="E92" s="63" t="n">
        <v>0</v>
      </c>
      <c r="F92" s="64">
        <f>IF((D92+E92)=0,"", D92/(D92+E92))</f>
        <v/>
      </c>
      <c r="G92" s="63">
        <f>COUNTIF('Detailed Attendance'!I93:I93, "P")</f>
        <v/>
      </c>
      <c r="H92" s="63">
        <f>COUNTIF('Detailed Attendance'!I93:I93, "A")</f>
        <v/>
      </c>
      <c r="I92" s="64">
        <f>IF((G92+H92)=0,"", G92/(G92+H92))</f>
        <v/>
      </c>
      <c r="J92" s="63" t="n">
        <v>0</v>
      </c>
      <c r="K92" s="63" t="n">
        <v>0</v>
      </c>
      <c r="L92" s="64">
        <f>IF((J92+K92)=0,"", J92/(J92+K92))</f>
        <v/>
      </c>
      <c r="M92" s="63">
        <f>COUNTIF('Detailed Attendance'!D93:D93, "P")</f>
        <v/>
      </c>
      <c r="N92" s="63">
        <f>COUNTIF('Detailed Attendance'!D93:D93, "A")</f>
        <v/>
      </c>
      <c r="O92" s="64">
        <f>IF((M92+N92)=0,"", M92/(M92+N92))</f>
        <v/>
      </c>
      <c r="P92" s="63" t="n">
        <v>0</v>
      </c>
      <c r="Q92" s="63" t="n">
        <v>0</v>
      </c>
      <c r="R92" s="64">
        <f>IF((P92+Q92)=0,"", P92/(P92+Q92))</f>
        <v/>
      </c>
      <c r="S92" s="63">
        <f>D92+G92+J92+M92+P92</f>
        <v/>
      </c>
      <c r="T92" s="63">
        <f>E92+H92+K92+N92+Q92</f>
        <v/>
      </c>
      <c r="U92" s="64">
        <f>IF((S92+T92)=0,"", S92/(S92+T92))</f>
        <v/>
      </c>
      <c r="V92" s="65">
        <f>COUNTIF('Detailed Attendance'!E93:E93, "P")+COUNTIF('Detailed Attendance'!H93:H93, "P")</f>
        <v/>
      </c>
      <c r="W92" s="65">
        <f>COUNTIF('Detailed Attendance'!E93:E93, "A")+COUNTIF('Detailed Attendance'!H93:H93, "A")</f>
        <v/>
      </c>
      <c r="X92" s="66">
        <f>IF((V92+W92)=0,"", V92/(V92+W92))</f>
        <v/>
      </c>
      <c r="Y92" s="63">
        <f>COUNTIF('Detailed Attendance'!R93:R93, "P")+COUNTIF('Detailed Attendance'!X93:X93, "P")+COUNTIF('Detailed Attendance'!AL93:AL93, "P")+COUNTIF('Detailed Attendance'!BF93:BF93, "P")+COUNTIF('Detailed Attendance'!BL93:BL93, "P")+COUNTIF('Detailed Attendance'!BZ93:BZ93, "P")+COUNTIF('Detailed Attendance'!CI93:CI93, "P")+COUNTIF('Detailed Attendance'!CW93:CW93, "P")</f>
        <v/>
      </c>
      <c r="Z92" s="63">
        <f>COUNTIF('Detailed Attendance'!R93:R93, "A")+COUNTIF('Detailed Attendance'!X93:X93, "A")+COUNTIF('Detailed Attendance'!AL93:AL93, "A")+COUNTIF('Detailed Attendance'!BF93:BF93, "A")+COUNTIF('Detailed Attendance'!BL93:BL93, "A")+COUNTIF('Detailed Attendance'!BZ93:BZ93, "A")+COUNTIF('Detailed Attendance'!CI93:CI93, "A")+COUNTIF('Detailed Attendance'!CW93:CW93, "A")</f>
        <v/>
      </c>
      <c r="AA92" s="64">
        <f>IF((Y92+Z92)=0,"", Y92/(Y92+Z92))</f>
        <v/>
      </c>
      <c r="AB92" s="63">
        <f>COUNTIF('Detailed Attendance'!Q93:Q93, "P")+COUNTIF('Detailed Attendance'!AC93:AC93, "P")+COUNTIF('Detailed Attendance'!AK93:AK93, "P")+COUNTIF('Detailed Attendance'!AW93:AW93, "P")+COUNTIF('Detailed Attendance'!BE93:BE93, "P")+COUNTIF('Detailed Attendance'!BQ93:BQ93, "P")+COUNTIF('Detailed Attendance'!BY93:BY93, "P")+COUNTIF('Detailed Attendance'!CN93:CN93, "P")+COUNTIF('Detailed Attendance'!CV93:CV93, "P")</f>
        <v/>
      </c>
      <c r="AC92" s="63">
        <f>COUNTIF('Detailed Attendance'!Q93:Q93, "A")+COUNTIF('Detailed Attendance'!AC93:AC93, "A")+COUNTIF('Detailed Attendance'!AK93:AK93, "A")+COUNTIF('Detailed Attendance'!AW93:AW93, "A")+COUNTIF('Detailed Attendance'!BE93:BE93, "A")+COUNTIF('Detailed Attendance'!BQ93:BQ93, "A")+COUNTIF('Detailed Attendance'!BY93:BY93, "A")+COUNTIF('Detailed Attendance'!CN93:CN93, "A")+COUNTIF('Detailed Attendance'!CV93:CV93, "A")</f>
        <v/>
      </c>
      <c r="AD92" s="64">
        <f>IF((AB92+AC92)=0,"", AB92/(AB92+AC92))</f>
        <v/>
      </c>
      <c r="AE92" s="63">
        <f>COUNTIF('Detailed Attendance'!L93:L93, "P")+COUNTIF('Detailed Attendance'!P93:P93, "P")+COUNTIF('Detailed Attendance'!AF93:AF93, "P")+COUNTIF('Detailed Attendance'!AJ93:AJ93, "P")+COUNTIF('Detailed Attendance'!AZ93:AZ93, "P")+COUNTIF('Detailed Attendance'!BD93:BD93, "P")+COUNTIF('Detailed Attendance'!BT93:BT93, "P")+COUNTIF('Detailed Attendance'!BX93:BX93, "P")+COUNTIF('Detailed Attendance'!CQ93:CQ93, "P")+COUNTIF('Detailed Attendance'!CU93:CU93, "P")</f>
        <v/>
      </c>
      <c r="AF92" s="67">
        <f>COUNTIF('Detailed Attendance'!L93:L93, "A")+COUNTIF('Detailed Attendance'!P93:P93, "A")+COUNTIF('Detailed Attendance'!AF93:AF93, "A")+COUNTIF('Detailed Attendance'!AJ93:AJ93, "A")+COUNTIF('Detailed Attendance'!AZ93:AZ93, "A")+COUNTIF('Detailed Attendance'!BD93:BD93, "A")+COUNTIF('Detailed Attendance'!BT93:BT93, "A")+COUNTIF('Detailed Attendance'!BX93:BX93, "A")+COUNTIF('Detailed Attendance'!CQ93:CQ93, "A")+COUNTIF('Detailed Attendance'!CU93:CU93, "A")</f>
        <v/>
      </c>
      <c r="AG92" s="68">
        <f>IF((AE92+AF92)=0,"", AE92/(AE92+AF92))</f>
        <v/>
      </c>
      <c r="AH92" s="67">
        <f>COUNTIF('Detailed Attendance'!T93:T93, "P")+COUNTIF('Detailed Attendance'!AN93:AN93, "P")+COUNTIF('Detailed Attendance'!AR93:AR93, "P")+COUNTIF('Detailed Attendance'!BH93:BH93, "P")+COUNTIF('Detailed Attendance'!CB93:CB93, "P")+COUNTIF('Detailed Attendance'!CF93:CF93, "P")+COUNTIF('Detailed Attendance'!CY93:CY93, "P")</f>
        <v/>
      </c>
      <c r="AI92" s="67">
        <f>COUNTIF('Detailed Attendance'!T93:T93, "A")+COUNTIF('Detailed Attendance'!AN93:AN93, "A")+COUNTIF('Detailed Attendance'!AR93:AR93, "A")+COUNTIF('Detailed Attendance'!BH93:BH93, "A")+COUNTIF('Detailed Attendance'!CB93:CB93, "A")+COUNTIF('Detailed Attendance'!CF93:CF93, "A")+COUNTIF('Detailed Attendance'!CY93:CY93, "A")</f>
        <v/>
      </c>
      <c r="AJ92" s="68">
        <f>IF((AH92+AI92)=0,"", AH92/(AH92+AI92))</f>
        <v/>
      </c>
      <c r="AK92" s="67">
        <f>COUNTIF('Detailed Attendance'!M93:M93, "P")+COUNTIF('Detailed Attendance'!U93:U93, "P")+COUNTIF('Detailed Attendance'!AG93:AG93, "P")+COUNTIF('Detailed Attendance'!AO93:AO93, "P")+COUNTIF('Detailed Attendance'!BA93:BA93, "P")+COUNTIF('Detailed Attendance'!BI93:BI93, "P")+COUNTIF('Detailed Attendance'!BU93:BU93, "P")+COUNTIF('Detailed Attendance'!CC93:CC93, "P")+COUNTIF('Detailed Attendance'!CR93:CR93, "P")+COUNTIF('Detailed Attendance'!CZ93:CZ93, "P")</f>
        <v/>
      </c>
      <c r="AL92" s="67">
        <f>COUNTIF('Detailed Attendance'!M93:M93, "A")+COUNTIF('Detailed Attendance'!U93:U93, "A")+COUNTIF('Detailed Attendance'!AG93:AG93, "A")+COUNTIF('Detailed Attendance'!AO93:AO93, "A")+COUNTIF('Detailed Attendance'!BA93:BA93, "A")+COUNTIF('Detailed Attendance'!BI93:BI93, "A")+COUNTIF('Detailed Attendance'!BU93:BU93, "A")+COUNTIF('Detailed Attendance'!CC93:CC93, "A")+COUNTIF('Detailed Attendance'!CR93:CR93, "A")+COUNTIF('Detailed Attendance'!CZ93:CZ93, "A")</f>
        <v/>
      </c>
      <c r="AM92" s="68">
        <f>IF((AK92+AL92)=0,"", AK92/(AK92+AL92))</f>
        <v/>
      </c>
      <c r="AN92" s="67">
        <f>Y92+AB92+AE92+AH92+AK92</f>
        <v/>
      </c>
      <c r="AO92" s="67">
        <f>Z92+AC92+AF92+AI92+AL92</f>
        <v/>
      </c>
      <c r="AP92" s="68">
        <f>IF((AN92+AO92)=0,"", AN92/(AN92+AO92))</f>
        <v/>
      </c>
      <c r="AQ92" s="69">
        <f>COUNTIF('Detailed Attendance'!CH93:CH93, "P")+COUNTIF('Detailed Attendance'!Y93:Y93, "P")+COUNTIF('Detailed Attendance'!AS93:AS93, "P")+COUNTIF('Detailed Attendance'!BM93:BM93, "P")+COUNTIF('Detailed Attendance'!CJ93:CJ93, "P")+COUNTIF('Detailed Attendance'!AB93:AB93, "P")+COUNTIF('Detailed Attendance'!AV93:AV93, "P")+COUNTIF('Detailed Attendance'!BP93:BP93, "P")+COUNTIF('Detailed Attendance'!CM93:CM93, "P")</f>
        <v/>
      </c>
      <c r="AR92" s="69">
        <f>COUNTIF('Detailed Attendance'!CH93:CH93, "A")+COUNTIF('Detailed Attendance'!Y93:Y93, "A")+COUNTIF('Detailed Attendance'!AS93:AS93, "A")+COUNTIF('Detailed Attendance'!BM93:BM93, "A")+COUNTIF('Detailed Attendance'!CJ93:CJ93, "A")+COUNTIF('Detailed Attendance'!AB93:AB93, "A")+COUNTIF('Detailed Attendance'!AV93:AV93, "A")+COUNTIF('Detailed Attendance'!BP93:BP93, "A")+COUNTIF('Detailed Attendance'!CM93:CM93, "A")</f>
        <v/>
      </c>
      <c r="AS92" s="70">
        <f>IF((AQ92+AR92)=0,"", AQ92/(AQ92+AR92))</f>
        <v/>
      </c>
      <c r="AT92" s="67">
        <f>COUNTIF('Detailed Attendance'!DF93:DF93, "P")+COUNTIF('Detailed Attendance'!DT93:DT93, "P")+COUNTIF('Detailed Attendance'!EC93:EC93, "P")+COUNTIF('Detailed Attendance'!EQ93:EQ93, "P")+COUNTIF('Detailed Attendance'!EW93:EW93, "P")+COUNTIF('Detailed Attendance'!FK93:FK93, "P")+COUNTIF('Detailed Attendance'!FM93:FM93, "P")+COUNTIF('Detailed Attendance'!GA93:GA93, "P")</f>
        <v/>
      </c>
      <c r="AU92" s="67">
        <f>COUNTIF('Detailed Attendance'!DF93:DF93, "A")+COUNTIF('Detailed Attendance'!DT93:DT93, "A")+COUNTIF('Detailed Attendance'!EC93:EC93, "A")+COUNTIF('Detailed Attendance'!EQ93:EQ93, "A")+COUNTIF('Detailed Attendance'!EW93:EW93, "A")+COUNTIF('Detailed Attendance'!FK93:FK93, "A")+COUNTIF('Detailed Attendance'!FM93:FM93, "A")+COUNTIF('Detailed Attendance'!GA93:GA93, "A")</f>
        <v/>
      </c>
      <c r="AV92" s="68">
        <f>IF((AT92+AU92)=0,"", AT92/(AT92+AU92))</f>
        <v/>
      </c>
      <c r="AW92" s="67">
        <f>COUNTIF('Detailed Attendance'!DK93:DK93, "P")+COUNTIF('Detailed Attendance'!DS93:DS93, "P")+COUNTIF('Detailed Attendance'!EH93:EH93, "P")+COUNTIF('Detailed Attendance'!EP93:EP93, "P")+COUNTIF('Detailed Attendance'!FB93:FB93, "P")+COUNTIF('Detailed Attendance'!FJ93:FJ93, "P")+COUNTIF('Detailed Attendance'!FR93:FR93, "P")+COUNTIF('Detailed Attendance'!FZ93:FZ93, "P")</f>
        <v/>
      </c>
      <c r="AX92" s="67">
        <f>COUNTIF('Detailed Attendance'!DK93:DK93, "A")+COUNTIF('Detailed Attendance'!DS93:DS93, "A")+COUNTIF('Detailed Attendance'!EH93:EH93, "A")+COUNTIF('Detailed Attendance'!EP93:EP93, "A")+COUNTIF('Detailed Attendance'!FB93:FB93, "A")+COUNTIF('Detailed Attendance'!FJ93:FJ93, "A")+COUNTIF('Detailed Attendance'!FR93:FR93, "A")+COUNTIF('Detailed Attendance'!FZ93:FZ93, "A")</f>
        <v/>
      </c>
      <c r="AY92" s="68">
        <f>IF((AW92+AX92)=0,"", AW92/(AW92+AX92))</f>
        <v/>
      </c>
      <c r="AZ92" s="67">
        <f>COUNTIF('Detailed Attendance'!DN93:DN93, "P")+COUNTIF('Detailed Attendance'!DR93:DR93, "P")+COUNTIF('Detailed Attendance'!EK93:EK93, "P")+COUNTIF('Detailed Attendance'!EO93:EO93, "P")+COUNTIF('Detailed Attendance'!FE93:FE93, "P")+COUNTIF('Detailed Attendance'!FI93:FI93, "P")+COUNTIF('Detailed Attendance'!FU93:FU93, "P")+COUNTIF('Detailed Attendance'!FY93:FY93, "P")</f>
        <v/>
      </c>
      <c r="BA92" s="67">
        <f>COUNTIF('Detailed Attendance'!DN93:DN93, "A")+COUNTIF('Detailed Attendance'!DR93:DR93, "A")+COUNTIF('Detailed Attendance'!EK93:EK93, "A")+COUNTIF('Detailed Attendance'!EO93:EO93, "A")+COUNTIF('Detailed Attendance'!FE93:FE93, "A")+COUNTIF('Detailed Attendance'!FI93:FI93, "A")+COUNTIF('Detailed Attendance'!FU93:FU93, "A")+COUNTIF('Detailed Attendance'!FY93:FY93, "A")</f>
        <v/>
      </c>
      <c r="BB92" s="68">
        <f>IF((AZ92+BA92)=0,"", AZ92/(AZ92+BA92))</f>
        <v/>
      </c>
      <c r="BC92" s="67">
        <f>COUNTIF('Detailed Attendance'!DC93:DC93, "P")+COUNTIF('Detailed Attendance'!DV93:DV93, "P")+COUNTIF('Detailed Attendance'!DZ93:DZ93, "P")+COUNTIF('Detailed Attendance'!ES93:ES93, "P")+COUNTIF('Detailed Attendance'!GC93:GC93, "P")+COUNTIF('Detailed Attendance'!GG93:GG93, "P")</f>
        <v/>
      </c>
      <c r="BD92" s="67">
        <f>COUNTIF('Detailed Attendance'!DC93:DC93, "A")+COUNTIF('Detailed Attendance'!DV93:DV93, "A")+COUNTIF('Detailed Attendance'!DZ93:DZ93, "A")+COUNTIF('Detailed Attendance'!ES93:ES93, "A")+COUNTIF('Detailed Attendance'!GC93:GC93, "A")+COUNTIF('Detailed Attendance'!GG93:GG93, "A")</f>
        <v/>
      </c>
      <c r="BE92" s="68">
        <f>IF((BC92+BD92)=0,"", BC92/(BC92+BD92))</f>
        <v/>
      </c>
      <c r="BF92" s="67">
        <f>COUNTIF('Detailed Attendance'!DO93:DO93, "P")+COUNTIF('Detailed Attendance'!DW93:DW93, "P")+COUNTIF('Detailed Attendance'!EL93:EL93, "P")+COUNTIF('Detailed Attendance'!ET93:ET93, "P")+COUNTIF('Detailed Attendance'!FF93:FF93, "P")+COUNTIF('Detailed Attendance'!FV93:FV93, "P")+COUNTIF('Detailed Attendance'!GD93:GD93, "P")</f>
        <v/>
      </c>
      <c r="BG92" s="67">
        <f>COUNTIF('Detailed Attendance'!DO93:DO93, "A")+COUNTIF('Detailed Attendance'!DW93:DW93, "A")+COUNTIF('Detailed Attendance'!EL93:EL93, "A")+COUNTIF('Detailed Attendance'!ET93:ET93, "A")+COUNTIF('Detailed Attendance'!FF93:FF93, "A")+COUNTIF('Detailed Attendance'!FV93:FV93, "A")+COUNTIF('Detailed Attendance'!GD93:GD93, "A")</f>
        <v/>
      </c>
      <c r="BH92" s="68">
        <f>IF((BF92+BG92)=0,"", BF92/(BF92+BG92))</f>
        <v/>
      </c>
      <c r="BI92" s="67">
        <f>AT92+AW92+AZ92+BC92+BF92</f>
        <v/>
      </c>
      <c r="BJ92" s="67">
        <f>AU92+AX92+BA92+BD92+BG92</f>
        <v/>
      </c>
      <c r="BK92" s="68">
        <f>IF((BI92+BJ92)=0,"", BI92/(BI92+BJ92))</f>
        <v/>
      </c>
      <c r="BL92" s="69">
        <f>COUNTIF('Detailed Attendance'!DE93:DE93, "P")+COUNTIF('Detailed Attendance'!EB93:EB93, "P")+COUNTIF('Detailed Attendance'!GI93:GI93, "P")+COUNTIF('Detailed Attendance'!DG93:DG93, "P")+COUNTIF('Detailed Attendance'!ED93:ED93, "P")+COUNTIF('Detailed Attendance'!EX93:EX93, "P")+COUNTIF('Detailed Attendance'!FN93:FN93, "P")+COUNTIF('Detailed Attendance'!DJ93:DJ93, "P")+COUNTIF('Detailed Attendance'!EG93:EG93, "P")+COUNTIF('Detailed Attendance'!FA93:FA93, "P")+COUNTIF('Detailed Attendance'!FQ93:FQ93, "P")</f>
        <v/>
      </c>
      <c r="BM92" s="69">
        <f>COUNTIF('Detailed Attendance'!DE93:DE93, "A")+COUNTIF('Detailed Attendance'!EB93:EB93, "A")+COUNTIF('Detailed Attendance'!GI93:GI93, "A")+COUNTIF('Detailed Attendance'!DG93:DG93, "A")+COUNTIF('Detailed Attendance'!ED93:ED93, "A")+COUNTIF('Detailed Attendance'!EX93:EX93, "A")+COUNTIF('Detailed Attendance'!FN93:FN93, "A")+COUNTIF('Detailed Attendance'!DJ93:DJ93, "A")+COUNTIF('Detailed Attendance'!EG93:EG93, "A")+COUNTIF('Detailed Attendance'!FA93:FA93, "A")+COUNTIF('Detailed Attendance'!FQ93:FQ93, "A")</f>
        <v/>
      </c>
      <c r="BN92" s="70">
        <f>IF((BL92+BM92)=0,"", BL92/(BL92+BM92))</f>
        <v/>
      </c>
      <c r="BO92" s="67">
        <f>D92+Y92+AT92</f>
        <v/>
      </c>
      <c r="BP92" s="67">
        <f>E92+Z92+AU92</f>
        <v/>
      </c>
      <c r="BQ92" s="68">
        <f>IF((BO92+BP92)=0,"", BO92/(BO92+BP92))</f>
        <v/>
      </c>
      <c r="BR92" s="67">
        <f>G92+AB92+AW92</f>
        <v/>
      </c>
      <c r="BS92" s="67">
        <f>H92+AC92+AX92</f>
        <v/>
      </c>
      <c r="BT92" s="68">
        <f>IF((BR92+BS92)=0,"", BR92/(BR92+BS92))</f>
        <v/>
      </c>
      <c r="BU92" s="67">
        <f>J92+AE92+AZ92</f>
        <v/>
      </c>
      <c r="BV92" s="67">
        <f>K92+AF92+BA92</f>
        <v/>
      </c>
      <c r="BW92" s="68">
        <f>IF((BU92+BV92)=0,"", BU92/(BU92+BV92))</f>
        <v/>
      </c>
      <c r="BX92" s="67">
        <f>M92+AH92+BC92</f>
        <v/>
      </c>
      <c r="BY92" s="67">
        <f>N92+AI92+BD92</f>
        <v/>
      </c>
      <c r="BZ92" s="68">
        <f>IF((BX92+BY92)=0,"", BX92/(BX92+BY92))</f>
        <v/>
      </c>
      <c r="CA92" s="67">
        <f>P92+AK92+BF92</f>
        <v/>
      </c>
      <c r="CB92" s="67">
        <f>Q92+AL92+BG92</f>
        <v/>
      </c>
      <c r="CC92" s="68">
        <f>IF((CA92+CB92)=0,"", CA92/(CA92+CB92))</f>
        <v/>
      </c>
      <c r="CD92" s="67">
        <f>S92+AN92+BI92</f>
        <v/>
      </c>
      <c r="CE92" s="67">
        <f>T92+AO92+BJ92</f>
        <v/>
      </c>
      <c r="CF92" s="68">
        <f>IF((CD92+CE92)=0,"", CD92/(CD92+CE92))</f>
        <v/>
      </c>
      <c r="CG92" s="69">
        <f>V92+AQ92+BL92</f>
        <v/>
      </c>
      <c r="CH92" s="69">
        <f>W92+AR92+BM92</f>
        <v/>
      </c>
      <c r="CI92" s="70">
        <f>IF((CG92+CH92)=0,"", CG92/(CG92+CH92))</f>
        <v/>
      </c>
      <c r="CJ92" s="67">
        <f>CD92+(CG92*2)</f>
        <v/>
      </c>
      <c r="CK92" s="67">
        <f>CE92+(CH92*2)</f>
        <v/>
      </c>
      <c r="CL92" s="68">
        <f>IF((CJ92+CK92)=0,"", CJ92/(CJ92+CK92))</f>
        <v/>
      </c>
      <c r="CM92" s="67" t="inlineStr">
        <is>
          <t>Batch 3</t>
        </is>
      </c>
    </row>
    <row r="93" ht="14.25" customHeight="1" s="34">
      <c r="A93" s="46" t="n">
        <v>91</v>
      </c>
      <c r="B93" s="46" t="inlineStr">
        <is>
          <t>325106410091</t>
        </is>
      </c>
      <c r="C93" s="46" t="inlineStr">
        <is>
          <t>MOHAMMAD MUGAHED AHMED ABDO AL-MAHDALI</t>
        </is>
      </c>
      <c r="D93" s="63" t="n">
        <v>0</v>
      </c>
      <c r="E93" s="63" t="n">
        <v>0</v>
      </c>
      <c r="F93" s="64">
        <f>IF((D93+E93)=0,"", D93/(D93+E93))</f>
        <v/>
      </c>
      <c r="G93" s="63">
        <f>COUNTIF('Detailed Attendance'!I94:I94, "P")</f>
        <v/>
      </c>
      <c r="H93" s="63">
        <f>COUNTIF('Detailed Attendance'!I94:I94, "A")</f>
        <v/>
      </c>
      <c r="I93" s="64">
        <f>IF((G93+H93)=0,"", G93/(G93+H93))</f>
        <v/>
      </c>
      <c r="J93" s="63" t="n">
        <v>0</v>
      </c>
      <c r="K93" s="63" t="n">
        <v>0</v>
      </c>
      <c r="L93" s="64">
        <f>IF((J93+K93)=0,"", J93/(J93+K93))</f>
        <v/>
      </c>
      <c r="M93" s="63">
        <f>COUNTIF('Detailed Attendance'!D94:D94, "P")</f>
        <v/>
      </c>
      <c r="N93" s="63">
        <f>COUNTIF('Detailed Attendance'!D94:D94, "A")</f>
        <v/>
      </c>
      <c r="O93" s="64">
        <f>IF((M93+N93)=0,"", M93/(M93+N93))</f>
        <v/>
      </c>
      <c r="P93" s="63" t="n">
        <v>0</v>
      </c>
      <c r="Q93" s="63" t="n">
        <v>0</v>
      </c>
      <c r="R93" s="64">
        <f>IF((P93+Q93)=0,"", P93/(P93+Q93))</f>
        <v/>
      </c>
      <c r="S93" s="63">
        <f>D93+G93+J93+M93+P93</f>
        <v/>
      </c>
      <c r="T93" s="63">
        <f>E93+H93+K93+N93+Q93</f>
        <v/>
      </c>
      <c r="U93" s="64">
        <f>IF((S93+T93)=0,"", S93/(S93+T93))</f>
        <v/>
      </c>
      <c r="V93" s="65">
        <f>COUNTIF('Detailed Attendance'!E94:E94, "P")+COUNTIF('Detailed Attendance'!H94:H94, "P")</f>
        <v/>
      </c>
      <c r="W93" s="65">
        <f>COUNTIF('Detailed Attendance'!E94:E94, "A")+COUNTIF('Detailed Attendance'!H94:H94, "A")</f>
        <v/>
      </c>
      <c r="X93" s="66">
        <f>IF((V93+W93)=0,"", V93/(V93+W93))</f>
        <v/>
      </c>
      <c r="Y93" s="63">
        <f>COUNTIF('Detailed Attendance'!R94:R94, "P")+COUNTIF('Detailed Attendance'!X94:X94, "P")+COUNTIF('Detailed Attendance'!AL94:AL94, "P")+COUNTIF('Detailed Attendance'!BF94:BF94, "P")+COUNTIF('Detailed Attendance'!BL94:BL94, "P")+COUNTIF('Detailed Attendance'!BZ94:BZ94, "P")+COUNTIF('Detailed Attendance'!CI94:CI94, "P")+COUNTIF('Detailed Attendance'!CW94:CW94, "P")</f>
        <v/>
      </c>
      <c r="Z93" s="63">
        <f>COUNTIF('Detailed Attendance'!R94:R94, "A")+COUNTIF('Detailed Attendance'!X94:X94, "A")+COUNTIF('Detailed Attendance'!AL94:AL94, "A")+COUNTIF('Detailed Attendance'!BF94:BF94, "A")+COUNTIF('Detailed Attendance'!BL94:BL94, "A")+COUNTIF('Detailed Attendance'!BZ94:BZ94, "A")+COUNTIF('Detailed Attendance'!CI94:CI94, "A")+COUNTIF('Detailed Attendance'!CW94:CW94, "A")</f>
        <v/>
      </c>
      <c r="AA93" s="64">
        <f>IF((Y93+Z93)=0,"", Y93/(Y93+Z93))</f>
        <v/>
      </c>
      <c r="AB93" s="63">
        <f>COUNTIF('Detailed Attendance'!Q94:Q94, "P")+COUNTIF('Detailed Attendance'!AC94:AC94, "P")+COUNTIF('Detailed Attendance'!AK94:AK94, "P")+COUNTIF('Detailed Attendance'!AW94:AW94, "P")+COUNTIF('Detailed Attendance'!BE94:BE94, "P")+COUNTIF('Detailed Attendance'!BQ94:BQ94, "P")+COUNTIF('Detailed Attendance'!BY94:BY94, "P")+COUNTIF('Detailed Attendance'!CN94:CN94, "P")+COUNTIF('Detailed Attendance'!CV94:CV94, "P")</f>
        <v/>
      </c>
      <c r="AC93" s="63">
        <f>COUNTIF('Detailed Attendance'!Q94:Q94, "A")+COUNTIF('Detailed Attendance'!AC94:AC94, "A")+COUNTIF('Detailed Attendance'!AK94:AK94, "A")+COUNTIF('Detailed Attendance'!AW94:AW94, "A")+COUNTIF('Detailed Attendance'!BE94:BE94, "A")+COUNTIF('Detailed Attendance'!BQ94:BQ94, "A")+COUNTIF('Detailed Attendance'!BY94:BY94, "A")+COUNTIF('Detailed Attendance'!CN94:CN94, "A")+COUNTIF('Detailed Attendance'!CV94:CV94, "A")</f>
        <v/>
      </c>
      <c r="AD93" s="64">
        <f>IF((AB93+AC93)=0,"", AB93/(AB93+AC93))</f>
        <v/>
      </c>
      <c r="AE93" s="63">
        <f>COUNTIF('Detailed Attendance'!L94:L94, "P")+COUNTIF('Detailed Attendance'!P94:P94, "P")+COUNTIF('Detailed Attendance'!AF94:AF94, "P")+COUNTIF('Detailed Attendance'!AJ94:AJ94, "P")+COUNTIF('Detailed Attendance'!AZ94:AZ94, "P")+COUNTIF('Detailed Attendance'!BD94:BD94, "P")+COUNTIF('Detailed Attendance'!BT94:BT94, "P")+COUNTIF('Detailed Attendance'!BX94:BX94, "P")+COUNTIF('Detailed Attendance'!CQ94:CQ94, "P")+COUNTIF('Detailed Attendance'!CU94:CU94, "P")</f>
        <v/>
      </c>
      <c r="AF93" s="67">
        <f>COUNTIF('Detailed Attendance'!L94:L94, "A")+COUNTIF('Detailed Attendance'!P94:P94, "A")+COUNTIF('Detailed Attendance'!AF94:AF94, "A")+COUNTIF('Detailed Attendance'!AJ94:AJ94, "A")+COUNTIF('Detailed Attendance'!AZ94:AZ94, "A")+COUNTIF('Detailed Attendance'!BD94:BD94, "A")+COUNTIF('Detailed Attendance'!BT94:BT94, "A")+COUNTIF('Detailed Attendance'!BX94:BX94, "A")+COUNTIF('Detailed Attendance'!CQ94:CQ94, "A")+COUNTIF('Detailed Attendance'!CU94:CU94, "A")</f>
        <v/>
      </c>
      <c r="AG93" s="68">
        <f>IF((AE93+AF93)=0,"", AE93/(AE93+AF93))</f>
        <v/>
      </c>
      <c r="AH93" s="67">
        <f>COUNTIF('Detailed Attendance'!T94:T94, "P")+COUNTIF('Detailed Attendance'!AN94:AN94, "P")+COUNTIF('Detailed Attendance'!AR94:AR94, "P")+COUNTIF('Detailed Attendance'!BH94:BH94, "P")+COUNTIF('Detailed Attendance'!CB94:CB94, "P")+COUNTIF('Detailed Attendance'!CF94:CF94, "P")+COUNTIF('Detailed Attendance'!CY94:CY94, "P")</f>
        <v/>
      </c>
      <c r="AI93" s="67">
        <f>COUNTIF('Detailed Attendance'!T94:T94, "A")+COUNTIF('Detailed Attendance'!AN94:AN94, "A")+COUNTIF('Detailed Attendance'!AR94:AR94, "A")+COUNTIF('Detailed Attendance'!BH94:BH94, "A")+COUNTIF('Detailed Attendance'!CB94:CB94, "A")+COUNTIF('Detailed Attendance'!CF94:CF94, "A")+COUNTIF('Detailed Attendance'!CY94:CY94, "A")</f>
        <v/>
      </c>
      <c r="AJ93" s="68">
        <f>IF((AH93+AI93)=0,"", AH93/(AH93+AI93))</f>
        <v/>
      </c>
      <c r="AK93" s="67">
        <f>COUNTIF('Detailed Attendance'!M94:M94, "P")+COUNTIF('Detailed Attendance'!U94:U94, "P")+COUNTIF('Detailed Attendance'!AG94:AG94, "P")+COUNTIF('Detailed Attendance'!AO94:AO94, "P")+COUNTIF('Detailed Attendance'!BA94:BA94, "P")+COUNTIF('Detailed Attendance'!BI94:BI94, "P")+COUNTIF('Detailed Attendance'!BU94:BU94, "P")+COUNTIF('Detailed Attendance'!CC94:CC94, "P")+COUNTIF('Detailed Attendance'!CR94:CR94, "P")+COUNTIF('Detailed Attendance'!CZ94:CZ94, "P")</f>
        <v/>
      </c>
      <c r="AL93" s="67">
        <f>COUNTIF('Detailed Attendance'!M94:M94, "A")+COUNTIF('Detailed Attendance'!U94:U94, "A")+COUNTIF('Detailed Attendance'!AG94:AG94, "A")+COUNTIF('Detailed Attendance'!AO94:AO94, "A")+COUNTIF('Detailed Attendance'!BA94:BA94, "A")+COUNTIF('Detailed Attendance'!BI94:BI94, "A")+COUNTIF('Detailed Attendance'!BU94:BU94, "A")+COUNTIF('Detailed Attendance'!CC94:CC94, "A")+COUNTIF('Detailed Attendance'!CR94:CR94, "A")+COUNTIF('Detailed Attendance'!CZ94:CZ94, "A")</f>
        <v/>
      </c>
      <c r="AM93" s="68">
        <f>IF((AK93+AL93)=0,"", AK93/(AK93+AL93))</f>
        <v/>
      </c>
      <c r="AN93" s="67">
        <f>Y93+AB93+AE93+AH93+AK93</f>
        <v/>
      </c>
      <c r="AO93" s="67">
        <f>Z93+AC93+AF93+AI93+AL93</f>
        <v/>
      </c>
      <c r="AP93" s="68">
        <f>IF((AN93+AO93)=0,"", AN93/(AN93+AO93))</f>
        <v/>
      </c>
      <c r="AQ93" s="69">
        <f>COUNTIF('Detailed Attendance'!CH94:CH94, "P")+COUNTIF('Detailed Attendance'!Y94:Y94, "P")+COUNTIF('Detailed Attendance'!AS94:AS94, "P")+COUNTIF('Detailed Attendance'!BM94:BM94, "P")+COUNTIF('Detailed Attendance'!CJ94:CJ94, "P")+COUNTIF('Detailed Attendance'!AB94:AB94, "P")+COUNTIF('Detailed Attendance'!AV94:AV94, "P")+COUNTIF('Detailed Attendance'!BP94:BP94, "P")+COUNTIF('Detailed Attendance'!CM94:CM94, "P")</f>
        <v/>
      </c>
      <c r="AR93" s="69">
        <f>COUNTIF('Detailed Attendance'!CH94:CH94, "A")+COUNTIF('Detailed Attendance'!Y94:Y94, "A")+COUNTIF('Detailed Attendance'!AS94:AS94, "A")+COUNTIF('Detailed Attendance'!BM94:BM94, "A")+COUNTIF('Detailed Attendance'!CJ94:CJ94, "A")+COUNTIF('Detailed Attendance'!AB94:AB94, "A")+COUNTIF('Detailed Attendance'!AV94:AV94, "A")+COUNTIF('Detailed Attendance'!BP94:BP94, "A")+COUNTIF('Detailed Attendance'!CM94:CM94, "A")</f>
        <v/>
      </c>
      <c r="AS93" s="70">
        <f>IF((AQ93+AR93)=0,"", AQ93/(AQ93+AR93))</f>
        <v/>
      </c>
      <c r="AT93" s="67">
        <f>COUNTIF('Detailed Attendance'!DF94:DF94, "P")+COUNTIF('Detailed Attendance'!DT94:DT94, "P")+COUNTIF('Detailed Attendance'!EC94:EC94, "P")+COUNTIF('Detailed Attendance'!EQ94:EQ94, "P")+COUNTIF('Detailed Attendance'!EW94:EW94, "P")+COUNTIF('Detailed Attendance'!FK94:FK94, "P")+COUNTIF('Detailed Attendance'!FM94:FM94, "P")+COUNTIF('Detailed Attendance'!GA94:GA94, "P")</f>
        <v/>
      </c>
      <c r="AU93" s="67">
        <f>COUNTIF('Detailed Attendance'!DF94:DF94, "A")+COUNTIF('Detailed Attendance'!DT94:DT94, "A")+COUNTIF('Detailed Attendance'!EC94:EC94, "A")+COUNTIF('Detailed Attendance'!EQ94:EQ94, "A")+COUNTIF('Detailed Attendance'!EW94:EW94, "A")+COUNTIF('Detailed Attendance'!FK94:FK94, "A")+COUNTIF('Detailed Attendance'!FM94:FM94, "A")+COUNTIF('Detailed Attendance'!GA94:GA94, "A")</f>
        <v/>
      </c>
      <c r="AV93" s="68">
        <f>IF((AT93+AU93)=0,"", AT93/(AT93+AU93))</f>
        <v/>
      </c>
      <c r="AW93" s="67">
        <f>COUNTIF('Detailed Attendance'!DK94:DK94, "P")+COUNTIF('Detailed Attendance'!DS94:DS94, "P")+COUNTIF('Detailed Attendance'!EH94:EH94, "P")+COUNTIF('Detailed Attendance'!EP94:EP94, "P")+COUNTIF('Detailed Attendance'!FB94:FB94, "P")+COUNTIF('Detailed Attendance'!FJ94:FJ94, "P")+COUNTIF('Detailed Attendance'!FR94:FR94, "P")+COUNTIF('Detailed Attendance'!FZ94:FZ94, "P")</f>
        <v/>
      </c>
      <c r="AX93" s="67">
        <f>COUNTIF('Detailed Attendance'!DK94:DK94, "A")+COUNTIF('Detailed Attendance'!DS94:DS94, "A")+COUNTIF('Detailed Attendance'!EH94:EH94, "A")+COUNTIF('Detailed Attendance'!EP94:EP94, "A")+COUNTIF('Detailed Attendance'!FB94:FB94, "A")+COUNTIF('Detailed Attendance'!FJ94:FJ94, "A")+COUNTIF('Detailed Attendance'!FR94:FR94, "A")+COUNTIF('Detailed Attendance'!FZ94:FZ94, "A")</f>
        <v/>
      </c>
      <c r="AY93" s="68">
        <f>IF((AW93+AX93)=0,"", AW93/(AW93+AX93))</f>
        <v/>
      </c>
      <c r="AZ93" s="67">
        <f>COUNTIF('Detailed Attendance'!DN94:DN94, "P")+COUNTIF('Detailed Attendance'!DR94:DR94, "P")+COUNTIF('Detailed Attendance'!EK94:EK94, "P")+COUNTIF('Detailed Attendance'!EO94:EO94, "P")+COUNTIF('Detailed Attendance'!FE94:FE94, "P")+COUNTIF('Detailed Attendance'!FI94:FI94, "P")+COUNTIF('Detailed Attendance'!FU94:FU94, "P")+COUNTIF('Detailed Attendance'!FY94:FY94, "P")</f>
        <v/>
      </c>
      <c r="BA93" s="67">
        <f>COUNTIF('Detailed Attendance'!DN94:DN94, "A")+COUNTIF('Detailed Attendance'!DR94:DR94, "A")+COUNTIF('Detailed Attendance'!EK94:EK94, "A")+COUNTIF('Detailed Attendance'!EO94:EO94, "A")+COUNTIF('Detailed Attendance'!FE94:FE94, "A")+COUNTIF('Detailed Attendance'!FI94:FI94, "A")+COUNTIF('Detailed Attendance'!FU94:FU94, "A")+COUNTIF('Detailed Attendance'!FY94:FY94, "A")</f>
        <v/>
      </c>
      <c r="BB93" s="68">
        <f>IF((AZ93+BA93)=0,"", AZ93/(AZ93+BA93))</f>
        <v/>
      </c>
      <c r="BC93" s="67">
        <f>COUNTIF('Detailed Attendance'!DC94:DC94, "P")+COUNTIF('Detailed Attendance'!DV94:DV94, "P")+COUNTIF('Detailed Attendance'!DZ94:DZ94, "P")+COUNTIF('Detailed Attendance'!ES94:ES94, "P")+COUNTIF('Detailed Attendance'!GC94:GC94, "P")+COUNTIF('Detailed Attendance'!GG94:GG94, "P")</f>
        <v/>
      </c>
      <c r="BD93" s="67">
        <f>COUNTIF('Detailed Attendance'!DC94:DC94, "A")+COUNTIF('Detailed Attendance'!DV94:DV94, "A")+COUNTIF('Detailed Attendance'!DZ94:DZ94, "A")+COUNTIF('Detailed Attendance'!ES94:ES94, "A")+COUNTIF('Detailed Attendance'!GC94:GC94, "A")+COUNTIF('Detailed Attendance'!GG94:GG94, "A")</f>
        <v/>
      </c>
      <c r="BE93" s="68">
        <f>IF((BC93+BD93)=0,"", BC93/(BC93+BD93))</f>
        <v/>
      </c>
      <c r="BF93" s="67">
        <f>COUNTIF('Detailed Attendance'!DO94:DO94, "P")+COUNTIF('Detailed Attendance'!DW94:DW94, "P")+COUNTIF('Detailed Attendance'!EL94:EL94, "P")+COUNTIF('Detailed Attendance'!ET94:ET94, "P")+COUNTIF('Detailed Attendance'!FF94:FF94, "P")+COUNTIF('Detailed Attendance'!FV94:FV94, "P")+COUNTIF('Detailed Attendance'!GD94:GD94, "P")</f>
        <v/>
      </c>
      <c r="BG93" s="67">
        <f>COUNTIF('Detailed Attendance'!DO94:DO94, "A")+COUNTIF('Detailed Attendance'!DW94:DW94, "A")+COUNTIF('Detailed Attendance'!EL94:EL94, "A")+COUNTIF('Detailed Attendance'!ET94:ET94, "A")+COUNTIF('Detailed Attendance'!FF94:FF94, "A")+COUNTIF('Detailed Attendance'!FV94:FV94, "A")+COUNTIF('Detailed Attendance'!GD94:GD94, "A")</f>
        <v/>
      </c>
      <c r="BH93" s="68">
        <f>IF((BF93+BG93)=0,"", BF93/(BF93+BG93))</f>
        <v/>
      </c>
      <c r="BI93" s="67">
        <f>AT93+AW93+AZ93+BC93+BF93</f>
        <v/>
      </c>
      <c r="BJ93" s="67">
        <f>AU93+AX93+BA93+BD93+BG93</f>
        <v/>
      </c>
      <c r="BK93" s="68">
        <f>IF((BI93+BJ93)=0,"", BI93/(BI93+BJ93))</f>
        <v/>
      </c>
      <c r="BL93" s="69">
        <f>COUNTIF('Detailed Attendance'!DE94:DE94, "P")+COUNTIF('Detailed Attendance'!EB94:EB94, "P")+COUNTIF('Detailed Attendance'!GI94:GI94, "P")+COUNTIF('Detailed Attendance'!DG94:DG94, "P")+COUNTIF('Detailed Attendance'!ED94:ED94, "P")+COUNTIF('Detailed Attendance'!EX94:EX94, "P")+COUNTIF('Detailed Attendance'!FN94:FN94, "P")+COUNTIF('Detailed Attendance'!DJ94:DJ94, "P")+COUNTIF('Detailed Attendance'!EG94:EG94, "P")+COUNTIF('Detailed Attendance'!FA94:FA94, "P")+COUNTIF('Detailed Attendance'!FQ94:FQ94, "P")</f>
        <v/>
      </c>
      <c r="BM93" s="69">
        <f>COUNTIF('Detailed Attendance'!DE94:DE94, "A")+COUNTIF('Detailed Attendance'!EB94:EB94, "A")+COUNTIF('Detailed Attendance'!GI94:GI94, "A")+COUNTIF('Detailed Attendance'!DG94:DG94, "A")+COUNTIF('Detailed Attendance'!ED94:ED94, "A")+COUNTIF('Detailed Attendance'!EX94:EX94, "A")+COUNTIF('Detailed Attendance'!FN94:FN94, "A")+COUNTIF('Detailed Attendance'!DJ94:DJ94, "A")+COUNTIF('Detailed Attendance'!EG94:EG94, "A")+COUNTIF('Detailed Attendance'!FA94:FA94, "A")+COUNTIF('Detailed Attendance'!FQ94:FQ94, "A")</f>
        <v/>
      </c>
      <c r="BN93" s="70">
        <f>IF((BL93+BM93)=0,"", BL93/(BL93+BM93))</f>
        <v/>
      </c>
      <c r="BO93" s="67">
        <f>D93+Y93+AT93</f>
        <v/>
      </c>
      <c r="BP93" s="67">
        <f>E93+Z93+AU93</f>
        <v/>
      </c>
      <c r="BQ93" s="68">
        <f>IF((BO93+BP93)=0,"", BO93/(BO93+BP93))</f>
        <v/>
      </c>
      <c r="BR93" s="67">
        <f>G93+AB93+AW93</f>
        <v/>
      </c>
      <c r="BS93" s="67">
        <f>H93+AC93+AX93</f>
        <v/>
      </c>
      <c r="BT93" s="68">
        <f>IF((BR93+BS93)=0,"", BR93/(BR93+BS93))</f>
        <v/>
      </c>
      <c r="BU93" s="67">
        <f>J93+AE93+AZ93</f>
        <v/>
      </c>
      <c r="BV93" s="67">
        <f>K93+AF93+BA93</f>
        <v/>
      </c>
      <c r="BW93" s="68">
        <f>IF((BU93+BV93)=0,"", BU93/(BU93+BV93))</f>
        <v/>
      </c>
      <c r="BX93" s="67">
        <f>M93+AH93+BC93</f>
        <v/>
      </c>
      <c r="BY93" s="67">
        <f>N93+AI93+BD93</f>
        <v/>
      </c>
      <c r="BZ93" s="68">
        <f>IF((BX93+BY93)=0,"", BX93/(BX93+BY93))</f>
        <v/>
      </c>
      <c r="CA93" s="67">
        <f>P93+AK93+BF93</f>
        <v/>
      </c>
      <c r="CB93" s="67">
        <f>Q93+AL93+BG93</f>
        <v/>
      </c>
      <c r="CC93" s="68">
        <f>IF((CA93+CB93)=0,"", CA93/(CA93+CB93))</f>
        <v/>
      </c>
      <c r="CD93" s="67">
        <f>S93+AN93+BI93</f>
        <v/>
      </c>
      <c r="CE93" s="67">
        <f>T93+AO93+BJ93</f>
        <v/>
      </c>
      <c r="CF93" s="68">
        <f>IF((CD93+CE93)=0,"", CD93/(CD93+CE93))</f>
        <v/>
      </c>
      <c r="CG93" s="69">
        <f>V93+AQ93+BL93</f>
        <v/>
      </c>
      <c r="CH93" s="69">
        <f>W93+AR93+BM93</f>
        <v/>
      </c>
      <c r="CI93" s="70">
        <f>IF((CG93+CH93)=0,"", CG93/(CG93+CH93))</f>
        <v/>
      </c>
      <c r="CJ93" s="67">
        <f>CD93+(CG93*2)</f>
        <v/>
      </c>
      <c r="CK93" s="67">
        <f>CE93+(CH93*2)</f>
        <v/>
      </c>
      <c r="CL93" s="68">
        <f>IF((CJ93+CK93)=0,"", CJ93/(CJ93+CK93))</f>
        <v/>
      </c>
      <c r="CM93" s="67" t="inlineStr">
        <is>
          <t>Batch 3</t>
        </is>
      </c>
    </row>
    <row r="94" ht="14.25" customHeight="1" s="34">
      <c r="A94" s="46" t="n">
        <v>92</v>
      </c>
      <c r="B94" s="46" t="inlineStr">
        <is>
          <t>325106410092</t>
        </is>
      </c>
      <c r="C94" s="46" t="inlineStr">
        <is>
          <t>MUGDHO CHOWDHURY</t>
        </is>
      </c>
      <c r="D94" s="63" t="n">
        <v>0</v>
      </c>
      <c r="E94" s="63" t="n">
        <v>0</v>
      </c>
      <c r="F94" s="64">
        <f>IF((D94+E94)=0,"", D94/(D94+E94))</f>
        <v/>
      </c>
      <c r="G94" s="63">
        <f>COUNTIF('Detailed Attendance'!I95:I95, "P")</f>
        <v/>
      </c>
      <c r="H94" s="63">
        <f>COUNTIF('Detailed Attendance'!I95:I95, "A")</f>
        <v/>
      </c>
      <c r="I94" s="64">
        <f>IF((G94+H94)=0,"", G94/(G94+H94))</f>
        <v/>
      </c>
      <c r="J94" s="63" t="n">
        <v>0</v>
      </c>
      <c r="K94" s="63" t="n">
        <v>0</v>
      </c>
      <c r="L94" s="64">
        <f>IF((J94+K94)=0,"", J94/(J94+K94))</f>
        <v/>
      </c>
      <c r="M94" s="63">
        <f>COUNTIF('Detailed Attendance'!D95:D95, "P")</f>
        <v/>
      </c>
      <c r="N94" s="63">
        <f>COUNTIF('Detailed Attendance'!D95:D95, "A")</f>
        <v/>
      </c>
      <c r="O94" s="64">
        <f>IF((M94+N94)=0,"", M94/(M94+N94))</f>
        <v/>
      </c>
      <c r="P94" s="63" t="n">
        <v>0</v>
      </c>
      <c r="Q94" s="63" t="n">
        <v>0</v>
      </c>
      <c r="R94" s="64">
        <f>IF((P94+Q94)=0,"", P94/(P94+Q94))</f>
        <v/>
      </c>
      <c r="S94" s="63">
        <f>D94+G94+J94+M94+P94</f>
        <v/>
      </c>
      <c r="T94" s="63">
        <f>E94+H94+K94+N94+Q94</f>
        <v/>
      </c>
      <c r="U94" s="64">
        <f>IF((S94+T94)=0,"", S94/(S94+T94))</f>
        <v/>
      </c>
      <c r="V94" s="65">
        <f>COUNTIF('Detailed Attendance'!E95:E95, "P")+COUNTIF('Detailed Attendance'!H95:H95, "P")</f>
        <v/>
      </c>
      <c r="W94" s="65">
        <f>COUNTIF('Detailed Attendance'!E95:E95, "A")+COUNTIF('Detailed Attendance'!H95:H95, "A")</f>
        <v/>
      </c>
      <c r="X94" s="66">
        <f>IF((V94+W94)=0,"", V94/(V94+W94))</f>
        <v/>
      </c>
      <c r="Y94" s="63">
        <f>COUNTIF('Detailed Attendance'!R95:R95, "P")+COUNTIF('Detailed Attendance'!X95:X95, "P")+COUNTIF('Detailed Attendance'!AL95:AL95, "P")+COUNTIF('Detailed Attendance'!BF95:BF95, "P")+COUNTIF('Detailed Attendance'!BL95:BL95, "P")+COUNTIF('Detailed Attendance'!BZ95:BZ95, "P")+COUNTIF('Detailed Attendance'!CI95:CI95, "P")+COUNTIF('Detailed Attendance'!CW95:CW95, "P")</f>
        <v/>
      </c>
      <c r="Z94" s="63">
        <f>COUNTIF('Detailed Attendance'!R95:R95, "A")+COUNTIF('Detailed Attendance'!X95:X95, "A")+COUNTIF('Detailed Attendance'!AL95:AL95, "A")+COUNTIF('Detailed Attendance'!BF95:BF95, "A")+COUNTIF('Detailed Attendance'!BL95:BL95, "A")+COUNTIF('Detailed Attendance'!BZ95:BZ95, "A")+COUNTIF('Detailed Attendance'!CI95:CI95, "A")+COUNTIF('Detailed Attendance'!CW95:CW95, "A")</f>
        <v/>
      </c>
      <c r="AA94" s="64">
        <f>IF((Y94+Z94)=0,"", Y94/(Y94+Z94))</f>
        <v/>
      </c>
      <c r="AB94" s="63">
        <f>COUNTIF('Detailed Attendance'!Q95:Q95, "P")+COUNTIF('Detailed Attendance'!AC95:AC95, "P")+COUNTIF('Detailed Attendance'!AK95:AK95, "P")+COUNTIF('Detailed Attendance'!AW95:AW95, "P")+COUNTIF('Detailed Attendance'!BE95:BE95, "P")+COUNTIF('Detailed Attendance'!BQ95:BQ95, "P")+COUNTIF('Detailed Attendance'!BY95:BY95, "P")+COUNTIF('Detailed Attendance'!CN95:CN95, "P")+COUNTIF('Detailed Attendance'!CV95:CV95, "P")</f>
        <v/>
      </c>
      <c r="AC94" s="63">
        <f>COUNTIF('Detailed Attendance'!Q95:Q95, "A")+COUNTIF('Detailed Attendance'!AC95:AC95, "A")+COUNTIF('Detailed Attendance'!AK95:AK95, "A")+COUNTIF('Detailed Attendance'!AW95:AW95, "A")+COUNTIF('Detailed Attendance'!BE95:BE95, "A")+COUNTIF('Detailed Attendance'!BQ95:BQ95, "A")+COUNTIF('Detailed Attendance'!BY95:BY95, "A")+COUNTIF('Detailed Attendance'!CN95:CN95, "A")+COUNTIF('Detailed Attendance'!CV95:CV95, "A")</f>
        <v/>
      </c>
      <c r="AD94" s="64">
        <f>IF((AB94+AC94)=0,"", AB94/(AB94+AC94))</f>
        <v/>
      </c>
      <c r="AE94" s="63">
        <f>COUNTIF('Detailed Attendance'!L95:L95, "P")+COUNTIF('Detailed Attendance'!P95:P95, "P")+COUNTIF('Detailed Attendance'!AF95:AF95, "P")+COUNTIF('Detailed Attendance'!AJ95:AJ95, "P")+COUNTIF('Detailed Attendance'!AZ95:AZ95, "P")+COUNTIF('Detailed Attendance'!BD95:BD95, "P")+COUNTIF('Detailed Attendance'!BT95:BT95, "P")+COUNTIF('Detailed Attendance'!BX95:BX95, "P")+COUNTIF('Detailed Attendance'!CQ95:CQ95, "P")+COUNTIF('Detailed Attendance'!CU95:CU95, "P")</f>
        <v/>
      </c>
      <c r="AF94" s="67">
        <f>COUNTIF('Detailed Attendance'!L95:L95, "A")+COUNTIF('Detailed Attendance'!P95:P95, "A")+COUNTIF('Detailed Attendance'!AF95:AF95, "A")+COUNTIF('Detailed Attendance'!AJ95:AJ95, "A")+COUNTIF('Detailed Attendance'!AZ95:AZ95, "A")+COUNTIF('Detailed Attendance'!BD95:BD95, "A")+COUNTIF('Detailed Attendance'!BT95:BT95, "A")+COUNTIF('Detailed Attendance'!BX95:BX95, "A")+COUNTIF('Detailed Attendance'!CQ95:CQ95, "A")+COUNTIF('Detailed Attendance'!CU95:CU95, "A")</f>
        <v/>
      </c>
      <c r="AG94" s="68">
        <f>IF((AE94+AF94)=0,"", AE94/(AE94+AF94))</f>
        <v/>
      </c>
      <c r="AH94" s="67">
        <f>COUNTIF('Detailed Attendance'!T95:T95, "P")+COUNTIF('Detailed Attendance'!AN95:AN95, "P")+COUNTIF('Detailed Attendance'!AR95:AR95, "P")+COUNTIF('Detailed Attendance'!BH95:BH95, "P")+COUNTIF('Detailed Attendance'!CB95:CB95, "P")+COUNTIF('Detailed Attendance'!CF95:CF95, "P")+COUNTIF('Detailed Attendance'!CY95:CY95, "P")</f>
        <v/>
      </c>
      <c r="AI94" s="67">
        <f>COUNTIF('Detailed Attendance'!T95:T95, "A")+COUNTIF('Detailed Attendance'!AN95:AN95, "A")+COUNTIF('Detailed Attendance'!AR95:AR95, "A")+COUNTIF('Detailed Attendance'!BH95:BH95, "A")+COUNTIF('Detailed Attendance'!CB95:CB95, "A")+COUNTIF('Detailed Attendance'!CF95:CF95, "A")+COUNTIF('Detailed Attendance'!CY95:CY95, "A")</f>
        <v/>
      </c>
      <c r="AJ94" s="68">
        <f>IF((AH94+AI94)=0,"", AH94/(AH94+AI94))</f>
        <v/>
      </c>
      <c r="AK94" s="67">
        <f>COUNTIF('Detailed Attendance'!M95:M95, "P")+COUNTIF('Detailed Attendance'!U95:U95, "P")+COUNTIF('Detailed Attendance'!AG95:AG95, "P")+COUNTIF('Detailed Attendance'!AO95:AO95, "P")+COUNTIF('Detailed Attendance'!BA95:BA95, "P")+COUNTIF('Detailed Attendance'!BI95:BI95, "P")+COUNTIF('Detailed Attendance'!BU95:BU95, "P")+COUNTIF('Detailed Attendance'!CC95:CC95, "P")+COUNTIF('Detailed Attendance'!CR95:CR95, "P")+COUNTIF('Detailed Attendance'!CZ95:CZ95, "P")</f>
        <v/>
      </c>
      <c r="AL94" s="67">
        <f>COUNTIF('Detailed Attendance'!M95:M95, "A")+COUNTIF('Detailed Attendance'!U95:U95, "A")+COUNTIF('Detailed Attendance'!AG95:AG95, "A")+COUNTIF('Detailed Attendance'!AO95:AO95, "A")+COUNTIF('Detailed Attendance'!BA95:BA95, "A")+COUNTIF('Detailed Attendance'!BI95:BI95, "A")+COUNTIF('Detailed Attendance'!BU95:BU95, "A")+COUNTIF('Detailed Attendance'!CC95:CC95, "A")+COUNTIF('Detailed Attendance'!CR95:CR95, "A")+COUNTIF('Detailed Attendance'!CZ95:CZ95, "A")</f>
        <v/>
      </c>
      <c r="AM94" s="68">
        <f>IF((AK94+AL94)=0,"", AK94/(AK94+AL94))</f>
        <v/>
      </c>
      <c r="AN94" s="67">
        <f>Y94+AB94+AE94+AH94+AK94</f>
        <v/>
      </c>
      <c r="AO94" s="67">
        <f>Z94+AC94+AF94+AI94+AL94</f>
        <v/>
      </c>
      <c r="AP94" s="68">
        <f>IF((AN94+AO94)=0,"", AN94/(AN94+AO94))</f>
        <v/>
      </c>
      <c r="AQ94" s="69">
        <f>COUNTIF('Detailed Attendance'!CH95:CH95, "P")+COUNTIF('Detailed Attendance'!Y95:Y95, "P")+COUNTIF('Detailed Attendance'!AS95:AS95, "P")+COUNTIF('Detailed Attendance'!BM95:BM95, "P")+COUNTIF('Detailed Attendance'!CJ95:CJ95, "P")+COUNTIF('Detailed Attendance'!AB95:AB95, "P")+COUNTIF('Detailed Attendance'!AV95:AV95, "P")+COUNTIF('Detailed Attendance'!BP95:BP95, "P")+COUNTIF('Detailed Attendance'!CM95:CM95, "P")</f>
        <v/>
      </c>
      <c r="AR94" s="69">
        <f>COUNTIF('Detailed Attendance'!CH95:CH95, "A")+COUNTIF('Detailed Attendance'!Y95:Y95, "A")+COUNTIF('Detailed Attendance'!AS95:AS95, "A")+COUNTIF('Detailed Attendance'!BM95:BM95, "A")+COUNTIF('Detailed Attendance'!CJ95:CJ95, "A")+COUNTIF('Detailed Attendance'!AB95:AB95, "A")+COUNTIF('Detailed Attendance'!AV95:AV95, "A")+COUNTIF('Detailed Attendance'!BP95:BP95, "A")+COUNTIF('Detailed Attendance'!CM95:CM95, "A")</f>
        <v/>
      </c>
      <c r="AS94" s="70">
        <f>IF((AQ94+AR94)=0,"", AQ94/(AQ94+AR94))</f>
        <v/>
      </c>
      <c r="AT94" s="67">
        <f>COUNTIF('Detailed Attendance'!DF95:DF95, "P")+COUNTIF('Detailed Attendance'!DT95:DT95, "P")+COUNTIF('Detailed Attendance'!EC95:EC95, "P")+COUNTIF('Detailed Attendance'!EQ95:EQ95, "P")+COUNTIF('Detailed Attendance'!EW95:EW95, "P")+COUNTIF('Detailed Attendance'!FK95:FK95, "P")+COUNTIF('Detailed Attendance'!FM95:FM95, "P")+COUNTIF('Detailed Attendance'!GA95:GA95, "P")</f>
        <v/>
      </c>
      <c r="AU94" s="67">
        <f>COUNTIF('Detailed Attendance'!DF95:DF95, "A")+COUNTIF('Detailed Attendance'!DT95:DT95, "A")+COUNTIF('Detailed Attendance'!EC95:EC95, "A")+COUNTIF('Detailed Attendance'!EQ95:EQ95, "A")+COUNTIF('Detailed Attendance'!EW95:EW95, "A")+COUNTIF('Detailed Attendance'!FK95:FK95, "A")+COUNTIF('Detailed Attendance'!FM95:FM95, "A")+COUNTIF('Detailed Attendance'!GA95:GA95, "A")</f>
        <v/>
      </c>
      <c r="AV94" s="68">
        <f>IF((AT94+AU94)=0,"", AT94/(AT94+AU94))</f>
        <v/>
      </c>
      <c r="AW94" s="67">
        <f>COUNTIF('Detailed Attendance'!DK95:DK95, "P")+COUNTIF('Detailed Attendance'!DS95:DS95, "P")+COUNTIF('Detailed Attendance'!EH95:EH95, "P")+COUNTIF('Detailed Attendance'!EP95:EP95, "P")+COUNTIF('Detailed Attendance'!FB95:FB95, "P")+COUNTIF('Detailed Attendance'!FJ95:FJ95, "P")+COUNTIF('Detailed Attendance'!FR95:FR95, "P")+COUNTIF('Detailed Attendance'!FZ95:FZ95, "P")</f>
        <v/>
      </c>
      <c r="AX94" s="67">
        <f>COUNTIF('Detailed Attendance'!DK95:DK95, "A")+COUNTIF('Detailed Attendance'!DS95:DS95, "A")+COUNTIF('Detailed Attendance'!EH95:EH95, "A")+COUNTIF('Detailed Attendance'!EP95:EP95, "A")+COUNTIF('Detailed Attendance'!FB95:FB95, "A")+COUNTIF('Detailed Attendance'!FJ95:FJ95, "A")+COUNTIF('Detailed Attendance'!FR95:FR95, "A")+COUNTIF('Detailed Attendance'!FZ95:FZ95, "A")</f>
        <v/>
      </c>
      <c r="AY94" s="68">
        <f>IF((AW94+AX94)=0,"", AW94/(AW94+AX94))</f>
        <v/>
      </c>
      <c r="AZ94" s="67">
        <f>COUNTIF('Detailed Attendance'!DN95:DN95, "P")+COUNTIF('Detailed Attendance'!DR95:DR95, "P")+COUNTIF('Detailed Attendance'!EK95:EK95, "P")+COUNTIF('Detailed Attendance'!EO95:EO95, "P")+COUNTIF('Detailed Attendance'!FE95:FE95, "P")+COUNTIF('Detailed Attendance'!FI95:FI95, "P")+COUNTIF('Detailed Attendance'!FU95:FU95, "P")+COUNTIF('Detailed Attendance'!FY95:FY95, "P")</f>
        <v/>
      </c>
      <c r="BA94" s="67">
        <f>COUNTIF('Detailed Attendance'!DN95:DN95, "A")+COUNTIF('Detailed Attendance'!DR95:DR95, "A")+COUNTIF('Detailed Attendance'!EK95:EK95, "A")+COUNTIF('Detailed Attendance'!EO95:EO95, "A")+COUNTIF('Detailed Attendance'!FE95:FE95, "A")+COUNTIF('Detailed Attendance'!FI95:FI95, "A")+COUNTIF('Detailed Attendance'!FU95:FU95, "A")+COUNTIF('Detailed Attendance'!FY95:FY95, "A")</f>
        <v/>
      </c>
      <c r="BB94" s="68">
        <f>IF((AZ94+BA94)=0,"", AZ94/(AZ94+BA94))</f>
        <v/>
      </c>
      <c r="BC94" s="67">
        <f>COUNTIF('Detailed Attendance'!DC95:DC95, "P")+COUNTIF('Detailed Attendance'!DV95:DV95, "P")+COUNTIF('Detailed Attendance'!DZ95:DZ95, "P")+COUNTIF('Detailed Attendance'!ES95:ES95, "P")+COUNTIF('Detailed Attendance'!GC95:GC95, "P")+COUNTIF('Detailed Attendance'!GG95:GG95, "P")</f>
        <v/>
      </c>
      <c r="BD94" s="67">
        <f>COUNTIF('Detailed Attendance'!DC95:DC95, "A")+COUNTIF('Detailed Attendance'!DV95:DV95, "A")+COUNTIF('Detailed Attendance'!DZ95:DZ95, "A")+COUNTIF('Detailed Attendance'!ES95:ES95, "A")+COUNTIF('Detailed Attendance'!GC95:GC95, "A")+COUNTIF('Detailed Attendance'!GG95:GG95, "A")</f>
        <v/>
      </c>
      <c r="BE94" s="68">
        <f>IF((BC94+BD94)=0,"", BC94/(BC94+BD94))</f>
        <v/>
      </c>
      <c r="BF94" s="67">
        <f>COUNTIF('Detailed Attendance'!DO95:DO95, "P")+COUNTIF('Detailed Attendance'!DW95:DW95, "P")+COUNTIF('Detailed Attendance'!EL95:EL95, "P")+COUNTIF('Detailed Attendance'!ET95:ET95, "P")+COUNTIF('Detailed Attendance'!FF95:FF95, "P")+COUNTIF('Detailed Attendance'!FV95:FV95, "P")+COUNTIF('Detailed Attendance'!GD95:GD95, "P")</f>
        <v/>
      </c>
      <c r="BG94" s="67">
        <f>COUNTIF('Detailed Attendance'!DO95:DO95, "A")+COUNTIF('Detailed Attendance'!DW95:DW95, "A")+COUNTIF('Detailed Attendance'!EL95:EL95, "A")+COUNTIF('Detailed Attendance'!ET95:ET95, "A")+COUNTIF('Detailed Attendance'!FF95:FF95, "A")+COUNTIF('Detailed Attendance'!FV95:FV95, "A")+COUNTIF('Detailed Attendance'!GD95:GD95, "A")</f>
        <v/>
      </c>
      <c r="BH94" s="68">
        <f>IF((BF94+BG94)=0,"", BF94/(BF94+BG94))</f>
        <v/>
      </c>
      <c r="BI94" s="67">
        <f>AT94+AW94+AZ94+BC94+BF94</f>
        <v/>
      </c>
      <c r="BJ94" s="67">
        <f>AU94+AX94+BA94+BD94+BG94</f>
        <v/>
      </c>
      <c r="BK94" s="68">
        <f>IF((BI94+BJ94)=0,"", BI94/(BI94+BJ94))</f>
        <v/>
      </c>
      <c r="BL94" s="69">
        <f>COUNTIF('Detailed Attendance'!DE95:DE95, "P")+COUNTIF('Detailed Attendance'!EB95:EB95, "P")+COUNTIF('Detailed Attendance'!GI95:GI95, "P")+COUNTIF('Detailed Attendance'!DG95:DG95, "P")+COUNTIF('Detailed Attendance'!ED95:ED95, "P")+COUNTIF('Detailed Attendance'!EX95:EX95, "P")+COUNTIF('Detailed Attendance'!FN95:FN95, "P")+COUNTIF('Detailed Attendance'!DJ95:DJ95, "P")+COUNTIF('Detailed Attendance'!EG95:EG95, "P")+COUNTIF('Detailed Attendance'!FA95:FA95, "P")+COUNTIF('Detailed Attendance'!FQ95:FQ95, "P")</f>
        <v/>
      </c>
      <c r="BM94" s="69">
        <f>COUNTIF('Detailed Attendance'!DE95:DE95, "A")+COUNTIF('Detailed Attendance'!EB95:EB95, "A")+COUNTIF('Detailed Attendance'!GI95:GI95, "A")+COUNTIF('Detailed Attendance'!DG95:DG95, "A")+COUNTIF('Detailed Attendance'!ED95:ED95, "A")+COUNTIF('Detailed Attendance'!EX95:EX95, "A")+COUNTIF('Detailed Attendance'!FN95:FN95, "A")+COUNTIF('Detailed Attendance'!DJ95:DJ95, "A")+COUNTIF('Detailed Attendance'!EG95:EG95, "A")+COUNTIF('Detailed Attendance'!FA95:FA95, "A")+COUNTIF('Detailed Attendance'!FQ95:FQ95, "A")</f>
        <v/>
      </c>
      <c r="BN94" s="70">
        <f>IF((BL94+BM94)=0,"", BL94/(BL94+BM94))</f>
        <v/>
      </c>
      <c r="BO94" s="67">
        <f>D94+Y94+AT94</f>
        <v/>
      </c>
      <c r="BP94" s="67">
        <f>E94+Z94+AU94</f>
        <v/>
      </c>
      <c r="BQ94" s="68">
        <f>IF((BO94+BP94)=0,"", BO94/(BO94+BP94))</f>
        <v/>
      </c>
      <c r="BR94" s="67">
        <f>G94+AB94+AW94</f>
        <v/>
      </c>
      <c r="BS94" s="67">
        <f>H94+AC94+AX94</f>
        <v/>
      </c>
      <c r="BT94" s="68">
        <f>IF((BR94+BS94)=0,"", BR94/(BR94+BS94))</f>
        <v/>
      </c>
      <c r="BU94" s="67">
        <f>J94+AE94+AZ94</f>
        <v/>
      </c>
      <c r="BV94" s="67">
        <f>K94+AF94+BA94</f>
        <v/>
      </c>
      <c r="BW94" s="68">
        <f>IF((BU94+BV94)=0,"", BU94/(BU94+BV94))</f>
        <v/>
      </c>
      <c r="BX94" s="67">
        <f>M94+AH94+BC94</f>
        <v/>
      </c>
      <c r="BY94" s="67">
        <f>N94+AI94+BD94</f>
        <v/>
      </c>
      <c r="BZ94" s="68">
        <f>IF((BX94+BY94)=0,"", BX94/(BX94+BY94))</f>
        <v/>
      </c>
      <c r="CA94" s="67">
        <f>P94+AK94+BF94</f>
        <v/>
      </c>
      <c r="CB94" s="67">
        <f>Q94+AL94+BG94</f>
        <v/>
      </c>
      <c r="CC94" s="68">
        <f>IF((CA94+CB94)=0,"", CA94/(CA94+CB94))</f>
        <v/>
      </c>
      <c r="CD94" s="67">
        <f>S94+AN94+BI94</f>
        <v/>
      </c>
      <c r="CE94" s="67">
        <f>T94+AO94+BJ94</f>
        <v/>
      </c>
      <c r="CF94" s="68">
        <f>IF((CD94+CE94)=0,"", CD94/(CD94+CE94))</f>
        <v/>
      </c>
      <c r="CG94" s="69">
        <f>V94+AQ94+BL94</f>
        <v/>
      </c>
      <c r="CH94" s="69">
        <f>W94+AR94+BM94</f>
        <v/>
      </c>
      <c r="CI94" s="70">
        <f>IF((CG94+CH94)=0,"", CG94/(CG94+CH94))</f>
        <v/>
      </c>
      <c r="CJ94" s="67">
        <f>CD94+(CG94*2)</f>
        <v/>
      </c>
      <c r="CK94" s="67">
        <f>CE94+(CH94*2)</f>
        <v/>
      </c>
      <c r="CL94" s="68">
        <f>IF((CJ94+CK94)=0,"", CJ94/(CJ94+CK94))</f>
        <v/>
      </c>
      <c r="CM94" s="67" t="inlineStr">
        <is>
          <t>Batch 3</t>
        </is>
      </c>
    </row>
    <row r="95" ht="14.25" customHeight="1" s="34">
      <c r="A95" s="46" t="n">
        <v>93</v>
      </c>
      <c r="B95" s="46" t="inlineStr">
        <is>
          <t>325106410093</t>
        </is>
      </c>
      <c r="C95" s="46" t="inlineStr">
        <is>
          <t>-------</t>
        </is>
      </c>
      <c r="D95" s="63" t="n">
        <v>0</v>
      </c>
      <c r="E95" s="63" t="n">
        <v>0</v>
      </c>
      <c r="F95" s="64">
        <f>IF((D95+E95)=0,"", D95/(D95+E95))</f>
        <v/>
      </c>
      <c r="G95" s="63">
        <f>COUNTIF('Detailed Attendance'!I96:I96, "P")</f>
        <v/>
      </c>
      <c r="H95" s="63">
        <f>COUNTIF('Detailed Attendance'!I96:I96, "A")</f>
        <v/>
      </c>
      <c r="I95" s="64">
        <f>IF((G95+H95)=0,"", G95/(G95+H95))</f>
        <v/>
      </c>
      <c r="J95" s="63" t="n">
        <v>0</v>
      </c>
      <c r="K95" s="63" t="n">
        <v>0</v>
      </c>
      <c r="L95" s="64">
        <f>IF((J95+K95)=0,"", J95/(J95+K95))</f>
        <v/>
      </c>
      <c r="M95" s="63">
        <f>COUNTIF('Detailed Attendance'!D96:D96, "P")</f>
        <v/>
      </c>
      <c r="N95" s="63">
        <f>COUNTIF('Detailed Attendance'!D96:D96, "A")</f>
        <v/>
      </c>
      <c r="O95" s="64">
        <f>IF((M95+N95)=0,"", M95/(M95+N95))</f>
        <v/>
      </c>
      <c r="P95" s="63" t="n">
        <v>0</v>
      </c>
      <c r="Q95" s="63" t="n">
        <v>0</v>
      </c>
      <c r="R95" s="64">
        <f>IF((P95+Q95)=0,"", P95/(P95+Q95))</f>
        <v/>
      </c>
      <c r="S95" s="63">
        <f>D95+G95+J95+M95+P95</f>
        <v/>
      </c>
      <c r="T95" s="63">
        <f>E95+H95+K95+N95+Q95</f>
        <v/>
      </c>
      <c r="U95" s="64">
        <f>IF((S95+T95)=0,"", S95/(S95+T95))</f>
        <v/>
      </c>
      <c r="V95" s="65">
        <f>COUNTIF('Detailed Attendance'!E96:E96, "P")+COUNTIF('Detailed Attendance'!H96:H96, "P")</f>
        <v/>
      </c>
      <c r="W95" s="65">
        <f>COUNTIF('Detailed Attendance'!E96:E96, "A")+COUNTIF('Detailed Attendance'!H96:H96, "A")</f>
        <v/>
      </c>
      <c r="X95" s="66">
        <f>IF((V95+W95)=0,"", V95/(V95+W95))</f>
        <v/>
      </c>
      <c r="Y95" s="63">
        <f>COUNTIF('Detailed Attendance'!R96:R96, "P")+COUNTIF('Detailed Attendance'!X96:X96, "P")+COUNTIF('Detailed Attendance'!AL96:AL96, "P")+COUNTIF('Detailed Attendance'!BF96:BF96, "P")+COUNTIF('Detailed Attendance'!BL96:BL96, "P")+COUNTIF('Detailed Attendance'!BZ96:BZ96, "P")+COUNTIF('Detailed Attendance'!CI96:CI96, "P")+COUNTIF('Detailed Attendance'!CW96:CW96, "P")</f>
        <v/>
      </c>
      <c r="Z95" s="63">
        <f>COUNTIF('Detailed Attendance'!R96:R96, "A")+COUNTIF('Detailed Attendance'!X96:X96, "A")+COUNTIF('Detailed Attendance'!AL96:AL96, "A")+COUNTIF('Detailed Attendance'!BF96:BF96, "A")+COUNTIF('Detailed Attendance'!BL96:BL96, "A")+COUNTIF('Detailed Attendance'!BZ96:BZ96, "A")+COUNTIF('Detailed Attendance'!CI96:CI96, "A")+COUNTIF('Detailed Attendance'!CW96:CW96, "A")</f>
        <v/>
      </c>
      <c r="AA95" s="64">
        <f>IF((Y95+Z95)=0,"", Y95/(Y95+Z95))</f>
        <v/>
      </c>
      <c r="AB95" s="63">
        <f>COUNTIF('Detailed Attendance'!Q96:Q96, "P")+COUNTIF('Detailed Attendance'!AC96:AC96, "P")+COUNTIF('Detailed Attendance'!AK96:AK96, "P")+COUNTIF('Detailed Attendance'!AW96:AW96, "P")+COUNTIF('Detailed Attendance'!BE96:BE96, "P")+COUNTIF('Detailed Attendance'!BQ96:BQ96, "P")+COUNTIF('Detailed Attendance'!BY96:BY96, "P")+COUNTIF('Detailed Attendance'!CN96:CN96, "P")+COUNTIF('Detailed Attendance'!CV96:CV96, "P")</f>
        <v/>
      </c>
      <c r="AC95" s="63">
        <f>COUNTIF('Detailed Attendance'!Q96:Q96, "A")+COUNTIF('Detailed Attendance'!AC96:AC96, "A")+COUNTIF('Detailed Attendance'!AK96:AK96, "A")+COUNTIF('Detailed Attendance'!AW96:AW96, "A")+COUNTIF('Detailed Attendance'!BE96:BE96, "A")+COUNTIF('Detailed Attendance'!BQ96:BQ96, "A")+COUNTIF('Detailed Attendance'!BY96:BY96, "A")+COUNTIF('Detailed Attendance'!CN96:CN96, "A")+COUNTIF('Detailed Attendance'!CV96:CV96, "A")</f>
        <v/>
      </c>
      <c r="AD95" s="64">
        <f>IF((AB95+AC95)=0,"", AB95/(AB95+AC95))</f>
        <v/>
      </c>
      <c r="AE95" s="63">
        <f>COUNTIF('Detailed Attendance'!L96:L96, "P")+COUNTIF('Detailed Attendance'!P96:P96, "P")+COUNTIF('Detailed Attendance'!AF96:AF96, "P")+COUNTIF('Detailed Attendance'!AJ96:AJ96, "P")+COUNTIF('Detailed Attendance'!AZ96:AZ96, "P")+COUNTIF('Detailed Attendance'!BD96:BD96, "P")+COUNTIF('Detailed Attendance'!BT96:BT96, "P")+COUNTIF('Detailed Attendance'!BX96:BX96, "P")+COUNTIF('Detailed Attendance'!CQ96:CQ96, "P")+COUNTIF('Detailed Attendance'!CU96:CU96, "P")</f>
        <v/>
      </c>
      <c r="AF95" s="67">
        <f>COUNTIF('Detailed Attendance'!L96:L96, "A")+COUNTIF('Detailed Attendance'!P96:P96, "A")+COUNTIF('Detailed Attendance'!AF96:AF96, "A")+COUNTIF('Detailed Attendance'!AJ96:AJ96, "A")+COUNTIF('Detailed Attendance'!AZ96:AZ96, "A")+COUNTIF('Detailed Attendance'!BD96:BD96, "A")+COUNTIF('Detailed Attendance'!BT96:BT96, "A")+COUNTIF('Detailed Attendance'!BX96:BX96, "A")+COUNTIF('Detailed Attendance'!CQ96:CQ96, "A")+COUNTIF('Detailed Attendance'!CU96:CU96, "A")</f>
        <v/>
      </c>
      <c r="AG95" s="68">
        <f>IF((AE95+AF95)=0,"", AE95/(AE95+AF95))</f>
        <v/>
      </c>
      <c r="AH95" s="67">
        <f>COUNTIF('Detailed Attendance'!T96:T96, "P")+COUNTIF('Detailed Attendance'!AN96:AN96, "P")+COUNTIF('Detailed Attendance'!AR96:AR96, "P")+COUNTIF('Detailed Attendance'!BH96:BH96, "P")+COUNTIF('Detailed Attendance'!CB96:CB96, "P")+COUNTIF('Detailed Attendance'!CF96:CF96, "P")+COUNTIF('Detailed Attendance'!CY96:CY96, "P")</f>
        <v/>
      </c>
      <c r="AI95" s="67">
        <f>COUNTIF('Detailed Attendance'!T96:T96, "A")+COUNTIF('Detailed Attendance'!AN96:AN96, "A")+COUNTIF('Detailed Attendance'!AR96:AR96, "A")+COUNTIF('Detailed Attendance'!BH96:BH96, "A")+COUNTIF('Detailed Attendance'!CB96:CB96, "A")+COUNTIF('Detailed Attendance'!CF96:CF96, "A")+COUNTIF('Detailed Attendance'!CY96:CY96, "A")</f>
        <v/>
      </c>
      <c r="AJ95" s="68">
        <f>IF((AH95+AI95)=0,"", AH95/(AH95+AI95))</f>
        <v/>
      </c>
      <c r="AK95" s="67">
        <f>COUNTIF('Detailed Attendance'!M96:M96, "P")+COUNTIF('Detailed Attendance'!U96:U96, "P")+COUNTIF('Detailed Attendance'!AG96:AG96, "P")+COUNTIF('Detailed Attendance'!AO96:AO96, "P")+COUNTIF('Detailed Attendance'!BA96:BA96, "P")+COUNTIF('Detailed Attendance'!BI96:BI96, "P")+COUNTIF('Detailed Attendance'!BU96:BU96, "P")+COUNTIF('Detailed Attendance'!CC96:CC96, "P")+COUNTIF('Detailed Attendance'!CR96:CR96, "P")+COUNTIF('Detailed Attendance'!CZ96:CZ96, "P")</f>
        <v/>
      </c>
      <c r="AL95" s="67">
        <f>COUNTIF('Detailed Attendance'!M96:M96, "A")+COUNTIF('Detailed Attendance'!U96:U96, "A")+COUNTIF('Detailed Attendance'!AG96:AG96, "A")+COUNTIF('Detailed Attendance'!AO96:AO96, "A")+COUNTIF('Detailed Attendance'!BA96:BA96, "A")+COUNTIF('Detailed Attendance'!BI96:BI96, "A")+COUNTIF('Detailed Attendance'!BU96:BU96, "A")+COUNTIF('Detailed Attendance'!CC96:CC96, "A")+COUNTIF('Detailed Attendance'!CR96:CR96, "A")+COUNTIF('Detailed Attendance'!CZ96:CZ96, "A")</f>
        <v/>
      </c>
      <c r="AM95" s="68">
        <f>IF((AK95+AL95)=0,"", AK95/(AK95+AL95))</f>
        <v/>
      </c>
      <c r="AN95" s="67">
        <f>Y95+AB95+AE95+AH95+AK95</f>
        <v/>
      </c>
      <c r="AO95" s="67">
        <f>Z95+AC95+AF95+AI95+AL95</f>
        <v/>
      </c>
      <c r="AP95" s="68">
        <f>IF((AN95+AO95)=0,"", AN95/(AN95+AO95))</f>
        <v/>
      </c>
      <c r="AQ95" s="69">
        <f>COUNTIF('Detailed Attendance'!CH96:CH96, "P")+COUNTIF('Detailed Attendance'!Y96:Y96, "P")+COUNTIF('Detailed Attendance'!AS96:AS96, "P")+COUNTIF('Detailed Attendance'!BM96:BM96, "P")+COUNTIF('Detailed Attendance'!CJ96:CJ96, "P")+COUNTIF('Detailed Attendance'!AB96:AB96, "P")+COUNTIF('Detailed Attendance'!AV96:AV96, "P")+COUNTIF('Detailed Attendance'!BP96:BP96, "P")+COUNTIF('Detailed Attendance'!CM96:CM96, "P")</f>
        <v/>
      </c>
      <c r="AR95" s="69">
        <f>COUNTIF('Detailed Attendance'!CH96:CH96, "A")+COUNTIF('Detailed Attendance'!Y96:Y96, "A")+COUNTIF('Detailed Attendance'!AS96:AS96, "A")+COUNTIF('Detailed Attendance'!BM96:BM96, "A")+COUNTIF('Detailed Attendance'!CJ96:CJ96, "A")+COUNTIF('Detailed Attendance'!AB96:AB96, "A")+COUNTIF('Detailed Attendance'!AV96:AV96, "A")+COUNTIF('Detailed Attendance'!BP96:BP96, "A")+COUNTIF('Detailed Attendance'!CM96:CM96, "A")</f>
        <v/>
      </c>
      <c r="AS95" s="70">
        <f>IF((AQ95+AR95)=0,"", AQ95/(AQ95+AR95))</f>
        <v/>
      </c>
      <c r="AT95" s="67">
        <f>COUNTIF('Detailed Attendance'!DF96:DF96, "P")+COUNTIF('Detailed Attendance'!DT96:DT96, "P")+COUNTIF('Detailed Attendance'!EC96:EC96, "P")+COUNTIF('Detailed Attendance'!EQ96:EQ96, "P")+COUNTIF('Detailed Attendance'!EW96:EW96, "P")+COUNTIF('Detailed Attendance'!FK96:FK96, "P")+COUNTIF('Detailed Attendance'!FM96:FM96, "P")+COUNTIF('Detailed Attendance'!GA96:GA96, "P")</f>
        <v/>
      </c>
      <c r="AU95" s="67">
        <f>COUNTIF('Detailed Attendance'!DF96:DF96, "A")+COUNTIF('Detailed Attendance'!DT96:DT96, "A")+COUNTIF('Detailed Attendance'!EC96:EC96, "A")+COUNTIF('Detailed Attendance'!EQ96:EQ96, "A")+COUNTIF('Detailed Attendance'!EW96:EW96, "A")+COUNTIF('Detailed Attendance'!FK96:FK96, "A")+COUNTIF('Detailed Attendance'!FM96:FM96, "A")+COUNTIF('Detailed Attendance'!GA96:GA96, "A")</f>
        <v/>
      </c>
      <c r="AV95" s="68">
        <f>IF((AT95+AU95)=0,"", AT95/(AT95+AU95))</f>
        <v/>
      </c>
      <c r="AW95" s="67">
        <f>COUNTIF('Detailed Attendance'!DK96:DK96, "P")+COUNTIF('Detailed Attendance'!DS96:DS96, "P")+COUNTIF('Detailed Attendance'!EH96:EH96, "P")+COUNTIF('Detailed Attendance'!EP96:EP96, "P")+COUNTIF('Detailed Attendance'!FB96:FB96, "P")+COUNTIF('Detailed Attendance'!FJ96:FJ96, "P")+COUNTIF('Detailed Attendance'!FR96:FR96, "P")+COUNTIF('Detailed Attendance'!FZ96:FZ96, "P")</f>
        <v/>
      </c>
      <c r="AX95" s="67">
        <f>COUNTIF('Detailed Attendance'!DK96:DK96, "A")+COUNTIF('Detailed Attendance'!DS96:DS96, "A")+COUNTIF('Detailed Attendance'!EH96:EH96, "A")+COUNTIF('Detailed Attendance'!EP96:EP96, "A")+COUNTIF('Detailed Attendance'!FB96:FB96, "A")+COUNTIF('Detailed Attendance'!FJ96:FJ96, "A")+COUNTIF('Detailed Attendance'!FR96:FR96, "A")+COUNTIF('Detailed Attendance'!FZ96:FZ96, "A")</f>
        <v/>
      </c>
      <c r="AY95" s="68">
        <f>IF((AW95+AX95)=0,"", AW95/(AW95+AX95))</f>
        <v/>
      </c>
      <c r="AZ95" s="67">
        <f>COUNTIF('Detailed Attendance'!DN96:DN96, "P")+COUNTIF('Detailed Attendance'!DR96:DR96, "P")+COUNTIF('Detailed Attendance'!EK96:EK96, "P")+COUNTIF('Detailed Attendance'!EO96:EO96, "P")+COUNTIF('Detailed Attendance'!FE96:FE96, "P")+COUNTIF('Detailed Attendance'!FI96:FI96, "P")+COUNTIF('Detailed Attendance'!FU96:FU96, "P")+COUNTIF('Detailed Attendance'!FY96:FY96, "P")</f>
        <v/>
      </c>
      <c r="BA95" s="67">
        <f>COUNTIF('Detailed Attendance'!DN96:DN96, "A")+COUNTIF('Detailed Attendance'!DR96:DR96, "A")+COUNTIF('Detailed Attendance'!EK96:EK96, "A")+COUNTIF('Detailed Attendance'!EO96:EO96, "A")+COUNTIF('Detailed Attendance'!FE96:FE96, "A")+COUNTIF('Detailed Attendance'!FI96:FI96, "A")+COUNTIF('Detailed Attendance'!FU96:FU96, "A")+COUNTIF('Detailed Attendance'!FY96:FY96, "A")</f>
        <v/>
      </c>
      <c r="BB95" s="68">
        <f>IF((AZ95+BA95)=0,"", AZ95/(AZ95+BA95))</f>
        <v/>
      </c>
      <c r="BC95" s="67">
        <f>COUNTIF('Detailed Attendance'!DC96:DC96, "P")+COUNTIF('Detailed Attendance'!DV96:DV96, "P")+COUNTIF('Detailed Attendance'!DZ96:DZ96, "P")+COUNTIF('Detailed Attendance'!ES96:ES96, "P")+COUNTIF('Detailed Attendance'!GC96:GC96, "P")+COUNTIF('Detailed Attendance'!GG96:GG96, "P")</f>
        <v/>
      </c>
      <c r="BD95" s="67">
        <f>COUNTIF('Detailed Attendance'!DC96:DC96, "A")+COUNTIF('Detailed Attendance'!DV96:DV96, "A")+COUNTIF('Detailed Attendance'!DZ96:DZ96, "A")+COUNTIF('Detailed Attendance'!ES96:ES96, "A")+COUNTIF('Detailed Attendance'!GC96:GC96, "A")+COUNTIF('Detailed Attendance'!GG96:GG96, "A")</f>
        <v/>
      </c>
      <c r="BE95" s="68">
        <f>IF((BC95+BD95)=0,"", BC95/(BC95+BD95))</f>
        <v/>
      </c>
      <c r="BF95" s="67">
        <f>COUNTIF('Detailed Attendance'!DO96:DO96, "P")+COUNTIF('Detailed Attendance'!DW96:DW96, "P")+COUNTIF('Detailed Attendance'!EL96:EL96, "P")+COUNTIF('Detailed Attendance'!ET96:ET96, "P")+COUNTIF('Detailed Attendance'!FF96:FF96, "P")+COUNTIF('Detailed Attendance'!FV96:FV96, "P")+COUNTIF('Detailed Attendance'!GD96:GD96, "P")</f>
        <v/>
      </c>
      <c r="BG95" s="67">
        <f>COUNTIF('Detailed Attendance'!DO96:DO96, "A")+COUNTIF('Detailed Attendance'!DW96:DW96, "A")+COUNTIF('Detailed Attendance'!EL96:EL96, "A")+COUNTIF('Detailed Attendance'!ET96:ET96, "A")+COUNTIF('Detailed Attendance'!FF96:FF96, "A")+COUNTIF('Detailed Attendance'!FV96:FV96, "A")+COUNTIF('Detailed Attendance'!GD96:GD96, "A")</f>
        <v/>
      </c>
      <c r="BH95" s="68">
        <f>IF((BF95+BG95)=0,"", BF95/(BF95+BG95))</f>
        <v/>
      </c>
      <c r="BI95" s="67">
        <f>AT95+AW95+AZ95+BC95+BF95</f>
        <v/>
      </c>
      <c r="BJ95" s="67">
        <f>AU95+AX95+BA95+BD95+BG95</f>
        <v/>
      </c>
      <c r="BK95" s="68">
        <f>IF((BI95+BJ95)=0,"", BI95/(BI95+BJ95))</f>
        <v/>
      </c>
      <c r="BL95" s="69">
        <f>COUNTIF('Detailed Attendance'!DE96:DE96, "P")+COUNTIF('Detailed Attendance'!EB96:EB96, "P")+COUNTIF('Detailed Attendance'!GI96:GI96, "P")+COUNTIF('Detailed Attendance'!DG96:DG96, "P")+COUNTIF('Detailed Attendance'!ED96:ED96, "P")+COUNTIF('Detailed Attendance'!EX96:EX96, "P")+COUNTIF('Detailed Attendance'!FN96:FN96, "P")+COUNTIF('Detailed Attendance'!DJ96:DJ96, "P")+COUNTIF('Detailed Attendance'!EG96:EG96, "P")+COUNTIF('Detailed Attendance'!FA96:FA96, "P")+COUNTIF('Detailed Attendance'!FQ96:FQ96, "P")</f>
        <v/>
      </c>
      <c r="BM95" s="69">
        <f>COUNTIF('Detailed Attendance'!DE96:DE96, "A")+COUNTIF('Detailed Attendance'!EB96:EB96, "A")+COUNTIF('Detailed Attendance'!GI96:GI96, "A")+COUNTIF('Detailed Attendance'!DG96:DG96, "A")+COUNTIF('Detailed Attendance'!ED96:ED96, "A")+COUNTIF('Detailed Attendance'!EX96:EX96, "A")+COUNTIF('Detailed Attendance'!FN96:FN96, "A")+COUNTIF('Detailed Attendance'!DJ96:DJ96, "A")+COUNTIF('Detailed Attendance'!EG96:EG96, "A")+COUNTIF('Detailed Attendance'!FA96:FA96, "A")+COUNTIF('Detailed Attendance'!FQ96:FQ96, "A")</f>
        <v/>
      </c>
      <c r="BN95" s="70">
        <f>IF((BL95+BM95)=0,"", BL95/(BL95+BM95))</f>
        <v/>
      </c>
      <c r="BO95" s="67">
        <f>D95+Y95+AT95</f>
        <v/>
      </c>
      <c r="BP95" s="67">
        <f>E95+Z95+AU95</f>
        <v/>
      </c>
      <c r="BQ95" s="68">
        <f>IF((BO95+BP95)=0,"", BO95/(BO95+BP95))</f>
        <v/>
      </c>
      <c r="BR95" s="67">
        <f>G95+AB95+AW95</f>
        <v/>
      </c>
      <c r="BS95" s="67">
        <f>H95+AC95+AX95</f>
        <v/>
      </c>
      <c r="BT95" s="68">
        <f>IF((BR95+BS95)=0,"", BR95/(BR95+BS95))</f>
        <v/>
      </c>
      <c r="BU95" s="67">
        <f>J95+AE95+AZ95</f>
        <v/>
      </c>
      <c r="BV95" s="67">
        <f>K95+AF95+BA95</f>
        <v/>
      </c>
      <c r="BW95" s="68">
        <f>IF((BU95+BV95)=0,"", BU95/(BU95+BV95))</f>
        <v/>
      </c>
      <c r="BX95" s="67">
        <f>M95+AH95+BC95</f>
        <v/>
      </c>
      <c r="BY95" s="67">
        <f>N95+AI95+BD95</f>
        <v/>
      </c>
      <c r="BZ95" s="68">
        <f>IF((BX95+BY95)=0,"", BX95/(BX95+BY95))</f>
        <v/>
      </c>
      <c r="CA95" s="67">
        <f>P95+AK95+BF95</f>
        <v/>
      </c>
      <c r="CB95" s="67">
        <f>Q95+AL95+BG95</f>
        <v/>
      </c>
      <c r="CC95" s="68">
        <f>IF((CA95+CB95)=0,"", CA95/(CA95+CB95))</f>
        <v/>
      </c>
      <c r="CD95" s="67">
        <f>S95+AN95+BI95</f>
        <v/>
      </c>
      <c r="CE95" s="67">
        <f>T95+AO95+BJ95</f>
        <v/>
      </c>
      <c r="CF95" s="68">
        <f>IF((CD95+CE95)=0,"", CD95/(CD95+CE95))</f>
        <v/>
      </c>
      <c r="CG95" s="69">
        <f>V95+AQ95+BL95</f>
        <v/>
      </c>
      <c r="CH95" s="69">
        <f>W95+AR95+BM95</f>
        <v/>
      </c>
      <c r="CI95" s="70">
        <f>IF((CG95+CH95)=0,"", CG95/(CG95+CH95))</f>
        <v/>
      </c>
      <c r="CJ95" s="67">
        <f>CD95+(CG95*2)</f>
        <v/>
      </c>
      <c r="CK95" s="67">
        <f>CE95+(CH95*2)</f>
        <v/>
      </c>
      <c r="CL95" s="68">
        <f>IF((CJ95+CK95)=0,"", CJ95/(CJ95+CK95))</f>
        <v/>
      </c>
      <c r="CM95" s="67" t="inlineStr">
        <is>
          <t>Batch 3</t>
        </is>
      </c>
    </row>
    <row r="96" ht="14.25" customHeight="1" s="34">
      <c r="A96" s="46" t="n">
        <v>94</v>
      </c>
      <c r="B96" s="46" t="inlineStr">
        <is>
          <t>325106410094</t>
        </is>
      </c>
      <c r="C96" s="46" t="inlineStr">
        <is>
          <t>NAHOM SEMAW</t>
        </is>
      </c>
      <c r="D96" s="63" t="n">
        <v>0</v>
      </c>
      <c r="E96" s="63" t="n">
        <v>0</v>
      </c>
      <c r="F96" s="64">
        <f>IF((D96+E96)=0,"", D96/(D96+E96))</f>
        <v/>
      </c>
      <c r="G96" s="63">
        <f>COUNTIF('Detailed Attendance'!I97:I97, "P")</f>
        <v/>
      </c>
      <c r="H96" s="63">
        <f>COUNTIF('Detailed Attendance'!I97:I97, "A")</f>
        <v/>
      </c>
      <c r="I96" s="64">
        <f>IF((G96+H96)=0,"", G96/(G96+H96))</f>
        <v/>
      </c>
      <c r="J96" s="63" t="n">
        <v>0</v>
      </c>
      <c r="K96" s="63" t="n">
        <v>0</v>
      </c>
      <c r="L96" s="64">
        <f>IF((J96+K96)=0,"", J96/(J96+K96))</f>
        <v/>
      </c>
      <c r="M96" s="63">
        <f>COUNTIF('Detailed Attendance'!D97:D97, "P")</f>
        <v/>
      </c>
      <c r="N96" s="63">
        <f>COUNTIF('Detailed Attendance'!D97:D97, "A")</f>
        <v/>
      </c>
      <c r="O96" s="64">
        <f>IF((M96+N96)=0,"", M96/(M96+N96))</f>
        <v/>
      </c>
      <c r="P96" s="63" t="n">
        <v>0</v>
      </c>
      <c r="Q96" s="63" t="n">
        <v>0</v>
      </c>
      <c r="R96" s="64">
        <f>IF((P96+Q96)=0,"", P96/(P96+Q96))</f>
        <v/>
      </c>
      <c r="S96" s="63">
        <f>D96+G96+J96+M96+P96</f>
        <v/>
      </c>
      <c r="T96" s="63">
        <f>E96+H96+K96+N96+Q96</f>
        <v/>
      </c>
      <c r="U96" s="64">
        <f>IF((S96+T96)=0,"", S96/(S96+T96))</f>
        <v/>
      </c>
      <c r="V96" s="65">
        <f>COUNTIF('Detailed Attendance'!E97:E97, "P")+COUNTIF('Detailed Attendance'!H97:H97, "P")</f>
        <v/>
      </c>
      <c r="W96" s="65">
        <f>COUNTIF('Detailed Attendance'!E97:E97, "A")+COUNTIF('Detailed Attendance'!H97:H97, "A")</f>
        <v/>
      </c>
      <c r="X96" s="66">
        <f>IF((V96+W96)=0,"", V96/(V96+W96))</f>
        <v/>
      </c>
      <c r="Y96" s="63">
        <f>COUNTIF('Detailed Attendance'!R97:R97, "P")+COUNTIF('Detailed Attendance'!X97:X97, "P")+COUNTIF('Detailed Attendance'!AL97:AL97, "P")+COUNTIF('Detailed Attendance'!BF97:BF97, "P")+COUNTIF('Detailed Attendance'!BL97:BL97, "P")+COUNTIF('Detailed Attendance'!BZ97:BZ97, "P")+COUNTIF('Detailed Attendance'!CI97:CI97, "P")+COUNTIF('Detailed Attendance'!CW97:CW97, "P")</f>
        <v/>
      </c>
      <c r="Z96" s="63">
        <f>COUNTIF('Detailed Attendance'!R97:R97, "A")+COUNTIF('Detailed Attendance'!X97:X97, "A")+COUNTIF('Detailed Attendance'!AL97:AL97, "A")+COUNTIF('Detailed Attendance'!BF97:BF97, "A")+COUNTIF('Detailed Attendance'!BL97:BL97, "A")+COUNTIF('Detailed Attendance'!BZ97:BZ97, "A")+COUNTIF('Detailed Attendance'!CI97:CI97, "A")+COUNTIF('Detailed Attendance'!CW97:CW97, "A")</f>
        <v/>
      </c>
      <c r="AA96" s="64">
        <f>IF((Y96+Z96)=0,"", Y96/(Y96+Z96))</f>
        <v/>
      </c>
      <c r="AB96" s="63">
        <f>COUNTIF('Detailed Attendance'!Q97:Q97, "P")+COUNTIF('Detailed Attendance'!AC97:AC97, "P")+COUNTIF('Detailed Attendance'!AK97:AK97, "P")+COUNTIF('Detailed Attendance'!AW97:AW97, "P")+COUNTIF('Detailed Attendance'!BE97:BE97, "P")+COUNTIF('Detailed Attendance'!BQ97:BQ97, "P")+COUNTIF('Detailed Attendance'!BY97:BY97, "P")+COUNTIF('Detailed Attendance'!CN97:CN97, "P")+COUNTIF('Detailed Attendance'!CV97:CV97, "P")</f>
        <v/>
      </c>
      <c r="AC96" s="63">
        <f>COUNTIF('Detailed Attendance'!Q97:Q97, "A")+COUNTIF('Detailed Attendance'!AC97:AC97, "A")+COUNTIF('Detailed Attendance'!AK97:AK97, "A")+COUNTIF('Detailed Attendance'!AW97:AW97, "A")+COUNTIF('Detailed Attendance'!BE97:BE97, "A")+COUNTIF('Detailed Attendance'!BQ97:BQ97, "A")+COUNTIF('Detailed Attendance'!BY97:BY97, "A")+COUNTIF('Detailed Attendance'!CN97:CN97, "A")+COUNTIF('Detailed Attendance'!CV97:CV97, "A")</f>
        <v/>
      </c>
      <c r="AD96" s="64">
        <f>IF((AB96+AC96)=0,"", AB96/(AB96+AC96))</f>
        <v/>
      </c>
      <c r="AE96" s="63">
        <f>COUNTIF('Detailed Attendance'!L97:L97, "P")+COUNTIF('Detailed Attendance'!P97:P97, "P")+COUNTIF('Detailed Attendance'!AF97:AF97, "P")+COUNTIF('Detailed Attendance'!AJ97:AJ97, "P")+COUNTIF('Detailed Attendance'!AZ97:AZ97, "P")+COUNTIF('Detailed Attendance'!BD97:BD97, "P")+COUNTIF('Detailed Attendance'!BT97:BT97, "P")+COUNTIF('Detailed Attendance'!BX97:BX97, "P")+COUNTIF('Detailed Attendance'!CQ97:CQ97, "P")+COUNTIF('Detailed Attendance'!CU97:CU97, "P")</f>
        <v/>
      </c>
      <c r="AF96" s="67">
        <f>COUNTIF('Detailed Attendance'!L97:L97, "A")+COUNTIF('Detailed Attendance'!P97:P97, "A")+COUNTIF('Detailed Attendance'!AF97:AF97, "A")+COUNTIF('Detailed Attendance'!AJ97:AJ97, "A")+COUNTIF('Detailed Attendance'!AZ97:AZ97, "A")+COUNTIF('Detailed Attendance'!BD97:BD97, "A")+COUNTIF('Detailed Attendance'!BT97:BT97, "A")+COUNTIF('Detailed Attendance'!BX97:BX97, "A")+COUNTIF('Detailed Attendance'!CQ97:CQ97, "A")+COUNTIF('Detailed Attendance'!CU97:CU97, "A")</f>
        <v/>
      </c>
      <c r="AG96" s="68">
        <f>IF((AE96+AF96)=0,"", AE96/(AE96+AF96))</f>
        <v/>
      </c>
      <c r="AH96" s="67">
        <f>COUNTIF('Detailed Attendance'!T97:T97, "P")+COUNTIF('Detailed Attendance'!AN97:AN97, "P")+COUNTIF('Detailed Attendance'!AR97:AR97, "P")+COUNTIF('Detailed Attendance'!BH97:BH97, "P")+COUNTIF('Detailed Attendance'!CB97:CB97, "P")+COUNTIF('Detailed Attendance'!CF97:CF97, "P")+COUNTIF('Detailed Attendance'!CY97:CY97, "P")</f>
        <v/>
      </c>
      <c r="AI96" s="67">
        <f>COUNTIF('Detailed Attendance'!T97:T97, "A")+COUNTIF('Detailed Attendance'!AN97:AN97, "A")+COUNTIF('Detailed Attendance'!AR97:AR97, "A")+COUNTIF('Detailed Attendance'!BH97:BH97, "A")+COUNTIF('Detailed Attendance'!CB97:CB97, "A")+COUNTIF('Detailed Attendance'!CF97:CF97, "A")+COUNTIF('Detailed Attendance'!CY97:CY97, "A")</f>
        <v/>
      </c>
      <c r="AJ96" s="68">
        <f>IF((AH96+AI96)=0,"", AH96/(AH96+AI96))</f>
        <v/>
      </c>
      <c r="AK96" s="67">
        <f>COUNTIF('Detailed Attendance'!M97:M97, "P")+COUNTIF('Detailed Attendance'!U97:U97, "P")+COUNTIF('Detailed Attendance'!AG97:AG97, "P")+COUNTIF('Detailed Attendance'!AO97:AO97, "P")+COUNTIF('Detailed Attendance'!BA97:BA97, "P")+COUNTIF('Detailed Attendance'!BI97:BI97, "P")+COUNTIF('Detailed Attendance'!BU97:BU97, "P")+COUNTIF('Detailed Attendance'!CC97:CC97, "P")+COUNTIF('Detailed Attendance'!CR97:CR97, "P")+COUNTIF('Detailed Attendance'!CZ97:CZ97, "P")</f>
        <v/>
      </c>
      <c r="AL96" s="67">
        <f>COUNTIF('Detailed Attendance'!M97:M97, "A")+COUNTIF('Detailed Attendance'!U97:U97, "A")+COUNTIF('Detailed Attendance'!AG97:AG97, "A")+COUNTIF('Detailed Attendance'!AO97:AO97, "A")+COUNTIF('Detailed Attendance'!BA97:BA97, "A")+COUNTIF('Detailed Attendance'!BI97:BI97, "A")+COUNTIF('Detailed Attendance'!BU97:BU97, "A")+COUNTIF('Detailed Attendance'!CC97:CC97, "A")+COUNTIF('Detailed Attendance'!CR97:CR97, "A")+COUNTIF('Detailed Attendance'!CZ97:CZ97, "A")</f>
        <v/>
      </c>
      <c r="AM96" s="68">
        <f>IF((AK96+AL96)=0,"", AK96/(AK96+AL96))</f>
        <v/>
      </c>
      <c r="AN96" s="67">
        <f>Y96+AB96+AE96+AH96+AK96</f>
        <v/>
      </c>
      <c r="AO96" s="67">
        <f>Z96+AC96+AF96+AI96+AL96</f>
        <v/>
      </c>
      <c r="AP96" s="68">
        <f>IF((AN96+AO96)=0,"", AN96/(AN96+AO96))</f>
        <v/>
      </c>
      <c r="AQ96" s="69">
        <f>COUNTIF('Detailed Attendance'!CH97:CH97, "P")+COUNTIF('Detailed Attendance'!Y97:Y97, "P")+COUNTIF('Detailed Attendance'!AS97:AS97, "P")+COUNTIF('Detailed Attendance'!BM97:BM97, "P")+COUNTIF('Detailed Attendance'!CJ97:CJ97, "P")+COUNTIF('Detailed Attendance'!AB97:AB97, "P")+COUNTIF('Detailed Attendance'!AV97:AV97, "P")+COUNTIF('Detailed Attendance'!BP97:BP97, "P")+COUNTIF('Detailed Attendance'!CM97:CM97, "P")</f>
        <v/>
      </c>
      <c r="AR96" s="69">
        <f>COUNTIF('Detailed Attendance'!CH97:CH97, "A")+COUNTIF('Detailed Attendance'!Y97:Y97, "A")+COUNTIF('Detailed Attendance'!AS97:AS97, "A")+COUNTIF('Detailed Attendance'!BM97:BM97, "A")+COUNTIF('Detailed Attendance'!CJ97:CJ97, "A")+COUNTIF('Detailed Attendance'!AB97:AB97, "A")+COUNTIF('Detailed Attendance'!AV97:AV97, "A")+COUNTIF('Detailed Attendance'!BP97:BP97, "A")+COUNTIF('Detailed Attendance'!CM97:CM97, "A")</f>
        <v/>
      </c>
      <c r="AS96" s="70">
        <f>IF((AQ96+AR96)=0,"", AQ96/(AQ96+AR96))</f>
        <v/>
      </c>
      <c r="AT96" s="67">
        <f>COUNTIF('Detailed Attendance'!DF97:DF97, "P")+COUNTIF('Detailed Attendance'!DT97:DT97, "P")+COUNTIF('Detailed Attendance'!EC97:EC97, "P")+COUNTIF('Detailed Attendance'!EQ97:EQ97, "P")+COUNTIF('Detailed Attendance'!EW97:EW97, "P")+COUNTIF('Detailed Attendance'!FK97:FK97, "P")+COUNTIF('Detailed Attendance'!FM97:FM97, "P")+COUNTIF('Detailed Attendance'!GA97:GA97, "P")</f>
        <v/>
      </c>
      <c r="AU96" s="67">
        <f>COUNTIF('Detailed Attendance'!DF97:DF97, "A")+COUNTIF('Detailed Attendance'!DT97:DT97, "A")+COUNTIF('Detailed Attendance'!EC97:EC97, "A")+COUNTIF('Detailed Attendance'!EQ97:EQ97, "A")+COUNTIF('Detailed Attendance'!EW97:EW97, "A")+COUNTIF('Detailed Attendance'!FK97:FK97, "A")+COUNTIF('Detailed Attendance'!FM97:FM97, "A")+COUNTIF('Detailed Attendance'!GA97:GA97, "A")</f>
        <v/>
      </c>
      <c r="AV96" s="68">
        <f>IF((AT96+AU96)=0,"", AT96/(AT96+AU96))</f>
        <v/>
      </c>
      <c r="AW96" s="67">
        <f>COUNTIF('Detailed Attendance'!DK97:DK97, "P")+COUNTIF('Detailed Attendance'!DS97:DS97, "P")+COUNTIF('Detailed Attendance'!EH97:EH97, "P")+COUNTIF('Detailed Attendance'!EP97:EP97, "P")+COUNTIF('Detailed Attendance'!FB97:FB97, "P")+COUNTIF('Detailed Attendance'!FJ97:FJ97, "P")+COUNTIF('Detailed Attendance'!FR97:FR97, "P")+COUNTIF('Detailed Attendance'!FZ97:FZ97, "P")</f>
        <v/>
      </c>
      <c r="AX96" s="67">
        <f>COUNTIF('Detailed Attendance'!DK97:DK97, "A")+COUNTIF('Detailed Attendance'!DS97:DS97, "A")+COUNTIF('Detailed Attendance'!EH97:EH97, "A")+COUNTIF('Detailed Attendance'!EP97:EP97, "A")+COUNTIF('Detailed Attendance'!FB97:FB97, "A")+COUNTIF('Detailed Attendance'!FJ97:FJ97, "A")+COUNTIF('Detailed Attendance'!FR97:FR97, "A")+COUNTIF('Detailed Attendance'!FZ97:FZ97, "A")</f>
        <v/>
      </c>
      <c r="AY96" s="68">
        <f>IF((AW96+AX96)=0,"", AW96/(AW96+AX96))</f>
        <v/>
      </c>
      <c r="AZ96" s="67">
        <f>COUNTIF('Detailed Attendance'!DN97:DN97, "P")+COUNTIF('Detailed Attendance'!DR97:DR97, "P")+COUNTIF('Detailed Attendance'!EK97:EK97, "P")+COUNTIF('Detailed Attendance'!EO97:EO97, "P")+COUNTIF('Detailed Attendance'!FE97:FE97, "P")+COUNTIF('Detailed Attendance'!FI97:FI97, "P")+COUNTIF('Detailed Attendance'!FU97:FU97, "P")+COUNTIF('Detailed Attendance'!FY97:FY97, "P")</f>
        <v/>
      </c>
      <c r="BA96" s="67">
        <f>COUNTIF('Detailed Attendance'!DN97:DN97, "A")+COUNTIF('Detailed Attendance'!DR97:DR97, "A")+COUNTIF('Detailed Attendance'!EK97:EK97, "A")+COUNTIF('Detailed Attendance'!EO97:EO97, "A")+COUNTIF('Detailed Attendance'!FE97:FE97, "A")+COUNTIF('Detailed Attendance'!FI97:FI97, "A")+COUNTIF('Detailed Attendance'!FU97:FU97, "A")+COUNTIF('Detailed Attendance'!FY97:FY97, "A")</f>
        <v/>
      </c>
      <c r="BB96" s="68">
        <f>IF((AZ96+BA96)=0,"", AZ96/(AZ96+BA96))</f>
        <v/>
      </c>
      <c r="BC96" s="67">
        <f>COUNTIF('Detailed Attendance'!DC97:DC97, "P")+COUNTIF('Detailed Attendance'!DV97:DV97, "P")+COUNTIF('Detailed Attendance'!DZ97:DZ97, "P")+COUNTIF('Detailed Attendance'!ES97:ES97, "P")+COUNTIF('Detailed Attendance'!GC97:GC97, "P")+COUNTIF('Detailed Attendance'!GG97:GG97, "P")</f>
        <v/>
      </c>
      <c r="BD96" s="67">
        <f>COUNTIF('Detailed Attendance'!DC97:DC97, "A")+COUNTIF('Detailed Attendance'!DV97:DV97, "A")+COUNTIF('Detailed Attendance'!DZ97:DZ97, "A")+COUNTIF('Detailed Attendance'!ES97:ES97, "A")+COUNTIF('Detailed Attendance'!GC97:GC97, "A")+COUNTIF('Detailed Attendance'!GG97:GG97, "A")</f>
        <v/>
      </c>
      <c r="BE96" s="68">
        <f>IF((BC96+BD96)=0,"", BC96/(BC96+BD96))</f>
        <v/>
      </c>
      <c r="BF96" s="67">
        <f>COUNTIF('Detailed Attendance'!DO97:DO97, "P")+COUNTIF('Detailed Attendance'!DW97:DW97, "P")+COUNTIF('Detailed Attendance'!EL97:EL97, "P")+COUNTIF('Detailed Attendance'!ET97:ET97, "P")+COUNTIF('Detailed Attendance'!FF97:FF97, "P")+COUNTIF('Detailed Attendance'!FV97:FV97, "P")+COUNTIF('Detailed Attendance'!GD97:GD97, "P")</f>
        <v/>
      </c>
      <c r="BG96" s="67">
        <f>COUNTIF('Detailed Attendance'!DO97:DO97, "A")+COUNTIF('Detailed Attendance'!DW97:DW97, "A")+COUNTIF('Detailed Attendance'!EL97:EL97, "A")+COUNTIF('Detailed Attendance'!ET97:ET97, "A")+COUNTIF('Detailed Attendance'!FF97:FF97, "A")+COUNTIF('Detailed Attendance'!FV97:FV97, "A")+COUNTIF('Detailed Attendance'!GD97:GD97, "A")</f>
        <v/>
      </c>
      <c r="BH96" s="68">
        <f>IF((BF96+BG96)=0,"", BF96/(BF96+BG96))</f>
        <v/>
      </c>
      <c r="BI96" s="67">
        <f>AT96+AW96+AZ96+BC96+BF96</f>
        <v/>
      </c>
      <c r="BJ96" s="67">
        <f>AU96+AX96+BA96+BD96+BG96</f>
        <v/>
      </c>
      <c r="BK96" s="68">
        <f>IF((BI96+BJ96)=0,"", BI96/(BI96+BJ96))</f>
        <v/>
      </c>
      <c r="BL96" s="69">
        <f>COUNTIF('Detailed Attendance'!DE97:DE97, "P")+COUNTIF('Detailed Attendance'!EB97:EB97, "P")+COUNTIF('Detailed Attendance'!GI97:GI97, "P")+COUNTIF('Detailed Attendance'!DG97:DG97, "P")+COUNTIF('Detailed Attendance'!ED97:ED97, "P")+COUNTIF('Detailed Attendance'!EX97:EX97, "P")+COUNTIF('Detailed Attendance'!FN97:FN97, "P")+COUNTIF('Detailed Attendance'!DJ97:DJ97, "P")+COUNTIF('Detailed Attendance'!EG97:EG97, "P")+COUNTIF('Detailed Attendance'!FA97:FA97, "P")+COUNTIF('Detailed Attendance'!FQ97:FQ97, "P")</f>
        <v/>
      </c>
      <c r="BM96" s="69">
        <f>COUNTIF('Detailed Attendance'!DE97:DE97, "A")+COUNTIF('Detailed Attendance'!EB97:EB97, "A")+COUNTIF('Detailed Attendance'!GI97:GI97, "A")+COUNTIF('Detailed Attendance'!DG97:DG97, "A")+COUNTIF('Detailed Attendance'!ED97:ED97, "A")+COUNTIF('Detailed Attendance'!EX97:EX97, "A")+COUNTIF('Detailed Attendance'!FN97:FN97, "A")+COUNTIF('Detailed Attendance'!DJ97:DJ97, "A")+COUNTIF('Detailed Attendance'!EG97:EG97, "A")+COUNTIF('Detailed Attendance'!FA97:FA97, "A")+COUNTIF('Detailed Attendance'!FQ97:FQ97, "A")</f>
        <v/>
      </c>
      <c r="BN96" s="70">
        <f>IF((BL96+BM96)=0,"", BL96/(BL96+BM96))</f>
        <v/>
      </c>
      <c r="BO96" s="67">
        <f>D96+Y96+AT96</f>
        <v/>
      </c>
      <c r="BP96" s="67">
        <f>E96+Z96+AU96</f>
        <v/>
      </c>
      <c r="BQ96" s="68">
        <f>IF((BO96+BP96)=0,"", BO96/(BO96+BP96))</f>
        <v/>
      </c>
      <c r="BR96" s="67">
        <f>G96+AB96+AW96</f>
        <v/>
      </c>
      <c r="BS96" s="67">
        <f>H96+AC96+AX96</f>
        <v/>
      </c>
      <c r="BT96" s="68">
        <f>IF((BR96+BS96)=0,"", BR96/(BR96+BS96))</f>
        <v/>
      </c>
      <c r="BU96" s="67">
        <f>J96+AE96+AZ96</f>
        <v/>
      </c>
      <c r="BV96" s="67">
        <f>K96+AF96+BA96</f>
        <v/>
      </c>
      <c r="BW96" s="68">
        <f>IF((BU96+BV96)=0,"", BU96/(BU96+BV96))</f>
        <v/>
      </c>
      <c r="BX96" s="67">
        <f>M96+AH96+BC96</f>
        <v/>
      </c>
      <c r="BY96" s="67">
        <f>N96+AI96+BD96</f>
        <v/>
      </c>
      <c r="BZ96" s="68">
        <f>IF((BX96+BY96)=0,"", BX96/(BX96+BY96))</f>
        <v/>
      </c>
      <c r="CA96" s="67">
        <f>P96+AK96+BF96</f>
        <v/>
      </c>
      <c r="CB96" s="67">
        <f>Q96+AL96+BG96</f>
        <v/>
      </c>
      <c r="CC96" s="68">
        <f>IF((CA96+CB96)=0,"", CA96/(CA96+CB96))</f>
        <v/>
      </c>
      <c r="CD96" s="67">
        <f>S96+AN96+BI96</f>
        <v/>
      </c>
      <c r="CE96" s="67">
        <f>T96+AO96+BJ96</f>
        <v/>
      </c>
      <c r="CF96" s="68">
        <f>IF((CD96+CE96)=0,"", CD96/(CD96+CE96))</f>
        <v/>
      </c>
      <c r="CG96" s="69">
        <f>V96+AQ96+BL96</f>
        <v/>
      </c>
      <c r="CH96" s="69">
        <f>W96+AR96+BM96</f>
        <v/>
      </c>
      <c r="CI96" s="70">
        <f>IF((CG96+CH96)=0,"", CG96/(CG96+CH96))</f>
        <v/>
      </c>
      <c r="CJ96" s="67">
        <f>CD96+(CG96*2)</f>
        <v/>
      </c>
      <c r="CK96" s="67">
        <f>CE96+(CH96*2)</f>
        <v/>
      </c>
      <c r="CL96" s="68">
        <f>IF((CJ96+CK96)=0,"", CJ96/(CJ96+CK96))</f>
        <v/>
      </c>
      <c r="CM96" s="67" t="inlineStr">
        <is>
          <t>Batch 3</t>
        </is>
      </c>
    </row>
    <row r="97" ht="14.25" customHeight="1" s="34">
      <c r="A97" s="46" t="n">
        <v>95</v>
      </c>
      <c r="B97" s="46" t="inlineStr">
        <is>
          <t>325106410095</t>
        </is>
      </c>
      <c r="C97" s="46" t="inlineStr">
        <is>
          <t>NGELEPETE NGELEPETE</t>
        </is>
      </c>
      <c r="D97" s="63" t="n">
        <v>0</v>
      </c>
      <c r="E97" s="63" t="n">
        <v>0</v>
      </c>
      <c r="F97" s="64">
        <f>IF((D97+E97)=0,"", D97/(D97+E97))</f>
        <v/>
      </c>
      <c r="G97" s="63">
        <f>COUNTIF('Detailed Attendance'!I98:I98, "P")</f>
        <v/>
      </c>
      <c r="H97" s="63">
        <f>COUNTIF('Detailed Attendance'!I98:I98, "A")</f>
        <v/>
      </c>
      <c r="I97" s="64">
        <f>IF((G97+H97)=0,"", G97/(G97+H97))</f>
        <v/>
      </c>
      <c r="J97" s="63" t="n">
        <v>0</v>
      </c>
      <c r="K97" s="63" t="n">
        <v>0</v>
      </c>
      <c r="L97" s="64">
        <f>IF((J97+K97)=0,"", J97/(J97+K97))</f>
        <v/>
      </c>
      <c r="M97" s="63">
        <f>COUNTIF('Detailed Attendance'!D98:D98, "P")</f>
        <v/>
      </c>
      <c r="N97" s="63">
        <f>COUNTIF('Detailed Attendance'!D98:D98, "A")</f>
        <v/>
      </c>
      <c r="O97" s="64">
        <f>IF((M97+N97)=0,"", M97/(M97+N97))</f>
        <v/>
      </c>
      <c r="P97" s="63" t="n">
        <v>0</v>
      </c>
      <c r="Q97" s="63" t="n">
        <v>0</v>
      </c>
      <c r="R97" s="64">
        <f>IF((P97+Q97)=0,"", P97/(P97+Q97))</f>
        <v/>
      </c>
      <c r="S97" s="63">
        <f>D97+G97+J97+M97+P97</f>
        <v/>
      </c>
      <c r="T97" s="63">
        <f>E97+H97+K97+N97+Q97</f>
        <v/>
      </c>
      <c r="U97" s="64">
        <f>IF((S97+T97)=0,"", S97/(S97+T97))</f>
        <v/>
      </c>
      <c r="V97" s="65">
        <f>COUNTIF('Detailed Attendance'!E98:E98, "P")+COUNTIF('Detailed Attendance'!H98:H98, "P")</f>
        <v/>
      </c>
      <c r="W97" s="65">
        <f>COUNTIF('Detailed Attendance'!E98:E98, "A")+COUNTIF('Detailed Attendance'!H98:H98, "A")</f>
        <v/>
      </c>
      <c r="X97" s="66">
        <f>IF((V97+W97)=0,"", V97/(V97+W97))</f>
        <v/>
      </c>
      <c r="Y97" s="63">
        <f>COUNTIF('Detailed Attendance'!R98:R98, "P")+COUNTIF('Detailed Attendance'!X98:X98, "P")+COUNTIF('Detailed Attendance'!AL98:AL98, "P")+COUNTIF('Detailed Attendance'!BF98:BF98, "P")+COUNTIF('Detailed Attendance'!BL98:BL98, "P")+COUNTIF('Detailed Attendance'!BZ98:BZ98, "P")+COUNTIF('Detailed Attendance'!CI98:CI98, "P")+COUNTIF('Detailed Attendance'!CW98:CW98, "P")</f>
        <v/>
      </c>
      <c r="Z97" s="63">
        <f>COUNTIF('Detailed Attendance'!R98:R98, "A")+COUNTIF('Detailed Attendance'!X98:X98, "A")+COUNTIF('Detailed Attendance'!AL98:AL98, "A")+COUNTIF('Detailed Attendance'!BF98:BF98, "A")+COUNTIF('Detailed Attendance'!BL98:BL98, "A")+COUNTIF('Detailed Attendance'!BZ98:BZ98, "A")+COUNTIF('Detailed Attendance'!CI98:CI98, "A")+COUNTIF('Detailed Attendance'!CW98:CW98, "A")</f>
        <v/>
      </c>
      <c r="AA97" s="64">
        <f>IF((Y97+Z97)=0,"", Y97/(Y97+Z97))</f>
        <v/>
      </c>
      <c r="AB97" s="63">
        <f>COUNTIF('Detailed Attendance'!Q98:Q98, "P")+COUNTIF('Detailed Attendance'!AC98:AC98, "P")+COUNTIF('Detailed Attendance'!AK98:AK98, "P")+COUNTIF('Detailed Attendance'!AW98:AW98, "P")+COUNTIF('Detailed Attendance'!BE98:BE98, "P")+COUNTIF('Detailed Attendance'!BQ98:BQ98, "P")+COUNTIF('Detailed Attendance'!BY98:BY98, "P")+COUNTIF('Detailed Attendance'!CN98:CN98, "P")+COUNTIF('Detailed Attendance'!CV98:CV98, "P")</f>
        <v/>
      </c>
      <c r="AC97" s="63">
        <f>COUNTIF('Detailed Attendance'!Q98:Q98, "A")+COUNTIF('Detailed Attendance'!AC98:AC98, "A")+COUNTIF('Detailed Attendance'!AK98:AK98, "A")+COUNTIF('Detailed Attendance'!AW98:AW98, "A")+COUNTIF('Detailed Attendance'!BE98:BE98, "A")+COUNTIF('Detailed Attendance'!BQ98:BQ98, "A")+COUNTIF('Detailed Attendance'!BY98:BY98, "A")+COUNTIF('Detailed Attendance'!CN98:CN98, "A")+COUNTIF('Detailed Attendance'!CV98:CV98, "A")</f>
        <v/>
      </c>
      <c r="AD97" s="64">
        <f>IF((AB97+AC97)=0,"", AB97/(AB97+AC97))</f>
        <v/>
      </c>
      <c r="AE97" s="63">
        <f>COUNTIF('Detailed Attendance'!L98:L98, "P")+COUNTIF('Detailed Attendance'!P98:P98, "P")+COUNTIF('Detailed Attendance'!AF98:AF98, "P")+COUNTIF('Detailed Attendance'!AJ98:AJ98, "P")+COUNTIF('Detailed Attendance'!AZ98:AZ98, "P")+COUNTIF('Detailed Attendance'!BD98:BD98, "P")+COUNTIF('Detailed Attendance'!BT98:BT98, "P")+COUNTIF('Detailed Attendance'!BX98:BX98, "P")+COUNTIF('Detailed Attendance'!CQ98:CQ98, "P")+COUNTIF('Detailed Attendance'!CU98:CU98, "P")</f>
        <v/>
      </c>
      <c r="AF97" s="67">
        <f>COUNTIF('Detailed Attendance'!L98:L98, "A")+COUNTIF('Detailed Attendance'!P98:P98, "A")+COUNTIF('Detailed Attendance'!AF98:AF98, "A")+COUNTIF('Detailed Attendance'!AJ98:AJ98, "A")+COUNTIF('Detailed Attendance'!AZ98:AZ98, "A")+COUNTIF('Detailed Attendance'!BD98:BD98, "A")+COUNTIF('Detailed Attendance'!BT98:BT98, "A")+COUNTIF('Detailed Attendance'!BX98:BX98, "A")+COUNTIF('Detailed Attendance'!CQ98:CQ98, "A")+COUNTIF('Detailed Attendance'!CU98:CU98, "A")</f>
        <v/>
      </c>
      <c r="AG97" s="68">
        <f>IF((AE97+AF97)=0,"", AE97/(AE97+AF97))</f>
        <v/>
      </c>
      <c r="AH97" s="67">
        <f>COUNTIF('Detailed Attendance'!T98:T98, "P")+COUNTIF('Detailed Attendance'!AN98:AN98, "P")+COUNTIF('Detailed Attendance'!AR98:AR98, "P")+COUNTIF('Detailed Attendance'!BH98:BH98, "P")+COUNTIF('Detailed Attendance'!CB98:CB98, "P")+COUNTIF('Detailed Attendance'!CF98:CF98, "P")+COUNTIF('Detailed Attendance'!CY98:CY98, "P")</f>
        <v/>
      </c>
      <c r="AI97" s="67">
        <f>COUNTIF('Detailed Attendance'!T98:T98, "A")+COUNTIF('Detailed Attendance'!AN98:AN98, "A")+COUNTIF('Detailed Attendance'!AR98:AR98, "A")+COUNTIF('Detailed Attendance'!BH98:BH98, "A")+COUNTIF('Detailed Attendance'!CB98:CB98, "A")+COUNTIF('Detailed Attendance'!CF98:CF98, "A")+COUNTIF('Detailed Attendance'!CY98:CY98, "A")</f>
        <v/>
      </c>
      <c r="AJ97" s="68">
        <f>IF((AH97+AI97)=0,"", AH97/(AH97+AI97))</f>
        <v/>
      </c>
      <c r="AK97" s="67">
        <f>COUNTIF('Detailed Attendance'!M98:M98, "P")+COUNTIF('Detailed Attendance'!U98:U98, "P")+COUNTIF('Detailed Attendance'!AG98:AG98, "P")+COUNTIF('Detailed Attendance'!AO98:AO98, "P")+COUNTIF('Detailed Attendance'!BA98:BA98, "P")+COUNTIF('Detailed Attendance'!BI98:BI98, "P")+COUNTIF('Detailed Attendance'!BU98:BU98, "P")+COUNTIF('Detailed Attendance'!CC98:CC98, "P")+COUNTIF('Detailed Attendance'!CR98:CR98, "P")+COUNTIF('Detailed Attendance'!CZ98:CZ98, "P")</f>
        <v/>
      </c>
      <c r="AL97" s="67">
        <f>COUNTIF('Detailed Attendance'!M98:M98, "A")+COUNTIF('Detailed Attendance'!U98:U98, "A")+COUNTIF('Detailed Attendance'!AG98:AG98, "A")+COUNTIF('Detailed Attendance'!AO98:AO98, "A")+COUNTIF('Detailed Attendance'!BA98:BA98, "A")+COUNTIF('Detailed Attendance'!BI98:BI98, "A")+COUNTIF('Detailed Attendance'!BU98:BU98, "A")+COUNTIF('Detailed Attendance'!CC98:CC98, "A")+COUNTIF('Detailed Attendance'!CR98:CR98, "A")+COUNTIF('Detailed Attendance'!CZ98:CZ98, "A")</f>
        <v/>
      </c>
      <c r="AM97" s="68">
        <f>IF((AK97+AL97)=0,"", AK97/(AK97+AL97))</f>
        <v/>
      </c>
      <c r="AN97" s="67">
        <f>Y97+AB97+AE97+AH97+AK97</f>
        <v/>
      </c>
      <c r="AO97" s="67">
        <f>Z97+AC97+AF97+AI97+AL97</f>
        <v/>
      </c>
      <c r="AP97" s="68">
        <f>IF((AN97+AO97)=0,"", AN97/(AN97+AO97))</f>
        <v/>
      </c>
      <c r="AQ97" s="69">
        <f>COUNTIF('Detailed Attendance'!CH98:CH98, "P")+COUNTIF('Detailed Attendance'!Y98:Y98, "P")+COUNTIF('Detailed Attendance'!AS98:AS98, "P")+COUNTIF('Detailed Attendance'!BM98:BM98, "P")+COUNTIF('Detailed Attendance'!CJ98:CJ98, "P")+COUNTIF('Detailed Attendance'!AB98:AB98, "P")+COUNTIF('Detailed Attendance'!AV98:AV98, "P")+COUNTIF('Detailed Attendance'!BP98:BP98, "P")+COUNTIF('Detailed Attendance'!CM98:CM98, "P")</f>
        <v/>
      </c>
      <c r="AR97" s="69">
        <f>COUNTIF('Detailed Attendance'!CH98:CH98, "A")+COUNTIF('Detailed Attendance'!Y98:Y98, "A")+COUNTIF('Detailed Attendance'!AS98:AS98, "A")+COUNTIF('Detailed Attendance'!BM98:BM98, "A")+COUNTIF('Detailed Attendance'!CJ98:CJ98, "A")+COUNTIF('Detailed Attendance'!AB98:AB98, "A")+COUNTIF('Detailed Attendance'!AV98:AV98, "A")+COUNTIF('Detailed Attendance'!BP98:BP98, "A")+COUNTIF('Detailed Attendance'!CM98:CM98, "A")</f>
        <v/>
      </c>
      <c r="AS97" s="70">
        <f>IF((AQ97+AR97)=0,"", AQ97/(AQ97+AR97))</f>
        <v/>
      </c>
      <c r="AT97" s="67">
        <f>COUNTIF('Detailed Attendance'!DF98:DF98, "P")+COUNTIF('Detailed Attendance'!DT98:DT98, "P")+COUNTIF('Detailed Attendance'!EC98:EC98, "P")+COUNTIF('Detailed Attendance'!EQ98:EQ98, "P")+COUNTIF('Detailed Attendance'!EW98:EW98, "P")+COUNTIF('Detailed Attendance'!FK98:FK98, "P")+COUNTIF('Detailed Attendance'!FM98:FM98, "P")+COUNTIF('Detailed Attendance'!GA98:GA98, "P")</f>
        <v/>
      </c>
      <c r="AU97" s="67">
        <f>COUNTIF('Detailed Attendance'!DF98:DF98, "A")+COUNTIF('Detailed Attendance'!DT98:DT98, "A")+COUNTIF('Detailed Attendance'!EC98:EC98, "A")+COUNTIF('Detailed Attendance'!EQ98:EQ98, "A")+COUNTIF('Detailed Attendance'!EW98:EW98, "A")+COUNTIF('Detailed Attendance'!FK98:FK98, "A")+COUNTIF('Detailed Attendance'!FM98:FM98, "A")+COUNTIF('Detailed Attendance'!GA98:GA98, "A")</f>
        <v/>
      </c>
      <c r="AV97" s="68">
        <f>IF((AT97+AU97)=0,"", AT97/(AT97+AU97))</f>
        <v/>
      </c>
      <c r="AW97" s="67">
        <f>COUNTIF('Detailed Attendance'!DK98:DK98, "P")+COUNTIF('Detailed Attendance'!DS98:DS98, "P")+COUNTIF('Detailed Attendance'!EH98:EH98, "P")+COUNTIF('Detailed Attendance'!EP98:EP98, "P")+COUNTIF('Detailed Attendance'!FB98:FB98, "P")+COUNTIF('Detailed Attendance'!FJ98:FJ98, "P")+COUNTIF('Detailed Attendance'!FR98:FR98, "P")+COUNTIF('Detailed Attendance'!FZ98:FZ98, "P")</f>
        <v/>
      </c>
      <c r="AX97" s="67">
        <f>COUNTIF('Detailed Attendance'!DK98:DK98, "A")+COUNTIF('Detailed Attendance'!DS98:DS98, "A")+COUNTIF('Detailed Attendance'!EH98:EH98, "A")+COUNTIF('Detailed Attendance'!EP98:EP98, "A")+COUNTIF('Detailed Attendance'!FB98:FB98, "A")+COUNTIF('Detailed Attendance'!FJ98:FJ98, "A")+COUNTIF('Detailed Attendance'!FR98:FR98, "A")+COUNTIF('Detailed Attendance'!FZ98:FZ98, "A")</f>
        <v/>
      </c>
      <c r="AY97" s="68">
        <f>IF((AW97+AX97)=0,"", AW97/(AW97+AX97))</f>
        <v/>
      </c>
      <c r="AZ97" s="67">
        <f>COUNTIF('Detailed Attendance'!DN98:DN98, "P")+COUNTIF('Detailed Attendance'!DR98:DR98, "P")+COUNTIF('Detailed Attendance'!EK98:EK98, "P")+COUNTIF('Detailed Attendance'!EO98:EO98, "P")+COUNTIF('Detailed Attendance'!FE98:FE98, "P")+COUNTIF('Detailed Attendance'!FI98:FI98, "P")+COUNTIF('Detailed Attendance'!FU98:FU98, "P")+COUNTIF('Detailed Attendance'!FY98:FY98, "P")</f>
        <v/>
      </c>
      <c r="BA97" s="67">
        <f>COUNTIF('Detailed Attendance'!DN98:DN98, "A")+COUNTIF('Detailed Attendance'!DR98:DR98, "A")+COUNTIF('Detailed Attendance'!EK98:EK98, "A")+COUNTIF('Detailed Attendance'!EO98:EO98, "A")+COUNTIF('Detailed Attendance'!FE98:FE98, "A")+COUNTIF('Detailed Attendance'!FI98:FI98, "A")+COUNTIF('Detailed Attendance'!FU98:FU98, "A")+COUNTIF('Detailed Attendance'!FY98:FY98, "A")</f>
        <v/>
      </c>
      <c r="BB97" s="68">
        <f>IF((AZ97+BA97)=0,"", AZ97/(AZ97+BA97))</f>
        <v/>
      </c>
      <c r="BC97" s="67">
        <f>COUNTIF('Detailed Attendance'!DC98:DC98, "P")+COUNTIF('Detailed Attendance'!DV98:DV98, "P")+COUNTIF('Detailed Attendance'!DZ98:DZ98, "P")+COUNTIF('Detailed Attendance'!ES98:ES98, "P")+COUNTIF('Detailed Attendance'!GC98:GC98, "P")+COUNTIF('Detailed Attendance'!GG98:GG98, "P")</f>
        <v/>
      </c>
      <c r="BD97" s="67">
        <f>COUNTIF('Detailed Attendance'!DC98:DC98, "A")+COUNTIF('Detailed Attendance'!DV98:DV98, "A")+COUNTIF('Detailed Attendance'!DZ98:DZ98, "A")+COUNTIF('Detailed Attendance'!ES98:ES98, "A")+COUNTIF('Detailed Attendance'!GC98:GC98, "A")+COUNTIF('Detailed Attendance'!GG98:GG98, "A")</f>
        <v/>
      </c>
      <c r="BE97" s="68">
        <f>IF((BC97+BD97)=0,"", BC97/(BC97+BD97))</f>
        <v/>
      </c>
      <c r="BF97" s="67">
        <f>COUNTIF('Detailed Attendance'!DO98:DO98, "P")+COUNTIF('Detailed Attendance'!DW98:DW98, "P")+COUNTIF('Detailed Attendance'!EL98:EL98, "P")+COUNTIF('Detailed Attendance'!ET98:ET98, "P")+COUNTIF('Detailed Attendance'!FF98:FF98, "P")+COUNTIF('Detailed Attendance'!FV98:FV98, "P")+COUNTIF('Detailed Attendance'!GD98:GD98, "P")</f>
        <v/>
      </c>
      <c r="BG97" s="67">
        <f>COUNTIF('Detailed Attendance'!DO98:DO98, "A")+COUNTIF('Detailed Attendance'!DW98:DW98, "A")+COUNTIF('Detailed Attendance'!EL98:EL98, "A")+COUNTIF('Detailed Attendance'!ET98:ET98, "A")+COUNTIF('Detailed Attendance'!FF98:FF98, "A")+COUNTIF('Detailed Attendance'!FV98:FV98, "A")+COUNTIF('Detailed Attendance'!GD98:GD98, "A")</f>
        <v/>
      </c>
      <c r="BH97" s="68">
        <f>IF((BF97+BG97)=0,"", BF97/(BF97+BG97))</f>
        <v/>
      </c>
      <c r="BI97" s="67">
        <f>AT97+AW97+AZ97+BC97+BF97</f>
        <v/>
      </c>
      <c r="BJ97" s="67">
        <f>AU97+AX97+BA97+BD97+BG97</f>
        <v/>
      </c>
      <c r="BK97" s="68">
        <f>IF((BI97+BJ97)=0,"", BI97/(BI97+BJ97))</f>
        <v/>
      </c>
      <c r="BL97" s="69">
        <f>COUNTIF('Detailed Attendance'!DE98:DE98, "P")+COUNTIF('Detailed Attendance'!EB98:EB98, "P")+COUNTIF('Detailed Attendance'!GI98:GI98, "P")+COUNTIF('Detailed Attendance'!DG98:DG98, "P")+COUNTIF('Detailed Attendance'!ED98:ED98, "P")+COUNTIF('Detailed Attendance'!EX98:EX98, "P")+COUNTIF('Detailed Attendance'!FN98:FN98, "P")+COUNTIF('Detailed Attendance'!DJ98:DJ98, "P")+COUNTIF('Detailed Attendance'!EG98:EG98, "P")+COUNTIF('Detailed Attendance'!FA98:FA98, "P")+COUNTIF('Detailed Attendance'!FQ98:FQ98, "P")</f>
        <v/>
      </c>
      <c r="BM97" s="69">
        <f>COUNTIF('Detailed Attendance'!DE98:DE98, "A")+COUNTIF('Detailed Attendance'!EB98:EB98, "A")+COUNTIF('Detailed Attendance'!GI98:GI98, "A")+COUNTIF('Detailed Attendance'!DG98:DG98, "A")+COUNTIF('Detailed Attendance'!ED98:ED98, "A")+COUNTIF('Detailed Attendance'!EX98:EX98, "A")+COUNTIF('Detailed Attendance'!FN98:FN98, "A")+COUNTIF('Detailed Attendance'!DJ98:DJ98, "A")+COUNTIF('Detailed Attendance'!EG98:EG98, "A")+COUNTIF('Detailed Attendance'!FA98:FA98, "A")+COUNTIF('Detailed Attendance'!FQ98:FQ98, "A")</f>
        <v/>
      </c>
      <c r="BN97" s="70">
        <f>IF((BL97+BM97)=0,"", BL97/(BL97+BM97))</f>
        <v/>
      </c>
      <c r="BO97" s="67">
        <f>D97+Y97+AT97</f>
        <v/>
      </c>
      <c r="BP97" s="67">
        <f>E97+Z97+AU97</f>
        <v/>
      </c>
      <c r="BQ97" s="68">
        <f>IF((BO97+BP97)=0,"", BO97/(BO97+BP97))</f>
        <v/>
      </c>
      <c r="BR97" s="67">
        <f>G97+AB97+AW97</f>
        <v/>
      </c>
      <c r="BS97" s="67">
        <f>H97+AC97+AX97</f>
        <v/>
      </c>
      <c r="BT97" s="68">
        <f>IF((BR97+BS97)=0,"", BR97/(BR97+BS97))</f>
        <v/>
      </c>
      <c r="BU97" s="67">
        <f>J97+AE97+AZ97</f>
        <v/>
      </c>
      <c r="BV97" s="67">
        <f>K97+AF97+BA97</f>
        <v/>
      </c>
      <c r="BW97" s="68">
        <f>IF((BU97+BV97)=0,"", BU97/(BU97+BV97))</f>
        <v/>
      </c>
      <c r="BX97" s="67">
        <f>M97+AH97+BC97</f>
        <v/>
      </c>
      <c r="BY97" s="67">
        <f>N97+AI97+BD97</f>
        <v/>
      </c>
      <c r="BZ97" s="68">
        <f>IF((BX97+BY97)=0,"", BX97/(BX97+BY97))</f>
        <v/>
      </c>
      <c r="CA97" s="67">
        <f>P97+AK97+BF97</f>
        <v/>
      </c>
      <c r="CB97" s="67">
        <f>Q97+AL97+BG97</f>
        <v/>
      </c>
      <c r="CC97" s="68">
        <f>IF((CA97+CB97)=0,"", CA97/(CA97+CB97))</f>
        <v/>
      </c>
      <c r="CD97" s="67">
        <f>S97+AN97+BI97</f>
        <v/>
      </c>
      <c r="CE97" s="67">
        <f>T97+AO97+BJ97</f>
        <v/>
      </c>
      <c r="CF97" s="68">
        <f>IF((CD97+CE97)=0,"", CD97/(CD97+CE97))</f>
        <v/>
      </c>
      <c r="CG97" s="69">
        <f>V97+AQ97+BL97</f>
        <v/>
      </c>
      <c r="CH97" s="69">
        <f>W97+AR97+BM97</f>
        <v/>
      </c>
      <c r="CI97" s="70">
        <f>IF((CG97+CH97)=0,"", CG97/(CG97+CH97))</f>
        <v/>
      </c>
      <c r="CJ97" s="67">
        <f>CD97+(CG97*2)</f>
        <v/>
      </c>
      <c r="CK97" s="67">
        <f>CE97+(CH97*2)</f>
        <v/>
      </c>
      <c r="CL97" s="68">
        <f>IF((CJ97+CK97)=0,"", CJ97/(CJ97+CK97))</f>
        <v/>
      </c>
      <c r="CM97" s="67" t="inlineStr">
        <is>
          <t>Batch 3</t>
        </is>
      </c>
    </row>
    <row r="98" ht="14.25" customHeight="1" s="34">
      <c r="A98" s="46" t="n">
        <v>96</v>
      </c>
      <c r="B98" s="46" t="inlineStr">
        <is>
          <t>325106410096</t>
        </is>
      </c>
      <c r="C98" s="46" t="inlineStr">
        <is>
          <t>NILMONI CHOWDHURY</t>
        </is>
      </c>
      <c r="D98" s="63" t="n">
        <v>0</v>
      </c>
      <c r="E98" s="63" t="n">
        <v>0</v>
      </c>
      <c r="F98" s="64">
        <f>IF((D98+E98)=0,"", D98/(D98+E98))</f>
        <v/>
      </c>
      <c r="G98" s="63">
        <f>COUNTIF('Detailed Attendance'!I99:I99, "P")</f>
        <v/>
      </c>
      <c r="H98" s="63">
        <f>COUNTIF('Detailed Attendance'!I99:I99, "A")</f>
        <v/>
      </c>
      <c r="I98" s="64">
        <f>IF((G98+H98)=0,"", G98/(G98+H98))</f>
        <v/>
      </c>
      <c r="J98" s="63" t="n">
        <v>0</v>
      </c>
      <c r="K98" s="63" t="n">
        <v>0</v>
      </c>
      <c r="L98" s="64">
        <f>IF((J98+K98)=0,"", J98/(J98+K98))</f>
        <v/>
      </c>
      <c r="M98" s="63">
        <f>COUNTIF('Detailed Attendance'!D99:D99, "P")</f>
        <v/>
      </c>
      <c r="N98" s="63">
        <f>COUNTIF('Detailed Attendance'!D99:D99, "A")</f>
        <v/>
      </c>
      <c r="O98" s="64">
        <f>IF((M98+N98)=0,"", M98/(M98+N98))</f>
        <v/>
      </c>
      <c r="P98" s="63" t="n">
        <v>0</v>
      </c>
      <c r="Q98" s="63" t="n">
        <v>0</v>
      </c>
      <c r="R98" s="64">
        <f>IF((P98+Q98)=0,"", P98/(P98+Q98))</f>
        <v/>
      </c>
      <c r="S98" s="63">
        <f>D98+G98+J98+M98+P98</f>
        <v/>
      </c>
      <c r="T98" s="63">
        <f>E98+H98+K98+N98+Q98</f>
        <v/>
      </c>
      <c r="U98" s="64">
        <f>IF((S98+T98)=0,"", S98/(S98+T98))</f>
        <v/>
      </c>
      <c r="V98" s="65">
        <f>COUNTIF('Detailed Attendance'!E99:E99, "P")+COUNTIF('Detailed Attendance'!H99:H99, "P")</f>
        <v/>
      </c>
      <c r="W98" s="65">
        <f>COUNTIF('Detailed Attendance'!E99:E99, "A")+COUNTIF('Detailed Attendance'!H99:H99, "A")</f>
        <v/>
      </c>
      <c r="X98" s="66">
        <f>IF((V98+W98)=0,"", V98/(V98+W98))</f>
        <v/>
      </c>
      <c r="Y98" s="63">
        <f>COUNTIF('Detailed Attendance'!R99:R99, "P")+COUNTIF('Detailed Attendance'!X99:X99, "P")+COUNTIF('Detailed Attendance'!AL99:AL99, "P")+COUNTIF('Detailed Attendance'!BF99:BF99, "P")+COUNTIF('Detailed Attendance'!BL99:BL99, "P")+COUNTIF('Detailed Attendance'!BZ99:BZ99, "P")+COUNTIF('Detailed Attendance'!CI99:CI99, "P")+COUNTIF('Detailed Attendance'!CW99:CW99, "P")</f>
        <v/>
      </c>
      <c r="Z98" s="63">
        <f>COUNTIF('Detailed Attendance'!R99:R99, "A")+COUNTIF('Detailed Attendance'!X99:X99, "A")+COUNTIF('Detailed Attendance'!AL99:AL99, "A")+COUNTIF('Detailed Attendance'!BF99:BF99, "A")+COUNTIF('Detailed Attendance'!BL99:BL99, "A")+COUNTIF('Detailed Attendance'!BZ99:BZ99, "A")+COUNTIF('Detailed Attendance'!CI99:CI99, "A")+COUNTIF('Detailed Attendance'!CW99:CW99, "A")</f>
        <v/>
      </c>
      <c r="AA98" s="64">
        <f>IF((Y98+Z98)=0,"", Y98/(Y98+Z98))</f>
        <v/>
      </c>
      <c r="AB98" s="63">
        <f>COUNTIF('Detailed Attendance'!Q99:Q99, "P")+COUNTIF('Detailed Attendance'!AC99:AC99, "P")+COUNTIF('Detailed Attendance'!AK99:AK99, "P")+COUNTIF('Detailed Attendance'!AW99:AW99, "P")+COUNTIF('Detailed Attendance'!BE99:BE99, "P")+COUNTIF('Detailed Attendance'!BQ99:BQ99, "P")+COUNTIF('Detailed Attendance'!BY99:BY99, "P")+COUNTIF('Detailed Attendance'!CN99:CN99, "P")+COUNTIF('Detailed Attendance'!CV99:CV99, "P")</f>
        <v/>
      </c>
      <c r="AC98" s="63">
        <f>COUNTIF('Detailed Attendance'!Q99:Q99, "A")+COUNTIF('Detailed Attendance'!AC99:AC99, "A")+COUNTIF('Detailed Attendance'!AK99:AK99, "A")+COUNTIF('Detailed Attendance'!AW99:AW99, "A")+COUNTIF('Detailed Attendance'!BE99:BE99, "A")+COUNTIF('Detailed Attendance'!BQ99:BQ99, "A")+COUNTIF('Detailed Attendance'!BY99:BY99, "A")+COUNTIF('Detailed Attendance'!CN99:CN99, "A")+COUNTIF('Detailed Attendance'!CV99:CV99, "A")</f>
        <v/>
      </c>
      <c r="AD98" s="64">
        <f>IF((AB98+AC98)=0,"", AB98/(AB98+AC98))</f>
        <v/>
      </c>
      <c r="AE98" s="63">
        <f>COUNTIF('Detailed Attendance'!L99:L99, "P")+COUNTIF('Detailed Attendance'!P99:P99, "P")+COUNTIF('Detailed Attendance'!AF99:AF99, "P")+COUNTIF('Detailed Attendance'!AJ99:AJ99, "P")+COUNTIF('Detailed Attendance'!AZ99:AZ99, "P")+COUNTIF('Detailed Attendance'!BD99:BD99, "P")+COUNTIF('Detailed Attendance'!BT99:BT99, "P")+COUNTIF('Detailed Attendance'!BX99:BX99, "P")+COUNTIF('Detailed Attendance'!CQ99:CQ99, "P")+COUNTIF('Detailed Attendance'!CU99:CU99, "P")</f>
        <v/>
      </c>
      <c r="AF98" s="67">
        <f>COUNTIF('Detailed Attendance'!L99:L99, "A")+COUNTIF('Detailed Attendance'!P99:P99, "A")+COUNTIF('Detailed Attendance'!AF99:AF99, "A")+COUNTIF('Detailed Attendance'!AJ99:AJ99, "A")+COUNTIF('Detailed Attendance'!AZ99:AZ99, "A")+COUNTIF('Detailed Attendance'!BD99:BD99, "A")+COUNTIF('Detailed Attendance'!BT99:BT99, "A")+COUNTIF('Detailed Attendance'!BX99:BX99, "A")+COUNTIF('Detailed Attendance'!CQ99:CQ99, "A")+COUNTIF('Detailed Attendance'!CU99:CU99, "A")</f>
        <v/>
      </c>
      <c r="AG98" s="68">
        <f>IF((AE98+AF98)=0,"", AE98/(AE98+AF98))</f>
        <v/>
      </c>
      <c r="AH98" s="67">
        <f>COUNTIF('Detailed Attendance'!T99:T99, "P")+COUNTIF('Detailed Attendance'!AN99:AN99, "P")+COUNTIF('Detailed Attendance'!AR99:AR99, "P")+COUNTIF('Detailed Attendance'!BH99:BH99, "P")+COUNTIF('Detailed Attendance'!CB99:CB99, "P")+COUNTIF('Detailed Attendance'!CF99:CF99, "P")+COUNTIF('Detailed Attendance'!CY99:CY99, "P")</f>
        <v/>
      </c>
      <c r="AI98" s="67">
        <f>COUNTIF('Detailed Attendance'!T99:T99, "A")+COUNTIF('Detailed Attendance'!AN99:AN99, "A")+COUNTIF('Detailed Attendance'!AR99:AR99, "A")+COUNTIF('Detailed Attendance'!BH99:BH99, "A")+COUNTIF('Detailed Attendance'!CB99:CB99, "A")+COUNTIF('Detailed Attendance'!CF99:CF99, "A")+COUNTIF('Detailed Attendance'!CY99:CY99, "A")</f>
        <v/>
      </c>
      <c r="AJ98" s="68">
        <f>IF((AH98+AI98)=0,"", AH98/(AH98+AI98))</f>
        <v/>
      </c>
      <c r="AK98" s="67">
        <f>COUNTIF('Detailed Attendance'!M99:M99, "P")+COUNTIF('Detailed Attendance'!U99:U99, "P")+COUNTIF('Detailed Attendance'!AG99:AG99, "P")+COUNTIF('Detailed Attendance'!AO99:AO99, "P")+COUNTIF('Detailed Attendance'!BA99:BA99, "P")+COUNTIF('Detailed Attendance'!BI99:BI99, "P")+COUNTIF('Detailed Attendance'!BU99:BU99, "P")+COUNTIF('Detailed Attendance'!CC99:CC99, "P")+COUNTIF('Detailed Attendance'!CR99:CR99, "P")+COUNTIF('Detailed Attendance'!CZ99:CZ99, "P")</f>
        <v/>
      </c>
      <c r="AL98" s="67">
        <f>COUNTIF('Detailed Attendance'!M99:M99, "A")+COUNTIF('Detailed Attendance'!U99:U99, "A")+COUNTIF('Detailed Attendance'!AG99:AG99, "A")+COUNTIF('Detailed Attendance'!AO99:AO99, "A")+COUNTIF('Detailed Attendance'!BA99:BA99, "A")+COUNTIF('Detailed Attendance'!BI99:BI99, "A")+COUNTIF('Detailed Attendance'!BU99:BU99, "A")+COUNTIF('Detailed Attendance'!CC99:CC99, "A")+COUNTIF('Detailed Attendance'!CR99:CR99, "A")+COUNTIF('Detailed Attendance'!CZ99:CZ99, "A")</f>
        <v/>
      </c>
      <c r="AM98" s="68">
        <f>IF((AK98+AL98)=0,"", AK98/(AK98+AL98))</f>
        <v/>
      </c>
      <c r="AN98" s="67">
        <f>Y98+AB98+AE98+AH98+AK98</f>
        <v/>
      </c>
      <c r="AO98" s="67">
        <f>Z98+AC98+AF98+AI98+AL98</f>
        <v/>
      </c>
      <c r="AP98" s="68">
        <f>IF((AN98+AO98)=0,"", AN98/(AN98+AO98))</f>
        <v/>
      </c>
      <c r="AQ98" s="69">
        <f>COUNTIF('Detailed Attendance'!CH99:CH99, "P")+COUNTIF('Detailed Attendance'!Y99:Y99, "P")+COUNTIF('Detailed Attendance'!AS99:AS99, "P")+COUNTIF('Detailed Attendance'!BM99:BM99, "P")+COUNTIF('Detailed Attendance'!CJ99:CJ99, "P")+COUNTIF('Detailed Attendance'!AB99:AB99, "P")+COUNTIF('Detailed Attendance'!AV99:AV99, "P")+COUNTIF('Detailed Attendance'!BP99:BP99, "P")+COUNTIF('Detailed Attendance'!CM99:CM99, "P")</f>
        <v/>
      </c>
      <c r="AR98" s="69">
        <f>COUNTIF('Detailed Attendance'!CH99:CH99, "A")+COUNTIF('Detailed Attendance'!Y99:Y99, "A")+COUNTIF('Detailed Attendance'!AS99:AS99, "A")+COUNTIF('Detailed Attendance'!BM99:BM99, "A")+COUNTIF('Detailed Attendance'!CJ99:CJ99, "A")+COUNTIF('Detailed Attendance'!AB99:AB99, "A")+COUNTIF('Detailed Attendance'!AV99:AV99, "A")+COUNTIF('Detailed Attendance'!BP99:BP99, "A")+COUNTIF('Detailed Attendance'!CM99:CM99, "A")</f>
        <v/>
      </c>
      <c r="AS98" s="70">
        <f>IF((AQ98+AR98)=0,"", AQ98/(AQ98+AR98))</f>
        <v/>
      </c>
      <c r="AT98" s="67">
        <f>COUNTIF('Detailed Attendance'!DF99:DF99, "P")+COUNTIF('Detailed Attendance'!DT99:DT99, "P")+COUNTIF('Detailed Attendance'!EC99:EC99, "P")+COUNTIF('Detailed Attendance'!EQ99:EQ99, "P")+COUNTIF('Detailed Attendance'!EW99:EW99, "P")+COUNTIF('Detailed Attendance'!FK99:FK99, "P")+COUNTIF('Detailed Attendance'!FM99:FM99, "P")+COUNTIF('Detailed Attendance'!GA99:GA99, "P")</f>
        <v/>
      </c>
      <c r="AU98" s="67">
        <f>COUNTIF('Detailed Attendance'!DF99:DF99, "A")+COUNTIF('Detailed Attendance'!DT99:DT99, "A")+COUNTIF('Detailed Attendance'!EC99:EC99, "A")+COUNTIF('Detailed Attendance'!EQ99:EQ99, "A")+COUNTIF('Detailed Attendance'!EW99:EW99, "A")+COUNTIF('Detailed Attendance'!FK99:FK99, "A")+COUNTIF('Detailed Attendance'!FM99:FM99, "A")+COUNTIF('Detailed Attendance'!GA99:GA99, "A")</f>
        <v/>
      </c>
      <c r="AV98" s="68">
        <f>IF((AT98+AU98)=0,"", AT98/(AT98+AU98))</f>
        <v/>
      </c>
      <c r="AW98" s="67">
        <f>COUNTIF('Detailed Attendance'!DK99:DK99, "P")+COUNTIF('Detailed Attendance'!DS99:DS99, "P")+COUNTIF('Detailed Attendance'!EH99:EH99, "P")+COUNTIF('Detailed Attendance'!EP99:EP99, "P")+COUNTIF('Detailed Attendance'!FB99:FB99, "P")+COUNTIF('Detailed Attendance'!FJ99:FJ99, "P")+COUNTIF('Detailed Attendance'!FR99:FR99, "P")+COUNTIF('Detailed Attendance'!FZ99:FZ99, "P")</f>
        <v/>
      </c>
      <c r="AX98" s="67">
        <f>COUNTIF('Detailed Attendance'!DK99:DK99, "A")+COUNTIF('Detailed Attendance'!DS99:DS99, "A")+COUNTIF('Detailed Attendance'!EH99:EH99, "A")+COUNTIF('Detailed Attendance'!EP99:EP99, "A")+COUNTIF('Detailed Attendance'!FB99:FB99, "A")+COUNTIF('Detailed Attendance'!FJ99:FJ99, "A")+COUNTIF('Detailed Attendance'!FR99:FR99, "A")+COUNTIF('Detailed Attendance'!FZ99:FZ99, "A")</f>
        <v/>
      </c>
      <c r="AY98" s="68">
        <f>IF((AW98+AX98)=0,"", AW98/(AW98+AX98))</f>
        <v/>
      </c>
      <c r="AZ98" s="67">
        <f>COUNTIF('Detailed Attendance'!DN99:DN99, "P")+COUNTIF('Detailed Attendance'!DR99:DR99, "P")+COUNTIF('Detailed Attendance'!EK99:EK99, "P")+COUNTIF('Detailed Attendance'!EO99:EO99, "P")+COUNTIF('Detailed Attendance'!FE99:FE99, "P")+COUNTIF('Detailed Attendance'!FI99:FI99, "P")+COUNTIF('Detailed Attendance'!FU99:FU99, "P")+COUNTIF('Detailed Attendance'!FY99:FY99, "P")</f>
        <v/>
      </c>
      <c r="BA98" s="67">
        <f>COUNTIF('Detailed Attendance'!DN99:DN99, "A")+COUNTIF('Detailed Attendance'!DR99:DR99, "A")+COUNTIF('Detailed Attendance'!EK99:EK99, "A")+COUNTIF('Detailed Attendance'!EO99:EO99, "A")+COUNTIF('Detailed Attendance'!FE99:FE99, "A")+COUNTIF('Detailed Attendance'!FI99:FI99, "A")+COUNTIF('Detailed Attendance'!FU99:FU99, "A")+COUNTIF('Detailed Attendance'!FY99:FY99, "A")</f>
        <v/>
      </c>
      <c r="BB98" s="68">
        <f>IF((AZ98+BA98)=0,"", AZ98/(AZ98+BA98))</f>
        <v/>
      </c>
      <c r="BC98" s="67">
        <f>COUNTIF('Detailed Attendance'!DC99:DC99, "P")+COUNTIF('Detailed Attendance'!DV99:DV99, "P")+COUNTIF('Detailed Attendance'!DZ99:DZ99, "P")+COUNTIF('Detailed Attendance'!ES99:ES99, "P")+COUNTIF('Detailed Attendance'!GC99:GC99, "P")+COUNTIF('Detailed Attendance'!GG99:GG99, "P")</f>
        <v/>
      </c>
      <c r="BD98" s="67">
        <f>COUNTIF('Detailed Attendance'!DC99:DC99, "A")+COUNTIF('Detailed Attendance'!DV99:DV99, "A")+COUNTIF('Detailed Attendance'!DZ99:DZ99, "A")+COUNTIF('Detailed Attendance'!ES99:ES99, "A")+COUNTIF('Detailed Attendance'!GC99:GC99, "A")+COUNTIF('Detailed Attendance'!GG99:GG99, "A")</f>
        <v/>
      </c>
      <c r="BE98" s="68">
        <f>IF((BC98+BD98)=0,"", BC98/(BC98+BD98))</f>
        <v/>
      </c>
      <c r="BF98" s="67">
        <f>COUNTIF('Detailed Attendance'!DO99:DO99, "P")+COUNTIF('Detailed Attendance'!DW99:DW99, "P")+COUNTIF('Detailed Attendance'!EL99:EL99, "P")+COUNTIF('Detailed Attendance'!ET99:ET99, "P")+COUNTIF('Detailed Attendance'!FF99:FF99, "P")+COUNTIF('Detailed Attendance'!FV99:FV99, "P")+COUNTIF('Detailed Attendance'!GD99:GD99, "P")</f>
        <v/>
      </c>
      <c r="BG98" s="67">
        <f>COUNTIF('Detailed Attendance'!DO99:DO99, "A")+COUNTIF('Detailed Attendance'!DW99:DW99, "A")+COUNTIF('Detailed Attendance'!EL99:EL99, "A")+COUNTIF('Detailed Attendance'!ET99:ET99, "A")+COUNTIF('Detailed Attendance'!FF99:FF99, "A")+COUNTIF('Detailed Attendance'!FV99:FV99, "A")+COUNTIF('Detailed Attendance'!GD99:GD99, "A")</f>
        <v/>
      </c>
      <c r="BH98" s="68">
        <f>IF((BF98+BG98)=0,"", BF98/(BF98+BG98))</f>
        <v/>
      </c>
      <c r="BI98" s="67">
        <f>AT98+AW98+AZ98+BC98+BF98</f>
        <v/>
      </c>
      <c r="BJ98" s="67">
        <f>AU98+AX98+BA98+BD98+BG98</f>
        <v/>
      </c>
      <c r="BK98" s="68">
        <f>IF((BI98+BJ98)=0,"", BI98/(BI98+BJ98))</f>
        <v/>
      </c>
      <c r="BL98" s="69">
        <f>COUNTIF('Detailed Attendance'!DE99:DE99, "P")+COUNTIF('Detailed Attendance'!EB99:EB99, "P")+COUNTIF('Detailed Attendance'!GI99:GI99, "P")+COUNTIF('Detailed Attendance'!DG99:DG99, "P")+COUNTIF('Detailed Attendance'!ED99:ED99, "P")+COUNTIF('Detailed Attendance'!EX99:EX99, "P")+COUNTIF('Detailed Attendance'!FN99:FN99, "P")+COUNTIF('Detailed Attendance'!DJ99:DJ99, "P")+COUNTIF('Detailed Attendance'!EG99:EG99, "P")+COUNTIF('Detailed Attendance'!FA99:FA99, "P")+COUNTIF('Detailed Attendance'!FQ99:FQ99, "P")</f>
        <v/>
      </c>
      <c r="BM98" s="69">
        <f>COUNTIF('Detailed Attendance'!DE99:DE99, "A")+COUNTIF('Detailed Attendance'!EB99:EB99, "A")+COUNTIF('Detailed Attendance'!GI99:GI99, "A")+COUNTIF('Detailed Attendance'!DG99:DG99, "A")+COUNTIF('Detailed Attendance'!ED99:ED99, "A")+COUNTIF('Detailed Attendance'!EX99:EX99, "A")+COUNTIF('Detailed Attendance'!FN99:FN99, "A")+COUNTIF('Detailed Attendance'!DJ99:DJ99, "A")+COUNTIF('Detailed Attendance'!EG99:EG99, "A")+COUNTIF('Detailed Attendance'!FA99:FA99, "A")+COUNTIF('Detailed Attendance'!FQ99:FQ99, "A")</f>
        <v/>
      </c>
      <c r="BN98" s="70">
        <f>IF((BL98+BM98)=0,"", BL98/(BL98+BM98))</f>
        <v/>
      </c>
      <c r="BO98" s="67">
        <f>D98+Y98+AT98</f>
        <v/>
      </c>
      <c r="BP98" s="67">
        <f>E98+Z98+AU98</f>
        <v/>
      </c>
      <c r="BQ98" s="68">
        <f>IF((BO98+BP98)=0,"", BO98/(BO98+BP98))</f>
        <v/>
      </c>
      <c r="BR98" s="67">
        <f>G98+AB98+AW98</f>
        <v/>
      </c>
      <c r="BS98" s="67">
        <f>H98+AC98+AX98</f>
        <v/>
      </c>
      <c r="BT98" s="68">
        <f>IF((BR98+BS98)=0,"", BR98/(BR98+BS98))</f>
        <v/>
      </c>
      <c r="BU98" s="67">
        <f>J98+AE98+AZ98</f>
        <v/>
      </c>
      <c r="BV98" s="67">
        <f>K98+AF98+BA98</f>
        <v/>
      </c>
      <c r="BW98" s="68">
        <f>IF((BU98+BV98)=0,"", BU98/(BU98+BV98))</f>
        <v/>
      </c>
      <c r="BX98" s="67">
        <f>M98+AH98+BC98</f>
        <v/>
      </c>
      <c r="BY98" s="67">
        <f>N98+AI98+BD98</f>
        <v/>
      </c>
      <c r="BZ98" s="68">
        <f>IF((BX98+BY98)=0,"", BX98/(BX98+BY98))</f>
        <v/>
      </c>
      <c r="CA98" s="67">
        <f>P98+AK98+BF98</f>
        <v/>
      </c>
      <c r="CB98" s="67">
        <f>Q98+AL98+BG98</f>
        <v/>
      </c>
      <c r="CC98" s="68">
        <f>IF((CA98+CB98)=0,"", CA98/(CA98+CB98))</f>
        <v/>
      </c>
      <c r="CD98" s="67">
        <f>S98+AN98+BI98</f>
        <v/>
      </c>
      <c r="CE98" s="67">
        <f>T98+AO98+BJ98</f>
        <v/>
      </c>
      <c r="CF98" s="68">
        <f>IF((CD98+CE98)=0,"", CD98/(CD98+CE98))</f>
        <v/>
      </c>
      <c r="CG98" s="69">
        <f>V98+AQ98+BL98</f>
        <v/>
      </c>
      <c r="CH98" s="69">
        <f>W98+AR98+BM98</f>
        <v/>
      </c>
      <c r="CI98" s="70">
        <f>IF((CG98+CH98)=0,"", CG98/(CG98+CH98))</f>
        <v/>
      </c>
      <c r="CJ98" s="67">
        <f>CD98+(CG98*2)</f>
        <v/>
      </c>
      <c r="CK98" s="67">
        <f>CE98+(CH98*2)</f>
        <v/>
      </c>
      <c r="CL98" s="68">
        <f>IF((CJ98+CK98)=0,"", CJ98/(CJ98+CK98))</f>
        <v/>
      </c>
      <c r="CM98" s="67" t="inlineStr">
        <is>
          <t>Batch 3</t>
        </is>
      </c>
    </row>
    <row r="99" ht="14.25" customHeight="1" s="34">
      <c r="A99" s="46" t="n">
        <v>97</v>
      </c>
      <c r="B99" s="46" t="inlineStr">
        <is>
          <t>325106410097</t>
        </is>
      </c>
      <c r="C99" s="46" t="inlineStr">
        <is>
          <t>NOB PANHATHIROT</t>
        </is>
      </c>
      <c r="D99" s="63" t="n">
        <v>0</v>
      </c>
      <c r="E99" s="63" t="n">
        <v>0</v>
      </c>
      <c r="F99" s="64">
        <f>IF((D99+E99)=0,"", D99/(D99+E99))</f>
        <v/>
      </c>
      <c r="G99" s="63">
        <f>COUNTIF('Detailed Attendance'!I100:I100, "P")</f>
        <v/>
      </c>
      <c r="H99" s="63">
        <f>COUNTIF('Detailed Attendance'!I100:I100, "A")</f>
        <v/>
      </c>
      <c r="I99" s="64">
        <f>IF((G99+H99)=0,"", G99/(G99+H99))</f>
        <v/>
      </c>
      <c r="J99" s="63" t="n">
        <v>0</v>
      </c>
      <c r="K99" s="63" t="n">
        <v>0</v>
      </c>
      <c r="L99" s="64">
        <f>IF((J99+K99)=0,"", J99/(J99+K99))</f>
        <v/>
      </c>
      <c r="M99" s="63">
        <f>COUNTIF('Detailed Attendance'!D100:D100, "P")</f>
        <v/>
      </c>
      <c r="N99" s="63">
        <f>COUNTIF('Detailed Attendance'!D100:D100, "A")</f>
        <v/>
      </c>
      <c r="O99" s="64">
        <f>IF((M99+N99)=0,"", M99/(M99+N99))</f>
        <v/>
      </c>
      <c r="P99" s="63" t="n">
        <v>0</v>
      </c>
      <c r="Q99" s="63" t="n">
        <v>0</v>
      </c>
      <c r="R99" s="64">
        <f>IF((P99+Q99)=0,"", P99/(P99+Q99))</f>
        <v/>
      </c>
      <c r="S99" s="63">
        <f>D99+G99+J99+M99+P99</f>
        <v/>
      </c>
      <c r="T99" s="63">
        <f>E99+H99+K99+N99+Q99</f>
        <v/>
      </c>
      <c r="U99" s="64">
        <f>IF((S99+T99)=0,"", S99/(S99+T99))</f>
        <v/>
      </c>
      <c r="V99" s="65">
        <f>COUNTIF('Detailed Attendance'!E100:E100, "P")+COUNTIF('Detailed Attendance'!H100:H100, "P")</f>
        <v/>
      </c>
      <c r="W99" s="65">
        <f>COUNTIF('Detailed Attendance'!E100:E100, "A")+COUNTIF('Detailed Attendance'!H100:H100, "A")</f>
        <v/>
      </c>
      <c r="X99" s="66">
        <f>IF((V99+W99)=0,"", V99/(V99+W99))</f>
        <v/>
      </c>
      <c r="Y99" s="63">
        <f>COUNTIF('Detailed Attendance'!R100:R100, "P")+COUNTIF('Detailed Attendance'!X100:X100, "P")+COUNTIF('Detailed Attendance'!AL100:AL100, "P")+COUNTIF('Detailed Attendance'!BF100:BF100, "P")+COUNTIF('Detailed Attendance'!BL100:BL100, "P")+COUNTIF('Detailed Attendance'!BZ100:BZ100, "P")+COUNTIF('Detailed Attendance'!CI100:CI100, "P")+COUNTIF('Detailed Attendance'!CW100:CW100, "P")</f>
        <v/>
      </c>
      <c r="Z99" s="63">
        <f>COUNTIF('Detailed Attendance'!R100:R100, "A")+COUNTIF('Detailed Attendance'!X100:X100, "A")+COUNTIF('Detailed Attendance'!AL100:AL100, "A")+COUNTIF('Detailed Attendance'!BF100:BF100, "A")+COUNTIF('Detailed Attendance'!BL100:BL100, "A")+COUNTIF('Detailed Attendance'!BZ100:BZ100, "A")+COUNTIF('Detailed Attendance'!CI100:CI100, "A")+COUNTIF('Detailed Attendance'!CW100:CW100, "A")</f>
        <v/>
      </c>
      <c r="AA99" s="64">
        <f>IF((Y99+Z99)=0,"", Y99/(Y99+Z99))</f>
        <v/>
      </c>
      <c r="AB99" s="63">
        <f>COUNTIF('Detailed Attendance'!Q100:Q100, "P")+COUNTIF('Detailed Attendance'!AC100:AC100, "P")+COUNTIF('Detailed Attendance'!AK100:AK100, "P")+COUNTIF('Detailed Attendance'!AW100:AW100, "P")+COUNTIF('Detailed Attendance'!BE100:BE100, "P")+COUNTIF('Detailed Attendance'!BQ100:BQ100, "P")+COUNTIF('Detailed Attendance'!BY100:BY100, "P")+COUNTIF('Detailed Attendance'!CN100:CN100, "P")+COUNTIF('Detailed Attendance'!CV100:CV100, "P")</f>
        <v/>
      </c>
      <c r="AC99" s="63">
        <f>COUNTIF('Detailed Attendance'!Q100:Q100, "A")+COUNTIF('Detailed Attendance'!AC100:AC100, "A")+COUNTIF('Detailed Attendance'!AK100:AK100, "A")+COUNTIF('Detailed Attendance'!AW100:AW100, "A")+COUNTIF('Detailed Attendance'!BE100:BE100, "A")+COUNTIF('Detailed Attendance'!BQ100:BQ100, "A")+COUNTIF('Detailed Attendance'!BY100:BY100, "A")+COUNTIF('Detailed Attendance'!CN100:CN100, "A")+COUNTIF('Detailed Attendance'!CV100:CV100, "A")</f>
        <v/>
      </c>
      <c r="AD99" s="64">
        <f>IF((AB99+AC99)=0,"", AB99/(AB99+AC99))</f>
        <v/>
      </c>
      <c r="AE99" s="63">
        <f>COUNTIF('Detailed Attendance'!L100:L100, "P")+COUNTIF('Detailed Attendance'!P100:P100, "P")+COUNTIF('Detailed Attendance'!AF100:AF100, "P")+COUNTIF('Detailed Attendance'!AJ100:AJ100, "P")+COUNTIF('Detailed Attendance'!AZ100:AZ100, "P")+COUNTIF('Detailed Attendance'!BD100:BD100, "P")+COUNTIF('Detailed Attendance'!BT100:BT100, "P")+COUNTIF('Detailed Attendance'!BX100:BX100, "P")+COUNTIF('Detailed Attendance'!CQ100:CQ100, "P")+COUNTIF('Detailed Attendance'!CU100:CU100, "P")</f>
        <v/>
      </c>
      <c r="AF99" s="67">
        <f>COUNTIF('Detailed Attendance'!L100:L100, "A")+COUNTIF('Detailed Attendance'!P100:P100, "A")+COUNTIF('Detailed Attendance'!AF100:AF100, "A")+COUNTIF('Detailed Attendance'!AJ100:AJ100, "A")+COUNTIF('Detailed Attendance'!AZ100:AZ100, "A")+COUNTIF('Detailed Attendance'!BD100:BD100, "A")+COUNTIF('Detailed Attendance'!BT100:BT100, "A")+COUNTIF('Detailed Attendance'!BX100:BX100, "A")+COUNTIF('Detailed Attendance'!CQ100:CQ100, "A")+COUNTIF('Detailed Attendance'!CU100:CU100, "A")</f>
        <v/>
      </c>
      <c r="AG99" s="68">
        <f>IF((AE99+AF99)=0,"", AE99/(AE99+AF99))</f>
        <v/>
      </c>
      <c r="AH99" s="67">
        <f>COUNTIF('Detailed Attendance'!T100:T100, "P")+COUNTIF('Detailed Attendance'!AN100:AN100, "P")+COUNTIF('Detailed Attendance'!AR100:AR100, "P")+COUNTIF('Detailed Attendance'!BH100:BH100, "P")+COUNTIF('Detailed Attendance'!CB100:CB100, "P")+COUNTIF('Detailed Attendance'!CF100:CF100, "P")+COUNTIF('Detailed Attendance'!CY100:CY100, "P")</f>
        <v/>
      </c>
      <c r="AI99" s="67">
        <f>COUNTIF('Detailed Attendance'!T100:T100, "A")+COUNTIF('Detailed Attendance'!AN100:AN100, "A")+COUNTIF('Detailed Attendance'!AR100:AR100, "A")+COUNTIF('Detailed Attendance'!BH100:BH100, "A")+COUNTIF('Detailed Attendance'!CB100:CB100, "A")+COUNTIF('Detailed Attendance'!CF100:CF100, "A")+COUNTIF('Detailed Attendance'!CY100:CY100, "A")</f>
        <v/>
      </c>
      <c r="AJ99" s="68">
        <f>IF((AH99+AI99)=0,"", AH99/(AH99+AI99))</f>
        <v/>
      </c>
      <c r="AK99" s="67">
        <f>COUNTIF('Detailed Attendance'!M100:M100, "P")+COUNTIF('Detailed Attendance'!U100:U100, "P")+COUNTIF('Detailed Attendance'!AG100:AG100, "P")+COUNTIF('Detailed Attendance'!AO100:AO100, "P")+COUNTIF('Detailed Attendance'!BA100:BA100, "P")+COUNTIF('Detailed Attendance'!BI100:BI100, "P")+COUNTIF('Detailed Attendance'!BU100:BU100, "P")+COUNTIF('Detailed Attendance'!CC100:CC100, "P")+COUNTIF('Detailed Attendance'!CR100:CR100, "P")+COUNTIF('Detailed Attendance'!CZ100:CZ100, "P")</f>
        <v/>
      </c>
      <c r="AL99" s="67">
        <f>COUNTIF('Detailed Attendance'!M100:M100, "A")+COUNTIF('Detailed Attendance'!U100:U100, "A")+COUNTIF('Detailed Attendance'!AG100:AG100, "A")+COUNTIF('Detailed Attendance'!AO100:AO100, "A")+COUNTIF('Detailed Attendance'!BA100:BA100, "A")+COUNTIF('Detailed Attendance'!BI100:BI100, "A")+COUNTIF('Detailed Attendance'!BU100:BU100, "A")+COUNTIF('Detailed Attendance'!CC100:CC100, "A")+COUNTIF('Detailed Attendance'!CR100:CR100, "A")+COUNTIF('Detailed Attendance'!CZ100:CZ100, "A")</f>
        <v/>
      </c>
      <c r="AM99" s="68">
        <f>IF((AK99+AL99)=0,"", AK99/(AK99+AL99))</f>
        <v/>
      </c>
      <c r="AN99" s="67">
        <f>Y99+AB99+AE99+AH99+AK99</f>
        <v/>
      </c>
      <c r="AO99" s="67">
        <f>Z99+AC99+AF99+AI99+AL99</f>
        <v/>
      </c>
      <c r="AP99" s="68">
        <f>IF((AN99+AO99)=0,"", AN99/(AN99+AO99))</f>
        <v/>
      </c>
      <c r="AQ99" s="69">
        <f>COUNTIF('Detailed Attendance'!CH100:CH100, "P")+COUNTIF('Detailed Attendance'!Y100:Y100, "P")+COUNTIF('Detailed Attendance'!AS100:AS100, "P")+COUNTIF('Detailed Attendance'!BM100:BM100, "P")+COUNTIF('Detailed Attendance'!CJ100:CJ100, "P")+COUNTIF('Detailed Attendance'!AB100:AB100, "P")+COUNTIF('Detailed Attendance'!AV100:AV100, "P")+COUNTIF('Detailed Attendance'!BP100:BP100, "P")+COUNTIF('Detailed Attendance'!CM100:CM100, "P")</f>
        <v/>
      </c>
      <c r="AR99" s="69">
        <f>COUNTIF('Detailed Attendance'!CH100:CH100, "A")+COUNTIF('Detailed Attendance'!Y100:Y100, "A")+COUNTIF('Detailed Attendance'!AS100:AS100, "A")+COUNTIF('Detailed Attendance'!BM100:BM100, "A")+COUNTIF('Detailed Attendance'!CJ100:CJ100, "A")+COUNTIF('Detailed Attendance'!AB100:AB100, "A")+COUNTIF('Detailed Attendance'!AV100:AV100, "A")+COUNTIF('Detailed Attendance'!BP100:BP100, "A")+COUNTIF('Detailed Attendance'!CM100:CM100, "A")</f>
        <v/>
      </c>
      <c r="AS99" s="70">
        <f>IF((AQ99+AR99)=0,"", AQ99/(AQ99+AR99))</f>
        <v/>
      </c>
      <c r="AT99" s="67">
        <f>COUNTIF('Detailed Attendance'!DF100:DF100, "P")+COUNTIF('Detailed Attendance'!DT100:DT100, "P")+COUNTIF('Detailed Attendance'!EC100:EC100, "P")+COUNTIF('Detailed Attendance'!EQ100:EQ100, "P")+COUNTIF('Detailed Attendance'!EW100:EW100, "P")+COUNTIF('Detailed Attendance'!FK100:FK100, "P")+COUNTIF('Detailed Attendance'!FM100:FM100, "P")+COUNTIF('Detailed Attendance'!GA100:GA100, "P")</f>
        <v/>
      </c>
      <c r="AU99" s="67">
        <f>COUNTIF('Detailed Attendance'!DF100:DF100, "A")+COUNTIF('Detailed Attendance'!DT100:DT100, "A")+COUNTIF('Detailed Attendance'!EC100:EC100, "A")+COUNTIF('Detailed Attendance'!EQ100:EQ100, "A")+COUNTIF('Detailed Attendance'!EW100:EW100, "A")+COUNTIF('Detailed Attendance'!FK100:FK100, "A")+COUNTIF('Detailed Attendance'!FM100:FM100, "A")+COUNTIF('Detailed Attendance'!GA100:GA100, "A")</f>
        <v/>
      </c>
      <c r="AV99" s="68">
        <f>IF((AT99+AU99)=0,"", AT99/(AT99+AU99))</f>
        <v/>
      </c>
      <c r="AW99" s="67">
        <f>COUNTIF('Detailed Attendance'!DK100:DK100, "P")+COUNTIF('Detailed Attendance'!DS100:DS100, "P")+COUNTIF('Detailed Attendance'!EH100:EH100, "P")+COUNTIF('Detailed Attendance'!EP100:EP100, "P")+COUNTIF('Detailed Attendance'!FB100:FB100, "P")+COUNTIF('Detailed Attendance'!FJ100:FJ100, "P")+COUNTIF('Detailed Attendance'!FR100:FR100, "P")+COUNTIF('Detailed Attendance'!FZ100:FZ100, "P")</f>
        <v/>
      </c>
      <c r="AX99" s="67">
        <f>COUNTIF('Detailed Attendance'!DK100:DK100, "A")+COUNTIF('Detailed Attendance'!DS100:DS100, "A")+COUNTIF('Detailed Attendance'!EH100:EH100, "A")+COUNTIF('Detailed Attendance'!EP100:EP100, "A")+COUNTIF('Detailed Attendance'!FB100:FB100, "A")+COUNTIF('Detailed Attendance'!FJ100:FJ100, "A")+COUNTIF('Detailed Attendance'!FR100:FR100, "A")+COUNTIF('Detailed Attendance'!FZ100:FZ100, "A")</f>
        <v/>
      </c>
      <c r="AY99" s="68">
        <f>IF((AW99+AX99)=0,"", AW99/(AW99+AX99))</f>
        <v/>
      </c>
      <c r="AZ99" s="67">
        <f>COUNTIF('Detailed Attendance'!DN100:DN100, "P")+COUNTIF('Detailed Attendance'!DR100:DR100, "P")+COUNTIF('Detailed Attendance'!EK100:EK100, "P")+COUNTIF('Detailed Attendance'!EO100:EO100, "P")+COUNTIF('Detailed Attendance'!FE100:FE100, "P")+COUNTIF('Detailed Attendance'!FI100:FI100, "P")+COUNTIF('Detailed Attendance'!FU100:FU100, "P")+COUNTIF('Detailed Attendance'!FY100:FY100, "P")</f>
        <v/>
      </c>
      <c r="BA99" s="67">
        <f>COUNTIF('Detailed Attendance'!DN100:DN100, "A")+COUNTIF('Detailed Attendance'!DR100:DR100, "A")+COUNTIF('Detailed Attendance'!EK100:EK100, "A")+COUNTIF('Detailed Attendance'!EO100:EO100, "A")+COUNTIF('Detailed Attendance'!FE100:FE100, "A")+COUNTIF('Detailed Attendance'!FI100:FI100, "A")+COUNTIF('Detailed Attendance'!FU100:FU100, "A")+COUNTIF('Detailed Attendance'!FY100:FY100, "A")</f>
        <v/>
      </c>
      <c r="BB99" s="68">
        <f>IF((AZ99+BA99)=0,"", AZ99/(AZ99+BA99))</f>
        <v/>
      </c>
      <c r="BC99" s="67">
        <f>COUNTIF('Detailed Attendance'!DC100:DC100, "P")+COUNTIF('Detailed Attendance'!DV100:DV100, "P")+COUNTIF('Detailed Attendance'!DZ100:DZ100, "P")+COUNTIF('Detailed Attendance'!ES100:ES100, "P")+COUNTIF('Detailed Attendance'!GC100:GC100, "P")+COUNTIF('Detailed Attendance'!GG100:GG100, "P")</f>
        <v/>
      </c>
      <c r="BD99" s="67">
        <f>COUNTIF('Detailed Attendance'!DC100:DC100, "A")+COUNTIF('Detailed Attendance'!DV100:DV100, "A")+COUNTIF('Detailed Attendance'!DZ100:DZ100, "A")+COUNTIF('Detailed Attendance'!ES100:ES100, "A")+COUNTIF('Detailed Attendance'!GC100:GC100, "A")+COUNTIF('Detailed Attendance'!GG100:GG100, "A")</f>
        <v/>
      </c>
      <c r="BE99" s="68">
        <f>IF((BC99+BD99)=0,"", BC99/(BC99+BD99))</f>
        <v/>
      </c>
      <c r="BF99" s="67">
        <f>COUNTIF('Detailed Attendance'!DO100:DO100, "P")+COUNTIF('Detailed Attendance'!DW100:DW100, "P")+COUNTIF('Detailed Attendance'!EL100:EL100, "P")+COUNTIF('Detailed Attendance'!ET100:ET100, "P")+COUNTIF('Detailed Attendance'!FF100:FF100, "P")+COUNTIF('Detailed Attendance'!FV100:FV100, "P")+COUNTIF('Detailed Attendance'!GD100:GD100, "P")</f>
        <v/>
      </c>
      <c r="BG99" s="67">
        <f>COUNTIF('Detailed Attendance'!DO100:DO100, "A")+COUNTIF('Detailed Attendance'!DW100:DW100, "A")+COUNTIF('Detailed Attendance'!EL100:EL100, "A")+COUNTIF('Detailed Attendance'!ET100:ET100, "A")+COUNTIF('Detailed Attendance'!FF100:FF100, "A")+COUNTIF('Detailed Attendance'!FV100:FV100, "A")+COUNTIF('Detailed Attendance'!GD100:GD100, "A")</f>
        <v/>
      </c>
      <c r="BH99" s="68">
        <f>IF((BF99+BG99)=0,"", BF99/(BF99+BG99))</f>
        <v/>
      </c>
      <c r="BI99" s="67">
        <f>AT99+AW99+AZ99+BC99+BF99</f>
        <v/>
      </c>
      <c r="BJ99" s="67">
        <f>AU99+AX99+BA99+BD99+BG99</f>
        <v/>
      </c>
      <c r="BK99" s="68">
        <f>IF((BI99+BJ99)=0,"", BI99/(BI99+BJ99))</f>
        <v/>
      </c>
      <c r="BL99" s="69">
        <f>COUNTIF('Detailed Attendance'!DE100:DE100, "P")+COUNTIF('Detailed Attendance'!EB100:EB100, "P")+COUNTIF('Detailed Attendance'!GI100:GI100, "P")+COUNTIF('Detailed Attendance'!DG100:DG100, "P")+COUNTIF('Detailed Attendance'!ED100:ED100, "P")+COUNTIF('Detailed Attendance'!EX100:EX100, "P")+COUNTIF('Detailed Attendance'!FN100:FN100, "P")+COUNTIF('Detailed Attendance'!DJ100:DJ100, "P")+COUNTIF('Detailed Attendance'!EG100:EG100, "P")+COUNTIF('Detailed Attendance'!FA100:FA100, "P")+COUNTIF('Detailed Attendance'!FQ100:FQ100, "P")</f>
        <v/>
      </c>
      <c r="BM99" s="69">
        <f>COUNTIF('Detailed Attendance'!DE100:DE100, "A")+COUNTIF('Detailed Attendance'!EB100:EB100, "A")+COUNTIF('Detailed Attendance'!GI100:GI100, "A")+COUNTIF('Detailed Attendance'!DG100:DG100, "A")+COUNTIF('Detailed Attendance'!ED100:ED100, "A")+COUNTIF('Detailed Attendance'!EX100:EX100, "A")+COUNTIF('Detailed Attendance'!FN100:FN100, "A")+COUNTIF('Detailed Attendance'!DJ100:DJ100, "A")+COUNTIF('Detailed Attendance'!EG100:EG100, "A")+COUNTIF('Detailed Attendance'!FA100:FA100, "A")+COUNTIF('Detailed Attendance'!FQ100:FQ100, "A")</f>
        <v/>
      </c>
      <c r="BN99" s="70">
        <f>IF((BL99+BM99)=0,"", BL99/(BL99+BM99))</f>
        <v/>
      </c>
      <c r="BO99" s="67">
        <f>D99+Y99+AT99</f>
        <v/>
      </c>
      <c r="BP99" s="67">
        <f>E99+Z99+AU99</f>
        <v/>
      </c>
      <c r="BQ99" s="68">
        <f>IF((BO99+BP99)=0,"", BO99/(BO99+BP99))</f>
        <v/>
      </c>
      <c r="BR99" s="67">
        <f>G99+AB99+AW99</f>
        <v/>
      </c>
      <c r="BS99" s="67">
        <f>H99+AC99+AX99</f>
        <v/>
      </c>
      <c r="BT99" s="68">
        <f>IF((BR99+BS99)=0,"", BR99/(BR99+BS99))</f>
        <v/>
      </c>
      <c r="BU99" s="67">
        <f>J99+AE99+AZ99</f>
        <v/>
      </c>
      <c r="BV99" s="67">
        <f>K99+AF99+BA99</f>
        <v/>
      </c>
      <c r="BW99" s="68">
        <f>IF((BU99+BV99)=0,"", BU99/(BU99+BV99))</f>
        <v/>
      </c>
      <c r="BX99" s="67">
        <f>M99+AH99+BC99</f>
        <v/>
      </c>
      <c r="BY99" s="67">
        <f>N99+AI99+BD99</f>
        <v/>
      </c>
      <c r="BZ99" s="68">
        <f>IF((BX99+BY99)=0,"", BX99/(BX99+BY99))</f>
        <v/>
      </c>
      <c r="CA99" s="67">
        <f>P99+AK99+BF99</f>
        <v/>
      </c>
      <c r="CB99" s="67">
        <f>Q99+AL99+BG99</f>
        <v/>
      </c>
      <c r="CC99" s="68">
        <f>IF((CA99+CB99)=0,"", CA99/(CA99+CB99))</f>
        <v/>
      </c>
      <c r="CD99" s="67">
        <f>S99+AN99+BI99</f>
        <v/>
      </c>
      <c r="CE99" s="67">
        <f>T99+AO99+BJ99</f>
        <v/>
      </c>
      <c r="CF99" s="68">
        <f>IF((CD99+CE99)=0,"", CD99/(CD99+CE99))</f>
        <v/>
      </c>
      <c r="CG99" s="69">
        <f>V99+AQ99+BL99</f>
        <v/>
      </c>
      <c r="CH99" s="69">
        <f>W99+AR99+BM99</f>
        <v/>
      </c>
      <c r="CI99" s="70">
        <f>IF((CG99+CH99)=0,"", CG99/(CG99+CH99))</f>
        <v/>
      </c>
      <c r="CJ99" s="67">
        <f>CD99+(CG99*2)</f>
        <v/>
      </c>
      <c r="CK99" s="67">
        <f>CE99+(CH99*2)</f>
        <v/>
      </c>
      <c r="CL99" s="68">
        <f>IF((CJ99+CK99)=0,"", CJ99/(CJ99+CK99))</f>
        <v/>
      </c>
      <c r="CM99" s="67" t="inlineStr">
        <is>
          <t>Batch 3</t>
        </is>
      </c>
    </row>
    <row r="100" ht="14.25" customHeight="1" s="34">
      <c r="A100" s="46" t="n">
        <v>98</v>
      </c>
      <c r="B100" s="46" t="inlineStr">
        <is>
          <t>325106410098</t>
        </is>
      </c>
      <c r="C100" s="46" t="inlineStr">
        <is>
          <t>OMAR TAMOU EL HABIB ANFANE</t>
        </is>
      </c>
      <c r="D100" s="63" t="n">
        <v>0</v>
      </c>
      <c r="E100" s="63" t="n">
        <v>0</v>
      </c>
      <c r="F100" s="64">
        <f>IF((D100+E100)=0,"", D100/(D100+E100))</f>
        <v/>
      </c>
      <c r="G100" s="63">
        <f>COUNTIF('Detailed Attendance'!I101:I101, "P")</f>
        <v/>
      </c>
      <c r="H100" s="63">
        <f>COUNTIF('Detailed Attendance'!I101:I101, "A")</f>
        <v/>
      </c>
      <c r="I100" s="64">
        <f>IF((G100+H100)=0,"", G100/(G100+H100))</f>
        <v/>
      </c>
      <c r="J100" s="63" t="n">
        <v>0</v>
      </c>
      <c r="K100" s="63" t="n">
        <v>0</v>
      </c>
      <c r="L100" s="64">
        <f>IF((J100+K100)=0,"", J100/(J100+K100))</f>
        <v/>
      </c>
      <c r="M100" s="63">
        <f>COUNTIF('Detailed Attendance'!D101:D101, "P")</f>
        <v/>
      </c>
      <c r="N100" s="63">
        <f>COUNTIF('Detailed Attendance'!D101:D101, "A")</f>
        <v/>
      </c>
      <c r="O100" s="64">
        <f>IF((M100+N100)=0,"", M100/(M100+N100))</f>
        <v/>
      </c>
      <c r="P100" s="63" t="n">
        <v>0</v>
      </c>
      <c r="Q100" s="63" t="n">
        <v>0</v>
      </c>
      <c r="R100" s="64">
        <f>IF((P100+Q100)=0,"", P100/(P100+Q100))</f>
        <v/>
      </c>
      <c r="S100" s="63">
        <f>D100+G100+J100+M100+P100</f>
        <v/>
      </c>
      <c r="T100" s="63">
        <f>E100+H100+K100+N100+Q100</f>
        <v/>
      </c>
      <c r="U100" s="64">
        <f>IF((S100+T100)=0,"", S100/(S100+T100))</f>
        <v/>
      </c>
      <c r="V100" s="65">
        <f>COUNTIF('Detailed Attendance'!E101:E101, "P")+COUNTIF('Detailed Attendance'!H101:H101, "P")</f>
        <v/>
      </c>
      <c r="W100" s="65">
        <f>COUNTIF('Detailed Attendance'!E101:E101, "A")+COUNTIF('Detailed Attendance'!H101:H101, "A")</f>
        <v/>
      </c>
      <c r="X100" s="66">
        <f>IF((V100+W100)=0,"", V100/(V100+W100))</f>
        <v/>
      </c>
      <c r="Y100" s="63">
        <f>COUNTIF('Detailed Attendance'!R101:R101, "P")+COUNTIF('Detailed Attendance'!X101:X101, "P")+COUNTIF('Detailed Attendance'!AL101:AL101, "P")+COUNTIF('Detailed Attendance'!BF101:BF101, "P")+COUNTIF('Detailed Attendance'!BL101:BL101, "P")+COUNTIF('Detailed Attendance'!BZ101:BZ101, "P")+COUNTIF('Detailed Attendance'!CI101:CI101, "P")+COUNTIF('Detailed Attendance'!CW101:CW101, "P")</f>
        <v/>
      </c>
      <c r="Z100" s="63">
        <f>COUNTIF('Detailed Attendance'!R101:R101, "A")+COUNTIF('Detailed Attendance'!X101:X101, "A")+COUNTIF('Detailed Attendance'!AL101:AL101, "A")+COUNTIF('Detailed Attendance'!BF101:BF101, "A")+COUNTIF('Detailed Attendance'!BL101:BL101, "A")+COUNTIF('Detailed Attendance'!BZ101:BZ101, "A")+COUNTIF('Detailed Attendance'!CI101:CI101, "A")+COUNTIF('Detailed Attendance'!CW101:CW101, "A")</f>
        <v/>
      </c>
      <c r="AA100" s="64">
        <f>IF((Y100+Z100)=0,"", Y100/(Y100+Z100))</f>
        <v/>
      </c>
      <c r="AB100" s="63">
        <f>COUNTIF('Detailed Attendance'!Q101:Q101, "P")+COUNTIF('Detailed Attendance'!AC101:AC101, "P")+COUNTIF('Detailed Attendance'!AK101:AK101, "P")+COUNTIF('Detailed Attendance'!AW101:AW101, "P")+COUNTIF('Detailed Attendance'!BE101:BE101, "P")+COUNTIF('Detailed Attendance'!BQ101:BQ101, "P")+COUNTIF('Detailed Attendance'!BY101:BY101, "P")+COUNTIF('Detailed Attendance'!CN101:CN101, "P")+COUNTIF('Detailed Attendance'!CV101:CV101, "P")</f>
        <v/>
      </c>
      <c r="AC100" s="63">
        <f>COUNTIF('Detailed Attendance'!Q101:Q101, "A")+COUNTIF('Detailed Attendance'!AC101:AC101, "A")+COUNTIF('Detailed Attendance'!AK101:AK101, "A")+COUNTIF('Detailed Attendance'!AW101:AW101, "A")+COUNTIF('Detailed Attendance'!BE101:BE101, "A")+COUNTIF('Detailed Attendance'!BQ101:BQ101, "A")+COUNTIF('Detailed Attendance'!BY101:BY101, "A")+COUNTIF('Detailed Attendance'!CN101:CN101, "A")+COUNTIF('Detailed Attendance'!CV101:CV101, "A")</f>
        <v/>
      </c>
      <c r="AD100" s="64">
        <f>IF((AB100+AC100)=0,"", AB100/(AB100+AC100))</f>
        <v/>
      </c>
      <c r="AE100" s="63">
        <f>COUNTIF('Detailed Attendance'!L101:L101, "P")+COUNTIF('Detailed Attendance'!P101:P101, "P")+COUNTIF('Detailed Attendance'!AF101:AF101, "P")+COUNTIF('Detailed Attendance'!AJ101:AJ101, "P")+COUNTIF('Detailed Attendance'!AZ101:AZ101, "P")+COUNTIF('Detailed Attendance'!BD101:BD101, "P")+COUNTIF('Detailed Attendance'!BT101:BT101, "P")+COUNTIF('Detailed Attendance'!BX101:BX101, "P")+COUNTIF('Detailed Attendance'!CQ101:CQ101, "P")+COUNTIF('Detailed Attendance'!CU101:CU101, "P")</f>
        <v/>
      </c>
      <c r="AF100" s="67">
        <f>COUNTIF('Detailed Attendance'!L101:L101, "A")+COUNTIF('Detailed Attendance'!P101:P101, "A")+COUNTIF('Detailed Attendance'!AF101:AF101, "A")+COUNTIF('Detailed Attendance'!AJ101:AJ101, "A")+COUNTIF('Detailed Attendance'!AZ101:AZ101, "A")+COUNTIF('Detailed Attendance'!BD101:BD101, "A")+COUNTIF('Detailed Attendance'!BT101:BT101, "A")+COUNTIF('Detailed Attendance'!BX101:BX101, "A")+COUNTIF('Detailed Attendance'!CQ101:CQ101, "A")+COUNTIF('Detailed Attendance'!CU101:CU101, "A")</f>
        <v/>
      </c>
      <c r="AG100" s="68">
        <f>IF((AE100+AF100)=0,"", AE100/(AE100+AF100))</f>
        <v/>
      </c>
      <c r="AH100" s="67">
        <f>COUNTIF('Detailed Attendance'!T101:T101, "P")+COUNTIF('Detailed Attendance'!AN101:AN101, "P")+COUNTIF('Detailed Attendance'!AR101:AR101, "P")+COUNTIF('Detailed Attendance'!BH101:BH101, "P")+COUNTIF('Detailed Attendance'!CB101:CB101, "P")+COUNTIF('Detailed Attendance'!CF101:CF101, "P")+COUNTIF('Detailed Attendance'!CY101:CY101, "P")</f>
        <v/>
      </c>
      <c r="AI100" s="67">
        <f>COUNTIF('Detailed Attendance'!T101:T101, "A")+COUNTIF('Detailed Attendance'!AN101:AN101, "A")+COUNTIF('Detailed Attendance'!AR101:AR101, "A")+COUNTIF('Detailed Attendance'!BH101:BH101, "A")+COUNTIF('Detailed Attendance'!CB101:CB101, "A")+COUNTIF('Detailed Attendance'!CF101:CF101, "A")+COUNTIF('Detailed Attendance'!CY101:CY101, "A")</f>
        <v/>
      </c>
      <c r="AJ100" s="68">
        <f>IF((AH100+AI100)=0,"", AH100/(AH100+AI100))</f>
        <v/>
      </c>
      <c r="AK100" s="67">
        <f>COUNTIF('Detailed Attendance'!M101:M101, "P")+COUNTIF('Detailed Attendance'!U101:U101, "P")+COUNTIF('Detailed Attendance'!AG101:AG101, "P")+COUNTIF('Detailed Attendance'!AO101:AO101, "P")+COUNTIF('Detailed Attendance'!BA101:BA101, "P")+COUNTIF('Detailed Attendance'!BI101:BI101, "P")+COUNTIF('Detailed Attendance'!BU101:BU101, "P")+COUNTIF('Detailed Attendance'!CC101:CC101, "P")+COUNTIF('Detailed Attendance'!CR101:CR101, "P")+COUNTIF('Detailed Attendance'!CZ101:CZ101, "P")</f>
        <v/>
      </c>
      <c r="AL100" s="67">
        <f>COUNTIF('Detailed Attendance'!M101:M101, "A")+COUNTIF('Detailed Attendance'!U101:U101, "A")+COUNTIF('Detailed Attendance'!AG101:AG101, "A")+COUNTIF('Detailed Attendance'!AO101:AO101, "A")+COUNTIF('Detailed Attendance'!BA101:BA101, "A")+COUNTIF('Detailed Attendance'!BI101:BI101, "A")+COUNTIF('Detailed Attendance'!BU101:BU101, "A")+COUNTIF('Detailed Attendance'!CC101:CC101, "A")+COUNTIF('Detailed Attendance'!CR101:CR101, "A")+COUNTIF('Detailed Attendance'!CZ101:CZ101, "A")</f>
        <v/>
      </c>
      <c r="AM100" s="68">
        <f>IF((AK100+AL100)=0,"", AK100/(AK100+AL100))</f>
        <v/>
      </c>
      <c r="AN100" s="67">
        <f>Y100+AB100+AE100+AH100+AK100</f>
        <v/>
      </c>
      <c r="AO100" s="67">
        <f>Z100+AC100+AF100+AI100+AL100</f>
        <v/>
      </c>
      <c r="AP100" s="68">
        <f>IF((AN100+AO100)=0,"", AN100/(AN100+AO100))</f>
        <v/>
      </c>
      <c r="AQ100" s="69">
        <f>COUNTIF('Detailed Attendance'!CH101:CH101, "P")+COUNTIF('Detailed Attendance'!Y101:Y101, "P")+COUNTIF('Detailed Attendance'!AS101:AS101, "P")+COUNTIF('Detailed Attendance'!BM101:BM101, "P")+COUNTIF('Detailed Attendance'!CJ101:CJ101, "P")+COUNTIF('Detailed Attendance'!AB101:AB101, "P")+COUNTIF('Detailed Attendance'!AV101:AV101, "P")+COUNTIF('Detailed Attendance'!BP101:BP101, "P")+COUNTIF('Detailed Attendance'!CM101:CM101, "P")</f>
        <v/>
      </c>
      <c r="AR100" s="69">
        <f>COUNTIF('Detailed Attendance'!CH101:CH101, "A")+COUNTIF('Detailed Attendance'!Y101:Y101, "A")+COUNTIF('Detailed Attendance'!AS101:AS101, "A")+COUNTIF('Detailed Attendance'!BM101:BM101, "A")+COUNTIF('Detailed Attendance'!CJ101:CJ101, "A")+COUNTIF('Detailed Attendance'!AB101:AB101, "A")+COUNTIF('Detailed Attendance'!AV101:AV101, "A")+COUNTIF('Detailed Attendance'!BP101:BP101, "A")+COUNTIF('Detailed Attendance'!CM101:CM101, "A")</f>
        <v/>
      </c>
      <c r="AS100" s="70">
        <f>IF((AQ100+AR100)=0,"", AQ100/(AQ100+AR100))</f>
        <v/>
      </c>
      <c r="AT100" s="67">
        <f>COUNTIF('Detailed Attendance'!DF101:DF101, "P")+COUNTIF('Detailed Attendance'!DT101:DT101, "P")+COUNTIF('Detailed Attendance'!EC101:EC101, "P")+COUNTIF('Detailed Attendance'!EQ101:EQ101, "P")+COUNTIF('Detailed Attendance'!EW101:EW101, "P")+COUNTIF('Detailed Attendance'!FK101:FK101, "P")+COUNTIF('Detailed Attendance'!FM101:FM101, "P")+COUNTIF('Detailed Attendance'!GA101:GA101, "P")</f>
        <v/>
      </c>
      <c r="AU100" s="67">
        <f>COUNTIF('Detailed Attendance'!DF101:DF101, "A")+COUNTIF('Detailed Attendance'!DT101:DT101, "A")+COUNTIF('Detailed Attendance'!EC101:EC101, "A")+COUNTIF('Detailed Attendance'!EQ101:EQ101, "A")+COUNTIF('Detailed Attendance'!EW101:EW101, "A")+COUNTIF('Detailed Attendance'!FK101:FK101, "A")+COUNTIF('Detailed Attendance'!FM101:FM101, "A")+COUNTIF('Detailed Attendance'!GA101:GA101, "A")</f>
        <v/>
      </c>
      <c r="AV100" s="68">
        <f>IF((AT100+AU100)=0,"", AT100/(AT100+AU100))</f>
        <v/>
      </c>
      <c r="AW100" s="67">
        <f>COUNTIF('Detailed Attendance'!DK101:DK101, "P")+COUNTIF('Detailed Attendance'!DS101:DS101, "P")+COUNTIF('Detailed Attendance'!EH101:EH101, "P")+COUNTIF('Detailed Attendance'!EP101:EP101, "P")+COUNTIF('Detailed Attendance'!FB101:FB101, "P")+COUNTIF('Detailed Attendance'!FJ101:FJ101, "P")+COUNTIF('Detailed Attendance'!FR101:FR101, "P")+COUNTIF('Detailed Attendance'!FZ101:FZ101, "P")</f>
        <v/>
      </c>
      <c r="AX100" s="67">
        <f>COUNTIF('Detailed Attendance'!DK101:DK101, "A")+COUNTIF('Detailed Attendance'!DS101:DS101, "A")+COUNTIF('Detailed Attendance'!EH101:EH101, "A")+COUNTIF('Detailed Attendance'!EP101:EP101, "A")+COUNTIF('Detailed Attendance'!FB101:FB101, "A")+COUNTIF('Detailed Attendance'!FJ101:FJ101, "A")+COUNTIF('Detailed Attendance'!FR101:FR101, "A")+COUNTIF('Detailed Attendance'!FZ101:FZ101, "A")</f>
        <v/>
      </c>
      <c r="AY100" s="68">
        <f>IF((AW100+AX100)=0,"", AW100/(AW100+AX100))</f>
        <v/>
      </c>
      <c r="AZ100" s="67">
        <f>COUNTIF('Detailed Attendance'!DN101:DN101, "P")+COUNTIF('Detailed Attendance'!DR101:DR101, "P")+COUNTIF('Detailed Attendance'!EK101:EK101, "P")+COUNTIF('Detailed Attendance'!EO101:EO101, "P")+COUNTIF('Detailed Attendance'!FE101:FE101, "P")+COUNTIF('Detailed Attendance'!FI101:FI101, "P")+COUNTIF('Detailed Attendance'!FU101:FU101, "P")+COUNTIF('Detailed Attendance'!FY101:FY101, "P")</f>
        <v/>
      </c>
      <c r="BA100" s="67">
        <f>COUNTIF('Detailed Attendance'!DN101:DN101, "A")+COUNTIF('Detailed Attendance'!DR101:DR101, "A")+COUNTIF('Detailed Attendance'!EK101:EK101, "A")+COUNTIF('Detailed Attendance'!EO101:EO101, "A")+COUNTIF('Detailed Attendance'!FE101:FE101, "A")+COUNTIF('Detailed Attendance'!FI101:FI101, "A")+COUNTIF('Detailed Attendance'!FU101:FU101, "A")+COUNTIF('Detailed Attendance'!FY101:FY101, "A")</f>
        <v/>
      </c>
      <c r="BB100" s="68">
        <f>IF((AZ100+BA100)=0,"", AZ100/(AZ100+BA100))</f>
        <v/>
      </c>
      <c r="BC100" s="67">
        <f>COUNTIF('Detailed Attendance'!DC101:DC101, "P")+COUNTIF('Detailed Attendance'!DV101:DV101, "P")+COUNTIF('Detailed Attendance'!DZ101:DZ101, "P")+COUNTIF('Detailed Attendance'!ES101:ES101, "P")+COUNTIF('Detailed Attendance'!GC101:GC101, "P")+COUNTIF('Detailed Attendance'!GG101:GG101, "P")</f>
        <v/>
      </c>
      <c r="BD100" s="67">
        <f>COUNTIF('Detailed Attendance'!DC101:DC101, "A")+COUNTIF('Detailed Attendance'!DV101:DV101, "A")+COUNTIF('Detailed Attendance'!DZ101:DZ101, "A")+COUNTIF('Detailed Attendance'!ES101:ES101, "A")+COUNTIF('Detailed Attendance'!GC101:GC101, "A")+COUNTIF('Detailed Attendance'!GG101:GG101, "A")</f>
        <v/>
      </c>
      <c r="BE100" s="68">
        <f>IF((BC100+BD100)=0,"", BC100/(BC100+BD100))</f>
        <v/>
      </c>
      <c r="BF100" s="67">
        <f>COUNTIF('Detailed Attendance'!DO101:DO101, "P")+COUNTIF('Detailed Attendance'!DW101:DW101, "P")+COUNTIF('Detailed Attendance'!EL101:EL101, "P")+COUNTIF('Detailed Attendance'!ET101:ET101, "P")+COUNTIF('Detailed Attendance'!FF101:FF101, "P")+COUNTIF('Detailed Attendance'!FV101:FV101, "P")+COUNTIF('Detailed Attendance'!GD101:GD101, "P")</f>
        <v/>
      </c>
      <c r="BG100" s="67">
        <f>COUNTIF('Detailed Attendance'!DO101:DO101, "A")+COUNTIF('Detailed Attendance'!DW101:DW101, "A")+COUNTIF('Detailed Attendance'!EL101:EL101, "A")+COUNTIF('Detailed Attendance'!ET101:ET101, "A")+COUNTIF('Detailed Attendance'!FF101:FF101, "A")+COUNTIF('Detailed Attendance'!FV101:FV101, "A")+COUNTIF('Detailed Attendance'!GD101:GD101, "A")</f>
        <v/>
      </c>
      <c r="BH100" s="68">
        <f>IF((BF100+BG100)=0,"", BF100/(BF100+BG100))</f>
        <v/>
      </c>
      <c r="BI100" s="67">
        <f>AT100+AW100+AZ100+BC100+BF100</f>
        <v/>
      </c>
      <c r="BJ100" s="67">
        <f>AU100+AX100+BA100+BD100+BG100</f>
        <v/>
      </c>
      <c r="BK100" s="68">
        <f>IF((BI100+BJ100)=0,"", BI100/(BI100+BJ100))</f>
        <v/>
      </c>
      <c r="BL100" s="69">
        <f>COUNTIF('Detailed Attendance'!DE101:DE101, "P")+COUNTIF('Detailed Attendance'!EB101:EB101, "P")+COUNTIF('Detailed Attendance'!GI101:GI101, "P")+COUNTIF('Detailed Attendance'!DG101:DG101, "P")+COUNTIF('Detailed Attendance'!ED101:ED101, "P")+COUNTIF('Detailed Attendance'!EX101:EX101, "P")+COUNTIF('Detailed Attendance'!FN101:FN101, "P")+COUNTIF('Detailed Attendance'!DJ101:DJ101, "P")+COUNTIF('Detailed Attendance'!EG101:EG101, "P")+COUNTIF('Detailed Attendance'!FA101:FA101, "P")+COUNTIF('Detailed Attendance'!FQ101:FQ101, "P")</f>
        <v/>
      </c>
      <c r="BM100" s="69">
        <f>COUNTIF('Detailed Attendance'!DE101:DE101, "A")+COUNTIF('Detailed Attendance'!EB101:EB101, "A")+COUNTIF('Detailed Attendance'!GI101:GI101, "A")+COUNTIF('Detailed Attendance'!DG101:DG101, "A")+COUNTIF('Detailed Attendance'!ED101:ED101, "A")+COUNTIF('Detailed Attendance'!EX101:EX101, "A")+COUNTIF('Detailed Attendance'!FN101:FN101, "A")+COUNTIF('Detailed Attendance'!DJ101:DJ101, "A")+COUNTIF('Detailed Attendance'!EG101:EG101, "A")+COUNTIF('Detailed Attendance'!FA101:FA101, "A")+COUNTIF('Detailed Attendance'!FQ101:FQ101, "A")</f>
        <v/>
      </c>
      <c r="BN100" s="70">
        <f>IF((BL100+BM100)=0,"", BL100/(BL100+BM100))</f>
        <v/>
      </c>
      <c r="BO100" s="67">
        <f>D100+Y100+AT100</f>
        <v/>
      </c>
      <c r="BP100" s="67">
        <f>E100+Z100+AU100</f>
        <v/>
      </c>
      <c r="BQ100" s="68">
        <f>IF((BO100+BP100)=0,"", BO100/(BO100+BP100))</f>
        <v/>
      </c>
      <c r="BR100" s="67">
        <f>G100+AB100+AW100</f>
        <v/>
      </c>
      <c r="BS100" s="67">
        <f>H100+AC100+AX100</f>
        <v/>
      </c>
      <c r="BT100" s="68">
        <f>IF((BR100+BS100)=0,"", BR100/(BR100+BS100))</f>
        <v/>
      </c>
      <c r="BU100" s="67">
        <f>J100+AE100+AZ100</f>
        <v/>
      </c>
      <c r="BV100" s="67">
        <f>K100+AF100+BA100</f>
        <v/>
      </c>
      <c r="BW100" s="68">
        <f>IF((BU100+BV100)=0,"", BU100/(BU100+BV100))</f>
        <v/>
      </c>
      <c r="BX100" s="67">
        <f>M100+AH100+BC100</f>
        <v/>
      </c>
      <c r="BY100" s="67">
        <f>N100+AI100+BD100</f>
        <v/>
      </c>
      <c r="BZ100" s="68">
        <f>IF((BX100+BY100)=0,"", BX100/(BX100+BY100))</f>
        <v/>
      </c>
      <c r="CA100" s="67">
        <f>P100+AK100+BF100</f>
        <v/>
      </c>
      <c r="CB100" s="67">
        <f>Q100+AL100+BG100</f>
        <v/>
      </c>
      <c r="CC100" s="68">
        <f>IF((CA100+CB100)=0,"", CA100/(CA100+CB100))</f>
        <v/>
      </c>
      <c r="CD100" s="67">
        <f>S100+AN100+BI100</f>
        <v/>
      </c>
      <c r="CE100" s="67">
        <f>T100+AO100+BJ100</f>
        <v/>
      </c>
      <c r="CF100" s="68">
        <f>IF((CD100+CE100)=0,"", CD100/(CD100+CE100))</f>
        <v/>
      </c>
      <c r="CG100" s="69">
        <f>V100+AQ100+BL100</f>
        <v/>
      </c>
      <c r="CH100" s="69">
        <f>W100+AR100+BM100</f>
        <v/>
      </c>
      <c r="CI100" s="70">
        <f>IF((CG100+CH100)=0,"", CG100/(CG100+CH100))</f>
        <v/>
      </c>
      <c r="CJ100" s="67">
        <f>CD100+(CG100*2)</f>
        <v/>
      </c>
      <c r="CK100" s="67">
        <f>CE100+(CH100*2)</f>
        <v/>
      </c>
      <c r="CL100" s="68">
        <f>IF((CJ100+CK100)=0,"", CJ100/(CJ100+CK100))</f>
        <v/>
      </c>
      <c r="CM100" s="67" t="inlineStr">
        <is>
          <t>Batch 3</t>
        </is>
      </c>
    </row>
    <row r="101" ht="14.25" customHeight="1" s="34">
      <c r="A101" s="46" t="n">
        <v>99</v>
      </c>
      <c r="B101" s="46" t="inlineStr">
        <is>
          <t>325106410099</t>
        </is>
      </c>
      <c r="C101" s="46" t="inlineStr">
        <is>
          <t>OSCAR MANSIAMINA JUNIOR</t>
        </is>
      </c>
      <c r="D101" s="63" t="n">
        <v>0</v>
      </c>
      <c r="E101" s="63" t="n">
        <v>0</v>
      </c>
      <c r="F101" s="64">
        <f>IF((D101+E101)=0,"", D101/(D101+E101))</f>
        <v/>
      </c>
      <c r="G101" s="63">
        <f>COUNTIF('Detailed Attendance'!I102:I102, "P")</f>
        <v/>
      </c>
      <c r="H101" s="63">
        <f>COUNTIF('Detailed Attendance'!I102:I102, "A")</f>
        <v/>
      </c>
      <c r="I101" s="64">
        <f>IF((G101+H101)=0,"", G101/(G101+H101))</f>
        <v/>
      </c>
      <c r="J101" s="63" t="n">
        <v>0</v>
      </c>
      <c r="K101" s="63" t="n">
        <v>0</v>
      </c>
      <c r="L101" s="64">
        <f>IF((J101+K101)=0,"", J101/(J101+K101))</f>
        <v/>
      </c>
      <c r="M101" s="63">
        <f>COUNTIF('Detailed Attendance'!D102:D102, "P")</f>
        <v/>
      </c>
      <c r="N101" s="63">
        <f>COUNTIF('Detailed Attendance'!D102:D102, "A")</f>
        <v/>
      </c>
      <c r="O101" s="64">
        <f>IF((M101+N101)=0,"", M101/(M101+N101))</f>
        <v/>
      </c>
      <c r="P101" s="63" t="n">
        <v>0</v>
      </c>
      <c r="Q101" s="63" t="n">
        <v>0</v>
      </c>
      <c r="R101" s="64">
        <f>IF((P101+Q101)=0,"", P101/(P101+Q101))</f>
        <v/>
      </c>
      <c r="S101" s="63">
        <f>D101+G101+J101+M101+P101</f>
        <v/>
      </c>
      <c r="T101" s="63">
        <f>E101+H101+K101+N101+Q101</f>
        <v/>
      </c>
      <c r="U101" s="64">
        <f>IF((S101+T101)=0,"", S101/(S101+T101))</f>
        <v/>
      </c>
      <c r="V101" s="65">
        <f>COUNTIF('Detailed Attendance'!E102:E102, "P")+COUNTIF('Detailed Attendance'!H102:H102, "P")</f>
        <v/>
      </c>
      <c r="W101" s="65">
        <f>COUNTIF('Detailed Attendance'!E102:E102, "A")+COUNTIF('Detailed Attendance'!H102:H102, "A")</f>
        <v/>
      </c>
      <c r="X101" s="66">
        <f>IF((V101+W101)=0,"", V101/(V101+W101))</f>
        <v/>
      </c>
      <c r="Y101" s="63">
        <f>COUNTIF('Detailed Attendance'!R102:R102, "P")+COUNTIF('Detailed Attendance'!X102:X102, "P")+COUNTIF('Detailed Attendance'!AL102:AL102, "P")+COUNTIF('Detailed Attendance'!BF102:BF102, "P")+COUNTIF('Detailed Attendance'!BL102:BL102, "P")+COUNTIF('Detailed Attendance'!BZ102:BZ102, "P")+COUNTIF('Detailed Attendance'!CI102:CI102, "P")+COUNTIF('Detailed Attendance'!CW102:CW102, "P")</f>
        <v/>
      </c>
      <c r="Z101" s="63">
        <f>COUNTIF('Detailed Attendance'!R102:R102, "A")+COUNTIF('Detailed Attendance'!X102:X102, "A")+COUNTIF('Detailed Attendance'!AL102:AL102, "A")+COUNTIF('Detailed Attendance'!BF102:BF102, "A")+COUNTIF('Detailed Attendance'!BL102:BL102, "A")+COUNTIF('Detailed Attendance'!BZ102:BZ102, "A")+COUNTIF('Detailed Attendance'!CI102:CI102, "A")+COUNTIF('Detailed Attendance'!CW102:CW102, "A")</f>
        <v/>
      </c>
      <c r="AA101" s="64">
        <f>IF((Y101+Z101)=0,"", Y101/(Y101+Z101))</f>
        <v/>
      </c>
      <c r="AB101" s="63">
        <f>COUNTIF('Detailed Attendance'!Q102:Q102, "P")+COUNTIF('Detailed Attendance'!AC102:AC102, "P")+COUNTIF('Detailed Attendance'!AK102:AK102, "P")+COUNTIF('Detailed Attendance'!AW102:AW102, "P")+COUNTIF('Detailed Attendance'!BE102:BE102, "P")+COUNTIF('Detailed Attendance'!BQ102:BQ102, "P")+COUNTIF('Detailed Attendance'!BY102:BY102, "P")+COUNTIF('Detailed Attendance'!CN102:CN102, "P")+COUNTIF('Detailed Attendance'!CV102:CV102, "P")</f>
        <v/>
      </c>
      <c r="AC101" s="63">
        <f>COUNTIF('Detailed Attendance'!Q102:Q102, "A")+COUNTIF('Detailed Attendance'!AC102:AC102, "A")+COUNTIF('Detailed Attendance'!AK102:AK102, "A")+COUNTIF('Detailed Attendance'!AW102:AW102, "A")+COUNTIF('Detailed Attendance'!BE102:BE102, "A")+COUNTIF('Detailed Attendance'!BQ102:BQ102, "A")+COUNTIF('Detailed Attendance'!BY102:BY102, "A")+COUNTIF('Detailed Attendance'!CN102:CN102, "A")+COUNTIF('Detailed Attendance'!CV102:CV102, "A")</f>
        <v/>
      </c>
      <c r="AD101" s="64">
        <f>IF((AB101+AC101)=0,"", AB101/(AB101+AC101))</f>
        <v/>
      </c>
      <c r="AE101" s="63">
        <f>COUNTIF('Detailed Attendance'!L102:L102, "P")+COUNTIF('Detailed Attendance'!P102:P102, "P")+COUNTIF('Detailed Attendance'!AF102:AF102, "P")+COUNTIF('Detailed Attendance'!AJ102:AJ102, "P")+COUNTIF('Detailed Attendance'!AZ102:AZ102, "P")+COUNTIF('Detailed Attendance'!BD102:BD102, "P")+COUNTIF('Detailed Attendance'!BT102:BT102, "P")+COUNTIF('Detailed Attendance'!BX102:BX102, "P")+COUNTIF('Detailed Attendance'!CQ102:CQ102, "P")+COUNTIF('Detailed Attendance'!CU102:CU102, "P")</f>
        <v/>
      </c>
      <c r="AF101" s="67">
        <f>COUNTIF('Detailed Attendance'!L102:L102, "A")+COUNTIF('Detailed Attendance'!P102:P102, "A")+COUNTIF('Detailed Attendance'!AF102:AF102, "A")+COUNTIF('Detailed Attendance'!AJ102:AJ102, "A")+COUNTIF('Detailed Attendance'!AZ102:AZ102, "A")+COUNTIF('Detailed Attendance'!BD102:BD102, "A")+COUNTIF('Detailed Attendance'!BT102:BT102, "A")+COUNTIF('Detailed Attendance'!BX102:BX102, "A")+COUNTIF('Detailed Attendance'!CQ102:CQ102, "A")+COUNTIF('Detailed Attendance'!CU102:CU102, "A")</f>
        <v/>
      </c>
      <c r="AG101" s="68">
        <f>IF((AE101+AF101)=0,"", AE101/(AE101+AF101))</f>
        <v/>
      </c>
      <c r="AH101" s="67">
        <f>COUNTIF('Detailed Attendance'!T102:T102, "P")+COUNTIF('Detailed Attendance'!AN102:AN102, "P")+COUNTIF('Detailed Attendance'!AR102:AR102, "P")+COUNTIF('Detailed Attendance'!BH102:BH102, "P")+COUNTIF('Detailed Attendance'!CB102:CB102, "P")+COUNTIF('Detailed Attendance'!CF102:CF102, "P")+COUNTIF('Detailed Attendance'!CY102:CY102, "P")</f>
        <v/>
      </c>
      <c r="AI101" s="67">
        <f>COUNTIF('Detailed Attendance'!T102:T102, "A")+COUNTIF('Detailed Attendance'!AN102:AN102, "A")+COUNTIF('Detailed Attendance'!AR102:AR102, "A")+COUNTIF('Detailed Attendance'!BH102:BH102, "A")+COUNTIF('Detailed Attendance'!CB102:CB102, "A")+COUNTIF('Detailed Attendance'!CF102:CF102, "A")+COUNTIF('Detailed Attendance'!CY102:CY102, "A")</f>
        <v/>
      </c>
      <c r="AJ101" s="68">
        <f>IF((AH101+AI101)=0,"", AH101/(AH101+AI101))</f>
        <v/>
      </c>
      <c r="AK101" s="67">
        <f>COUNTIF('Detailed Attendance'!M102:M102, "P")+COUNTIF('Detailed Attendance'!U102:U102, "P")+COUNTIF('Detailed Attendance'!AG102:AG102, "P")+COUNTIF('Detailed Attendance'!AO102:AO102, "P")+COUNTIF('Detailed Attendance'!BA102:BA102, "P")+COUNTIF('Detailed Attendance'!BI102:BI102, "P")+COUNTIF('Detailed Attendance'!BU102:BU102, "P")+COUNTIF('Detailed Attendance'!CC102:CC102, "P")+COUNTIF('Detailed Attendance'!CR102:CR102, "P")+COUNTIF('Detailed Attendance'!CZ102:CZ102, "P")</f>
        <v/>
      </c>
      <c r="AL101" s="67">
        <f>COUNTIF('Detailed Attendance'!M102:M102, "A")+COUNTIF('Detailed Attendance'!U102:U102, "A")+COUNTIF('Detailed Attendance'!AG102:AG102, "A")+COUNTIF('Detailed Attendance'!AO102:AO102, "A")+COUNTIF('Detailed Attendance'!BA102:BA102, "A")+COUNTIF('Detailed Attendance'!BI102:BI102, "A")+COUNTIF('Detailed Attendance'!BU102:BU102, "A")+COUNTIF('Detailed Attendance'!CC102:CC102, "A")+COUNTIF('Detailed Attendance'!CR102:CR102, "A")+COUNTIF('Detailed Attendance'!CZ102:CZ102, "A")</f>
        <v/>
      </c>
      <c r="AM101" s="68">
        <f>IF((AK101+AL101)=0,"", AK101/(AK101+AL101))</f>
        <v/>
      </c>
      <c r="AN101" s="67">
        <f>Y101+AB101+AE101+AH101+AK101</f>
        <v/>
      </c>
      <c r="AO101" s="67">
        <f>Z101+AC101+AF101+AI101+AL101</f>
        <v/>
      </c>
      <c r="AP101" s="68">
        <f>IF((AN101+AO101)=0,"", AN101/(AN101+AO101))</f>
        <v/>
      </c>
      <c r="AQ101" s="69">
        <f>COUNTIF('Detailed Attendance'!CH102:CH102, "P")+COUNTIF('Detailed Attendance'!Y102:Y102, "P")+COUNTIF('Detailed Attendance'!AS102:AS102, "P")+COUNTIF('Detailed Attendance'!BM102:BM102, "P")+COUNTIF('Detailed Attendance'!CJ102:CJ102, "P")+COUNTIF('Detailed Attendance'!AB102:AB102, "P")+COUNTIF('Detailed Attendance'!AV102:AV102, "P")+COUNTIF('Detailed Attendance'!BP102:BP102, "P")+COUNTIF('Detailed Attendance'!CM102:CM102, "P")</f>
        <v/>
      </c>
      <c r="AR101" s="69">
        <f>COUNTIF('Detailed Attendance'!CH102:CH102, "A")+COUNTIF('Detailed Attendance'!Y102:Y102, "A")+COUNTIF('Detailed Attendance'!AS102:AS102, "A")+COUNTIF('Detailed Attendance'!BM102:BM102, "A")+COUNTIF('Detailed Attendance'!CJ102:CJ102, "A")+COUNTIF('Detailed Attendance'!AB102:AB102, "A")+COUNTIF('Detailed Attendance'!AV102:AV102, "A")+COUNTIF('Detailed Attendance'!BP102:BP102, "A")+COUNTIF('Detailed Attendance'!CM102:CM102, "A")</f>
        <v/>
      </c>
      <c r="AS101" s="70">
        <f>IF((AQ101+AR101)=0,"", AQ101/(AQ101+AR101))</f>
        <v/>
      </c>
      <c r="AT101" s="67">
        <f>COUNTIF('Detailed Attendance'!DF102:DF102, "P")+COUNTIF('Detailed Attendance'!DT102:DT102, "P")+COUNTIF('Detailed Attendance'!EC102:EC102, "P")+COUNTIF('Detailed Attendance'!EQ102:EQ102, "P")+COUNTIF('Detailed Attendance'!EW102:EW102, "P")+COUNTIF('Detailed Attendance'!FK102:FK102, "P")+COUNTIF('Detailed Attendance'!FM102:FM102, "P")+COUNTIF('Detailed Attendance'!GA102:GA102, "P")</f>
        <v/>
      </c>
      <c r="AU101" s="67">
        <f>COUNTIF('Detailed Attendance'!DF102:DF102, "A")+COUNTIF('Detailed Attendance'!DT102:DT102, "A")+COUNTIF('Detailed Attendance'!EC102:EC102, "A")+COUNTIF('Detailed Attendance'!EQ102:EQ102, "A")+COUNTIF('Detailed Attendance'!EW102:EW102, "A")+COUNTIF('Detailed Attendance'!FK102:FK102, "A")+COUNTIF('Detailed Attendance'!FM102:FM102, "A")+COUNTIF('Detailed Attendance'!GA102:GA102, "A")</f>
        <v/>
      </c>
      <c r="AV101" s="68">
        <f>IF((AT101+AU101)=0,"", AT101/(AT101+AU101))</f>
        <v/>
      </c>
      <c r="AW101" s="67">
        <f>COUNTIF('Detailed Attendance'!DK102:DK102, "P")+COUNTIF('Detailed Attendance'!DS102:DS102, "P")+COUNTIF('Detailed Attendance'!EH102:EH102, "P")+COUNTIF('Detailed Attendance'!EP102:EP102, "P")+COUNTIF('Detailed Attendance'!FB102:FB102, "P")+COUNTIF('Detailed Attendance'!FJ102:FJ102, "P")+COUNTIF('Detailed Attendance'!FR102:FR102, "P")+COUNTIF('Detailed Attendance'!FZ102:FZ102, "P")</f>
        <v/>
      </c>
      <c r="AX101" s="67">
        <f>COUNTIF('Detailed Attendance'!DK102:DK102, "A")+COUNTIF('Detailed Attendance'!DS102:DS102, "A")+COUNTIF('Detailed Attendance'!EH102:EH102, "A")+COUNTIF('Detailed Attendance'!EP102:EP102, "A")+COUNTIF('Detailed Attendance'!FB102:FB102, "A")+COUNTIF('Detailed Attendance'!FJ102:FJ102, "A")+COUNTIF('Detailed Attendance'!FR102:FR102, "A")+COUNTIF('Detailed Attendance'!FZ102:FZ102, "A")</f>
        <v/>
      </c>
      <c r="AY101" s="68">
        <f>IF((AW101+AX101)=0,"", AW101/(AW101+AX101))</f>
        <v/>
      </c>
      <c r="AZ101" s="67">
        <f>COUNTIF('Detailed Attendance'!DN102:DN102, "P")+COUNTIF('Detailed Attendance'!DR102:DR102, "P")+COUNTIF('Detailed Attendance'!EK102:EK102, "P")+COUNTIF('Detailed Attendance'!EO102:EO102, "P")+COUNTIF('Detailed Attendance'!FE102:FE102, "P")+COUNTIF('Detailed Attendance'!FI102:FI102, "P")+COUNTIF('Detailed Attendance'!FU102:FU102, "P")+COUNTIF('Detailed Attendance'!FY102:FY102, "P")</f>
        <v/>
      </c>
      <c r="BA101" s="67">
        <f>COUNTIF('Detailed Attendance'!DN102:DN102, "A")+COUNTIF('Detailed Attendance'!DR102:DR102, "A")+COUNTIF('Detailed Attendance'!EK102:EK102, "A")+COUNTIF('Detailed Attendance'!EO102:EO102, "A")+COUNTIF('Detailed Attendance'!FE102:FE102, "A")+COUNTIF('Detailed Attendance'!FI102:FI102, "A")+COUNTIF('Detailed Attendance'!FU102:FU102, "A")+COUNTIF('Detailed Attendance'!FY102:FY102, "A")</f>
        <v/>
      </c>
      <c r="BB101" s="68">
        <f>IF((AZ101+BA101)=0,"", AZ101/(AZ101+BA101))</f>
        <v/>
      </c>
      <c r="BC101" s="67">
        <f>COUNTIF('Detailed Attendance'!DC102:DC102, "P")+COUNTIF('Detailed Attendance'!DV102:DV102, "P")+COUNTIF('Detailed Attendance'!DZ102:DZ102, "P")+COUNTIF('Detailed Attendance'!ES102:ES102, "P")+COUNTIF('Detailed Attendance'!GC102:GC102, "P")+COUNTIF('Detailed Attendance'!GG102:GG102, "P")</f>
        <v/>
      </c>
      <c r="BD101" s="67">
        <f>COUNTIF('Detailed Attendance'!DC102:DC102, "A")+COUNTIF('Detailed Attendance'!DV102:DV102, "A")+COUNTIF('Detailed Attendance'!DZ102:DZ102, "A")+COUNTIF('Detailed Attendance'!ES102:ES102, "A")+COUNTIF('Detailed Attendance'!GC102:GC102, "A")+COUNTIF('Detailed Attendance'!GG102:GG102, "A")</f>
        <v/>
      </c>
      <c r="BE101" s="68">
        <f>IF((BC101+BD101)=0,"", BC101/(BC101+BD101))</f>
        <v/>
      </c>
      <c r="BF101" s="67">
        <f>COUNTIF('Detailed Attendance'!DO102:DO102, "P")+COUNTIF('Detailed Attendance'!DW102:DW102, "P")+COUNTIF('Detailed Attendance'!EL102:EL102, "P")+COUNTIF('Detailed Attendance'!ET102:ET102, "P")+COUNTIF('Detailed Attendance'!FF102:FF102, "P")+COUNTIF('Detailed Attendance'!FV102:FV102, "P")+COUNTIF('Detailed Attendance'!GD102:GD102, "P")</f>
        <v/>
      </c>
      <c r="BG101" s="67">
        <f>COUNTIF('Detailed Attendance'!DO102:DO102, "A")+COUNTIF('Detailed Attendance'!DW102:DW102, "A")+COUNTIF('Detailed Attendance'!EL102:EL102, "A")+COUNTIF('Detailed Attendance'!ET102:ET102, "A")+COUNTIF('Detailed Attendance'!FF102:FF102, "A")+COUNTIF('Detailed Attendance'!FV102:FV102, "A")+COUNTIF('Detailed Attendance'!GD102:GD102, "A")</f>
        <v/>
      </c>
      <c r="BH101" s="68">
        <f>IF((BF101+BG101)=0,"", BF101/(BF101+BG101))</f>
        <v/>
      </c>
      <c r="BI101" s="67">
        <f>AT101+AW101+AZ101+BC101+BF101</f>
        <v/>
      </c>
      <c r="BJ101" s="67">
        <f>AU101+AX101+BA101+BD101+BG101</f>
        <v/>
      </c>
      <c r="BK101" s="68">
        <f>IF((BI101+BJ101)=0,"", BI101/(BI101+BJ101))</f>
        <v/>
      </c>
      <c r="BL101" s="69">
        <f>COUNTIF('Detailed Attendance'!DE102:DE102, "P")+COUNTIF('Detailed Attendance'!EB102:EB102, "P")+COUNTIF('Detailed Attendance'!GI102:GI102, "P")+COUNTIF('Detailed Attendance'!DG102:DG102, "P")+COUNTIF('Detailed Attendance'!ED102:ED102, "P")+COUNTIF('Detailed Attendance'!EX102:EX102, "P")+COUNTIF('Detailed Attendance'!FN102:FN102, "P")+COUNTIF('Detailed Attendance'!DJ102:DJ102, "P")+COUNTIF('Detailed Attendance'!EG102:EG102, "P")+COUNTIF('Detailed Attendance'!FA102:FA102, "P")+COUNTIF('Detailed Attendance'!FQ102:FQ102, "P")</f>
        <v/>
      </c>
      <c r="BM101" s="69">
        <f>COUNTIF('Detailed Attendance'!DE102:DE102, "A")+COUNTIF('Detailed Attendance'!EB102:EB102, "A")+COUNTIF('Detailed Attendance'!GI102:GI102, "A")+COUNTIF('Detailed Attendance'!DG102:DG102, "A")+COUNTIF('Detailed Attendance'!ED102:ED102, "A")+COUNTIF('Detailed Attendance'!EX102:EX102, "A")+COUNTIF('Detailed Attendance'!FN102:FN102, "A")+COUNTIF('Detailed Attendance'!DJ102:DJ102, "A")+COUNTIF('Detailed Attendance'!EG102:EG102, "A")+COUNTIF('Detailed Attendance'!FA102:FA102, "A")+COUNTIF('Detailed Attendance'!FQ102:FQ102, "A")</f>
        <v/>
      </c>
      <c r="BN101" s="70">
        <f>IF((BL101+BM101)=0,"", BL101/(BL101+BM101))</f>
        <v/>
      </c>
      <c r="BO101" s="67">
        <f>D101+Y101+AT101</f>
        <v/>
      </c>
      <c r="BP101" s="67">
        <f>E101+Z101+AU101</f>
        <v/>
      </c>
      <c r="BQ101" s="68">
        <f>IF((BO101+BP101)=0,"", BO101/(BO101+BP101))</f>
        <v/>
      </c>
      <c r="BR101" s="67">
        <f>G101+AB101+AW101</f>
        <v/>
      </c>
      <c r="BS101" s="67">
        <f>H101+AC101+AX101</f>
        <v/>
      </c>
      <c r="BT101" s="68">
        <f>IF((BR101+BS101)=0,"", BR101/(BR101+BS101))</f>
        <v/>
      </c>
      <c r="BU101" s="67">
        <f>J101+AE101+AZ101</f>
        <v/>
      </c>
      <c r="BV101" s="67">
        <f>K101+AF101+BA101</f>
        <v/>
      </c>
      <c r="BW101" s="68">
        <f>IF((BU101+BV101)=0,"", BU101/(BU101+BV101))</f>
        <v/>
      </c>
      <c r="BX101" s="67">
        <f>M101+AH101+BC101</f>
        <v/>
      </c>
      <c r="BY101" s="67">
        <f>N101+AI101+BD101</f>
        <v/>
      </c>
      <c r="BZ101" s="68">
        <f>IF((BX101+BY101)=0,"", BX101/(BX101+BY101))</f>
        <v/>
      </c>
      <c r="CA101" s="67">
        <f>P101+AK101+BF101</f>
        <v/>
      </c>
      <c r="CB101" s="67">
        <f>Q101+AL101+BG101</f>
        <v/>
      </c>
      <c r="CC101" s="68">
        <f>IF((CA101+CB101)=0,"", CA101/(CA101+CB101))</f>
        <v/>
      </c>
      <c r="CD101" s="67">
        <f>S101+AN101+BI101</f>
        <v/>
      </c>
      <c r="CE101" s="67">
        <f>T101+AO101+BJ101</f>
        <v/>
      </c>
      <c r="CF101" s="68">
        <f>IF((CD101+CE101)=0,"", CD101/(CD101+CE101))</f>
        <v/>
      </c>
      <c r="CG101" s="69">
        <f>V101+AQ101+BL101</f>
        <v/>
      </c>
      <c r="CH101" s="69">
        <f>W101+AR101+BM101</f>
        <v/>
      </c>
      <c r="CI101" s="70">
        <f>IF((CG101+CH101)=0,"", CG101/(CG101+CH101))</f>
        <v/>
      </c>
      <c r="CJ101" s="67">
        <f>CD101+(CG101*2)</f>
        <v/>
      </c>
      <c r="CK101" s="67">
        <f>CE101+(CH101*2)</f>
        <v/>
      </c>
      <c r="CL101" s="68">
        <f>IF((CJ101+CK101)=0,"", CJ101/(CJ101+CK101))</f>
        <v/>
      </c>
      <c r="CM101" s="67" t="inlineStr">
        <is>
          <t>Batch 3</t>
        </is>
      </c>
    </row>
    <row r="102" ht="14.25" customHeight="1" s="34">
      <c r="A102" s="46" t="n">
        <v>100</v>
      </c>
      <c r="B102" s="46" t="inlineStr">
        <is>
          <t>325106410100</t>
        </is>
      </c>
      <c r="C102" s="46" t="inlineStr">
        <is>
          <t>BERNARD OWUSU OKYERE</t>
        </is>
      </c>
      <c r="D102" s="63" t="n">
        <v>0</v>
      </c>
      <c r="E102" s="63" t="n">
        <v>0</v>
      </c>
      <c r="F102" s="64">
        <f>IF((D102+E102)=0,"", D102/(D102+E102))</f>
        <v/>
      </c>
      <c r="G102" s="63">
        <f>COUNTIF('Detailed Attendance'!I103:I103, "P")</f>
        <v/>
      </c>
      <c r="H102" s="63">
        <f>COUNTIF('Detailed Attendance'!I103:I103, "A")</f>
        <v/>
      </c>
      <c r="I102" s="64">
        <f>IF((G102+H102)=0,"", G102/(G102+H102))</f>
        <v/>
      </c>
      <c r="J102" s="63" t="n">
        <v>0</v>
      </c>
      <c r="K102" s="63" t="n">
        <v>0</v>
      </c>
      <c r="L102" s="64">
        <f>IF((J102+K102)=0,"", J102/(J102+K102))</f>
        <v/>
      </c>
      <c r="M102" s="63">
        <f>COUNTIF('Detailed Attendance'!D103:D103, "P")</f>
        <v/>
      </c>
      <c r="N102" s="63">
        <f>COUNTIF('Detailed Attendance'!D103:D103, "A")</f>
        <v/>
      </c>
      <c r="O102" s="64">
        <f>IF((M102+N102)=0,"", M102/(M102+N102))</f>
        <v/>
      </c>
      <c r="P102" s="63" t="n">
        <v>0</v>
      </c>
      <c r="Q102" s="63" t="n">
        <v>0</v>
      </c>
      <c r="R102" s="64">
        <f>IF((P102+Q102)=0,"", P102/(P102+Q102))</f>
        <v/>
      </c>
      <c r="S102" s="63">
        <f>D102+G102+J102+M102+P102</f>
        <v/>
      </c>
      <c r="T102" s="63">
        <f>E102+H102+K102+N102+Q102</f>
        <v/>
      </c>
      <c r="U102" s="64">
        <f>IF((S102+T102)=0,"", S102/(S102+T102))</f>
        <v/>
      </c>
      <c r="V102" s="65">
        <f>COUNTIF('Detailed Attendance'!E103:E103, "P")+COUNTIF('Detailed Attendance'!H103:H103, "P")</f>
        <v/>
      </c>
      <c r="W102" s="65">
        <f>COUNTIF('Detailed Attendance'!E103:E103, "A")+COUNTIF('Detailed Attendance'!H103:H103, "A")</f>
        <v/>
      </c>
      <c r="X102" s="66">
        <f>IF((V102+W102)=0,"", V102/(V102+W102))</f>
        <v/>
      </c>
      <c r="Y102" s="63">
        <f>COUNTIF('Detailed Attendance'!R103:R103, "P")+COUNTIF('Detailed Attendance'!X103:X103, "P")+COUNTIF('Detailed Attendance'!AL103:AL103, "P")+COUNTIF('Detailed Attendance'!BF103:BF103, "P")+COUNTIF('Detailed Attendance'!BL103:BL103, "P")+COUNTIF('Detailed Attendance'!BZ103:BZ103, "P")+COUNTIF('Detailed Attendance'!CI103:CI103, "P")+COUNTIF('Detailed Attendance'!CW103:CW103, "P")</f>
        <v/>
      </c>
      <c r="Z102" s="63">
        <f>COUNTIF('Detailed Attendance'!R103:R103, "A")+COUNTIF('Detailed Attendance'!X103:X103, "A")+COUNTIF('Detailed Attendance'!AL103:AL103, "A")+COUNTIF('Detailed Attendance'!BF103:BF103, "A")+COUNTIF('Detailed Attendance'!BL103:BL103, "A")+COUNTIF('Detailed Attendance'!BZ103:BZ103, "A")+COUNTIF('Detailed Attendance'!CI103:CI103, "A")+COUNTIF('Detailed Attendance'!CW103:CW103, "A")</f>
        <v/>
      </c>
      <c r="AA102" s="64">
        <f>IF((Y102+Z102)=0,"", Y102/(Y102+Z102))</f>
        <v/>
      </c>
      <c r="AB102" s="63">
        <f>COUNTIF('Detailed Attendance'!Q103:Q103, "P")+COUNTIF('Detailed Attendance'!AC103:AC103, "P")+COUNTIF('Detailed Attendance'!AK103:AK103, "P")+COUNTIF('Detailed Attendance'!AW103:AW103, "P")+COUNTIF('Detailed Attendance'!BE103:BE103, "P")+COUNTIF('Detailed Attendance'!BQ103:BQ103, "P")+COUNTIF('Detailed Attendance'!BY103:BY103, "P")+COUNTIF('Detailed Attendance'!CN103:CN103, "P")+COUNTIF('Detailed Attendance'!CV103:CV103, "P")</f>
        <v/>
      </c>
      <c r="AC102" s="63">
        <f>COUNTIF('Detailed Attendance'!Q103:Q103, "A")+COUNTIF('Detailed Attendance'!AC103:AC103, "A")+COUNTIF('Detailed Attendance'!AK103:AK103, "A")+COUNTIF('Detailed Attendance'!AW103:AW103, "A")+COUNTIF('Detailed Attendance'!BE103:BE103, "A")+COUNTIF('Detailed Attendance'!BQ103:BQ103, "A")+COUNTIF('Detailed Attendance'!BY103:BY103, "A")+COUNTIF('Detailed Attendance'!CN103:CN103, "A")+COUNTIF('Detailed Attendance'!CV103:CV103, "A")</f>
        <v/>
      </c>
      <c r="AD102" s="64">
        <f>IF((AB102+AC102)=0,"", AB102/(AB102+AC102))</f>
        <v/>
      </c>
      <c r="AE102" s="63">
        <f>COUNTIF('Detailed Attendance'!L103:L103, "P")+COUNTIF('Detailed Attendance'!P103:P103, "P")+COUNTIF('Detailed Attendance'!AF103:AF103, "P")+COUNTIF('Detailed Attendance'!AJ103:AJ103, "P")+COUNTIF('Detailed Attendance'!AZ103:AZ103, "P")+COUNTIF('Detailed Attendance'!BD103:BD103, "P")+COUNTIF('Detailed Attendance'!BT103:BT103, "P")+COUNTIF('Detailed Attendance'!BX103:BX103, "P")+COUNTIF('Detailed Attendance'!CQ103:CQ103, "P")+COUNTIF('Detailed Attendance'!CU103:CU103, "P")</f>
        <v/>
      </c>
      <c r="AF102" s="67">
        <f>COUNTIF('Detailed Attendance'!L103:L103, "A")+COUNTIF('Detailed Attendance'!P103:P103, "A")+COUNTIF('Detailed Attendance'!AF103:AF103, "A")+COUNTIF('Detailed Attendance'!AJ103:AJ103, "A")+COUNTIF('Detailed Attendance'!AZ103:AZ103, "A")+COUNTIF('Detailed Attendance'!BD103:BD103, "A")+COUNTIF('Detailed Attendance'!BT103:BT103, "A")+COUNTIF('Detailed Attendance'!BX103:BX103, "A")+COUNTIF('Detailed Attendance'!CQ103:CQ103, "A")+COUNTIF('Detailed Attendance'!CU103:CU103, "A")</f>
        <v/>
      </c>
      <c r="AG102" s="68">
        <f>IF((AE102+AF102)=0,"", AE102/(AE102+AF102))</f>
        <v/>
      </c>
      <c r="AH102" s="67">
        <f>COUNTIF('Detailed Attendance'!T103:T103, "P")+COUNTIF('Detailed Attendance'!AN103:AN103, "P")+COUNTIF('Detailed Attendance'!AR103:AR103, "P")+COUNTIF('Detailed Attendance'!BH103:BH103, "P")+COUNTIF('Detailed Attendance'!CB103:CB103, "P")+COUNTIF('Detailed Attendance'!CF103:CF103, "P")+COUNTIF('Detailed Attendance'!CY103:CY103, "P")</f>
        <v/>
      </c>
      <c r="AI102" s="67">
        <f>COUNTIF('Detailed Attendance'!T103:T103, "A")+COUNTIF('Detailed Attendance'!AN103:AN103, "A")+COUNTIF('Detailed Attendance'!AR103:AR103, "A")+COUNTIF('Detailed Attendance'!BH103:BH103, "A")+COUNTIF('Detailed Attendance'!CB103:CB103, "A")+COUNTIF('Detailed Attendance'!CF103:CF103, "A")+COUNTIF('Detailed Attendance'!CY103:CY103, "A")</f>
        <v/>
      </c>
      <c r="AJ102" s="68">
        <f>IF((AH102+AI102)=0,"", AH102/(AH102+AI102))</f>
        <v/>
      </c>
      <c r="AK102" s="67">
        <f>COUNTIF('Detailed Attendance'!M103:M103, "P")+COUNTIF('Detailed Attendance'!U103:U103, "P")+COUNTIF('Detailed Attendance'!AG103:AG103, "P")+COUNTIF('Detailed Attendance'!AO103:AO103, "P")+COUNTIF('Detailed Attendance'!BA103:BA103, "P")+COUNTIF('Detailed Attendance'!BI103:BI103, "P")+COUNTIF('Detailed Attendance'!BU103:BU103, "P")+COUNTIF('Detailed Attendance'!CC103:CC103, "P")+COUNTIF('Detailed Attendance'!CR103:CR103, "P")+COUNTIF('Detailed Attendance'!CZ103:CZ103, "P")</f>
        <v/>
      </c>
      <c r="AL102" s="67">
        <f>COUNTIF('Detailed Attendance'!M103:M103, "A")+COUNTIF('Detailed Attendance'!U103:U103, "A")+COUNTIF('Detailed Attendance'!AG103:AG103, "A")+COUNTIF('Detailed Attendance'!AO103:AO103, "A")+COUNTIF('Detailed Attendance'!BA103:BA103, "A")+COUNTIF('Detailed Attendance'!BI103:BI103, "A")+COUNTIF('Detailed Attendance'!BU103:BU103, "A")+COUNTIF('Detailed Attendance'!CC103:CC103, "A")+COUNTIF('Detailed Attendance'!CR103:CR103, "A")+COUNTIF('Detailed Attendance'!CZ103:CZ103, "A")</f>
        <v/>
      </c>
      <c r="AM102" s="68">
        <f>IF((AK102+AL102)=0,"", AK102/(AK102+AL102))</f>
        <v/>
      </c>
      <c r="AN102" s="67">
        <f>Y102+AB102+AE102+AH102+AK102</f>
        <v/>
      </c>
      <c r="AO102" s="67">
        <f>Z102+AC102+AF102+AI102+AL102</f>
        <v/>
      </c>
      <c r="AP102" s="68">
        <f>IF((AN102+AO102)=0,"", AN102/(AN102+AO102))</f>
        <v/>
      </c>
      <c r="AQ102" s="69">
        <f>COUNTIF('Detailed Attendance'!CH103:CH103, "P")+COUNTIF('Detailed Attendance'!Y103:Y103, "P")+COUNTIF('Detailed Attendance'!AS103:AS103, "P")+COUNTIF('Detailed Attendance'!BM103:BM103, "P")+COUNTIF('Detailed Attendance'!CJ103:CJ103, "P")+COUNTIF('Detailed Attendance'!AB103:AB103, "P")+COUNTIF('Detailed Attendance'!AV103:AV103, "P")+COUNTIF('Detailed Attendance'!BP103:BP103, "P")+COUNTIF('Detailed Attendance'!CM103:CM103, "P")</f>
        <v/>
      </c>
      <c r="AR102" s="69">
        <f>COUNTIF('Detailed Attendance'!CH103:CH103, "A")+COUNTIF('Detailed Attendance'!Y103:Y103, "A")+COUNTIF('Detailed Attendance'!AS103:AS103, "A")+COUNTIF('Detailed Attendance'!BM103:BM103, "A")+COUNTIF('Detailed Attendance'!CJ103:CJ103, "A")+COUNTIF('Detailed Attendance'!AB103:AB103, "A")+COUNTIF('Detailed Attendance'!AV103:AV103, "A")+COUNTIF('Detailed Attendance'!BP103:BP103, "A")+COUNTIF('Detailed Attendance'!CM103:CM103, "A")</f>
        <v/>
      </c>
      <c r="AS102" s="70">
        <f>IF((AQ102+AR102)=0,"", AQ102/(AQ102+AR102))</f>
        <v/>
      </c>
      <c r="AT102" s="67">
        <f>COUNTIF('Detailed Attendance'!DF103:DF103, "P")+COUNTIF('Detailed Attendance'!DT103:DT103, "P")+COUNTIF('Detailed Attendance'!EC103:EC103, "P")+COUNTIF('Detailed Attendance'!EQ103:EQ103, "P")+COUNTIF('Detailed Attendance'!EW103:EW103, "P")+COUNTIF('Detailed Attendance'!FK103:FK103, "P")+COUNTIF('Detailed Attendance'!FM103:FM103, "P")+COUNTIF('Detailed Attendance'!GA103:GA103, "P")</f>
        <v/>
      </c>
      <c r="AU102" s="67">
        <f>COUNTIF('Detailed Attendance'!DF103:DF103, "A")+COUNTIF('Detailed Attendance'!DT103:DT103, "A")+COUNTIF('Detailed Attendance'!EC103:EC103, "A")+COUNTIF('Detailed Attendance'!EQ103:EQ103, "A")+COUNTIF('Detailed Attendance'!EW103:EW103, "A")+COUNTIF('Detailed Attendance'!FK103:FK103, "A")+COUNTIF('Detailed Attendance'!FM103:FM103, "A")+COUNTIF('Detailed Attendance'!GA103:GA103, "A")</f>
        <v/>
      </c>
      <c r="AV102" s="68">
        <f>IF((AT102+AU102)=0,"", AT102/(AT102+AU102))</f>
        <v/>
      </c>
      <c r="AW102" s="67">
        <f>COUNTIF('Detailed Attendance'!DK103:DK103, "P")+COUNTIF('Detailed Attendance'!DS103:DS103, "P")+COUNTIF('Detailed Attendance'!EH103:EH103, "P")+COUNTIF('Detailed Attendance'!EP103:EP103, "P")+COUNTIF('Detailed Attendance'!FB103:FB103, "P")+COUNTIF('Detailed Attendance'!FJ103:FJ103, "P")+COUNTIF('Detailed Attendance'!FR103:FR103, "P")+COUNTIF('Detailed Attendance'!FZ103:FZ103, "P")</f>
        <v/>
      </c>
      <c r="AX102" s="67">
        <f>COUNTIF('Detailed Attendance'!DK103:DK103, "A")+COUNTIF('Detailed Attendance'!DS103:DS103, "A")+COUNTIF('Detailed Attendance'!EH103:EH103, "A")+COUNTIF('Detailed Attendance'!EP103:EP103, "A")+COUNTIF('Detailed Attendance'!FB103:FB103, "A")+COUNTIF('Detailed Attendance'!FJ103:FJ103, "A")+COUNTIF('Detailed Attendance'!FR103:FR103, "A")+COUNTIF('Detailed Attendance'!FZ103:FZ103, "A")</f>
        <v/>
      </c>
      <c r="AY102" s="68">
        <f>IF((AW102+AX102)=0,"", AW102/(AW102+AX102))</f>
        <v/>
      </c>
      <c r="AZ102" s="67">
        <f>COUNTIF('Detailed Attendance'!DN103:DN103, "P")+COUNTIF('Detailed Attendance'!DR103:DR103, "P")+COUNTIF('Detailed Attendance'!EK103:EK103, "P")+COUNTIF('Detailed Attendance'!EO103:EO103, "P")+COUNTIF('Detailed Attendance'!FE103:FE103, "P")+COUNTIF('Detailed Attendance'!FI103:FI103, "P")+COUNTIF('Detailed Attendance'!FU103:FU103, "P")+COUNTIF('Detailed Attendance'!FY103:FY103, "P")</f>
        <v/>
      </c>
      <c r="BA102" s="67">
        <f>COUNTIF('Detailed Attendance'!DN103:DN103, "A")+COUNTIF('Detailed Attendance'!DR103:DR103, "A")+COUNTIF('Detailed Attendance'!EK103:EK103, "A")+COUNTIF('Detailed Attendance'!EO103:EO103, "A")+COUNTIF('Detailed Attendance'!FE103:FE103, "A")+COUNTIF('Detailed Attendance'!FI103:FI103, "A")+COUNTIF('Detailed Attendance'!FU103:FU103, "A")+COUNTIF('Detailed Attendance'!FY103:FY103, "A")</f>
        <v/>
      </c>
      <c r="BB102" s="68">
        <f>IF((AZ102+BA102)=0,"", AZ102/(AZ102+BA102))</f>
        <v/>
      </c>
      <c r="BC102" s="67">
        <f>COUNTIF('Detailed Attendance'!DC103:DC103, "P")+COUNTIF('Detailed Attendance'!DV103:DV103, "P")+COUNTIF('Detailed Attendance'!DZ103:DZ103, "P")+COUNTIF('Detailed Attendance'!ES103:ES103, "P")+COUNTIF('Detailed Attendance'!GC103:GC103, "P")+COUNTIF('Detailed Attendance'!GG103:GG103, "P")</f>
        <v/>
      </c>
      <c r="BD102" s="67">
        <f>COUNTIF('Detailed Attendance'!DC103:DC103, "A")+COUNTIF('Detailed Attendance'!DV103:DV103, "A")+COUNTIF('Detailed Attendance'!DZ103:DZ103, "A")+COUNTIF('Detailed Attendance'!ES103:ES103, "A")+COUNTIF('Detailed Attendance'!GC103:GC103, "A")+COUNTIF('Detailed Attendance'!GG103:GG103, "A")</f>
        <v/>
      </c>
      <c r="BE102" s="68">
        <f>IF((BC102+BD102)=0,"", BC102/(BC102+BD102))</f>
        <v/>
      </c>
      <c r="BF102" s="67">
        <f>COUNTIF('Detailed Attendance'!DO103:DO103, "P")+COUNTIF('Detailed Attendance'!DW103:DW103, "P")+COUNTIF('Detailed Attendance'!EL103:EL103, "P")+COUNTIF('Detailed Attendance'!ET103:ET103, "P")+COUNTIF('Detailed Attendance'!FF103:FF103, "P")+COUNTIF('Detailed Attendance'!FV103:FV103, "P")+COUNTIF('Detailed Attendance'!GD103:GD103, "P")</f>
        <v/>
      </c>
      <c r="BG102" s="67">
        <f>COUNTIF('Detailed Attendance'!DO103:DO103, "A")+COUNTIF('Detailed Attendance'!DW103:DW103, "A")+COUNTIF('Detailed Attendance'!EL103:EL103, "A")+COUNTIF('Detailed Attendance'!ET103:ET103, "A")+COUNTIF('Detailed Attendance'!FF103:FF103, "A")+COUNTIF('Detailed Attendance'!FV103:FV103, "A")+COUNTIF('Detailed Attendance'!GD103:GD103, "A")</f>
        <v/>
      </c>
      <c r="BH102" s="68">
        <f>IF((BF102+BG102)=0,"", BF102/(BF102+BG102))</f>
        <v/>
      </c>
      <c r="BI102" s="67">
        <f>AT102+AW102+AZ102+BC102+BF102</f>
        <v/>
      </c>
      <c r="BJ102" s="67">
        <f>AU102+AX102+BA102+BD102+BG102</f>
        <v/>
      </c>
      <c r="BK102" s="68">
        <f>IF((BI102+BJ102)=0,"", BI102/(BI102+BJ102))</f>
        <v/>
      </c>
      <c r="BL102" s="69">
        <f>COUNTIF('Detailed Attendance'!DE103:DE103, "P")+COUNTIF('Detailed Attendance'!EB103:EB103, "P")+COUNTIF('Detailed Attendance'!GI103:GI103, "P")+COUNTIF('Detailed Attendance'!DG103:DG103, "P")+COUNTIF('Detailed Attendance'!ED103:ED103, "P")+COUNTIF('Detailed Attendance'!EX103:EX103, "P")+COUNTIF('Detailed Attendance'!FN103:FN103, "P")+COUNTIF('Detailed Attendance'!DJ103:DJ103, "P")+COUNTIF('Detailed Attendance'!EG103:EG103, "P")+COUNTIF('Detailed Attendance'!FA103:FA103, "P")+COUNTIF('Detailed Attendance'!FQ103:FQ103, "P")</f>
        <v/>
      </c>
      <c r="BM102" s="69">
        <f>COUNTIF('Detailed Attendance'!DE103:DE103, "A")+COUNTIF('Detailed Attendance'!EB103:EB103, "A")+COUNTIF('Detailed Attendance'!GI103:GI103, "A")+COUNTIF('Detailed Attendance'!DG103:DG103, "A")+COUNTIF('Detailed Attendance'!ED103:ED103, "A")+COUNTIF('Detailed Attendance'!EX103:EX103, "A")+COUNTIF('Detailed Attendance'!FN103:FN103, "A")+COUNTIF('Detailed Attendance'!DJ103:DJ103, "A")+COUNTIF('Detailed Attendance'!EG103:EG103, "A")+COUNTIF('Detailed Attendance'!FA103:FA103, "A")+COUNTIF('Detailed Attendance'!FQ103:FQ103, "A")</f>
        <v/>
      </c>
      <c r="BN102" s="70">
        <f>IF((BL102+BM102)=0,"", BL102/(BL102+BM102))</f>
        <v/>
      </c>
      <c r="BO102" s="67">
        <f>D102+Y102+AT102</f>
        <v/>
      </c>
      <c r="BP102" s="67">
        <f>E102+Z102+AU102</f>
        <v/>
      </c>
      <c r="BQ102" s="68">
        <f>IF((BO102+BP102)=0,"", BO102/(BO102+BP102))</f>
        <v/>
      </c>
      <c r="BR102" s="67">
        <f>G102+AB102+AW102</f>
        <v/>
      </c>
      <c r="BS102" s="67">
        <f>H102+AC102+AX102</f>
        <v/>
      </c>
      <c r="BT102" s="68">
        <f>IF((BR102+BS102)=0,"", BR102/(BR102+BS102))</f>
        <v/>
      </c>
      <c r="BU102" s="67">
        <f>J102+AE102+AZ102</f>
        <v/>
      </c>
      <c r="BV102" s="67">
        <f>K102+AF102+BA102</f>
        <v/>
      </c>
      <c r="BW102" s="68">
        <f>IF((BU102+BV102)=0,"", BU102/(BU102+BV102))</f>
        <v/>
      </c>
      <c r="BX102" s="67">
        <f>M102+AH102+BC102</f>
        <v/>
      </c>
      <c r="BY102" s="67">
        <f>N102+AI102+BD102</f>
        <v/>
      </c>
      <c r="BZ102" s="68">
        <f>IF((BX102+BY102)=0,"", BX102/(BX102+BY102))</f>
        <v/>
      </c>
      <c r="CA102" s="67">
        <f>P102+AK102+BF102</f>
        <v/>
      </c>
      <c r="CB102" s="67">
        <f>Q102+AL102+BG102</f>
        <v/>
      </c>
      <c r="CC102" s="68">
        <f>IF((CA102+CB102)=0,"", CA102/(CA102+CB102))</f>
        <v/>
      </c>
      <c r="CD102" s="67">
        <f>S102+AN102+BI102</f>
        <v/>
      </c>
      <c r="CE102" s="67">
        <f>T102+AO102+BJ102</f>
        <v/>
      </c>
      <c r="CF102" s="68">
        <f>IF((CD102+CE102)=0,"", CD102/(CD102+CE102))</f>
        <v/>
      </c>
      <c r="CG102" s="69">
        <f>V102+AQ102+BL102</f>
        <v/>
      </c>
      <c r="CH102" s="69">
        <f>W102+AR102+BM102</f>
        <v/>
      </c>
      <c r="CI102" s="70">
        <f>IF((CG102+CH102)=0,"", CG102/(CG102+CH102))</f>
        <v/>
      </c>
      <c r="CJ102" s="67">
        <f>CD102+(CG102*2)</f>
        <v/>
      </c>
      <c r="CK102" s="67">
        <f>CE102+(CH102*2)</f>
        <v/>
      </c>
      <c r="CL102" s="68">
        <f>IF((CJ102+CK102)=0,"", CJ102/(CJ102+CK102))</f>
        <v/>
      </c>
      <c r="CM102" s="67" t="inlineStr">
        <is>
          <t>Batch 3</t>
        </is>
      </c>
    </row>
    <row r="103" ht="14.25" customHeight="1" s="34">
      <c r="A103" s="46" t="n">
        <v>101</v>
      </c>
      <c r="B103" s="46" t="inlineStr">
        <is>
          <t>325106410101</t>
        </is>
      </c>
      <c r="C103" s="46" t="inlineStr">
        <is>
          <t>PROHOR PAL</t>
        </is>
      </c>
      <c r="D103" s="63" t="n">
        <v>0</v>
      </c>
      <c r="E103" s="63" t="n">
        <v>0</v>
      </c>
      <c r="F103" s="64">
        <f>IF((D103+E103)=0,"", D103/(D103+E103))</f>
        <v/>
      </c>
      <c r="G103" s="63">
        <f>COUNTIF('Detailed Attendance'!I104:I104, "P")</f>
        <v/>
      </c>
      <c r="H103" s="63">
        <f>COUNTIF('Detailed Attendance'!I104:I104, "A")</f>
        <v/>
      </c>
      <c r="I103" s="64">
        <f>IF((G103+H103)=0,"", G103/(G103+H103))</f>
        <v/>
      </c>
      <c r="J103" s="63" t="n">
        <v>0</v>
      </c>
      <c r="K103" s="63" t="n">
        <v>0</v>
      </c>
      <c r="L103" s="64">
        <f>IF((J103+K103)=0,"", J103/(J103+K103))</f>
        <v/>
      </c>
      <c r="M103" s="63">
        <f>COUNTIF('Detailed Attendance'!D104:D104, "P")</f>
        <v/>
      </c>
      <c r="N103" s="63">
        <f>COUNTIF('Detailed Attendance'!D104:D104, "A")</f>
        <v/>
      </c>
      <c r="O103" s="64">
        <f>IF((M103+N103)=0,"", M103/(M103+N103))</f>
        <v/>
      </c>
      <c r="P103" s="63" t="n">
        <v>0</v>
      </c>
      <c r="Q103" s="63" t="n">
        <v>0</v>
      </c>
      <c r="R103" s="64">
        <f>IF((P103+Q103)=0,"", P103/(P103+Q103))</f>
        <v/>
      </c>
      <c r="S103" s="63">
        <f>D103+G103+J103+M103+P103</f>
        <v/>
      </c>
      <c r="T103" s="63">
        <f>E103+H103+K103+N103+Q103</f>
        <v/>
      </c>
      <c r="U103" s="64">
        <f>IF((S103+T103)=0,"", S103/(S103+T103))</f>
        <v/>
      </c>
      <c r="V103" s="65">
        <f>COUNTIF('Detailed Attendance'!E104:E104, "P")+COUNTIF('Detailed Attendance'!H104:H104, "P")</f>
        <v/>
      </c>
      <c r="W103" s="65">
        <f>COUNTIF('Detailed Attendance'!E104:E104, "A")+COUNTIF('Detailed Attendance'!H104:H104, "A")</f>
        <v/>
      </c>
      <c r="X103" s="66">
        <f>IF((V103+W103)=0,"", V103/(V103+W103))</f>
        <v/>
      </c>
      <c r="Y103" s="63">
        <f>COUNTIF('Detailed Attendance'!R104:R104, "P")+COUNTIF('Detailed Attendance'!X104:X104, "P")+COUNTIF('Detailed Attendance'!AL104:AL104, "P")+COUNTIF('Detailed Attendance'!BF104:BF104, "P")+COUNTIF('Detailed Attendance'!BL104:BL104, "P")+COUNTIF('Detailed Attendance'!BZ104:BZ104, "P")+COUNTIF('Detailed Attendance'!CI104:CI104, "P")+COUNTIF('Detailed Attendance'!CW104:CW104, "P")</f>
        <v/>
      </c>
      <c r="Z103" s="63">
        <f>COUNTIF('Detailed Attendance'!R104:R104, "A")+COUNTIF('Detailed Attendance'!X104:X104, "A")+COUNTIF('Detailed Attendance'!AL104:AL104, "A")+COUNTIF('Detailed Attendance'!BF104:BF104, "A")+COUNTIF('Detailed Attendance'!BL104:BL104, "A")+COUNTIF('Detailed Attendance'!BZ104:BZ104, "A")+COUNTIF('Detailed Attendance'!CI104:CI104, "A")+COUNTIF('Detailed Attendance'!CW104:CW104, "A")</f>
        <v/>
      </c>
      <c r="AA103" s="64">
        <f>IF((Y103+Z103)=0,"", Y103/(Y103+Z103))</f>
        <v/>
      </c>
      <c r="AB103" s="63">
        <f>COUNTIF('Detailed Attendance'!Q104:Q104, "P")+COUNTIF('Detailed Attendance'!AC104:AC104, "P")+COUNTIF('Detailed Attendance'!AK104:AK104, "P")+COUNTIF('Detailed Attendance'!AW104:AW104, "P")+COUNTIF('Detailed Attendance'!BE104:BE104, "P")+COUNTIF('Detailed Attendance'!BQ104:BQ104, "P")+COUNTIF('Detailed Attendance'!BY104:BY104, "P")+COUNTIF('Detailed Attendance'!CN104:CN104, "P")+COUNTIF('Detailed Attendance'!CV104:CV104, "P")</f>
        <v/>
      </c>
      <c r="AC103" s="63">
        <f>COUNTIF('Detailed Attendance'!Q104:Q104, "A")+COUNTIF('Detailed Attendance'!AC104:AC104, "A")+COUNTIF('Detailed Attendance'!AK104:AK104, "A")+COUNTIF('Detailed Attendance'!AW104:AW104, "A")+COUNTIF('Detailed Attendance'!BE104:BE104, "A")+COUNTIF('Detailed Attendance'!BQ104:BQ104, "A")+COUNTIF('Detailed Attendance'!BY104:BY104, "A")+COUNTIF('Detailed Attendance'!CN104:CN104, "A")+COUNTIF('Detailed Attendance'!CV104:CV104, "A")</f>
        <v/>
      </c>
      <c r="AD103" s="64">
        <f>IF((AB103+AC103)=0,"", AB103/(AB103+AC103))</f>
        <v/>
      </c>
      <c r="AE103" s="63">
        <f>COUNTIF('Detailed Attendance'!L104:L104, "P")+COUNTIF('Detailed Attendance'!P104:P104, "P")+COUNTIF('Detailed Attendance'!AF104:AF104, "P")+COUNTIF('Detailed Attendance'!AJ104:AJ104, "P")+COUNTIF('Detailed Attendance'!AZ104:AZ104, "P")+COUNTIF('Detailed Attendance'!BD104:BD104, "P")+COUNTIF('Detailed Attendance'!BT104:BT104, "P")+COUNTIF('Detailed Attendance'!BX104:BX104, "P")+COUNTIF('Detailed Attendance'!CQ104:CQ104, "P")+COUNTIF('Detailed Attendance'!CU104:CU104, "P")</f>
        <v/>
      </c>
      <c r="AF103" s="67">
        <f>COUNTIF('Detailed Attendance'!L104:L104, "A")+COUNTIF('Detailed Attendance'!P104:P104, "A")+COUNTIF('Detailed Attendance'!AF104:AF104, "A")+COUNTIF('Detailed Attendance'!AJ104:AJ104, "A")+COUNTIF('Detailed Attendance'!AZ104:AZ104, "A")+COUNTIF('Detailed Attendance'!BD104:BD104, "A")+COUNTIF('Detailed Attendance'!BT104:BT104, "A")+COUNTIF('Detailed Attendance'!BX104:BX104, "A")+COUNTIF('Detailed Attendance'!CQ104:CQ104, "A")+COUNTIF('Detailed Attendance'!CU104:CU104, "A")</f>
        <v/>
      </c>
      <c r="AG103" s="68">
        <f>IF((AE103+AF103)=0,"", AE103/(AE103+AF103))</f>
        <v/>
      </c>
      <c r="AH103" s="67">
        <f>COUNTIF('Detailed Attendance'!T104:T104, "P")+COUNTIF('Detailed Attendance'!AN104:AN104, "P")+COUNTIF('Detailed Attendance'!AR104:AR104, "P")+COUNTIF('Detailed Attendance'!BH104:BH104, "P")+COUNTIF('Detailed Attendance'!CB104:CB104, "P")+COUNTIF('Detailed Attendance'!CF104:CF104, "P")+COUNTIF('Detailed Attendance'!CY104:CY104, "P")</f>
        <v/>
      </c>
      <c r="AI103" s="67">
        <f>COUNTIF('Detailed Attendance'!T104:T104, "A")+COUNTIF('Detailed Attendance'!AN104:AN104, "A")+COUNTIF('Detailed Attendance'!AR104:AR104, "A")+COUNTIF('Detailed Attendance'!BH104:BH104, "A")+COUNTIF('Detailed Attendance'!CB104:CB104, "A")+COUNTIF('Detailed Attendance'!CF104:CF104, "A")+COUNTIF('Detailed Attendance'!CY104:CY104, "A")</f>
        <v/>
      </c>
      <c r="AJ103" s="68">
        <f>IF((AH103+AI103)=0,"", AH103/(AH103+AI103))</f>
        <v/>
      </c>
      <c r="AK103" s="67">
        <f>COUNTIF('Detailed Attendance'!M104:M104, "P")+COUNTIF('Detailed Attendance'!U104:U104, "P")+COUNTIF('Detailed Attendance'!AG104:AG104, "P")+COUNTIF('Detailed Attendance'!AO104:AO104, "P")+COUNTIF('Detailed Attendance'!BA104:BA104, "P")+COUNTIF('Detailed Attendance'!BI104:BI104, "P")+COUNTIF('Detailed Attendance'!BU104:BU104, "P")+COUNTIF('Detailed Attendance'!CC104:CC104, "P")+COUNTIF('Detailed Attendance'!CR104:CR104, "P")+COUNTIF('Detailed Attendance'!CZ104:CZ104, "P")</f>
        <v/>
      </c>
      <c r="AL103" s="67">
        <f>COUNTIF('Detailed Attendance'!M104:M104, "A")+COUNTIF('Detailed Attendance'!U104:U104, "A")+COUNTIF('Detailed Attendance'!AG104:AG104, "A")+COUNTIF('Detailed Attendance'!AO104:AO104, "A")+COUNTIF('Detailed Attendance'!BA104:BA104, "A")+COUNTIF('Detailed Attendance'!BI104:BI104, "A")+COUNTIF('Detailed Attendance'!BU104:BU104, "A")+COUNTIF('Detailed Attendance'!CC104:CC104, "A")+COUNTIF('Detailed Attendance'!CR104:CR104, "A")+COUNTIF('Detailed Attendance'!CZ104:CZ104, "A")</f>
        <v/>
      </c>
      <c r="AM103" s="68">
        <f>IF((AK103+AL103)=0,"", AK103/(AK103+AL103))</f>
        <v/>
      </c>
      <c r="AN103" s="67">
        <f>Y103+AB103+AE103+AH103+AK103</f>
        <v/>
      </c>
      <c r="AO103" s="67">
        <f>Z103+AC103+AF103+AI103+AL103</f>
        <v/>
      </c>
      <c r="AP103" s="68">
        <f>IF((AN103+AO103)=0,"", AN103/(AN103+AO103))</f>
        <v/>
      </c>
      <c r="AQ103" s="69">
        <f>COUNTIF('Detailed Attendance'!CH104:CH104, "P")+COUNTIF('Detailed Attendance'!Y104:Y104, "P")+COUNTIF('Detailed Attendance'!AS104:AS104, "P")+COUNTIF('Detailed Attendance'!BM104:BM104, "P")+COUNTIF('Detailed Attendance'!CJ104:CJ104, "P")+COUNTIF('Detailed Attendance'!AB104:AB104, "P")+COUNTIF('Detailed Attendance'!AV104:AV104, "P")+COUNTIF('Detailed Attendance'!BP104:BP104, "P")+COUNTIF('Detailed Attendance'!CM104:CM104, "P")</f>
        <v/>
      </c>
      <c r="AR103" s="69">
        <f>COUNTIF('Detailed Attendance'!CH104:CH104, "A")+COUNTIF('Detailed Attendance'!Y104:Y104, "A")+COUNTIF('Detailed Attendance'!AS104:AS104, "A")+COUNTIF('Detailed Attendance'!BM104:BM104, "A")+COUNTIF('Detailed Attendance'!CJ104:CJ104, "A")+COUNTIF('Detailed Attendance'!AB104:AB104, "A")+COUNTIF('Detailed Attendance'!AV104:AV104, "A")+COUNTIF('Detailed Attendance'!BP104:BP104, "A")+COUNTIF('Detailed Attendance'!CM104:CM104, "A")</f>
        <v/>
      </c>
      <c r="AS103" s="70">
        <f>IF((AQ103+AR103)=0,"", AQ103/(AQ103+AR103))</f>
        <v/>
      </c>
      <c r="AT103" s="67">
        <f>COUNTIF('Detailed Attendance'!DF104:DF104, "P")+COUNTIF('Detailed Attendance'!DT104:DT104, "P")+COUNTIF('Detailed Attendance'!EC104:EC104, "P")+COUNTIF('Detailed Attendance'!EQ104:EQ104, "P")+COUNTIF('Detailed Attendance'!EW104:EW104, "P")+COUNTIF('Detailed Attendance'!FK104:FK104, "P")+COUNTIF('Detailed Attendance'!FM104:FM104, "P")+COUNTIF('Detailed Attendance'!GA104:GA104, "P")</f>
        <v/>
      </c>
      <c r="AU103" s="67">
        <f>COUNTIF('Detailed Attendance'!DF104:DF104, "A")+COUNTIF('Detailed Attendance'!DT104:DT104, "A")+COUNTIF('Detailed Attendance'!EC104:EC104, "A")+COUNTIF('Detailed Attendance'!EQ104:EQ104, "A")+COUNTIF('Detailed Attendance'!EW104:EW104, "A")+COUNTIF('Detailed Attendance'!FK104:FK104, "A")+COUNTIF('Detailed Attendance'!FM104:FM104, "A")+COUNTIF('Detailed Attendance'!GA104:GA104, "A")</f>
        <v/>
      </c>
      <c r="AV103" s="68">
        <f>IF((AT103+AU103)=0,"", AT103/(AT103+AU103))</f>
        <v/>
      </c>
      <c r="AW103" s="67">
        <f>COUNTIF('Detailed Attendance'!DK104:DK104, "P")+COUNTIF('Detailed Attendance'!DS104:DS104, "P")+COUNTIF('Detailed Attendance'!EH104:EH104, "P")+COUNTIF('Detailed Attendance'!EP104:EP104, "P")+COUNTIF('Detailed Attendance'!FB104:FB104, "P")+COUNTIF('Detailed Attendance'!FJ104:FJ104, "P")+COUNTIF('Detailed Attendance'!FR104:FR104, "P")+COUNTIF('Detailed Attendance'!FZ104:FZ104, "P")</f>
        <v/>
      </c>
      <c r="AX103" s="67">
        <f>COUNTIF('Detailed Attendance'!DK104:DK104, "A")+COUNTIF('Detailed Attendance'!DS104:DS104, "A")+COUNTIF('Detailed Attendance'!EH104:EH104, "A")+COUNTIF('Detailed Attendance'!EP104:EP104, "A")+COUNTIF('Detailed Attendance'!FB104:FB104, "A")+COUNTIF('Detailed Attendance'!FJ104:FJ104, "A")+COUNTIF('Detailed Attendance'!FR104:FR104, "A")+COUNTIF('Detailed Attendance'!FZ104:FZ104, "A")</f>
        <v/>
      </c>
      <c r="AY103" s="68">
        <f>IF((AW103+AX103)=0,"", AW103/(AW103+AX103))</f>
        <v/>
      </c>
      <c r="AZ103" s="67">
        <f>COUNTIF('Detailed Attendance'!DN104:DN104, "P")+COUNTIF('Detailed Attendance'!DR104:DR104, "P")+COUNTIF('Detailed Attendance'!EK104:EK104, "P")+COUNTIF('Detailed Attendance'!EO104:EO104, "P")+COUNTIF('Detailed Attendance'!FE104:FE104, "P")+COUNTIF('Detailed Attendance'!FI104:FI104, "P")+COUNTIF('Detailed Attendance'!FU104:FU104, "P")+COUNTIF('Detailed Attendance'!FY104:FY104, "P")</f>
        <v/>
      </c>
      <c r="BA103" s="67">
        <f>COUNTIF('Detailed Attendance'!DN104:DN104, "A")+COUNTIF('Detailed Attendance'!DR104:DR104, "A")+COUNTIF('Detailed Attendance'!EK104:EK104, "A")+COUNTIF('Detailed Attendance'!EO104:EO104, "A")+COUNTIF('Detailed Attendance'!FE104:FE104, "A")+COUNTIF('Detailed Attendance'!FI104:FI104, "A")+COUNTIF('Detailed Attendance'!FU104:FU104, "A")+COUNTIF('Detailed Attendance'!FY104:FY104, "A")</f>
        <v/>
      </c>
      <c r="BB103" s="68">
        <f>IF((AZ103+BA103)=0,"", AZ103/(AZ103+BA103))</f>
        <v/>
      </c>
      <c r="BC103" s="67">
        <f>COUNTIF('Detailed Attendance'!DC104:DC104, "P")+COUNTIF('Detailed Attendance'!DV104:DV104, "P")+COUNTIF('Detailed Attendance'!DZ104:DZ104, "P")+COUNTIF('Detailed Attendance'!ES104:ES104, "P")+COUNTIF('Detailed Attendance'!GC104:GC104, "P")+COUNTIF('Detailed Attendance'!GG104:GG104, "P")</f>
        <v/>
      </c>
      <c r="BD103" s="67">
        <f>COUNTIF('Detailed Attendance'!DC104:DC104, "A")+COUNTIF('Detailed Attendance'!DV104:DV104, "A")+COUNTIF('Detailed Attendance'!DZ104:DZ104, "A")+COUNTIF('Detailed Attendance'!ES104:ES104, "A")+COUNTIF('Detailed Attendance'!GC104:GC104, "A")+COUNTIF('Detailed Attendance'!GG104:GG104, "A")</f>
        <v/>
      </c>
      <c r="BE103" s="68">
        <f>IF((BC103+BD103)=0,"", BC103/(BC103+BD103))</f>
        <v/>
      </c>
      <c r="BF103" s="67">
        <f>COUNTIF('Detailed Attendance'!DO104:DO104, "P")+COUNTIF('Detailed Attendance'!DW104:DW104, "P")+COUNTIF('Detailed Attendance'!EL104:EL104, "P")+COUNTIF('Detailed Attendance'!ET104:ET104, "P")+COUNTIF('Detailed Attendance'!FF104:FF104, "P")+COUNTIF('Detailed Attendance'!FV104:FV104, "P")+COUNTIF('Detailed Attendance'!GD104:GD104, "P")</f>
        <v/>
      </c>
      <c r="BG103" s="67">
        <f>COUNTIF('Detailed Attendance'!DO104:DO104, "A")+COUNTIF('Detailed Attendance'!DW104:DW104, "A")+COUNTIF('Detailed Attendance'!EL104:EL104, "A")+COUNTIF('Detailed Attendance'!ET104:ET104, "A")+COUNTIF('Detailed Attendance'!FF104:FF104, "A")+COUNTIF('Detailed Attendance'!FV104:FV104, "A")+COUNTIF('Detailed Attendance'!GD104:GD104, "A")</f>
        <v/>
      </c>
      <c r="BH103" s="68">
        <f>IF((BF103+BG103)=0,"", BF103/(BF103+BG103))</f>
        <v/>
      </c>
      <c r="BI103" s="67">
        <f>AT103+AW103+AZ103+BC103+BF103</f>
        <v/>
      </c>
      <c r="BJ103" s="67">
        <f>AU103+AX103+BA103+BD103+BG103</f>
        <v/>
      </c>
      <c r="BK103" s="68">
        <f>IF((BI103+BJ103)=0,"", BI103/(BI103+BJ103))</f>
        <v/>
      </c>
      <c r="BL103" s="69">
        <f>COUNTIF('Detailed Attendance'!DE104:DE104, "P")+COUNTIF('Detailed Attendance'!EB104:EB104, "P")+COUNTIF('Detailed Attendance'!GI104:GI104, "P")+COUNTIF('Detailed Attendance'!DG104:DG104, "P")+COUNTIF('Detailed Attendance'!ED104:ED104, "P")+COUNTIF('Detailed Attendance'!EX104:EX104, "P")+COUNTIF('Detailed Attendance'!FN104:FN104, "P")+COUNTIF('Detailed Attendance'!DJ104:DJ104, "P")+COUNTIF('Detailed Attendance'!EG104:EG104, "P")+COUNTIF('Detailed Attendance'!FA104:FA104, "P")+COUNTIF('Detailed Attendance'!FQ104:FQ104, "P")</f>
        <v/>
      </c>
      <c r="BM103" s="69">
        <f>COUNTIF('Detailed Attendance'!DE104:DE104, "A")+COUNTIF('Detailed Attendance'!EB104:EB104, "A")+COUNTIF('Detailed Attendance'!GI104:GI104, "A")+COUNTIF('Detailed Attendance'!DG104:DG104, "A")+COUNTIF('Detailed Attendance'!ED104:ED104, "A")+COUNTIF('Detailed Attendance'!EX104:EX104, "A")+COUNTIF('Detailed Attendance'!FN104:FN104, "A")+COUNTIF('Detailed Attendance'!DJ104:DJ104, "A")+COUNTIF('Detailed Attendance'!EG104:EG104, "A")+COUNTIF('Detailed Attendance'!FA104:FA104, "A")+COUNTIF('Detailed Attendance'!FQ104:FQ104, "A")</f>
        <v/>
      </c>
      <c r="BN103" s="70">
        <f>IF((BL103+BM103)=0,"", BL103/(BL103+BM103))</f>
        <v/>
      </c>
      <c r="BO103" s="67">
        <f>D103+Y103+AT103</f>
        <v/>
      </c>
      <c r="BP103" s="67">
        <f>E103+Z103+AU103</f>
        <v/>
      </c>
      <c r="BQ103" s="68">
        <f>IF((BO103+BP103)=0,"", BO103/(BO103+BP103))</f>
        <v/>
      </c>
      <c r="BR103" s="67">
        <f>G103+AB103+AW103</f>
        <v/>
      </c>
      <c r="BS103" s="67">
        <f>H103+AC103+AX103</f>
        <v/>
      </c>
      <c r="BT103" s="68">
        <f>IF((BR103+BS103)=0,"", BR103/(BR103+BS103))</f>
        <v/>
      </c>
      <c r="BU103" s="67">
        <f>J103+AE103+AZ103</f>
        <v/>
      </c>
      <c r="BV103" s="67">
        <f>K103+AF103+BA103</f>
        <v/>
      </c>
      <c r="BW103" s="68">
        <f>IF((BU103+BV103)=0,"", BU103/(BU103+BV103))</f>
        <v/>
      </c>
      <c r="BX103" s="67">
        <f>M103+AH103+BC103</f>
        <v/>
      </c>
      <c r="BY103" s="67">
        <f>N103+AI103+BD103</f>
        <v/>
      </c>
      <c r="BZ103" s="68">
        <f>IF((BX103+BY103)=0,"", BX103/(BX103+BY103))</f>
        <v/>
      </c>
      <c r="CA103" s="67">
        <f>P103+AK103+BF103</f>
        <v/>
      </c>
      <c r="CB103" s="67">
        <f>Q103+AL103+BG103</f>
        <v/>
      </c>
      <c r="CC103" s="68">
        <f>IF((CA103+CB103)=0,"", CA103/(CA103+CB103))</f>
        <v/>
      </c>
      <c r="CD103" s="67">
        <f>S103+AN103+BI103</f>
        <v/>
      </c>
      <c r="CE103" s="67">
        <f>T103+AO103+BJ103</f>
        <v/>
      </c>
      <c r="CF103" s="68">
        <f>IF((CD103+CE103)=0,"", CD103/(CD103+CE103))</f>
        <v/>
      </c>
      <c r="CG103" s="69">
        <f>V103+AQ103+BL103</f>
        <v/>
      </c>
      <c r="CH103" s="69">
        <f>W103+AR103+BM103</f>
        <v/>
      </c>
      <c r="CI103" s="70">
        <f>IF((CG103+CH103)=0,"", CG103/(CG103+CH103))</f>
        <v/>
      </c>
      <c r="CJ103" s="67">
        <f>CD103+(CG103*2)</f>
        <v/>
      </c>
      <c r="CK103" s="67">
        <f>CE103+(CH103*2)</f>
        <v/>
      </c>
      <c r="CL103" s="68">
        <f>IF((CJ103+CK103)=0,"", CJ103/(CJ103+CK103))</f>
        <v/>
      </c>
      <c r="CM103" s="67" t="inlineStr">
        <is>
          <t>Batch 3</t>
        </is>
      </c>
    </row>
    <row r="104" ht="14.25" customHeight="1" s="34">
      <c r="A104" s="46" t="n">
        <v>102</v>
      </c>
      <c r="B104" s="46" t="inlineStr">
        <is>
          <t>325106410102</t>
        </is>
      </c>
      <c r="C104" s="46" t="inlineStr">
        <is>
          <t>PROTTOY KUMAR PRAMANIK</t>
        </is>
      </c>
      <c r="D104" s="63" t="n">
        <v>0</v>
      </c>
      <c r="E104" s="63" t="n">
        <v>0</v>
      </c>
      <c r="F104" s="64">
        <f>IF((D104+E104)=0,"", D104/(D104+E104))</f>
        <v/>
      </c>
      <c r="G104" s="63">
        <f>COUNTIF('Detailed Attendance'!I105:I105, "P")</f>
        <v/>
      </c>
      <c r="H104" s="63">
        <f>COUNTIF('Detailed Attendance'!I105:I105, "A")</f>
        <v/>
      </c>
      <c r="I104" s="64">
        <f>IF((G104+H104)=0,"", G104/(G104+H104))</f>
        <v/>
      </c>
      <c r="J104" s="63" t="n">
        <v>0</v>
      </c>
      <c r="K104" s="63" t="n">
        <v>0</v>
      </c>
      <c r="L104" s="64">
        <f>IF((J104+K104)=0,"", J104/(J104+K104))</f>
        <v/>
      </c>
      <c r="M104" s="63">
        <f>COUNTIF('Detailed Attendance'!D105:D105, "P")</f>
        <v/>
      </c>
      <c r="N104" s="63">
        <f>COUNTIF('Detailed Attendance'!D105:D105, "A")</f>
        <v/>
      </c>
      <c r="O104" s="64">
        <f>IF((M104+N104)=0,"", M104/(M104+N104))</f>
        <v/>
      </c>
      <c r="P104" s="63" t="n">
        <v>0</v>
      </c>
      <c r="Q104" s="63" t="n">
        <v>0</v>
      </c>
      <c r="R104" s="64">
        <f>IF((P104+Q104)=0,"", P104/(P104+Q104))</f>
        <v/>
      </c>
      <c r="S104" s="63">
        <f>D104+G104+J104+M104+P104</f>
        <v/>
      </c>
      <c r="T104" s="63">
        <f>E104+H104+K104+N104+Q104</f>
        <v/>
      </c>
      <c r="U104" s="64">
        <f>IF((S104+T104)=0,"", S104/(S104+T104))</f>
        <v/>
      </c>
      <c r="V104" s="65">
        <f>COUNTIF('Detailed Attendance'!E105:E105, "P")+COUNTIF('Detailed Attendance'!H105:H105, "P")</f>
        <v/>
      </c>
      <c r="W104" s="65">
        <f>COUNTIF('Detailed Attendance'!E105:E105, "A")+COUNTIF('Detailed Attendance'!H105:H105, "A")</f>
        <v/>
      </c>
      <c r="X104" s="66">
        <f>IF((V104+W104)=0,"", V104/(V104+W104))</f>
        <v/>
      </c>
      <c r="Y104" s="63">
        <f>COUNTIF('Detailed Attendance'!R105:R105, "P")+COUNTIF('Detailed Attendance'!X105:X105, "P")+COUNTIF('Detailed Attendance'!AL105:AL105, "P")+COUNTIF('Detailed Attendance'!BF105:BF105, "P")+COUNTIF('Detailed Attendance'!BL105:BL105, "P")+COUNTIF('Detailed Attendance'!BZ105:BZ105, "P")+COUNTIF('Detailed Attendance'!CI105:CI105, "P")+COUNTIF('Detailed Attendance'!CW105:CW105, "P")</f>
        <v/>
      </c>
      <c r="Z104" s="63">
        <f>COUNTIF('Detailed Attendance'!R105:R105, "A")+COUNTIF('Detailed Attendance'!X105:X105, "A")+COUNTIF('Detailed Attendance'!AL105:AL105, "A")+COUNTIF('Detailed Attendance'!BF105:BF105, "A")+COUNTIF('Detailed Attendance'!BL105:BL105, "A")+COUNTIF('Detailed Attendance'!BZ105:BZ105, "A")+COUNTIF('Detailed Attendance'!CI105:CI105, "A")+COUNTIF('Detailed Attendance'!CW105:CW105, "A")</f>
        <v/>
      </c>
      <c r="AA104" s="64">
        <f>IF((Y104+Z104)=0,"", Y104/(Y104+Z104))</f>
        <v/>
      </c>
      <c r="AB104" s="63">
        <f>COUNTIF('Detailed Attendance'!Q105:Q105, "P")+COUNTIF('Detailed Attendance'!AC105:AC105, "P")+COUNTIF('Detailed Attendance'!AK105:AK105, "P")+COUNTIF('Detailed Attendance'!AW105:AW105, "P")+COUNTIF('Detailed Attendance'!BE105:BE105, "P")+COUNTIF('Detailed Attendance'!BQ105:BQ105, "P")+COUNTIF('Detailed Attendance'!BY105:BY105, "P")+COUNTIF('Detailed Attendance'!CN105:CN105, "P")+COUNTIF('Detailed Attendance'!CV105:CV105, "P")</f>
        <v/>
      </c>
      <c r="AC104" s="63">
        <f>COUNTIF('Detailed Attendance'!Q105:Q105, "A")+COUNTIF('Detailed Attendance'!AC105:AC105, "A")+COUNTIF('Detailed Attendance'!AK105:AK105, "A")+COUNTIF('Detailed Attendance'!AW105:AW105, "A")+COUNTIF('Detailed Attendance'!BE105:BE105, "A")+COUNTIF('Detailed Attendance'!BQ105:BQ105, "A")+COUNTIF('Detailed Attendance'!BY105:BY105, "A")+COUNTIF('Detailed Attendance'!CN105:CN105, "A")+COUNTIF('Detailed Attendance'!CV105:CV105, "A")</f>
        <v/>
      </c>
      <c r="AD104" s="64">
        <f>IF((AB104+AC104)=0,"", AB104/(AB104+AC104))</f>
        <v/>
      </c>
      <c r="AE104" s="63">
        <f>COUNTIF('Detailed Attendance'!L105:L105, "P")+COUNTIF('Detailed Attendance'!P105:P105, "P")+COUNTIF('Detailed Attendance'!AF105:AF105, "P")+COUNTIF('Detailed Attendance'!AJ105:AJ105, "P")+COUNTIF('Detailed Attendance'!AZ105:AZ105, "P")+COUNTIF('Detailed Attendance'!BD105:BD105, "P")+COUNTIF('Detailed Attendance'!BT105:BT105, "P")+COUNTIF('Detailed Attendance'!BX105:BX105, "P")+COUNTIF('Detailed Attendance'!CQ105:CQ105, "P")+COUNTIF('Detailed Attendance'!CU105:CU105, "P")</f>
        <v/>
      </c>
      <c r="AF104" s="67">
        <f>COUNTIF('Detailed Attendance'!L105:L105, "A")+COUNTIF('Detailed Attendance'!P105:P105, "A")+COUNTIF('Detailed Attendance'!AF105:AF105, "A")+COUNTIF('Detailed Attendance'!AJ105:AJ105, "A")+COUNTIF('Detailed Attendance'!AZ105:AZ105, "A")+COUNTIF('Detailed Attendance'!BD105:BD105, "A")+COUNTIF('Detailed Attendance'!BT105:BT105, "A")+COUNTIF('Detailed Attendance'!BX105:BX105, "A")+COUNTIF('Detailed Attendance'!CQ105:CQ105, "A")+COUNTIF('Detailed Attendance'!CU105:CU105, "A")</f>
        <v/>
      </c>
      <c r="AG104" s="68">
        <f>IF((AE104+AF104)=0,"", AE104/(AE104+AF104))</f>
        <v/>
      </c>
      <c r="AH104" s="67">
        <f>COUNTIF('Detailed Attendance'!T105:T105, "P")+COUNTIF('Detailed Attendance'!AN105:AN105, "P")+COUNTIF('Detailed Attendance'!AR105:AR105, "P")+COUNTIF('Detailed Attendance'!BH105:BH105, "P")+COUNTIF('Detailed Attendance'!CB105:CB105, "P")+COUNTIF('Detailed Attendance'!CF105:CF105, "P")+COUNTIF('Detailed Attendance'!CY105:CY105, "P")</f>
        <v/>
      </c>
      <c r="AI104" s="67">
        <f>COUNTIF('Detailed Attendance'!T105:T105, "A")+COUNTIF('Detailed Attendance'!AN105:AN105, "A")+COUNTIF('Detailed Attendance'!AR105:AR105, "A")+COUNTIF('Detailed Attendance'!BH105:BH105, "A")+COUNTIF('Detailed Attendance'!CB105:CB105, "A")+COUNTIF('Detailed Attendance'!CF105:CF105, "A")+COUNTIF('Detailed Attendance'!CY105:CY105, "A")</f>
        <v/>
      </c>
      <c r="AJ104" s="68">
        <f>IF((AH104+AI104)=0,"", AH104/(AH104+AI104))</f>
        <v/>
      </c>
      <c r="AK104" s="67">
        <f>COUNTIF('Detailed Attendance'!M105:M105, "P")+COUNTIF('Detailed Attendance'!U105:U105, "P")+COUNTIF('Detailed Attendance'!AG105:AG105, "P")+COUNTIF('Detailed Attendance'!AO105:AO105, "P")+COUNTIF('Detailed Attendance'!BA105:BA105, "P")+COUNTIF('Detailed Attendance'!BI105:BI105, "P")+COUNTIF('Detailed Attendance'!BU105:BU105, "P")+COUNTIF('Detailed Attendance'!CC105:CC105, "P")+COUNTIF('Detailed Attendance'!CR105:CR105, "P")+COUNTIF('Detailed Attendance'!CZ105:CZ105, "P")</f>
        <v/>
      </c>
      <c r="AL104" s="67">
        <f>COUNTIF('Detailed Attendance'!M105:M105, "A")+COUNTIF('Detailed Attendance'!U105:U105, "A")+COUNTIF('Detailed Attendance'!AG105:AG105, "A")+COUNTIF('Detailed Attendance'!AO105:AO105, "A")+COUNTIF('Detailed Attendance'!BA105:BA105, "A")+COUNTIF('Detailed Attendance'!BI105:BI105, "A")+COUNTIF('Detailed Attendance'!BU105:BU105, "A")+COUNTIF('Detailed Attendance'!CC105:CC105, "A")+COUNTIF('Detailed Attendance'!CR105:CR105, "A")+COUNTIF('Detailed Attendance'!CZ105:CZ105, "A")</f>
        <v/>
      </c>
      <c r="AM104" s="68">
        <f>IF((AK104+AL104)=0,"", AK104/(AK104+AL104))</f>
        <v/>
      </c>
      <c r="AN104" s="67">
        <f>Y104+AB104+AE104+AH104+AK104</f>
        <v/>
      </c>
      <c r="AO104" s="67">
        <f>Z104+AC104+AF104+AI104+AL104</f>
        <v/>
      </c>
      <c r="AP104" s="68">
        <f>IF((AN104+AO104)=0,"", AN104/(AN104+AO104))</f>
        <v/>
      </c>
      <c r="AQ104" s="69">
        <f>COUNTIF('Detailed Attendance'!CH105:CH105, "P")+COUNTIF('Detailed Attendance'!Y105:Y105, "P")+COUNTIF('Detailed Attendance'!AS105:AS105, "P")+COUNTIF('Detailed Attendance'!BM105:BM105, "P")+COUNTIF('Detailed Attendance'!CJ105:CJ105, "P")+COUNTIF('Detailed Attendance'!AB105:AB105, "P")+COUNTIF('Detailed Attendance'!AV105:AV105, "P")+COUNTIF('Detailed Attendance'!BP105:BP105, "P")+COUNTIF('Detailed Attendance'!CM105:CM105, "P")</f>
        <v/>
      </c>
      <c r="AR104" s="69">
        <f>COUNTIF('Detailed Attendance'!CH105:CH105, "A")+COUNTIF('Detailed Attendance'!Y105:Y105, "A")+COUNTIF('Detailed Attendance'!AS105:AS105, "A")+COUNTIF('Detailed Attendance'!BM105:BM105, "A")+COUNTIF('Detailed Attendance'!CJ105:CJ105, "A")+COUNTIF('Detailed Attendance'!AB105:AB105, "A")+COUNTIF('Detailed Attendance'!AV105:AV105, "A")+COUNTIF('Detailed Attendance'!BP105:BP105, "A")+COUNTIF('Detailed Attendance'!CM105:CM105, "A")</f>
        <v/>
      </c>
      <c r="AS104" s="70">
        <f>IF((AQ104+AR104)=0,"", AQ104/(AQ104+AR104))</f>
        <v/>
      </c>
      <c r="AT104" s="67">
        <f>COUNTIF('Detailed Attendance'!DF105:DF105, "P")+COUNTIF('Detailed Attendance'!DT105:DT105, "P")+COUNTIF('Detailed Attendance'!EC105:EC105, "P")+COUNTIF('Detailed Attendance'!EQ105:EQ105, "P")+COUNTIF('Detailed Attendance'!EW105:EW105, "P")+COUNTIF('Detailed Attendance'!FK105:FK105, "P")+COUNTIF('Detailed Attendance'!FM105:FM105, "P")+COUNTIF('Detailed Attendance'!GA105:GA105, "P")</f>
        <v/>
      </c>
      <c r="AU104" s="67">
        <f>COUNTIF('Detailed Attendance'!DF105:DF105, "A")+COUNTIF('Detailed Attendance'!DT105:DT105, "A")+COUNTIF('Detailed Attendance'!EC105:EC105, "A")+COUNTIF('Detailed Attendance'!EQ105:EQ105, "A")+COUNTIF('Detailed Attendance'!EW105:EW105, "A")+COUNTIF('Detailed Attendance'!FK105:FK105, "A")+COUNTIF('Detailed Attendance'!FM105:FM105, "A")+COUNTIF('Detailed Attendance'!GA105:GA105, "A")</f>
        <v/>
      </c>
      <c r="AV104" s="68">
        <f>IF((AT104+AU104)=0,"", AT104/(AT104+AU104))</f>
        <v/>
      </c>
      <c r="AW104" s="67">
        <f>COUNTIF('Detailed Attendance'!DK105:DK105, "P")+COUNTIF('Detailed Attendance'!DS105:DS105, "P")+COUNTIF('Detailed Attendance'!EH105:EH105, "P")+COUNTIF('Detailed Attendance'!EP105:EP105, "P")+COUNTIF('Detailed Attendance'!FB105:FB105, "P")+COUNTIF('Detailed Attendance'!FJ105:FJ105, "P")+COUNTIF('Detailed Attendance'!FR105:FR105, "P")+COUNTIF('Detailed Attendance'!FZ105:FZ105, "P")</f>
        <v/>
      </c>
      <c r="AX104" s="67">
        <f>COUNTIF('Detailed Attendance'!DK105:DK105, "A")+COUNTIF('Detailed Attendance'!DS105:DS105, "A")+COUNTIF('Detailed Attendance'!EH105:EH105, "A")+COUNTIF('Detailed Attendance'!EP105:EP105, "A")+COUNTIF('Detailed Attendance'!FB105:FB105, "A")+COUNTIF('Detailed Attendance'!FJ105:FJ105, "A")+COUNTIF('Detailed Attendance'!FR105:FR105, "A")+COUNTIF('Detailed Attendance'!FZ105:FZ105, "A")</f>
        <v/>
      </c>
      <c r="AY104" s="68">
        <f>IF((AW104+AX104)=0,"", AW104/(AW104+AX104))</f>
        <v/>
      </c>
      <c r="AZ104" s="67">
        <f>COUNTIF('Detailed Attendance'!DN105:DN105, "P")+COUNTIF('Detailed Attendance'!DR105:DR105, "P")+COUNTIF('Detailed Attendance'!EK105:EK105, "P")+COUNTIF('Detailed Attendance'!EO105:EO105, "P")+COUNTIF('Detailed Attendance'!FE105:FE105, "P")+COUNTIF('Detailed Attendance'!FI105:FI105, "P")+COUNTIF('Detailed Attendance'!FU105:FU105, "P")+COUNTIF('Detailed Attendance'!FY105:FY105, "P")</f>
        <v/>
      </c>
      <c r="BA104" s="67">
        <f>COUNTIF('Detailed Attendance'!DN105:DN105, "A")+COUNTIF('Detailed Attendance'!DR105:DR105, "A")+COUNTIF('Detailed Attendance'!EK105:EK105, "A")+COUNTIF('Detailed Attendance'!EO105:EO105, "A")+COUNTIF('Detailed Attendance'!FE105:FE105, "A")+COUNTIF('Detailed Attendance'!FI105:FI105, "A")+COUNTIF('Detailed Attendance'!FU105:FU105, "A")+COUNTIF('Detailed Attendance'!FY105:FY105, "A")</f>
        <v/>
      </c>
      <c r="BB104" s="68">
        <f>IF((AZ104+BA104)=0,"", AZ104/(AZ104+BA104))</f>
        <v/>
      </c>
      <c r="BC104" s="67">
        <f>COUNTIF('Detailed Attendance'!DC105:DC105, "P")+COUNTIF('Detailed Attendance'!DV105:DV105, "P")+COUNTIF('Detailed Attendance'!DZ105:DZ105, "P")+COUNTIF('Detailed Attendance'!ES105:ES105, "P")+COUNTIF('Detailed Attendance'!GC105:GC105, "P")+COUNTIF('Detailed Attendance'!GG105:GG105, "P")</f>
        <v/>
      </c>
      <c r="BD104" s="67">
        <f>COUNTIF('Detailed Attendance'!DC105:DC105, "A")+COUNTIF('Detailed Attendance'!DV105:DV105, "A")+COUNTIF('Detailed Attendance'!DZ105:DZ105, "A")+COUNTIF('Detailed Attendance'!ES105:ES105, "A")+COUNTIF('Detailed Attendance'!GC105:GC105, "A")+COUNTIF('Detailed Attendance'!GG105:GG105, "A")</f>
        <v/>
      </c>
      <c r="BE104" s="68">
        <f>IF((BC104+BD104)=0,"", BC104/(BC104+BD104))</f>
        <v/>
      </c>
      <c r="BF104" s="67">
        <f>COUNTIF('Detailed Attendance'!DO105:DO105, "P")+COUNTIF('Detailed Attendance'!DW105:DW105, "P")+COUNTIF('Detailed Attendance'!EL105:EL105, "P")+COUNTIF('Detailed Attendance'!ET105:ET105, "P")+COUNTIF('Detailed Attendance'!FF105:FF105, "P")+COUNTIF('Detailed Attendance'!FV105:FV105, "P")+COUNTIF('Detailed Attendance'!GD105:GD105, "P")</f>
        <v/>
      </c>
      <c r="BG104" s="67">
        <f>COUNTIF('Detailed Attendance'!DO105:DO105, "A")+COUNTIF('Detailed Attendance'!DW105:DW105, "A")+COUNTIF('Detailed Attendance'!EL105:EL105, "A")+COUNTIF('Detailed Attendance'!ET105:ET105, "A")+COUNTIF('Detailed Attendance'!FF105:FF105, "A")+COUNTIF('Detailed Attendance'!FV105:FV105, "A")+COUNTIF('Detailed Attendance'!GD105:GD105, "A")</f>
        <v/>
      </c>
      <c r="BH104" s="68">
        <f>IF((BF104+BG104)=0,"", BF104/(BF104+BG104))</f>
        <v/>
      </c>
      <c r="BI104" s="67">
        <f>AT104+AW104+AZ104+BC104+BF104</f>
        <v/>
      </c>
      <c r="BJ104" s="67">
        <f>AU104+AX104+BA104+BD104+BG104</f>
        <v/>
      </c>
      <c r="BK104" s="68">
        <f>IF((BI104+BJ104)=0,"", BI104/(BI104+BJ104))</f>
        <v/>
      </c>
      <c r="BL104" s="69">
        <f>COUNTIF('Detailed Attendance'!DE105:DE105, "P")+COUNTIF('Detailed Attendance'!EB105:EB105, "P")+COUNTIF('Detailed Attendance'!GI105:GI105, "P")+COUNTIF('Detailed Attendance'!DG105:DG105, "P")+COUNTIF('Detailed Attendance'!ED105:ED105, "P")+COUNTIF('Detailed Attendance'!EX105:EX105, "P")+COUNTIF('Detailed Attendance'!FN105:FN105, "P")+COUNTIF('Detailed Attendance'!DJ105:DJ105, "P")+COUNTIF('Detailed Attendance'!EG105:EG105, "P")+COUNTIF('Detailed Attendance'!FA105:FA105, "P")+COUNTIF('Detailed Attendance'!FQ105:FQ105, "P")</f>
        <v/>
      </c>
      <c r="BM104" s="69">
        <f>COUNTIF('Detailed Attendance'!DE105:DE105, "A")+COUNTIF('Detailed Attendance'!EB105:EB105, "A")+COUNTIF('Detailed Attendance'!GI105:GI105, "A")+COUNTIF('Detailed Attendance'!DG105:DG105, "A")+COUNTIF('Detailed Attendance'!ED105:ED105, "A")+COUNTIF('Detailed Attendance'!EX105:EX105, "A")+COUNTIF('Detailed Attendance'!FN105:FN105, "A")+COUNTIF('Detailed Attendance'!DJ105:DJ105, "A")+COUNTIF('Detailed Attendance'!EG105:EG105, "A")+COUNTIF('Detailed Attendance'!FA105:FA105, "A")+COUNTIF('Detailed Attendance'!FQ105:FQ105, "A")</f>
        <v/>
      </c>
      <c r="BN104" s="70">
        <f>IF((BL104+BM104)=0,"", BL104/(BL104+BM104))</f>
        <v/>
      </c>
      <c r="BO104" s="67">
        <f>D104+Y104+AT104</f>
        <v/>
      </c>
      <c r="BP104" s="67">
        <f>E104+Z104+AU104</f>
        <v/>
      </c>
      <c r="BQ104" s="68">
        <f>IF((BO104+BP104)=0,"", BO104/(BO104+BP104))</f>
        <v/>
      </c>
      <c r="BR104" s="67">
        <f>G104+AB104+AW104</f>
        <v/>
      </c>
      <c r="BS104" s="67">
        <f>H104+AC104+AX104</f>
        <v/>
      </c>
      <c r="BT104" s="68">
        <f>IF((BR104+BS104)=0,"", BR104/(BR104+BS104))</f>
        <v/>
      </c>
      <c r="BU104" s="67">
        <f>J104+AE104+AZ104</f>
        <v/>
      </c>
      <c r="BV104" s="67">
        <f>K104+AF104+BA104</f>
        <v/>
      </c>
      <c r="BW104" s="68">
        <f>IF((BU104+BV104)=0,"", BU104/(BU104+BV104))</f>
        <v/>
      </c>
      <c r="BX104" s="67">
        <f>M104+AH104+BC104</f>
        <v/>
      </c>
      <c r="BY104" s="67">
        <f>N104+AI104+BD104</f>
        <v/>
      </c>
      <c r="BZ104" s="68">
        <f>IF((BX104+BY104)=0,"", BX104/(BX104+BY104))</f>
        <v/>
      </c>
      <c r="CA104" s="67">
        <f>P104+AK104+BF104</f>
        <v/>
      </c>
      <c r="CB104" s="67">
        <f>Q104+AL104+BG104</f>
        <v/>
      </c>
      <c r="CC104" s="68">
        <f>IF((CA104+CB104)=0,"", CA104/(CA104+CB104))</f>
        <v/>
      </c>
      <c r="CD104" s="67">
        <f>S104+AN104+BI104</f>
        <v/>
      </c>
      <c r="CE104" s="67">
        <f>T104+AO104+BJ104</f>
        <v/>
      </c>
      <c r="CF104" s="68">
        <f>IF((CD104+CE104)=0,"", CD104/(CD104+CE104))</f>
        <v/>
      </c>
      <c r="CG104" s="69">
        <f>V104+AQ104+BL104</f>
        <v/>
      </c>
      <c r="CH104" s="69">
        <f>W104+AR104+BM104</f>
        <v/>
      </c>
      <c r="CI104" s="70">
        <f>IF((CG104+CH104)=0,"", CG104/(CG104+CH104))</f>
        <v/>
      </c>
      <c r="CJ104" s="67">
        <f>CD104+(CG104*2)</f>
        <v/>
      </c>
      <c r="CK104" s="67">
        <f>CE104+(CH104*2)</f>
        <v/>
      </c>
      <c r="CL104" s="68">
        <f>IF((CJ104+CK104)=0,"", CJ104/(CJ104+CK104))</f>
        <v/>
      </c>
      <c r="CM104" s="67" t="inlineStr">
        <is>
          <t>Batch 3</t>
        </is>
      </c>
    </row>
    <row r="105" ht="14.25" customHeight="1" s="34">
      <c r="A105" s="46" t="n">
        <v>103</v>
      </c>
      <c r="B105" s="46" t="inlineStr">
        <is>
          <t>325106410103</t>
        </is>
      </c>
      <c r="C105" s="46" t="inlineStr">
        <is>
          <t>RACHIDA SAID MZE</t>
        </is>
      </c>
      <c r="D105" s="63" t="n">
        <v>0</v>
      </c>
      <c r="E105" s="63" t="n">
        <v>0</v>
      </c>
      <c r="F105" s="64">
        <f>IF((D105+E105)=0,"", D105/(D105+E105))</f>
        <v/>
      </c>
      <c r="G105" s="63">
        <f>COUNTIF('Detailed Attendance'!I106:I106, "P")</f>
        <v/>
      </c>
      <c r="H105" s="63">
        <f>COUNTIF('Detailed Attendance'!I106:I106, "A")</f>
        <v/>
      </c>
      <c r="I105" s="64">
        <f>IF((G105+H105)=0,"", G105/(G105+H105))</f>
        <v/>
      </c>
      <c r="J105" s="63" t="n">
        <v>0</v>
      </c>
      <c r="K105" s="63" t="n">
        <v>0</v>
      </c>
      <c r="L105" s="64">
        <f>IF((J105+K105)=0,"", J105/(J105+K105))</f>
        <v/>
      </c>
      <c r="M105" s="63">
        <f>COUNTIF('Detailed Attendance'!D106:D106, "P")</f>
        <v/>
      </c>
      <c r="N105" s="63">
        <f>COUNTIF('Detailed Attendance'!D106:D106, "A")</f>
        <v/>
      </c>
      <c r="O105" s="64">
        <f>IF((M105+N105)=0,"", M105/(M105+N105))</f>
        <v/>
      </c>
      <c r="P105" s="63" t="n">
        <v>0</v>
      </c>
      <c r="Q105" s="63" t="n">
        <v>0</v>
      </c>
      <c r="R105" s="64">
        <f>IF((P105+Q105)=0,"", P105/(P105+Q105))</f>
        <v/>
      </c>
      <c r="S105" s="63">
        <f>D105+G105+J105+M105+P105</f>
        <v/>
      </c>
      <c r="T105" s="63">
        <f>E105+H105+K105+N105+Q105</f>
        <v/>
      </c>
      <c r="U105" s="64">
        <f>IF((S105+T105)=0,"", S105/(S105+T105))</f>
        <v/>
      </c>
      <c r="V105" s="65">
        <f>COUNTIF('Detailed Attendance'!E106:E106, "P")+COUNTIF('Detailed Attendance'!H106:H106, "P")</f>
        <v/>
      </c>
      <c r="W105" s="65">
        <f>COUNTIF('Detailed Attendance'!E106:E106, "A")+COUNTIF('Detailed Attendance'!H106:H106, "A")</f>
        <v/>
      </c>
      <c r="X105" s="66">
        <f>IF((V105+W105)=0,"", V105/(V105+W105))</f>
        <v/>
      </c>
      <c r="Y105" s="63">
        <f>COUNTIF('Detailed Attendance'!R106:R106, "P")+COUNTIF('Detailed Attendance'!X106:X106, "P")+COUNTIF('Detailed Attendance'!AL106:AL106, "P")+COUNTIF('Detailed Attendance'!BF106:BF106, "P")+COUNTIF('Detailed Attendance'!BL106:BL106, "P")+COUNTIF('Detailed Attendance'!BZ106:BZ106, "P")+COUNTIF('Detailed Attendance'!CI106:CI106, "P")+COUNTIF('Detailed Attendance'!CW106:CW106, "P")</f>
        <v/>
      </c>
      <c r="Z105" s="63">
        <f>COUNTIF('Detailed Attendance'!R106:R106, "A")+COUNTIF('Detailed Attendance'!X106:X106, "A")+COUNTIF('Detailed Attendance'!AL106:AL106, "A")+COUNTIF('Detailed Attendance'!BF106:BF106, "A")+COUNTIF('Detailed Attendance'!BL106:BL106, "A")+COUNTIF('Detailed Attendance'!BZ106:BZ106, "A")+COUNTIF('Detailed Attendance'!CI106:CI106, "A")+COUNTIF('Detailed Attendance'!CW106:CW106, "A")</f>
        <v/>
      </c>
      <c r="AA105" s="64">
        <f>IF((Y105+Z105)=0,"", Y105/(Y105+Z105))</f>
        <v/>
      </c>
      <c r="AB105" s="63">
        <f>COUNTIF('Detailed Attendance'!Q106:Q106, "P")+COUNTIF('Detailed Attendance'!AC106:AC106, "P")+COUNTIF('Detailed Attendance'!AK106:AK106, "P")+COUNTIF('Detailed Attendance'!AW106:AW106, "P")+COUNTIF('Detailed Attendance'!BE106:BE106, "P")+COUNTIF('Detailed Attendance'!BQ106:BQ106, "P")+COUNTIF('Detailed Attendance'!BY106:BY106, "P")+COUNTIF('Detailed Attendance'!CN106:CN106, "P")+COUNTIF('Detailed Attendance'!CV106:CV106, "P")</f>
        <v/>
      </c>
      <c r="AC105" s="63">
        <f>COUNTIF('Detailed Attendance'!Q106:Q106, "A")+COUNTIF('Detailed Attendance'!AC106:AC106, "A")+COUNTIF('Detailed Attendance'!AK106:AK106, "A")+COUNTIF('Detailed Attendance'!AW106:AW106, "A")+COUNTIF('Detailed Attendance'!BE106:BE106, "A")+COUNTIF('Detailed Attendance'!BQ106:BQ106, "A")+COUNTIF('Detailed Attendance'!BY106:BY106, "A")+COUNTIF('Detailed Attendance'!CN106:CN106, "A")+COUNTIF('Detailed Attendance'!CV106:CV106, "A")</f>
        <v/>
      </c>
      <c r="AD105" s="64">
        <f>IF((AB105+AC105)=0,"", AB105/(AB105+AC105))</f>
        <v/>
      </c>
      <c r="AE105" s="63">
        <f>COUNTIF('Detailed Attendance'!L106:L106, "P")+COUNTIF('Detailed Attendance'!P106:P106, "P")+COUNTIF('Detailed Attendance'!AF106:AF106, "P")+COUNTIF('Detailed Attendance'!AJ106:AJ106, "P")+COUNTIF('Detailed Attendance'!AZ106:AZ106, "P")+COUNTIF('Detailed Attendance'!BD106:BD106, "P")+COUNTIF('Detailed Attendance'!BT106:BT106, "P")+COUNTIF('Detailed Attendance'!BX106:BX106, "P")+COUNTIF('Detailed Attendance'!CQ106:CQ106, "P")+COUNTIF('Detailed Attendance'!CU106:CU106, "P")</f>
        <v/>
      </c>
      <c r="AF105" s="67">
        <f>COUNTIF('Detailed Attendance'!L106:L106, "A")+COUNTIF('Detailed Attendance'!P106:P106, "A")+COUNTIF('Detailed Attendance'!AF106:AF106, "A")+COUNTIF('Detailed Attendance'!AJ106:AJ106, "A")+COUNTIF('Detailed Attendance'!AZ106:AZ106, "A")+COUNTIF('Detailed Attendance'!BD106:BD106, "A")+COUNTIF('Detailed Attendance'!BT106:BT106, "A")+COUNTIF('Detailed Attendance'!BX106:BX106, "A")+COUNTIF('Detailed Attendance'!CQ106:CQ106, "A")+COUNTIF('Detailed Attendance'!CU106:CU106, "A")</f>
        <v/>
      </c>
      <c r="AG105" s="68">
        <f>IF((AE105+AF105)=0,"", AE105/(AE105+AF105))</f>
        <v/>
      </c>
      <c r="AH105" s="67">
        <f>COUNTIF('Detailed Attendance'!T106:T106, "P")+COUNTIF('Detailed Attendance'!AN106:AN106, "P")+COUNTIF('Detailed Attendance'!AR106:AR106, "P")+COUNTIF('Detailed Attendance'!BH106:BH106, "P")+COUNTIF('Detailed Attendance'!CB106:CB106, "P")+COUNTIF('Detailed Attendance'!CF106:CF106, "P")+COUNTIF('Detailed Attendance'!CY106:CY106, "P")</f>
        <v/>
      </c>
      <c r="AI105" s="67">
        <f>COUNTIF('Detailed Attendance'!T106:T106, "A")+COUNTIF('Detailed Attendance'!AN106:AN106, "A")+COUNTIF('Detailed Attendance'!AR106:AR106, "A")+COUNTIF('Detailed Attendance'!BH106:BH106, "A")+COUNTIF('Detailed Attendance'!CB106:CB106, "A")+COUNTIF('Detailed Attendance'!CF106:CF106, "A")+COUNTIF('Detailed Attendance'!CY106:CY106, "A")</f>
        <v/>
      </c>
      <c r="AJ105" s="68">
        <f>IF((AH105+AI105)=0,"", AH105/(AH105+AI105))</f>
        <v/>
      </c>
      <c r="AK105" s="67">
        <f>COUNTIF('Detailed Attendance'!M106:M106, "P")+COUNTIF('Detailed Attendance'!U106:U106, "P")+COUNTIF('Detailed Attendance'!AG106:AG106, "P")+COUNTIF('Detailed Attendance'!AO106:AO106, "P")+COUNTIF('Detailed Attendance'!BA106:BA106, "P")+COUNTIF('Detailed Attendance'!BI106:BI106, "P")+COUNTIF('Detailed Attendance'!BU106:BU106, "P")+COUNTIF('Detailed Attendance'!CC106:CC106, "P")+COUNTIF('Detailed Attendance'!CR106:CR106, "P")+COUNTIF('Detailed Attendance'!CZ106:CZ106, "P")</f>
        <v/>
      </c>
      <c r="AL105" s="67">
        <f>COUNTIF('Detailed Attendance'!M106:M106, "A")+COUNTIF('Detailed Attendance'!U106:U106, "A")+COUNTIF('Detailed Attendance'!AG106:AG106, "A")+COUNTIF('Detailed Attendance'!AO106:AO106, "A")+COUNTIF('Detailed Attendance'!BA106:BA106, "A")+COUNTIF('Detailed Attendance'!BI106:BI106, "A")+COUNTIF('Detailed Attendance'!BU106:BU106, "A")+COUNTIF('Detailed Attendance'!CC106:CC106, "A")+COUNTIF('Detailed Attendance'!CR106:CR106, "A")+COUNTIF('Detailed Attendance'!CZ106:CZ106, "A")</f>
        <v/>
      </c>
      <c r="AM105" s="68">
        <f>IF((AK105+AL105)=0,"", AK105/(AK105+AL105))</f>
        <v/>
      </c>
      <c r="AN105" s="67">
        <f>Y105+AB105+AE105+AH105+AK105</f>
        <v/>
      </c>
      <c r="AO105" s="67">
        <f>Z105+AC105+AF105+AI105+AL105</f>
        <v/>
      </c>
      <c r="AP105" s="68">
        <f>IF((AN105+AO105)=0,"", AN105/(AN105+AO105))</f>
        <v/>
      </c>
      <c r="AQ105" s="69">
        <f>COUNTIF('Detailed Attendance'!CH106:CH106, "P")+COUNTIF('Detailed Attendance'!Y106:Y106, "P")+COUNTIF('Detailed Attendance'!AS106:AS106, "P")+COUNTIF('Detailed Attendance'!BM106:BM106, "P")+COUNTIF('Detailed Attendance'!CJ106:CJ106, "P")+COUNTIF('Detailed Attendance'!AB106:AB106, "P")+COUNTIF('Detailed Attendance'!AV106:AV106, "P")+COUNTIF('Detailed Attendance'!BP106:BP106, "P")+COUNTIF('Detailed Attendance'!CM106:CM106, "P")</f>
        <v/>
      </c>
      <c r="AR105" s="69">
        <f>COUNTIF('Detailed Attendance'!CH106:CH106, "A")+COUNTIF('Detailed Attendance'!Y106:Y106, "A")+COUNTIF('Detailed Attendance'!AS106:AS106, "A")+COUNTIF('Detailed Attendance'!BM106:BM106, "A")+COUNTIF('Detailed Attendance'!CJ106:CJ106, "A")+COUNTIF('Detailed Attendance'!AB106:AB106, "A")+COUNTIF('Detailed Attendance'!AV106:AV106, "A")+COUNTIF('Detailed Attendance'!BP106:BP106, "A")+COUNTIF('Detailed Attendance'!CM106:CM106, "A")</f>
        <v/>
      </c>
      <c r="AS105" s="70">
        <f>IF((AQ105+AR105)=0,"", AQ105/(AQ105+AR105))</f>
        <v/>
      </c>
      <c r="AT105" s="67">
        <f>COUNTIF('Detailed Attendance'!DF106:DF106, "P")+COUNTIF('Detailed Attendance'!DT106:DT106, "P")+COUNTIF('Detailed Attendance'!EC106:EC106, "P")+COUNTIF('Detailed Attendance'!EQ106:EQ106, "P")+COUNTIF('Detailed Attendance'!EW106:EW106, "P")+COUNTIF('Detailed Attendance'!FK106:FK106, "P")+COUNTIF('Detailed Attendance'!FM106:FM106, "P")+COUNTIF('Detailed Attendance'!GA106:GA106, "P")</f>
        <v/>
      </c>
      <c r="AU105" s="67">
        <f>COUNTIF('Detailed Attendance'!DF106:DF106, "A")+COUNTIF('Detailed Attendance'!DT106:DT106, "A")+COUNTIF('Detailed Attendance'!EC106:EC106, "A")+COUNTIF('Detailed Attendance'!EQ106:EQ106, "A")+COUNTIF('Detailed Attendance'!EW106:EW106, "A")+COUNTIF('Detailed Attendance'!FK106:FK106, "A")+COUNTIF('Detailed Attendance'!FM106:FM106, "A")+COUNTIF('Detailed Attendance'!GA106:GA106, "A")</f>
        <v/>
      </c>
      <c r="AV105" s="68">
        <f>IF((AT105+AU105)=0,"", AT105/(AT105+AU105))</f>
        <v/>
      </c>
      <c r="AW105" s="67">
        <f>COUNTIF('Detailed Attendance'!DK106:DK106, "P")+COUNTIF('Detailed Attendance'!DS106:DS106, "P")+COUNTIF('Detailed Attendance'!EH106:EH106, "P")+COUNTIF('Detailed Attendance'!EP106:EP106, "P")+COUNTIF('Detailed Attendance'!FB106:FB106, "P")+COUNTIF('Detailed Attendance'!FJ106:FJ106, "P")+COUNTIF('Detailed Attendance'!FR106:FR106, "P")+COUNTIF('Detailed Attendance'!FZ106:FZ106, "P")</f>
        <v/>
      </c>
      <c r="AX105" s="67">
        <f>COUNTIF('Detailed Attendance'!DK106:DK106, "A")+COUNTIF('Detailed Attendance'!DS106:DS106, "A")+COUNTIF('Detailed Attendance'!EH106:EH106, "A")+COUNTIF('Detailed Attendance'!EP106:EP106, "A")+COUNTIF('Detailed Attendance'!FB106:FB106, "A")+COUNTIF('Detailed Attendance'!FJ106:FJ106, "A")+COUNTIF('Detailed Attendance'!FR106:FR106, "A")+COUNTIF('Detailed Attendance'!FZ106:FZ106, "A")</f>
        <v/>
      </c>
      <c r="AY105" s="68">
        <f>IF((AW105+AX105)=0,"", AW105/(AW105+AX105))</f>
        <v/>
      </c>
      <c r="AZ105" s="67">
        <f>COUNTIF('Detailed Attendance'!DN106:DN106, "P")+COUNTIF('Detailed Attendance'!DR106:DR106, "P")+COUNTIF('Detailed Attendance'!EK106:EK106, "P")+COUNTIF('Detailed Attendance'!EO106:EO106, "P")+COUNTIF('Detailed Attendance'!FE106:FE106, "P")+COUNTIF('Detailed Attendance'!FI106:FI106, "P")+COUNTIF('Detailed Attendance'!FU106:FU106, "P")+COUNTIF('Detailed Attendance'!FY106:FY106, "P")</f>
        <v/>
      </c>
      <c r="BA105" s="67">
        <f>COUNTIF('Detailed Attendance'!DN106:DN106, "A")+COUNTIF('Detailed Attendance'!DR106:DR106, "A")+COUNTIF('Detailed Attendance'!EK106:EK106, "A")+COUNTIF('Detailed Attendance'!EO106:EO106, "A")+COUNTIF('Detailed Attendance'!FE106:FE106, "A")+COUNTIF('Detailed Attendance'!FI106:FI106, "A")+COUNTIF('Detailed Attendance'!FU106:FU106, "A")+COUNTIF('Detailed Attendance'!FY106:FY106, "A")</f>
        <v/>
      </c>
      <c r="BB105" s="68">
        <f>IF((AZ105+BA105)=0,"", AZ105/(AZ105+BA105))</f>
        <v/>
      </c>
      <c r="BC105" s="67">
        <f>COUNTIF('Detailed Attendance'!DC106:DC106, "P")+COUNTIF('Detailed Attendance'!DV106:DV106, "P")+COUNTIF('Detailed Attendance'!DZ106:DZ106, "P")+COUNTIF('Detailed Attendance'!ES106:ES106, "P")+COUNTIF('Detailed Attendance'!GC106:GC106, "P")+COUNTIF('Detailed Attendance'!GG106:GG106, "P")</f>
        <v/>
      </c>
      <c r="BD105" s="67">
        <f>COUNTIF('Detailed Attendance'!DC106:DC106, "A")+COUNTIF('Detailed Attendance'!DV106:DV106, "A")+COUNTIF('Detailed Attendance'!DZ106:DZ106, "A")+COUNTIF('Detailed Attendance'!ES106:ES106, "A")+COUNTIF('Detailed Attendance'!GC106:GC106, "A")+COUNTIF('Detailed Attendance'!GG106:GG106, "A")</f>
        <v/>
      </c>
      <c r="BE105" s="68">
        <f>IF((BC105+BD105)=0,"", BC105/(BC105+BD105))</f>
        <v/>
      </c>
      <c r="BF105" s="67">
        <f>COUNTIF('Detailed Attendance'!DO106:DO106, "P")+COUNTIF('Detailed Attendance'!DW106:DW106, "P")+COUNTIF('Detailed Attendance'!EL106:EL106, "P")+COUNTIF('Detailed Attendance'!ET106:ET106, "P")+COUNTIF('Detailed Attendance'!FF106:FF106, "P")+COUNTIF('Detailed Attendance'!FV106:FV106, "P")+COUNTIF('Detailed Attendance'!GD106:GD106, "P")</f>
        <v/>
      </c>
      <c r="BG105" s="67">
        <f>COUNTIF('Detailed Attendance'!DO106:DO106, "A")+COUNTIF('Detailed Attendance'!DW106:DW106, "A")+COUNTIF('Detailed Attendance'!EL106:EL106, "A")+COUNTIF('Detailed Attendance'!ET106:ET106, "A")+COUNTIF('Detailed Attendance'!FF106:FF106, "A")+COUNTIF('Detailed Attendance'!FV106:FV106, "A")+COUNTIF('Detailed Attendance'!GD106:GD106, "A")</f>
        <v/>
      </c>
      <c r="BH105" s="68">
        <f>IF((BF105+BG105)=0,"", BF105/(BF105+BG105))</f>
        <v/>
      </c>
      <c r="BI105" s="67">
        <f>AT105+AW105+AZ105+BC105+BF105</f>
        <v/>
      </c>
      <c r="BJ105" s="67">
        <f>AU105+AX105+BA105+BD105+BG105</f>
        <v/>
      </c>
      <c r="BK105" s="68">
        <f>IF((BI105+BJ105)=0,"", BI105/(BI105+BJ105))</f>
        <v/>
      </c>
      <c r="BL105" s="69">
        <f>COUNTIF('Detailed Attendance'!DE106:DE106, "P")+COUNTIF('Detailed Attendance'!EB106:EB106, "P")+COUNTIF('Detailed Attendance'!GI106:GI106, "P")+COUNTIF('Detailed Attendance'!DG106:DG106, "P")+COUNTIF('Detailed Attendance'!ED106:ED106, "P")+COUNTIF('Detailed Attendance'!EX106:EX106, "P")+COUNTIF('Detailed Attendance'!FN106:FN106, "P")+COUNTIF('Detailed Attendance'!DJ106:DJ106, "P")+COUNTIF('Detailed Attendance'!EG106:EG106, "P")+COUNTIF('Detailed Attendance'!FA106:FA106, "P")+COUNTIF('Detailed Attendance'!FQ106:FQ106, "P")</f>
        <v/>
      </c>
      <c r="BM105" s="69">
        <f>COUNTIF('Detailed Attendance'!DE106:DE106, "A")+COUNTIF('Detailed Attendance'!EB106:EB106, "A")+COUNTIF('Detailed Attendance'!GI106:GI106, "A")+COUNTIF('Detailed Attendance'!DG106:DG106, "A")+COUNTIF('Detailed Attendance'!ED106:ED106, "A")+COUNTIF('Detailed Attendance'!EX106:EX106, "A")+COUNTIF('Detailed Attendance'!FN106:FN106, "A")+COUNTIF('Detailed Attendance'!DJ106:DJ106, "A")+COUNTIF('Detailed Attendance'!EG106:EG106, "A")+COUNTIF('Detailed Attendance'!FA106:FA106, "A")+COUNTIF('Detailed Attendance'!FQ106:FQ106, "A")</f>
        <v/>
      </c>
      <c r="BN105" s="70">
        <f>IF((BL105+BM105)=0,"", BL105/(BL105+BM105))</f>
        <v/>
      </c>
      <c r="BO105" s="67">
        <f>D105+Y105+AT105</f>
        <v/>
      </c>
      <c r="BP105" s="67">
        <f>E105+Z105+AU105</f>
        <v/>
      </c>
      <c r="BQ105" s="68">
        <f>IF((BO105+BP105)=0,"", BO105/(BO105+BP105))</f>
        <v/>
      </c>
      <c r="BR105" s="67">
        <f>G105+AB105+AW105</f>
        <v/>
      </c>
      <c r="BS105" s="67">
        <f>H105+AC105+AX105</f>
        <v/>
      </c>
      <c r="BT105" s="68">
        <f>IF((BR105+BS105)=0,"", BR105/(BR105+BS105))</f>
        <v/>
      </c>
      <c r="BU105" s="67">
        <f>J105+AE105+AZ105</f>
        <v/>
      </c>
      <c r="BV105" s="67">
        <f>K105+AF105+BA105</f>
        <v/>
      </c>
      <c r="BW105" s="68">
        <f>IF((BU105+BV105)=0,"", BU105/(BU105+BV105))</f>
        <v/>
      </c>
      <c r="BX105" s="67">
        <f>M105+AH105+BC105</f>
        <v/>
      </c>
      <c r="BY105" s="67">
        <f>N105+AI105+BD105</f>
        <v/>
      </c>
      <c r="BZ105" s="68">
        <f>IF((BX105+BY105)=0,"", BX105/(BX105+BY105))</f>
        <v/>
      </c>
      <c r="CA105" s="67">
        <f>P105+AK105+BF105</f>
        <v/>
      </c>
      <c r="CB105" s="67">
        <f>Q105+AL105+BG105</f>
        <v/>
      </c>
      <c r="CC105" s="68">
        <f>IF((CA105+CB105)=0,"", CA105/(CA105+CB105))</f>
        <v/>
      </c>
      <c r="CD105" s="67">
        <f>S105+AN105+BI105</f>
        <v/>
      </c>
      <c r="CE105" s="67">
        <f>T105+AO105+BJ105</f>
        <v/>
      </c>
      <c r="CF105" s="68">
        <f>IF((CD105+CE105)=0,"", CD105/(CD105+CE105))</f>
        <v/>
      </c>
      <c r="CG105" s="69">
        <f>V105+AQ105+BL105</f>
        <v/>
      </c>
      <c r="CH105" s="69">
        <f>W105+AR105+BM105</f>
        <v/>
      </c>
      <c r="CI105" s="70">
        <f>IF((CG105+CH105)=0,"", CG105/(CG105+CH105))</f>
        <v/>
      </c>
      <c r="CJ105" s="67">
        <f>CD105+(CG105*2)</f>
        <v/>
      </c>
      <c r="CK105" s="67">
        <f>CE105+(CH105*2)</f>
        <v/>
      </c>
      <c r="CL105" s="68">
        <f>IF((CJ105+CK105)=0,"", CJ105/(CJ105+CK105))</f>
        <v/>
      </c>
      <c r="CM105" s="67" t="inlineStr">
        <is>
          <t>Batch 3</t>
        </is>
      </c>
    </row>
    <row r="106" ht="14.25" customHeight="1" s="34">
      <c r="A106" s="46" t="n">
        <v>104</v>
      </c>
      <c r="B106" s="46" t="inlineStr">
        <is>
          <t>325106410104</t>
        </is>
      </c>
      <c r="C106" s="46" t="inlineStr">
        <is>
          <t>RAHUL GHOSH</t>
        </is>
      </c>
      <c r="D106" s="63" t="n">
        <v>0</v>
      </c>
      <c r="E106" s="63" t="n">
        <v>0</v>
      </c>
      <c r="F106" s="64">
        <f>IF((D106+E106)=0,"", D106/(D106+E106))</f>
        <v/>
      </c>
      <c r="G106" s="63">
        <f>COUNTIF('Detailed Attendance'!I107:I107, "P")</f>
        <v/>
      </c>
      <c r="H106" s="63">
        <f>COUNTIF('Detailed Attendance'!I107:I107, "A")</f>
        <v/>
      </c>
      <c r="I106" s="64">
        <f>IF((G106+H106)=0,"", G106/(G106+H106))</f>
        <v/>
      </c>
      <c r="J106" s="63" t="n">
        <v>0</v>
      </c>
      <c r="K106" s="63" t="n">
        <v>0</v>
      </c>
      <c r="L106" s="64">
        <f>IF((J106+K106)=0,"", J106/(J106+K106))</f>
        <v/>
      </c>
      <c r="M106" s="63">
        <f>COUNTIF('Detailed Attendance'!D107:D107, "P")</f>
        <v/>
      </c>
      <c r="N106" s="63">
        <f>COUNTIF('Detailed Attendance'!D107:D107, "A")</f>
        <v/>
      </c>
      <c r="O106" s="64">
        <f>IF((M106+N106)=0,"", M106/(M106+N106))</f>
        <v/>
      </c>
      <c r="P106" s="63" t="n">
        <v>0</v>
      </c>
      <c r="Q106" s="63" t="n">
        <v>0</v>
      </c>
      <c r="R106" s="64">
        <f>IF((P106+Q106)=0,"", P106/(P106+Q106))</f>
        <v/>
      </c>
      <c r="S106" s="63">
        <f>D106+G106+J106+M106+P106</f>
        <v/>
      </c>
      <c r="T106" s="63">
        <f>E106+H106+K106+N106+Q106</f>
        <v/>
      </c>
      <c r="U106" s="64">
        <f>IF((S106+T106)=0,"", S106/(S106+T106))</f>
        <v/>
      </c>
      <c r="V106" s="65">
        <f>COUNTIF('Detailed Attendance'!E107:E107, "P")+COUNTIF('Detailed Attendance'!H107:H107, "P")</f>
        <v/>
      </c>
      <c r="W106" s="65">
        <f>COUNTIF('Detailed Attendance'!E107:E107, "A")+COUNTIF('Detailed Attendance'!H107:H107, "A")</f>
        <v/>
      </c>
      <c r="X106" s="66">
        <f>IF((V106+W106)=0,"", V106/(V106+W106))</f>
        <v/>
      </c>
      <c r="Y106" s="63">
        <f>COUNTIF('Detailed Attendance'!R107:R107, "P")+COUNTIF('Detailed Attendance'!X107:X107, "P")+COUNTIF('Detailed Attendance'!AL107:AL107, "P")+COUNTIF('Detailed Attendance'!BF107:BF107, "P")+COUNTIF('Detailed Attendance'!BL107:BL107, "P")+COUNTIF('Detailed Attendance'!BZ107:BZ107, "P")+COUNTIF('Detailed Attendance'!CI107:CI107, "P")+COUNTIF('Detailed Attendance'!CW107:CW107, "P")</f>
        <v/>
      </c>
      <c r="Z106" s="63">
        <f>COUNTIF('Detailed Attendance'!R107:R107, "A")+COUNTIF('Detailed Attendance'!X107:X107, "A")+COUNTIF('Detailed Attendance'!AL107:AL107, "A")+COUNTIF('Detailed Attendance'!BF107:BF107, "A")+COUNTIF('Detailed Attendance'!BL107:BL107, "A")+COUNTIF('Detailed Attendance'!BZ107:BZ107, "A")+COUNTIF('Detailed Attendance'!CI107:CI107, "A")+COUNTIF('Detailed Attendance'!CW107:CW107, "A")</f>
        <v/>
      </c>
      <c r="AA106" s="64">
        <f>IF((Y106+Z106)=0,"", Y106/(Y106+Z106))</f>
        <v/>
      </c>
      <c r="AB106" s="63">
        <f>COUNTIF('Detailed Attendance'!Q107:Q107, "P")+COUNTIF('Detailed Attendance'!AC107:AC107, "P")+COUNTIF('Detailed Attendance'!AK107:AK107, "P")+COUNTIF('Detailed Attendance'!AW107:AW107, "P")+COUNTIF('Detailed Attendance'!BE107:BE107, "P")+COUNTIF('Detailed Attendance'!BQ107:BQ107, "P")+COUNTIF('Detailed Attendance'!BY107:BY107, "P")+COUNTIF('Detailed Attendance'!CN107:CN107, "P")+COUNTIF('Detailed Attendance'!CV107:CV107, "P")</f>
        <v/>
      </c>
      <c r="AC106" s="63">
        <f>COUNTIF('Detailed Attendance'!Q107:Q107, "A")+COUNTIF('Detailed Attendance'!AC107:AC107, "A")+COUNTIF('Detailed Attendance'!AK107:AK107, "A")+COUNTIF('Detailed Attendance'!AW107:AW107, "A")+COUNTIF('Detailed Attendance'!BE107:BE107, "A")+COUNTIF('Detailed Attendance'!BQ107:BQ107, "A")+COUNTIF('Detailed Attendance'!BY107:BY107, "A")+COUNTIF('Detailed Attendance'!CN107:CN107, "A")+COUNTIF('Detailed Attendance'!CV107:CV107, "A")</f>
        <v/>
      </c>
      <c r="AD106" s="64">
        <f>IF((AB106+AC106)=0,"", AB106/(AB106+AC106))</f>
        <v/>
      </c>
      <c r="AE106" s="63">
        <f>COUNTIF('Detailed Attendance'!L107:L107, "P")+COUNTIF('Detailed Attendance'!P107:P107, "P")+COUNTIF('Detailed Attendance'!AF107:AF107, "P")+COUNTIF('Detailed Attendance'!AJ107:AJ107, "P")+COUNTIF('Detailed Attendance'!AZ107:AZ107, "P")+COUNTIF('Detailed Attendance'!BD107:BD107, "P")+COUNTIF('Detailed Attendance'!BT107:BT107, "P")+COUNTIF('Detailed Attendance'!BX107:BX107, "P")+COUNTIF('Detailed Attendance'!CQ107:CQ107, "P")+COUNTIF('Detailed Attendance'!CU107:CU107, "P")</f>
        <v/>
      </c>
      <c r="AF106" s="67">
        <f>COUNTIF('Detailed Attendance'!L107:L107, "A")+COUNTIF('Detailed Attendance'!P107:P107, "A")+COUNTIF('Detailed Attendance'!AF107:AF107, "A")+COUNTIF('Detailed Attendance'!AJ107:AJ107, "A")+COUNTIF('Detailed Attendance'!AZ107:AZ107, "A")+COUNTIF('Detailed Attendance'!BD107:BD107, "A")+COUNTIF('Detailed Attendance'!BT107:BT107, "A")+COUNTIF('Detailed Attendance'!BX107:BX107, "A")+COUNTIF('Detailed Attendance'!CQ107:CQ107, "A")+COUNTIF('Detailed Attendance'!CU107:CU107, "A")</f>
        <v/>
      </c>
      <c r="AG106" s="68">
        <f>IF((AE106+AF106)=0,"", AE106/(AE106+AF106))</f>
        <v/>
      </c>
      <c r="AH106" s="67">
        <f>COUNTIF('Detailed Attendance'!T107:T107, "P")+COUNTIF('Detailed Attendance'!AN107:AN107, "P")+COUNTIF('Detailed Attendance'!AR107:AR107, "P")+COUNTIF('Detailed Attendance'!BH107:BH107, "P")+COUNTIF('Detailed Attendance'!CB107:CB107, "P")+COUNTIF('Detailed Attendance'!CF107:CF107, "P")+COUNTIF('Detailed Attendance'!CY107:CY107, "P")</f>
        <v/>
      </c>
      <c r="AI106" s="67">
        <f>COUNTIF('Detailed Attendance'!T107:T107, "A")+COUNTIF('Detailed Attendance'!AN107:AN107, "A")+COUNTIF('Detailed Attendance'!AR107:AR107, "A")+COUNTIF('Detailed Attendance'!BH107:BH107, "A")+COUNTIF('Detailed Attendance'!CB107:CB107, "A")+COUNTIF('Detailed Attendance'!CF107:CF107, "A")+COUNTIF('Detailed Attendance'!CY107:CY107, "A")</f>
        <v/>
      </c>
      <c r="AJ106" s="68">
        <f>IF((AH106+AI106)=0,"", AH106/(AH106+AI106))</f>
        <v/>
      </c>
      <c r="AK106" s="67">
        <f>COUNTIF('Detailed Attendance'!M107:M107, "P")+COUNTIF('Detailed Attendance'!U107:U107, "P")+COUNTIF('Detailed Attendance'!AG107:AG107, "P")+COUNTIF('Detailed Attendance'!AO107:AO107, "P")+COUNTIF('Detailed Attendance'!BA107:BA107, "P")+COUNTIF('Detailed Attendance'!BI107:BI107, "P")+COUNTIF('Detailed Attendance'!BU107:BU107, "P")+COUNTIF('Detailed Attendance'!CC107:CC107, "P")+COUNTIF('Detailed Attendance'!CR107:CR107, "P")+COUNTIF('Detailed Attendance'!CZ107:CZ107, "P")</f>
        <v/>
      </c>
      <c r="AL106" s="67">
        <f>COUNTIF('Detailed Attendance'!M107:M107, "A")+COUNTIF('Detailed Attendance'!U107:U107, "A")+COUNTIF('Detailed Attendance'!AG107:AG107, "A")+COUNTIF('Detailed Attendance'!AO107:AO107, "A")+COUNTIF('Detailed Attendance'!BA107:BA107, "A")+COUNTIF('Detailed Attendance'!BI107:BI107, "A")+COUNTIF('Detailed Attendance'!BU107:BU107, "A")+COUNTIF('Detailed Attendance'!CC107:CC107, "A")+COUNTIF('Detailed Attendance'!CR107:CR107, "A")+COUNTIF('Detailed Attendance'!CZ107:CZ107, "A")</f>
        <v/>
      </c>
      <c r="AM106" s="68">
        <f>IF((AK106+AL106)=0,"", AK106/(AK106+AL106))</f>
        <v/>
      </c>
      <c r="AN106" s="67">
        <f>Y106+AB106+AE106+AH106+AK106</f>
        <v/>
      </c>
      <c r="AO106" s="67">
        <f>Z106+AC106+AF106+AI106+AL106</f>
        <v/>
      </c>
      <c r="AP106" s="68">
        <f>IF((AN106+AO106)=0,"", AN106/(AN106+AO106))</f>
        <v/>
      </c>
      <c r="AQ106" s="69">
        <f>COUNTIF('Detailed Attendance'!CH107:CH107, "P")+COUNTIF('Detailed Attendance'!Y107:Y107, "P")+COUNTIF('Detailed Attendance'!AS107:AS107, "P")+COUNTIF('Detailed Attendance'!BM107:BM107, "P")+COUNTIF('Detailed Attendance'!CJ107:CJ107, "P")+COUNTIF('Detailed Attendance'!AB107:AB107, "P")+COUNTIF('Detailed Attendance'!AV107:AV107, "P")+COUNTIF('Detailed Attendance'!BP107:BP107, "P")+COUNTIF('Detailed Attendance'!CM107:CM107, "P")</f>
        <v/>
      </c>
      <c r="AR106" s="69">
        <f>COUNTIF('Detailed Attendance'!CH107:CH107, "A")+COUNTIF('Detailed Attendance'!Y107:Y107, "A")+COUNTIF('Detailed Attendance'!AS107:AS107, "A")+COUNTIF('Detailed Attendance'!BM107:BM107, "A")+COUNTIF('Detailed Attendance'!CJ107:CJ107, "A")+COUNTIF('Detailed Attendance'!AB107:AB107, "A")+COUNTIF('Detailed Attendance'!AV107:AV107, "A")+COUNTIF('Detailed Attendance'!BP107:BP107, "A")+COUNTIF('Detailed Attendance'!CM107:CM107, "A")</f>
        <v/>
      </c>
      <c r="AS106" s="70">
        <f>IF((AQ106+AR106)=0,"", AQ106/(AQ106+AR106))</f>
        <v/>
      </c>
      <c r="AT106" s="67">
        <f>COUNTIF('Detailed Attendance'!DF107:DF107, "P")+COUNTIF('Detailed Attendance'!DT107:DT107, "P")+COUNTIF('Detailed Attendance'!EC107:EC107, "P")+COUNTIF('Detailed Attendance'!EQ107:EQ107, "P")+COUNTIF('Detailed Attendance'!EW107:EW107, "P")+COUNTIF('Detailed Attendance'!FK107:FK107, "P")+COUNTIF('Detailed Attendance'!FM107:FM107, "P")+COUNTIF('Detailed Attendance'!GA107:GA107, "P")</f>
        <v/>
      </c>
      <c r="AU106" s="67">
        <f>COUNTIF('Detailed Attendance'!DF107:DF107, "A")+COUNTIF('Detailed Attendance'!DT107:DT107, "A")+COUNTIF('Detailed Attendance'!EC107:EC107, "A")+COUNTIF('Detailed Attendance'!EQ107:EQ107, "A")+COUNTIF('Detailed Attendance'!EW107:EW107, "A")+COUNTIF('Detailed Attendance'!FK107:FK107, "A")+COUNTIF('Detailed Attendance'!FM107:FM107, "A")+COUNTIF('Detailed Attendance'!GA107:GA107, "A")</f>
        <v/>
      </c>
      <c r="AV106" s="68">
        <f>IF((AT106+AU106)=0,"", AT106/(AT106+AU106))</f>
        <v/>
      </c>
      <c r="AW106" s="67">
        <f>COUNTIF('Detailed Attendance'!DK107:DK107, "P")+COUNTIF('Detailed Attendance'!DS107:DS107, "P")+COUNTIF('Detailed Attendance'!EH107:EH107, "P")+COUNTIF('Detailed Attendance'!EP107:EP107, "P")+COUNTIF('Detailed Attendance'!FB107:FB107, "P")+COUNTIF('Detailed Attendance'!FJ107:FJ107, "P")+COUNTIF('Detailed Attendance'!FR107:FR107, "P")+COUNTIF('Detailed Attendance'!FZ107:FZ107, "P")</f>
        <v/>
      </c>
      <c r="AX106" s="67">
        <f>COUNTIF('Detailed Attendance'!DK107:DK107, "A")+COUNTIF('Detailed Attendance'!DS107:DS107, "A")+COUNTIF('Detailed Attendance'!EH107:EH107, "A")+COUNTIF('Detailed Attendance'!EP107:EP107, "A")+COUNTIF('Detailed Attendance'!FB107:FB107, "A")+COUNTIF('Detailed Attendance'!FJ107:FJ107, "A")+COUNTIF('Detailed Attendance'!FR107:FR107, "A")+COUNTIF('Detailed Attendance'!FZ107:FZ107, "A")</f>
        <v/>
      </c>
      <c r="AY106" s="68">
        <f>IF((AW106+AX106)=0,"", AW106/(AW106+AX106))</f>
        <v/>
      </c>
      <c r="AZ106" s="67">
        <f>COUNTIF('Detailed Attendance'!DN107:DN107, "P")+COUNTIF('Detailed Attendance'!DR107:DR107, "P")+COUNTIF('Detailed Attendance'!EK107:EK107, "P")+COUNTIF('Detailed Attendance'!EO107:EO107, "P")+COUNTIF('Detailed Attendance'!FE107:FE107, "P")+COUNTIF('Detailed Attendance'!FI107:FI107, "P")+COUNTIF('Detailed Attendance'!FU107:FU107, "P")+COUNTIF('Detailed Attendance'!FY107:FY107, "P")</f>
        <v/>
      </c>
      <c r="BA106" s="67">
        <f>COUNTIF('Detailed Attendance'!DN107:DN107, "A")+COUNTIF('Detailed Attendance'!DR107:DR107, "A")+COUNTIF('Detailed Attendance'!EK107:EK107, "A")+COUNTIF('Detailed Attendance'!EO107:EO107, "A")+COUNTIF('Detailed Attendance'!FE107:FE107, "A")+COUNTIF('Detailed Attendance'!FI107:FI107, "A")+COUNTIF('Detailed Attendance'!FU107:FU107, "A")+COUNTIF('Detailed Attendance'!FY107:FY107, "A")</f>
        <v/>
      </c>
      <c r="BB106" s="68">
        <f>IF((AZ106+BA106)=0,"", AZ106/(AZ106+BA106))</f>
        <v/>
      </c>
      <c r="BC106" s="67">
        <f>COUNTIF('Detailed Attendance'!DC107:DC107, "P")+COUNTIF('Detailed Attendance'!DV107:DV107, "P")+COUNTIF('Detailed Attendance'!DZ107:DZ107, "P")+COUNTIF('Detailed Attendance'!ES107:ES107, "P")+COUNTIF('Detailed Attendance'!GC107:GC107, "P")+COUNTIF('Detailed Attendance'!GG107:GG107, "P")</f>
        <v/>
      </c>
      <c r="BD106" s="67">
        <f>COUNTIF('Detailed Attendance'!DC107:DC107, "A")+COUNTIF('Detailed Attendance'!DV107:DV107, "A")+COUNTIF('Detailed Attendance'!DZ107:DZ107, "A")+COUNTIF('Detailed Attendance'!ES107:ES107, "A")+COUNTIF('Detailed Attendance'!GC107:GC107, "A")+COUNTIF('Detailed Attendance'!GG107:GG107, "A")</f>
        <v/>
      </c>
      <c r="BE106" s="68">
        <f>IF((BC106+BD106)=0,"", BC106/(BC106+BD106))</f>
        <v/>
      </c>
      <c r="BF106" s="67">
        <f>COUNTIF('Detailed Attendance'!DO107:DO107, "P")+COUNTIF('Detailed Attendance'!DW107:DW107, "P")+COUNTIF('Detailed Attendance'!EL107:EL107, "P")+COUNTIF('Detailed Attendance'!ET107:ET107, "P")+COUNTIF('Detailed Attendance'!FF107:FF107, "P")+COUNTIF('Detailed Attendance'!FV107:FV107, "P")+COUNTIF('Detailed Attendance'!GD107:GD107, "P")</f>
        <v/>
      </c>
      <c r="BG106" s="67">
        <f>COUNTIF('Detailed Attendance'!DO107:DO107, "A")+COUNTIF('Detailed Attendance'!DW107:DW107, "A")+COUNTIF('Detailed Attendance'!EL107:EL107, "A")+COUNTIF('Detailed Attendance'!ET107:ET107, "A")+COUNTIF('Detailed Attendance'!FF107:FF107, "A")+COUNTIF('Detailed Attendance'!FV107:FV107, "A")+COUNTIF('Detailed Attendance'!GD107:GD107, "A")</f>
        <v/>
      </c>
      <c r="BH106" s="68">
        <f>IF((BF106+BG106)=0,"", BF106/(BF106+BG106))</f>
        <v/>
      </c>
      <c r="BI106" s="67">
        <f>AT106+AW106+AZ106+BC106+BF106</f>
        <v/>
      </c>
      <c r="BJ106" s="67">
        <f>AU106+AX106+BA106+BD106+BG106</f>
        <v/>
      </c>
      <c r="BK106" s="68">
        <f>IF((BI106+BJ106)=0,"", BI106/(BI106+BJ106))</f>
        <v/>
      </c>
      <c r="BL106" s="69">
        <f>COUNTIF('Detailed Attendance'!DE107:DE107, "P")+COUNTIF('Detailed Attendance'!EB107:EB107, "P")+COUNTIF('Detailed Attendance'!GI107:GI107, "P")+COUNTIF('Detailed Attendance'!DG107:DG107, "P")+COUNTIF('Detailed Attendance'!ED107:ED107, "P")+COUNTIF('Detailed Attendance'!EX107:EX107, "P")+COUNTIF('Detailed Attendance'!FN107:FN107, "P")+COUNTIF('Detailed Attendance'!DJ107:DJ107, "P")+COUNTIF('Detailed Attendance'!EG107:EG107, "P")+COUNTIF('Detailed Attendance'!FA107:FA107, "P")+COUNTIF('Detailed Attendance'!FQ107:FQ107, "P")</f>
        <v/>
      </c>
      <c r="BM106" s="69">
        <f>COUNTIF('Detailed Attendance'!DE107:DE107, "A")+COUNTIF('Detailed Attendance'!EB107:EB107, "A")+COUNTIF('Detailed Attendance'!GI107:GI107, "A")+COUNTIF('Detailed Attendance'!DG107:DG107, "A")+COUNTIF('Detailed Attendance'!ED107:ED107, "A")+COUNTIF('Detailed Attendance'!EX107:EX107, "A")+COUNTIF('Detailed Attendance'!FN107:FN107, "A")+COUNTIF('Detailed Attendance'!DJ107:DJ107, "A")+COUNTIF('Detailed Attendance'!EG107:EG107, "A")+COUNTIF('Detailed Attendance'!FA107:FA107, "A")+COUNTIF('Detailed Attendance'!FQ107:FQ107, "A")</f>
        <v/>
      </c>
      <c r="BN106" s="70">
        <f>IF((BL106+BM106)=0,"", BL106/(BL106+BM106))</f>
        <v/>
      </c>
      <c r="BO106" s="67">
        <f>D106+Y106+AT106</f>
        <v/>
      </c>
      <c r="BP106" s="67">
        <f>E106+Z106+AU106</f>
        <v/>
      </c>
      <c r="BQ106" s="68">
        <f>IF((BO106+BP106)=0,"", BO106/(BO106+BP106))</f>
        <v/>
      </c>
      <c r="BR106" s="67">
        <f>G106+AB106+AW106</f>
        <v/>
      </c>
      <c r="BS106" s="67">
        <f>H106+AC106+AX106</f>
        <v/>
      </c>
      <c r="BT106" s="68">
        <f>IF((BR106+BS106)=0,"", BR106/(BR106+BS106))</f>
        <v/>
      </c>
      <c r="BU106" s="67">
        <f>J106+AE106+AZ106</f>
        <v/>
      </c>
      <c r="BV106" s="67">
        <f>K106+AF106+BA106</f>
        <v/>
      </c>
      <c r="BW106" s="68">
        <f>IF((BU106+BV106)=0,"", BU106/(BU106+BV106))</f>
        <v/>
      </c>
      <c r="BX106" s="67">
        <f>M106+AH106+BC106</f>
        <v/>
      </c>
      <c r="BY106" s="67">
        <f>N106+AI106+BD106</f>
        <v/>
      </c>
      <c r="BZ106" s="68">
        <f>IF((BX106+BY106)=0,"", BX106/(BX106+BY106))</f>
        <v/>
      </c>
      <c r="CA106" s="67">
        <f>P106+AK106+BF106</f>
        <v/>
      </c>
      <c r="CB106" s="67">
        <f>Q106+AL106+BG106</f>
        <v/>
      </c>
      <c r="CC106" s="68">
        <f>IF((CA106+CB106)=0,"", CA106/(CA106+CB106))</f>
        <v/>
      </c>
      <c r="CD106" s="67">
        <f>S106+AN106+BI106</f>
        <v/>
      </c>
      <c r="CE106" s="67">
        <f>T106+AO106+BJ106</f>
        <v/>
      </c>
      <c r="CF106" s="68">
        <f>IF((CD106+CE106)=0,"", CD106/(CD106+CE106))</f>
        <v/>
      </c>
      <c r="CG106" s="69">
        <f>V106+AQ106+BL106</f>
        <v/>
      </c>
      <c r="CH106" s="69">
        <f>W106+AR106+BM106</f>
        <v/>
      </c>
      <c r="CI106" s="70">
        <f>IF((CG106+CH106)=0,"", CG106/(CG106+CH106))</f>
        <v/>
      </c>
      <c r="CJ106" s="67">
        <f>CD106+(CG106*2)</f>
        <v/>
      </c>
      <c r="CK106" s="67">
        <f>CE106+(CH106*2)</f>
        <v/>
      </c>
      <c r="CL106" s="68">
        <f>IF((CJ106+CK106)=0,"", CJ106/(CJ106+CK106))</f>
        <v/>
      </c>
      <c r="CM106" s="67" t="inlineStr">
        <is>
          <t>Batch 3</t>
        </is>
      </c>
    </row>
    <row r="107" ht="14.25" customHeight="1" s="34">
      <c r="A107" s="46" t="n">
        <v>105</v>
      </c>
      <c r="B107" s="46" t="inlineStr">
        <is>
          <t>325106410105</t>
        </is>
      </c>
      <c r="C107" s="46" t="inlineStr">
        <is>
          <t>SECKOU BOUBACAR KASSE</t>
        </is>
      </c>
      <c r="D107" s="63" t="n">
        <v>0</v>
      </c>
      <c r="E107" s="63" t="n">
        <v>0</v>
      </c>
      <c r="F107" s="64">
        <f>IF((D107+E107)=0,"", D107/(D107+E107))</f>
        <v/>
      </c>
      <c r="G107" s="63">
        <f>COUNTIF('Detailed Attendance'!I108:I108, "P")</f>
        <v/>
      </c>
      <c r="H107" s="63">
        <f>COUNTIF('Detailed Attendance'!I108:I108, "A")</f>
        <v/>
      </c>
      <c r="I107" s="64">
        <f>IF((G107+H107)=0,"", G107/(G107+H107))</f>
        <v/>
      </c>
      <c r="J107" s="63" t="n">
        <v>0</v>
      </c>
      <c r="K107" s="63" t="n">
        <v>0</v>
      </c>
      <c r="L107" s="64">
        <f>IF((J107+K107)=0,"", J107/(J107+K107))</f>
        <v/>
      </c>
      <c r="M107" s="63">
        <f>COUNTIF('Detailed Attendance'!D108:D108, "P")</f>
        <v/>
      </c>
      <c r="N107" s="63">
        <f>COUNTIF('Detailed Attendance'!D108:D108, "A")</f>
        <v/>
      </c>
      <c r="O107" s="64">
        <f>IF((M107+N107)=0,"", M107/(M107+N107))</f>
        <v/>
      </c>
      <c r="P107" s="63" t="n">
        <v>0</v>
      </c>
      <c r="Q107" s="63" t="n">
        <v>0</v>
      </c>
      <c r="R107" s="64">
        <f>IF((P107+Q107)=0,"", P107/(P107+Q107))</f>
        <v/>
      </c>
      <c r="S107" s="63">
        <f>D107+G107+J107+M107+P107</f>
        <v/>
      </c>
      <c r="T107" s="63">
        <f>E107+H107+K107+N107+Q107</f>
        <v/>
      </c>
      <c r="U107" s="64">
        <f>IF((S107+T107)=0,"", S107/(S107+T107))</f>
        <v/>
      </c>
      <c r="V107" s="65">
        <f>COUNTIF('Detailed Attendance'!E108:E108, "P")+COUNTIF('Detailed Attendance'!H108:H108, "P")</f>
        <v/>
      </c>
      <c r="W107" s="65">
        <f>COUNTIF('Detailed Attendance'!E108:E108, "A")+COUNTIF('Detailed Attendance'!H108:H108, "A")</f>
        <v/>
      </c>
      <c r="X107" s="66">
        <f>IF((V107+W107)=0,"", V107/(V107+W107))</f>
        <v/>
      </c>
      <c r="Y107" s="63">
        <f>COUNTIF('Detailed Attendance'!R108:R108, "P")+COUNTIF('Detailed Attendance'!X108:X108, "P")+COUNTIF('Detailed Attendance'!AL108:AL108, "P")+COUNTIF('Detailed Attendance'!BF108:BF108, "P")+COUNTIF('Detailed Attendance'!BL108:BL108, "P")+COUNTIF('Detailed Attendance'!BZ108:BZ108, "P")+COUNTIF('Detailed Attendance'!CI108:CI108, "P")+COUNTIF('Detailed Attendance'!CW108:CW108, "P")</f>
        <v/>
      </c>
      <c r="Z107" s="63">
        <f>COUNTIF('Detailed Attendance'!R108:R108, "A")+COUNTIF('Detailed Attendance'!X108:X108, "A")+COUNTIF('Detailed Attendance'!AL108:AL108, "A")+COUNTIF('Detailed Attendance'!BF108:BF108, "A")+COUNTIF('Detailed Attendance'!BL108:BL108, "A")+COUNTIF('Detailed Attendance'!BZ108:BZ108, "A")+COUNTIF('Detailed Attendance'!CI108:CI108, "A")+COUNTIF('Detailed Attendance'!CW108:CW108, "A")</f>
        <v/>
      </c>
      <c r="AA107" s="64">
        <f>IF((Y107+Z107)=0,"", Y107/(Y107+Z107))</f>
        <v/>
      </c>
      <c r="AB107" s="63">
        <f>COUNTIF('Detailed Attendance'!Q108:Q108, "P")+COUNTIF('Detailed Attendance'!AC108:AC108, "P")+COUNTIF('Detailed Attendance'!AK108:AK108, "P")+COUNTIF('Detailed Attendance'!AW108:AW108, "P")+COUNTIF('Detailed Attendance'!BE108:BE108, "P")+COUNTIF('Detailed Attendance'!BQ108:BQ108, "P")+COUNTIF('Detailed Attendance'!BY108:BY108, "P")+COUNTIF('Detailed Attendance'!CN108:CN108, "P")+COUNTIF('Detailed Attendance'!CV108:CV108, "P")</f>
        <v/>
      </c>
      <c r="AC107" s="63">
        <f>COUNTIF('Detailed Attendance'!Q108:Q108, "A")+COUNTIF('Detailed Attendance'!AC108:AC108, "A")+COUNTIF('Detailed Attendance'!AK108:AK108, "A")+COUNTIF('Detailed Attendance'!AW108:AW108, "A")+COUNTIF('Detailed Attendance'!BE108:BE108, "A")+COUNTIF('Detailed Attendance'!BQ108:BQ108, "A")+COUNTIF('Detailed Attendance'!BY108:BY108, "A")+COUNTIF('Detailed Attendance'!CN108:CN108, "A")+COUNTIF('Detailed Attendance'!CV108:CV108, "A")</f>
        <v/>
      </c>
      <c r="AD107" s="64">
        <f>IF((AB107+AC107)=0,"", AB107/(AB107+AC107))</f>
        <v/>
      </c>
      <c r="AE107" s="63">
        <f>COUNTIF('Detailed Attendance'!L108:L108, "P")+COUNTIF('Detailed Attendance'!P108:P108, "P")+COUNTIF('Detailed Attendance'!AF108:AF108, "P")+COUNTIF('Detailed Attendance'!AJ108:AJ108, "P")+COUNTIF('Detailed Attendance'!AZ108:AZ108, "P")+COUNTIF('Detailed Attendance'!BD108:BD108, "P")+COUNTIF('Detailed Attendance'!BT108:BT108, "P")+COUNTIF('Detailed Attendance'!BX108:BX108, "P")+COUNTIF('Detailed Attendance'!CQ108:CQ108, "P")+COUNTIF('Detailed Attendance'!CU108:CU108, "P")</f>
        <v/>
      </c>
      <c r="AF107" s="67">
        <f>COUNTIF('Detailed Attendance'!L108:L108, "A")+COUNTIF('Detailed Attendance'!P108:P108, "A")+COUNTIF('Detailed Attendance'!AF108:AF108, "A")+COUNTIF('Detailed Attendance'!AJ108:AJ108, "A")+COUNTIF('Detailed Attendance'!AZ108:AZ108, "A")+COUNTIF('Detailed Attendance'!BD108:BD108, "A")+COUNTIF('Detailed Attendance'!BT108:BT108, "A")+COUNTIF('Detailed Attendance'!BX108:BX108, "A")+COUNTIF('Detailed Attendance'!CQ108:CQ108, "A")+COUNTIF('Detailed Attendance'!CU108:CU108, "A")</f>
        <v/>
      </c>
      <c r="AG107" s="68">
        <f>IF((AE107+AF107)=0,"", AE107/(AE107+AF107))</f>
        <v/>
      </c>
      <c r="AH107" s="67">
        <f>COUNTIF('Detailed Attendance'!T108:T108, "P")+COUNTIF('Detailed Attendance'!AN108:AN108, "P")+COUNTIF('Detailed Attendance'!AR108:AR108, "P")+COUNTIF('Detailed Attendance'!BH108:BH108, "P")+COUNTIF('Detailed Attendance'!CB108:CB108, "P")+COUNTIF('Detailed Attendance'!CF108:CF108, "P")+COUNTIF('Detailed Attendance'!CY108:CY108, "P")</f>
        <v/>
      </c>
      <c r="AI107" s="67">
        <f>COUNTIF('Detailed Attendance'!T108:T108, "A")+COUNTIF('Detailed Attendance'!AN108:AN108, "A")+COUNTIF('Detailed Attendance'!AR108:AR108, "A")+COUNTIF('Detailed Attendance'!BH108:BH108, "A")+COUNTIF('Detailed Attendance'!CB108:CB108, "A")+COUNTIF('Detailed Attendance'!CF108:CF108, "A")+COUNTIF('Detailed Attendance'!CY108:CY108, "A")</f>
        <v/>
      </c>
      <c r="AJ107" s="68">
        <f>IF((AH107+AI107)=0,"", AH107/(AH107+AI107))</f>
        <v/>
      </c>
      <c r="AK107" s="67">
        <f>COUNTIF('Detailed Attendance'!M108:M108, "P")+COUNTIF('Detailed Attendance'!U108:U108, "P")+COUNTIF('Detailed Attendance'!AG108:AG108, "P")+COUNTIF('Detailed Attendance'!AO108:AO108, "P")+COUNTIF('Detailed Attendance'!BA108:BA108, "P")+COUNTIF('Detailed Attendance'!BI108:BI108, "P")+COUNTIF('Detailed Attendance'!BU108:BU108, "P")+COUNTIF('Detailed Attendance'!CC108:CC108, "P")+COUNTIF('Detailed Attendance'!CR108:CR108, "P")+COUNTIF('Detailed Attendance'!CZ108:CZ108, "P")</f>
        <v/>
      </c>
      <c r="AL107" s="67">
        <f>COUNTIF('Detailed Attendance'!M108:M108, "A")+COUNTIF('Detailed Attendance'!U108:U108, "A")+COUNTIF('Detailed Attendance'!AG108:AG108, "A")+COUNTIF('Detailed Attendance'!AO108:AO108, "A")+COUNTIF('Detailed Attendance'!BA108:BA108, "A")+COUNTIF('Detailed Attendance'!BI108:BI108, "A")+COUNTIF('Detailed Attendance'!BU108:BU108, "A")+COUNTIF('Detailed Attendance'!CC108:CC108, "A")+COUNTIF('Detailed Attendance'!CR108:CR108, "A")+COUNTIF('Detailed Attendance'!CZ108:CZ108, "A")</f>
        <v/>
      </c>
      <c r="AM107" s="68">
        <f>IF((AK107+AL107)=0,"", AK107/(AK107+AL107))</f>
        <v/>
      </c>
      <c r="AN107" s="67">
        <f>Y107+AB107+AE107+AH107+AK107</f>
        <v/>
      </c>
      <c r="AO107" s="67">
        <f>Z107+AC107+AF107+AI107+AL107</f>
        <v/>
      </c>
      <c r="AP107" s="68">
        <f>IF((AN107+AO107)=0,"", AN107/(AN107+AO107))</f>
        <v/>
      </c>
      <c r="AQ107" s="69">
        <f>COUNTIF('Detailed Attendance'!CH108:CH108, "P")+COUNTIF('Detailed Attendance'!Y108:Y108, "P")+COUNTIF('Detailed Attendance'!AS108:AS108, "P")+COUNTIF('Detailed Attendance'!BM108:BM108, "P")+COUNTIF('Detailed Attendance'!CJ108:CJ108, "P")+COUNTIF('Detailed Attendance'!AB108:AB108, "P")+COUNTIF('Detailed Attendance'!AV108:AV108, "P")+COUNTIF('Detailed Attendance'!BP108:BP108, "P")+COUNTIF('Detailed Attendance'!CM108:CM108, "P")</f>
        <v/>
      </c>
      <c r="AR107" s="69">
        <f>COUNTIF('Detailed Attendance'!CH108:CH108, "A")+COUNTIF('Detailed Attendance'!Y108:Y108, "A")+COUNTIF('Detailed Attendance'!AS108:AS108, "A")+COUNTIF('Detailed Attendance'!BM108:BM108, "A")+COUNTIF('Detailed Attendance'!CJ108:CJ108, "A")+COUNTIF('Detailed Attendance'!AB108:AB108, "A")+COUNTIF('Detailed Attendance'!AV108:AV108, "A")+COUNTIF('Detailed Attendance'!BP108:BP108, "A")+COUNTIF('Detailed Attendance'!CM108:CM108, "A")</f>
        <v/>
      </c>
      <c r="AS107" s="70">
        <f>IF((AQ107+AR107)=0,"", AQ107/(AQ107+AR107))</f>
        <v/>
      </c>
      <c r="AT107" s="67">
        <f>COUNTIF('Detailed Attendance'!DF108:DF108, "P")+COUNTIF('Detailed Attendance'!DT108:DT108, "P")+COUNTIF('Detailed Attendance'!EC108:EC108, "P")+COUNTIF('Detailed Attendance'!EQ108:EQ108, "P")+COUNTIF('Detailed Attendance'!EW108:EW108, "P")+COUNTIF('Detailed Attendance'!FK108:FK108, "P")+COUNTIF('Detailed Attendance'!FM108:FM108, "P")+COUNTIF('Detailed Attendance'!GA108:GA108, "P")</f>
        <v/>
      </c>
      <c r="AU107" s="67">
        <f>COUNTIF('Detailed Attendance'!DF108:DF108, "A")+COUNTIF('Detailed Attendance'!DT108:DT108, "A")+COUNTIF('Detailed Attendance'!EC108:EC108, "A")+COUNTIF('Detailed Attendance'!EQ108:EQ108, "A")+COUNTIF('Detailed Attendance'!EW108:EW108, "A")+COUNTIF('Detailed Attendance'!FK108:FK108, "A")+COUNTIF('Detailed Attendance'!FM108:FM108, "A")+COUNTIF('Detailed Attendance'!GA108:GA108, "A")</f>
        <v/>
      </c>
      <c r="AV107" s="68">
        <f>IF((AT107+AU107)=0,"", AT107/(AT107+AU107))</f>
        <v/>
      </c>
      <c r="AW107" s="67">
        <f>COUNTIF('Detailed Attendance'!DK108:DK108, "P")+COUNTIF('Detailed Attendance'!DS108:DS108, "P")+COUNTIF('Detailed Attendance'!EH108:EH108, "P")+COUNTIF('Detailed Attendance'!EP108:EP108, "P")+COUNTIF('Detailed Attendance'!FB108:FB108, "P")+COUNTIF('Detailed Attendance'!FJ108:FJ108, "P")+COUNTIF('Detailed Attendance'!FR108:FR108, "P")+COUNTIF('Detailed Attendance'!FZ108:FZ108, "P")</f>
        <v/>
      </c>
      <c r="AX107" s="67">
        <f>COUNTIF('Detailed Attendance'!DK108:DK108, "A")+COUNTIF('Detailed Attendance'!DS108:DS108, "A")+COUNTIF('Detailed Attendance'!EH108:EH108, "A")+COUNTIF('Detailed Attendance'!EP108:EP108, "A")+COUNTIF('Detailed Attendance'!FB108:FB108, "A")+COUNTIF('Detailed Attendance'!FJ108:FJ108, "A")+COUNTIF('Detailed Attendance'!FR108:FR108, "A")+COUNTIF('Detailed Attendance'!FZ108:FZ108, "A")</f>
        <v/>
      </c>
      <c r="AY107" s="68">
        <f>IF((AW107+AX107)=0,"", AW107/(AW107+AX107))</f>
        <v/>
      </c>
      <c r="AZ107" s="67">
        <f>COUNTIF('Detailed Attendance'!DN108:DN108, "P")+COUNTIF('Detailed Attendance'!DR108:DR108, "P")+COUNTIF('Detailed Attendance'!EK108:EK108, "P")+COUNTIF('Detailed Attendance'!EO108:EO108, "P")+COUNTIF('Detailed Attendance'!FE108:FE108, "P")+COUNTIF('Detailed Attendance'!FI108:FI108, "P")+COUNTIF('Detailed Attendance'!FU108:FU108, "P")+COUNTIF('Detailed Attendance'!FY108:FY108, "P")</f>
        <v/>
      </c>
      <c r="BA107" s="67">
        <f>COUNTIF('Detailed Attendance'!DN108:DN108, "A")+COUNTIF('Detailed Attendance'!DR108:DR108, "A")+COUNTIF('Detailed Attendance'!EK108:EK108, "A")+COUNTIF('Detailed Attendance'!EO108:EO108, "A")+COUNTIF('Detailed Attendance'!FE108:FE108, "A")+COUNTIF('Detailed Attendance'!FI108:FI108, "A")+COUNTIF('Detailed Attendance'!FU108:FU108, "A")+COUNTIF('Detailed Attendance'!FY108:FY108, "A")</f>
        <v/>
      </c>
      <c r="BB107" s="68">
        <f>IF((AZ107+BA107)=0,"", AZ107/(AZ107+BA107))</f>
        <v/>
      </c>
      <c r="BC107" s="67">
        <f>COUNTIF('Detailed Attendance'!DC108:DC108, "P")+COUNTIF('Detailed Attendance'!DV108:DV108, "P")+COUNTIF('Detailed Attendance'!DZ108:DZ108, "P")+COUNTIF('Detailed Attendance'!ES108:ES108, "P")+COUNTIF('Detailed Attendance'!GC108:GC108, "P")+COUNTIF('Detailed Attendance'!GG108:GG108, "P")</f>
        <v/>
      </c>
      <c r="BD107" s="67">
        <f>COUNTIF('Detailed Attendance'!DC108:DC108, "A")+COUNTIF('Detailed Attendance'!DV108:DV108, "A")+COUNTIF('Detailed Attendance'!DZ108:DZ108, "A")+COUNTIF('Detailed Attendance'!ES108:ES108, "A")+COUNTIF('Detailed Attendance'!GC108:GC108, "A")+COUNTIF('Detailed Attendance'!GG108:GG108, "A")</f>
        <v/>
      </c>
      <c r="BE107" s="68">
        <f>IF((BC107+BD107)=0,"", BC107/(BC107+BD107))</f>
        <v/>
      </c>
      <c r="BF107" s="67">
        <f>COUNTIF('Detailed Attendance'!DO108:DO108, "P")+COUNTIF('Detailed Attendance'!DW108:DW108, "P")+COUNTIF('Detailed Attendance'!EL108:EL108, "P")+COUNTIF('Detailed Attendance'!ET108:ET108, "P")+COUNTIF('Detailed Attendance'!FF108:FF108, "P")+COUNTIF('Detailed Attendance'!FV108:FV108, "P")+COUNTIF('Detailed Attendance'!GD108:GD108, "P")</f>
        <v/>
      </c>
      <c r="BG107" s="67">
        <f>COUNTIF('Detailed Attendance'!DO108:DO108, "A")+COUNTIF('Detailed Attendance'!DW108:DW108, "A")+COUNTIF('Detailed Attendance'!EL108:EL108, "A")+COUNTIF('Detailed Attendance'!ET108:ET108, "A")+COUNTIF('Detailed Attendance'!FF108:FF108, "A")+COUNTIF('Detailed Attendance'!FV108:FV108, "A")+COUNTIF('Detailed Attendance'!GD108:GD108, "A")</f>
        <v/>
      </c>
      <c r="BH107" s="68">
        <f>IF((BF107+BG107)=0,"", BF107/(BF107+BG107))</f>
        <v/>
      </c>
      <c r="BI107" s="67">
        <f>AT107+AW107+AZ107+BC107+BF107</f>
        <v/>
      </c>
      <c r="BJ107" s="67">
        <f>AU107+AX107+BA107+BD107+BG107</f>
        <v/>
      </c>
      <c r="BK107" s="68">
        <f>IF((BI107+BJ107)=0,"", BI107/(BI107+BJ107))</f>
        <v/>
      </c>
      <c r="BL107" s="69">
        <f>COUNTIF('Detailed Attendance'!DE108:DE108, "P")+COUNTIF('Detailed Attendance'!EB108:EB108, "P")+COUNTIF('Detailed Attendance'!GI108:GI108, "P")+COUNTIF('Detailed Attendance'!DG108:DG108, "P")+COUNTIF('Detailed Attendance'!ED108:ED108, "P")+COUNTIF('Detailed Attendance'!EX108:EX108, "P")+COUNTIF('Detailed Attendance'!FN108:FN108, "P")+COUNTIF('Detailed Attendance'!DJ108:DJ108, "P")+COUNTIF('Detailed Attendance'!EG108:EG108, "P")+COUNTIF('Detailed Attendance'!FA108:FA108, "P")+COUNTIF('Detailed Attendance'!FQ108:FQ108, "P")</f>
        <v/>
      </c>
      <c r="BM107" s="69">
        <f>COUNTIF('Detailed Attendance'!DE108:DE108, "A")+COUNTIF('Detailed Attendance'!EB108:EB108, "A")+COUNTIF('Detailed Attendance'!GI108:GI108, "A")+COUNTIF('Detailed Attendance'!DG108:DG108, "A")+COUNTIF('Detailed Attendance'!ED108:ED108, "A")+COUNTIF('Detailed Attendance'!EX108:EX108, "A")+COUNTIF('Detailed Attendance'!FN108:FN108, "A")+COUNTIF('Detailed Attendance'!DJ108:DJ108, "A")+COUNTIF('Detailed Attendance'!EG108:EG108, "A")+COUNTIF('Detailed Attendance'!FA108:FA108, "A")+COUNTIF('Detailed Attendance'!FQ108:FQ108, "A")</f>
        <v/>
      </c>
      <c r="BN107" s="70">
        <f>IF((BL107+BM107)=0,"", BL107/(BL107+BM107))</f>
        <v/>
      </c>
      <c r="BO107" s="67">
        <f>D107+Y107+AT107</f>
        <v/>
      </c>
      <c r="BP107" s="67">
        <f>E107+Z107+AU107</f>
        <v/>
      </c>
      <c r="BQ107" s="68">
        <f>IF((BO107+BP107)=0,"", BO107/(BO107+BP107))</f>
        <v/>
      </c>
      <c r="BR107" s="67">
        <f>G107+AB107+AW107</f>
        <v/>
      </c>
      <c r="BS107" s="67">
        <f>H107+AC107+AX107</f>
        <v/>
      </c>
      <c r="BT107" s="68">
        <f>IF((BR107+BS107)=0,"", BR107/(BR107+BS107))</f>
        <v/>
      </c>
      <c r="BU107" s="67">
        <f>J107+AE107+AZ107</f>
        <v/>
      </c>
      <c r="BV107" s="67">
        <f>K107+AF107+BA107</f>
        <v/>
      </c>
      <c r="BW107" s="68">
        <f>IF((BU107+BV107)=0,"", BU107/(BU107+BV107))</f>
        <v/>
      </c>
      <c r="BX107" s="67">
        <f>M107+AH107+BC107</f>
        <v/>
      </c>
      <c r="BY107" s="67">
        <f>N107+AI107+BD107</f>
        <v/>
      </c>
      <c r="BZ107" s="68">
        <f>IF((BX107+BY107)=0,"", BX107/(BX107+BY107))</f>
        <v/>
      </c>
      <c r="CA107" s="67">
        <f>P107+AK107+BF107</f>
        <v/>
      </c>
      <c r="CB107" s="67">
        <f>Q107+AL107+BG107</f>
        <v/>
      </c>
      <c r="CC107" s="68">
        <f>IF((CA107+CB107)=0,"", CA107/(CA107+CB107))</f>
        <v/>
      </c>
      <c r="CD107" s="67">
        <f>S107+AN107+BI107</f>
        <v/>
      </c>
      <c r="CE107" s="67">
        <f>T107+AO107+BJ107</f>
        <v/>
      </c>
      <c r="CF107" s="68">
        <f>IF((CD107+CE107)=0,"", CD107/(CD107+CE107))</f>
        <v/>
      </c>
      <c r="CG107" s="69">
        <f>V107+AQ107+BL107</f>
        <v/>
      </c>
      <c r="CH107" s="69">
        <f>W107+AR107+BM107</f>
        <v/>
      </c>
      <c r="CI107" s="70">
        <f>IF((CG107+CH107)=0,"", CG107/(CG107+CH107))</f>
        <v/>
      </c>
      <c r="CJ107" s="67">
        <f>CD107+(CG107*2)</f>
        <v/>
      </c>
      <c r="CK107" s="67">
        <f>CE107+(CH107*2)</f>
        <v/>
      </c>
      <c r="CL107" s="68">
        <f>IF((CJ107+CK107)=0,"", CJ107/(CJ107+CK107))</f>
        <v/>
      </c>
      <c r="CM107" s="67" t="inlineStr">
        <is>
          <t>Batch 3</t>
        </is>
      </c>
    </row>
    <row r="108" ht="14.25" customHeight="1" s="34">
      <c r="A108" s="46" t="n">
        <v>106</v>
      </c>
      <c r="B108" s="46" t="inlineStr">
        <is>
          <t>325106410106</t>
        </is>
      </c>
      <c r="C108" s="46" t="inlineStr">
        <is>
          <t>SELUSIWE NOMVULA MPOFU</t>
        </is>
      </c>
      <c r="D108" s="63" t="n">
        <v>0</v>
      </c>
      <c r="E108" s="63" t="n">
        <v>0</v>
      </c>
      <c r="F108" s="64">
        <f>IF((D108+E108)=0,"", D108/(D108+E108))</f>
        <v/>
      </c>
      <c r="G108" s="63">
        <f>COUNTIF('Detailed Attendance'!I109:I109, "P")</f>
        <v/>
      </c>
      <c r="H108" s="63">
        <f>COUNTIF('Detailed Attendance'!I109:I109, "A")</f>
        <v/>
      </c>
      <c r="I108" s="64">
        <f>IF((G108+H108)=0,"", G108/(G108+H108))</f>
        <v/>
      </c>
      <c r="J108" s="63" t="n">
        <v>0</v>
      </c>
      <c r="K108" s="63" t="n">
        <v>0</v>
      </c>
      <c r="L108" s="64">
        <f>IF((J108+K108)=0,"", J108/(J108+K108))</f>
        <v/>
      </c>
      <c r="M108" s="63">
        <f>COUNTIF('Detailed Attendance'!D109:D109, "P")</f>
        <v/>
      </c>
      <c r="N108" s="63">
        <f>COUNTIF('Detailed Attendance'!D109:D109, "A")</f>
        <v/>
      </c>
      <c r="O108" s="64">
        <f>IF((M108+N108)=0,"", M108/(M108+N108))</f>
        <v/>
      </c>
      <c r="P108" s="63" t="n">
        <v>0</v>
      </c>
      <c r="Q108" s="63" t="n">
        <v>0</v>
      </c>
      <c r="R108" s="64">
        <f>IF((P108+Q108)=0,"", P108/(P108+Q108))</f>
        <v/>
      </c>
      <c r="S108" s="63">
        <f>D108+G108+J108+M108+P108</f>
        <v/>
      </c>
      <c r="T108" s="63">
        <f>E108+H108+K108+N108+Q108</f>
        <v/>
      </c>
      <c r="U108" s="64">
        <f>IF((S108+T108)=0,"", S108/(S108+T108))</f>
        <v/>
      </c>
      <c r="V108" s="65">
        <f>COUNTIF('Detailed Attendance'!E109:E109, "P")+COUNTIF('Detailed Attendance'!H109:H109, "P")</f>
        <v/>
      </c>
      <c r="W108" s="65">
        <f>COUNTIF('Detailed Attendance'!E109:E109, "A")+COUNTIF('Detailed Attendance'!H109:H109, "A")</f>
        <v/>
      </c>
      <c r="X108" s="66">
        <f>IF((V108+W108)=0,"", V108/(V108+W108))</f>
        <v/>
      </c>
      <c r="Y108" s="63">
        <f>COUNTIF('Detailed Attendance'!R109:R109, "P")+COUNTIF('Detailed Attendance'!X109:X109, "P")+COUNTIF('Detailed Attendance'!AL109:AL109, "P")+COUNTIF('Detailed Attendance'!BF109:BF109, "P")+COUNTIF('Detailed Attendance'!BL109:BL109, "P")+COUNTIF('Detailed Attendance'!BZ109:BZ109, "P")+COUNTIF('Detailed Attendance'!CI109:CI109, "P")+COUNTIF('Detailed Attendance'!CW109:CW109, "P")</f>
        <v/>
      </c>
      <c r="Z108" s="63">
        <f>COUNTIF('Detailed Attendance'!R109:R109, "A")+COUNTIF('Detailed Attendance'!X109:X109, "A")+COUNTIF('Detailed Attendance'!AL109:AL109, "A")+COUNTIF('Detailed Attendance'!BF109:BF109, "A")+COUNTIF('Detailed Attendance'!BL109:BL109, "A")+COUNTIF('Detailed Attendance'!BZ109:BZ109, "A")+COUNTIF('Detailed Attendance'!CI109:CI109, "A")+COUNTIF('Detailed Attendance'!CW109:CW109, "A")</f>
        <v/>
      </c>
      <c r="AA108" s="64">
        <f>IF((Y108+Z108)=0,"", Y108/(Y108+Z108))</f>
        <v/>
      </c>
      <c r="AB108" s="63">
        <f>COUNTIF('Detailed Attendance'!Q109:Q109, "P")+COUNTIF('Detailed Attendance'!AC109:AC109, "P")+COUNTIF('Detailed Attendance'!AK109:AK109, "P")+COUNTIF('Detailed Attendance'!AW109:AW109, "P")+COUNTIF('Detailed Attendance'!BE109:BE109, "P")+COUNTIF('Detailed Attendance'!BQ109:BQ109, "P")+COUNTIF('Detailed Attendance'!BY109:BY109, "P")+COUNTIF('Detailed Attendance'!CN109:CN109, "P")+COUNTIF('Detailed Attendance'!CV109:CV109, "P")</f>
        <v/>
      </c>
      <c r="AC108" s="63">
        <f>COUNTIF('Detailed Attendance'!Q109:Q109, "A")+COUNTIF('Detailed Attendance'!AC109:AC109, "A")+COUNTIF('Detailed Attendance'!AK109:AK109, "A")+COUNTIF('Detailed Attendance'!AW109:AW109, "A")+COUNTIF('Detailed Attendance'!BE109:BE109, "A")+COUNTIF('Detailed Attendance'!BQ109:BQ109, "A")+COUNTIF('Detailed Attendance'!BY109:BY109, "A")+COUNTIF('Detailed Attendance'!CN109:CN109, "A")+COUNTIF('Detailed Attendance'!CV109:CV109, "A")</f>
        <v/>
      </c>
      <c r="AD108" s="64">
        <f>IF((AB108+AC108)=0,"", AB108/(AB108+AC108))</f>
        <v/>
      </c>
      <c r="AE108" s="63">
        <f>COUNTIF('Detailed Attendance'!L109:L109, "P")+COUNTIF('Detailed Attendance'!P109:P109, "P")+COUNTIF('Detailed Attendance'!AF109:AF109, "P")+COUNTIF('Detailed Attendance'!AJ109:AJ109, "P")+COUNTIF('Detailed Attendance'!AZ109:AZ109, "P")+COUNTIF('Detailed Attendance'!BD109:BD109, "P")+COUNTIF('Detailed Attendance'!BT109:BT109, "P")+COUNTIF('Detailed Attendance'!BX109:BX109, "P")+COUNTIF('Detailed Attendance'!CQ109:CQ109, "P")+COUNTIF('Detailed Attendance'!CU109:CU109, "P")</f>
        <v/>
      </c>
      <c r="AF108" s="67">
        <f>COUNTIF('Detailed Attendance'!L109:L109, "A")+COUNTIF('Detailed Attendance'!P109:P109, "A")+COUNTIF('Detailed Attendance'!AF109:AF109, "A")+COUNTIF('Detailed Attendance'!AJ109:AJ109, "A")+COUNTIF('Detailed Attendance'!AZ109:AZ109, "A")+COUNTIF('Detailed Attendance'!BD109:BD109, "A")+COUNTIF('Detailed Attendance'!BT109:BT109, "A")+COUNTIF('Detailed Attendance'!BX109:BX109, "A")+COUNTIF('Detailed Attendance'!CQ109:CQ109, "A")+COUNTIF('Detailed Attendance'!CU109:CU109, "A")</f>
        <v/>
      </c>
      <c r="AG108" s="68">
        <f>IF((AE108+AF108)=0,"", AE108/(AE108+AF108))</f>
        <v/>
      </c>
      <c r="AH108" s="67">
        <f>COUNTIF('Detailed Attendance'!T109:T109, "P")+COUNTIF('Detailed Attendance'!AN109:AN109, "P")+COUNTIF('Detailed Attendance'!AR109:AR109, "P")+COUNTIF('Detailed Attendance'!BH109:BH109, "P")+COUNTIF('Detailed Attendance'!CB109:CB109, "P")+COUNTIF('Detailed Attendance'!CF109:CF109, "P")+COUNTIF('Detailed Attendance'!CY109:CY109, "P")</f>
        <v/>
      </c>
      <c r="AI108" s="67">
        <f>COUNTIF('Detailed Attendance'!T109:T109, "A")+COUNTIF('Detailed Attendance'!AN109:AN109, "A")+COUNTIF('Detailed Attendance'!AR109:AR109, "A")+COUNTIF('Detailed Attendance'!BH109:BH109, "A")+COUNTIF('Detailed Attendance'!CB109:CB109, "A")+COUNTIF('Detailed Attendance'!CF109:CF109, "A")+COUNTIF('Detailed Attendance'!CY109:CY109, "A")</f>
        <v/>
      </c>
      <c r="AJ108" s="68">
        <f>IF((AH108+AI108)=0,"", AH108/(AH108+AI108))</f>
        <v/>
      </c>
      <c r="AK108" s="67">
        <f>COUNTIF('Detailed Attendance'!M109:M109, "P")+COUNTIF('Detailed Attendance'!U109:U109, "P")+COUNTIF('Detailed Attendance'!AG109:AG109, "P")+COUNTIF('Detailed Attendance'!AO109:AO109, "P")+COUNTIF('Detailed Attendance'!BA109:BA109, "P")+COUNTIF('Detailed Attendance'!BI109:BI109, "P")+COUNTIF('Detailed Attendance'!BU109:BU109, "P")+COUNTIF('Detailed Attendance'!CC109:CC109, "P")+COUNTIF('Detailed Attendance'!CR109:CR109, "P")+COUNTIF('Detailed Attendance'!CZ109:CZ109, "P")</f>
        <v/>
      </c>
      <c r="AL108" s="67">
        <f>COUNTIF('Detailed Attendance'!M109:M109, "A")+COUNTIF('Detailed Attendance'!U109:U109, "A")+COUNTIF('Detailed Attendance'!AG109:AG109, "A")+COUNTIF('Detailed Attendance'!AO109:AO109, "A")+COUNTIF('Detailed Attendance'!BA109:BA109, "A")+COUNTIF('Detailed Attendance'!BI109:BI109, "A")+COUNTIF('Detailed Attendance'!BU109:BU109, "A")+COUNTIF('Detailed Attendance'!CC109:CC109, "A")+COUNTIF('Detailed Attendance'!CR109:CR109, "A")+COUNTIF('Detailed Attendance'!CZ109:CZ109, "A")</f>
        <v/>
      </c>
      <c r="AM108" s="68">
        <f>IF((AK108+AL108)=0,"", AK108/(AK108+AL108))</f>
        <v/>
      </c>
      <c r="AN108" s="67">
        <f>Y108+AB108+AE108+AH108+AK108</f>
        <v/>
      </c>
      <c r="AO108" s="67">
        <f>Z108+AC108+AF108+AI108+AL108</f>
        <v/>
      </c>
      <c r="AP108" s="68">
        <f>IF((AN108+AO108)=0,"", AN108/(AN108+AO108))</f>
        <v/>
      </c>
      <c r="AQ108" s="69">
        <f>COUNTIF('Detailed Attendance'!CH109:CH109, "P")+COUNTIF('Detailed Attendance'!Y109:Y109, "P")+COUNTIF('Detailed Attendance'!AS109:AS109, "P")+COUNTIF('Detailed Attendance'!BM109:BM109, "P")+COUNTIF('Detailed Attendance'!CJ109:CJ109, "P")+COUNTIF('Detailed Attendance'!AB109:AB109, "P")+COUNTIF('Detailed Attendance'!AV109:AV109, "P")+COUNTIF('Detailed Attendance'!BP109:BP109, "P")+COUNTIF('Detailed Attendance'!CM109:CM109, "P")</f>
        <v/>
      </c>
      <c r="AR108" s="69">
        <f>COUNTIF('Detailed Attendance'!CH109:CH109, "A")+COUNTIF('Detailed Attendance'!Y109:Y109, "A")+COUNTIF('Detailed Attendance'!AS109:AS109, "A")+COUNTIF('Detailed Attendance'!BM109:BM109, "A")+COUNTIF('Detailed Attendance'!CJ109:CJ109, "A")+COUNTIF('Detailed Attendance'!AB109:AB109, "A")+COUNTIF('Detailed Attendance'!AV109:AV109, "A")+COUNTIF('Detailed Attendance'!BP109:BP109, "A")+COUNTIF('Detailed Attendance'!CM109:CM109, "A")</f>
        <v/>
      </c>
      <c r="AS108" s="70">
        <f>IF((AQ108+AR108)=0,"", AQ108/(AQ108+AR108))</f>
        <v/>
      </c>
      <c r="AT108" s="67">
        <f>COUNTIF('Detailed Attendance'!DF109:DF109, "P")+COUNTIF('Detailed Attendance'!DT109:DT109, "P")+COUNTIF('Detailed Attendance'!EC109:EC109, "P")+COUNTIF('Detailed Attendance'!EQ109:EQ109, "P")+COUNTIF('Detailed Attendance'!EW109:EW109, "P")+COUNTIF('Detailed Attendance'!FK109:FK109, "P")+COUNTIF('Detailed Attendance'!FM109:FM109, "P")+COUNTIF('Detailed Attendance'!GA109:GA109, "P")</f>
        <v/>
      </c>
      <c r="AU108" s="67">
        <f>COUNTIF('Detailed Attendance'!DF109:DF109, "A")+COUNTIF('Detailed Attendance'!DT109:DT109, "A")+COUNTIF('Detailed Attendance'!EC109:EC109, "A")+COUNTIF('Detailed Attendance'!EQ109:EQ109, "A")+COUNTIF('Detailed Attendance'!EW109:EW109, "A")+COUNTIF('Detailed Attendance'!FK109:FK109, "A")+COUNTIF('Detailed Attendance'!FM109:FM109, "A")+COUNTIF('Detailed Attendance'!GA109:GA109, "A")</f>
        <v/>
      </c>
      <c r="AV108" s="68">
        <f>IF((AT108+AU108)=0,"", AT108/(AT108+AU108))</f>
        <v/>
      </c>
      <c r="AW108" s="67">
        <f>COUNTIF('Detailed Attendance'!DK109:DK109, "P")+COUNTIF('Detailed Attendance'!DS109:DS109, "P")+COUNTIF('Detailed Attendance'!EH109:EH109, "P")+COUNTIF('Detailed Attendance'!EP109:EP109, "P")+COUNTIF('Detailed Attendance'!FB109:FB109, "P")+COUNTIF('Detailed Attendance'!FJ109:FJ109, "P")+COUNTIF('Detailed Attendance'!FR109:FR109, "P")+COUNTIF('Detailed Attendance'!FZ109:FZ109, "P")</f>
        <v/>
      </c>
      <c r="AX108" s="67">
        <f>COUNTIF('Detailed Attendance'!DK109:DK109, "A")+COUNTIF('Detailed Attendance'!DS109:DS109, "A")+COUNTIF('Detailed Attendance'!EH109:EH109, "A")+COUNTIF('Detailed Attendance'!EP109:EP109, "A")+COUNTIF('Detailed Attendance'!FB109:FB109, "A")+COUNTIF('Detailed Attendance'!FJ109:FJ109, "A")+COUNTIF('Detailed Attendance'!FR109:FR109, "A")+COUNTIF('Detailed Attendance'!FZ109:FZ109, "A")</f>
        <v/>
      </c>
      <c r="AY108" s="68">
        <f>IF((AW108+AX108)=0,"", AW108/(AW108+AX108))</f>
        <v/>
      </c>
      <c r="AZ108" s="67">
        <f>COUNTIF('Detailed Attendance'!DN109:DN109, "P")+COUNTIF('Detailed Attendance'!DR109:DR109, "P")+COUNTIF('Detailed Attendance'!EK109:EK109, "P")+COUNTIF('Detailed Attendance'!EO109:EO109, "P")+COUNTIF('Detailed Attendance'!FE109:FE109, "P")+COUNTIF('Detailed Attendance'!FI109:FI109, "P")+COUNTIF('Detailed Attendance'!FU109:FU109, "P")+COUNTIF('Detailed Attendance'!FY109:FY109, "P")</f>
        <v/>
      </c>
      <c r="BA108" s="67">
        <f>COUNTIF('Detailed Attendance'!DN109:DN109, "A")+COUNTIF('Detailed Attendance'!DR109:DR109, "A")+COUNTIF('Detailed Attendance'!EK109:EK109, "A")+COUNTIF('Detailed Attendance'!EO109:EO109, "A")+COUNTIF('Detailed Attendance'!FE109:FE109, "A")+COUNTIF('Detailed Attendance'!FI109:FI109, "A")+COUNTIF('Detailed Attendance'!FU109:FU109, "A")+COUNTIF('Detailed Attendance'!FY109:FY109, "A")</f>
        <v/>
      </c>
      <c r="BB108" s="68">
        <f>IF((AZ108+BA108)=0,"", AZ108/(AZ108+BA108))</f>
        <v/>
      </c>
      <c r="BC108" s="67">
        <f>COUNTIF('Detailed Attendance'!DC109:DC109, "P")+COUNTIF('Detailed Attendance'!DV109:DV109, "P")+COUNTIF('Detailed Attendance'!DZ109:DZ109, "P")+COUNTIF('Detailed Attendance'!ES109:ES109, "P")+COUNTIF('Detailed Attendance'!GC109:GC109, "P")+COUNTIF('Detailed Attendance'!GG109:GG109, "P")</f>
        <v/>
      </c>
      <c r="BD108" s="67">
        <f>COUNTIF('Detailed Attendance'!DC109:DC109, "A")+COUNTIF('Detailed Attendance'!DV109:DV109, "A")+COUNTIF('Detailed Attendance'!DZ109:DZ109, "A")+COUNTIF('Detailed Attendance'!ES109:ES109, "A")+COUNTIF('Detailed Attendance'!GC109:GC109, "A")+COUNTIF('Detailed Attendance'!GG109:GG109, "A")</f>
        <v/>
      </c>
      <c r="BE108" s="68">
        <f>IF((BC108+BD108)=0,"", BC108/(BC108+BD108))</f>
        <v/>
      </c>
      <c r="BF108" s="67">
        <f>COUNTIF('Detailed Attendance'!DO109:DO109, "P")+COUNTIF('Detailed Attendance'!DW109:DW109, "P")+COUNTIF('Detailed Attendance'!EL109:EL109, "P")+COUNTIF('Detailed Attendance'!ET109:ET109, "P")+COUNTIF('Detailed Attendance'!FF109:FF109, "P")+COUNTIF('Detailed Attendance'!FV109:FV109, "P")+COUNTIF('Detailed Attendance'!GD109:GD109, "P")</f>
        <v/>
      </c>
      <c r="BG108" s="67">
        <f>COUNTIF('Detailed Attendance'!DO109:DO109, "A")+COUNTIF('Detailed Attendance'!DW109:DW109, "A")+COUNTIF('Detailed Attendance'!EL109:EL109, "A")+COUNTIF('Detailed Attendance'!ET109:ET109, "A")+COUNTIF('Detailed Attendance'!FF109:FF109, "A")+COUNTIF('Detailed Attendance'!FV109:FV109, "A")+COUNTIF('Detailed Attendance'!GD109:GD109, "A")</f>
        <v/>
      </c>
      <c r="BH108" s="68">
        <f>IF((BF108+BG108)=0,"", BF108/(BF108+BG108))</f>
        <v/>
      </c>
      <c r="BI108" s="67">
        <f>AT108+AW108+AZ108+BC108+BF108</f>
        <v/>
      </c>
      <c r="BJ108" s="67">
        <f>AU108+AX108+BA108+BD108+BG108</f>
        <v/>
      </c>
      <c r="BK108" s="68">
        <f>IF((BI108+BJ108)=0,"", BI108/(BI108+BJ108))</f>
        <v/>
      </c>
      <c r="BL108" s="69">
        <f>COUNTIF('Detailed Attendance'!DE109:DE109, "P")+COUNTIF('Detailed Attendance'!EB109:EB109, "P")+COUNTIF('Detailed Attendance'!GI109:GI109, "P")+COUNTIF('Detailed Attendance'!DG109:DG109, "P")+COUNTIF('Detailed Attendance'!ED109:ED109, "P")+COUNTIF('Detailed Attendance'!EX109:EX109, "P")+COUNTIF('Detailed Attendance'!FN109:FN109, "P")+COUNTIF('Detailed Attendance'!DJ109:DJ109, "P")+COUNTIF('Detailed Attendance'!EG109:EG109, "P")+COUNTIF('Detailed Attendance'!FA109:FA109, "P")+COUNTIF('Detailed Attendance'!FQ109:FQ109, "P")</f>
        <v/>
      </c>
      <c r="BM108" s="69">
        <f>COUNTIF('Detailed Attendance'!DE109:DE109, "A")+COUNTIF('Detailed Attendance'!EB109:EB109, "A")+COUNTIF('Detailed Attendance'!GI109:GI109, "A")+COUNTIF('Detailed Attendance'!DG109:DG109, "A")+COUNTIF('Detailed Attendance'!ED109:ED109, "A")+COUNTIF('Detailed Attendance'!EX109:EX109, "A")+COUNTIF('Detailed Attendance'!FN109:FN109, "A")+COUNTIF('Detailed Attendance'!DJ109:DJ109, "A")+COUNTIF('Detailed Attendance'!EG109:EG109, "A")+COUNTIF('Detailed Attendance'!FA109:FA109, "A")+COUNTIF('Detailed Attendance'!FQ109:FQ109, "A")</f>
        <v/>
      </c>
      <c r="BN108" s="70">
        <f>IF((BL108+BM108)=0,"", BL108/(BL108+BM108))</f>
        <v/>
      </c>
      <c r="BO108" s="67">
        <f>D108+Y108+AT108</f>
        <v/>
      </c>
      <c r="BP108" s="67">
        <f>E108+Z108+AU108</f>
        <v/>
      </c>
      <c r="BQ108" s="68">
        <f>IF((BO108+BP108)=0,"", BO108/(BO108+BP108))</f>
        <v/>
      </c>
      <c r="BR108" s="67">
        <f>G108+AB108+AW108</f>
        <v/>
      </c>
      <c r="BS108" s="67">
        <f>H108+AC108+AX108</f>
        <v/>
      </c>
      <c r="BT108" s="68">
        <f>IF((BR108+BS108)=0,"", BR108/(BR108+BS108))</f>
        <v/>
      </c>
      <c r="BU108" s="67">
        <f>J108+AE108+AZ108</f>
        <v/>
      </c>
      <c r="BV108" s="67">
        <f>K108+AF108+BA108</f>
        <v/>
      </c>
      <c r="BW108" s="68">
        <f>IF((BU108+BV108)=0,"", BU108/(BU108+BV108))</f>
        <v/>
      </c>
      <c r="BX108" s="67">
        <f>M108+AH108+BC108</f>
        <v/>
      </c>
      <c r="BY108" s="67">
        <f>N108+AI108+BD108</f>
        <v/>
      </c>
      <c r="BZ108" s="68">
        <f>IF((BX108+BY108)=0,"", BX108/(BX108+BY108))</f>
        <v/>
      </c>
      <c r="CA108" s="67">
        <f>P108+AK108+BF108</f>
        <v/>
      </c>
      <c r="CB108" s="67">
        <f>Q108+AL108+BG108</f>
        <v/>
      </c>
      <c r="CC108" s="68">
        <f>IF((CA108+CB108)=0,"", CA108/(CA108+CB108))</f>
        <v/>
      </c>
      <c r="CD108" s="67">
        <f>S108+AN108+BI108</f>
        <v/>
      </c>
      <c r="CE108" s="67">
        <f>T108+AO108+BJ108</f>
        <v/>
      </c>
      <c r="CF108" s="68">
        <f>IF((CD108+CE108)=0,"", CD108/(CD108+CE108))</f>
        <v/>
      </c>
      <c r="CG108" s="69">
        <f>V108+AQ108+BL108</f>
        <v/>
      </c>
      <c r="CH108" s="69">
        <f>W108+AR108+BM108</f>
        <v/>
      </c>
      <c r="CI108" s="70">
        <f>IF((CG108+CH108)=0,"", CG108/(CG108+CH108))</f>
        <v/>
      </c>
      <c r="CJ108" s="67">
        <f>CD108+(CG108*2)</f>
        <v/>
      </c>
      <c r="CK108" s="67">
        <f>CE108+(CH108*2)</f>
        <v/>
      </c>
      <c r="CL108" s="68">
        <f>IF((CJ108+CK108)=0,"", CJ108/(CJ108+CK108))</f>
        <v/>
      </c>
      <c r="CM108" s="67" t="inlineStr">
        <is>
          <t>Batch 3</t>
        </is>
      </c>
    </row>
    <row r="109" ht="14.25" customHeight="1" s="34">
      <c r="A109" s="46" t="n">
        <v>107</v>
      </c>
      <c r="B109" s="46" t="inlineStr">
        <is>
          <t>325106410107</t>
        </is>
      </c>
      <c r="C109" s="46" t="inlineStr">
        <is>
          <t>SISEKELO SAKHILE MAHLALELA</t>
        </is>
      </c>
      <c r="D109" s="63" t="n">
        <v>0</v>
      </c>
      <c r="E109" s="63" t="n">
        <v>0</v>
      </c>
      <c r="F109" s="64">
        <f>IF((D109+E109)=0,"", D109/(D109+E109))</f>
        <v/>
      </c>
      <c r="G109" s="63">
        <f>COUNTIF('Detailed Attendance'!I110:I110, "P")</f>
        <v/>
      </c>
      <c r="H109" s="63">
        <f>COUNTIF('Detailed Attendance'!I110:I110, "A")</f>
        <v/>
      </c>
      <c r="I109" s="64">
        <f>IF((G109+H109)=0,"", G109/(G109+H109))</f>
        <v/>
      </c>
      <c r="J109" s="63" t="n">
        <v>0</v>
      </c>
      <c r="K109" s="63" t="n">
        <v>0</v>
      </c>
      <c r="L109" s="64">
        <f>IF((J109+K109)=0,"", J109/(J109+K109))</f>
        <v/>
      </c>
      <c r="M109" s="63">
        <f>COUNTIF('Detailed Attendance'!D110:D110, "P")</f>
        <v/>
      </c>
      <c r="N109" s="63">
        <f>COUNTIF('Detailed Attendance'!D110:D110, "A")</f>
        <v/>
      </c>
      <c r="O109" s="64">
        <f>IF((M109+N109)=0,"", M109/(M109+N109))</f>
        <v/>
      </c>
      <c r="P109" s="63" t="n">
        <v>0</v>
      </c>
      <c r="Q109" s="63" t="n">
        <v>0</v>
      </c>
      <c r="R109" s="64">
        <f>IF((P109+Q109)=0,"", P109/(P109+Q109))</f>
        <v/>
      </c>
      <c r="S109" s="63">
        <f>D109+G109+J109+M109+P109</f>
        <v/>
      </c>
      <c r="T109" s="63">
        <f>E109+H109+K109+N109+Q109</f>
        <v/>
      </c>
      <c r="U109" s="64">
        <f>IF((S109+T109)=0,"", S109/(S109+T109))</f>
        <v/>
      </c>
      <c r="V109" s="65">
        <f>COUNTIF('Detailed Attendance'!E110:E110, "P")+COUNTIF('Detailed Attendance'!H110:H110, "P")</f>
        <v/>
      </c>
      <c r="W109" s="65">
        <f>COUNTIF('Detailed Attendance'!E110:E110, "A")+COUNTIF('Detailed Attendance'!H110:H110, "A")</f>
        <v/>
      </c>
      <c r="X109" s="66">
        <f>IF((V109+W109)=0,"", V109/(V109+W109))</f>
        <v/>
      </c>
      <c r="Y109" s="63">
        <f>COUNTIF('Detailed Attendance'!R110:R110, "P")+COUNTIF('Detailed Attendance'!X110:X110, "P")+COUNTIF('Detailed Attendance'!AL110:AL110, "P")+COUNTIF('Detailed Attendance'!BF110:BF110, "P")+COUNTIF('Detailed Attendance'!BL110:BL110, "P")+COUNTIF('Detailed Attendance'!BZ110:BZ110, "P")+COUNTIF('Detailed Attendance'!CI110:CI110, "P")+COUNTIF('Detailed Attendance'!CW110:CW110, "P")</f>
        <v/>
      </c>
      <c r="Z109" s="63">
        <f>COUNTIF('Detailed Attendance'!R110:R110, "A")+COUNTIF('Detailed Attendance'!X110:X110, "A")+COUNTIF('Detailed Attendance'!AL110:AL110, "A")+COUNTIF('Detailed Attendance'!BF110:BF110, "A")+COUNTIF('Detailed Attendance'!BL110:BL110, "A")+COUNTIF('Detailed Attendance'!BZ110:BZ110, "A")+COUNTIF('Detailed Attendance'!CI110:CI110, "A")+COUNTIF('Detailed Attendance'!CW110:CW110, "A")</f>
        <v/>
      </c>
      <c r="AA109" s="64">
        <f>IF((Y109+Z109)=0,"", Y109/(Y109+Z109))</f>
        <v/>
      </c>
      <c r="AB109" s="63">
        <f>COUNTIF('Detailed Attendance'!Q110:Q110, "P")+COUNTIF('Detailed Attendance'!AC110:AC110, "P")+COUNTIF('Detailed Attendance'!AK110:AK110, "P")+COUNTIF('Detailed Attendance'!AW110:AW110, "P")+COUNTIF('Detailed Attendance'!BE110:BE110, "P")+COUNTIF('Detailed Attendance'!BQ110:BQ110, "P")+COUNTIF('Detailed Attendance'!BY110:BY110, "P")+COUNTIF('Detailed Attendance'!CN110:CN110, "P")+COUNTIF('Detailed Attendance'!CV110:CV110, "P")</f>
        <v/>
      </c>
      <c r="AC109" s="63">
        <f>COUNTIF('Detailed Attendance'!Q110:Q110, "A")+COUNTIF('Detailed Attendance'!AC110:AC110, "A")+COUNTIF('Detailed Attendance'!AK110:AK110, "A")+COUNTIF('Detailed Attendance'!AW110:AW110, "A")+COUNTIF('Detailed Attendance'!BE110:BE110, "A")+COUNTIF('Detailed Attendance'!BQ110:BQ110, "A")+COUNTIF('Detailed Attendance'!BY110:BY110, "A")+COUNTIF('Detailed Attendance'!CN110:CN110, "A")+COUNTIF('Detailed Attendance'!CV110:CV110, "A")</f>
        <v/>
      </c>
      <c r="AD109" s="64">
        <f>IF((AB109+AC109)=0,"", AB109/(AB109+AC109))</f>
        <v/>
      </c>
      <c r="AE109" s="63">
        <f>COUNTIF('Detailed Attendance'!L110:L110, "P")+COUNTIF('Detailed Attendance'!P110:P110, "P")+COUNTIF('Detailed Attendance'!AF110:AF110, "P")+COUNTIF('Detailed Attendance'!AJ110:AJ110, "P")+COUNTIF('Detailed Attendance'!AZ110:AZ110, "P")+COUNTIF('Detailed Attendance'!BD110:BD110, "P")+COUNTIF('Detailed Attendance'!BT110:BT110, "P")+COUNTIF('Detailed Attendance'!BX110:BX110, "P")+COUNTIF('Detailed Attendance'!CQ110:CQ110, "P")+COUNTIF('Detailed Attendance'!CU110:CU110, "P")</f>
        <v/>
      </c>
      <c r="AF109" s="67">
        <f>COUNTIF('Detailed Attendance'!L110:L110, "A")+COUNTIF('Detailed Attendance'!P110:P110, "A")+COUNTIF('Detailed Attendance'!AF110:AF110, "A")+COUNTIF('Detailed Attendance'!AJ110:AJ110, "A")+COUNTIF('Detailed Attendance'!AZ110:AZ110, "A")+COUNTIF('Detailed Attendance'!BD110:BD110, "A")+COUNTIF('Detailed Attendance'!BT110:BT110, "A")+COUNTIF('Detailed Attendance'!BX110:BX110, "A")+COUNTIF('Detailed Attendance'!CQ110:CQ110, "A")+COUNTIF('Detailed Attendance'!CU110:CU110, "A")</f>
        <v/>
      </c>
      <c r="AG109" s="68">
        <f>IF((AE109+AF109)=0,"", AE109/(AE109+AF109))</f>
        <v/>
      </c>
      <c r="AH109" s="67">
        <f>COUNTIF('Detailed Attendance'!T110:T110, "P")+COUNTIF('Detailed Attendance'!AN110:AN110, "P")+COUNTIF('Detailed Attendance'!AR110:AR110, "P")+COUNTIF('Detailed Attendance'!BH110:BH110, "P")+COUNTIF('Detailed Attendance'!CB110:CB110, "P")+COUNTIF('Detailed Attendance'!CF110:CF110, "P")+COUNTIF('Detailed Attendance'!CY110:CY110, "P")</f>
        <v/>
      </c>
      <c r="AI109" s="67">
        <f>COUNTIF('Detailed Attendance'!T110:T110, "A")+COUNTIF('Detailed Attendance'!AN110:AN110, "A")+COUNTIF('Detailed Attendance'!AR110:AR110, "A")+COUNTIF('Detailed Attendance'!BH110:BH110, "A")+COUNTIF('Detailed Attendance'!CB110:CB110, "A")+COUNTIF('Detailed Attendance'!CF110:CF110, "A")+COUNTIF('Detailed Attendance'!CY110:CY110, "A")</f>
        <v/>
      </c>
      <c r="AJ109" s="68">
        <f>IF((AH109+AI109)=0,"", AH109/(AH109+AI109))</f>
        <v/>
      </c>
      <c r="AK109" s="67">
        <f>COUNTIF('Detailed Attendance'!M110:M110, "P")+COUNTIF('Detailed Attendance'!U110:U110, "P")+COUNTIF('Detailed Attendance'!AG110:AG110, "P")+COUNTIF('Detailed Attendance'!AO110:AO110, "P")+COUNTIF('Detailed Attendance'!BA110:BA110, "P")+COUNTIF('Detailed Attendance'!BI110:BI110, "P")+COUNTIF('Detailed Attendance'!BU110:BU110, "P")+COUNTIF('Detailed Attendance'!CC110:CC110, "P")+COUNTIF('Detailed Attendance'!CR110:CR110, "P")+COUNTIF('Detailed Attendance'!CZ110:CZ110, "P")</f>
        <v/>
      </c>
      <c r="AL109" s="67">
        <f>COUNTIF('Detailed Attendance'!M110:M110, "A")+COUNTIF('Detailed Attendance'!U110:U110, "A")+COUNTIF('Detailed Attendance'!AG110:AG110, "A")+COUNTIF('Detailed Attendance'!AO110:AO110, "A")+COUNTIF('Detailed Attendance'!BA110:BA110, "A")+COUNTIF('Detailed Attendance'!BI110:BI110, "A")+COUNTIF('Detailed Attendance'!BU110:BU110, "A")+COUNTIF('Detailed Attendance'!CC110:CC110, "A")+COUNTIF('Detailed Attendance'!CR110:CR110, "A")+COUNTIF('Detailed Attendance'!CZ110:CZ110, "A")</f>
        <v/>
      </c>
      <c r="AM109" s="68">
        <f>IF((AK109+AL109)=0,"", AK109/(AK109+AL109))</f>
        <v/>
      </c>
      <c r="AN109" s="67">
        <f>Y109+AB109+AE109+AH109+AK109</f>
        <v/>
      </c>
      <c r="AO109" s="67">
        <f>Z109+AC109+AF109+AI109+AL109</f>
        <v/>
      </c>
      <c r="AP109" s="68">
        <f>IF((AN109+AO109)=0,"", AN109/(AN109+AO109))</f>
        <v/>
      </c>
      <c r="AQ109" s="69">
        <f>COUNTIF('Detailed Attendance'!CH110:CH110, "P")+COUNTIF('Detailed Attendance'!Y110:Y110, "P")+COUNTIF('Detailed Attendance'!AS110:AS110, "P")+COUNTIF('Detailed Attendance'!BM110:BM110, "P")+COUNTIF('Detailed Attendance'!CJ110:CJ110, "P")+COUNTIF('Detailed Attendance'!AB110:AB110, "P")+COUNTIF('Detailed Attendance'!AV110:AV110, "P")+COUNTIF('Detailed Attendance'!BP110:BP110, "P")+COUNTIF('Detailed Attendance'!CM110:CM110, "P")</f>
        <v/>
      </c>
      <c r="AR109" s="69">
        <f>COUNTIF('Detailed Attendance'!CH110:CH110, "A")+COUNTIF('Detailed Attendance'!Y110:Y110, "A")+COUNTIF('Detailed Attendance'!AS110:AS110, "A")+COUNTIF('Detailed Attendance'!BM110:BM110, "A")+COUNTIF('Detailed Attendance'!CJ110:CJ110, "A")+COUNTIF('Detailed Attendance'!AB110:AB110, "A")+COUNTIF('Detailed Attendance'!AV110:AV110, "A")+COUNTIF('Detailed Attendance'!BP110:BP110, "A")+COUNTIF('Detailed Attendance'!CM110:CM110, "A")</f>
        <v/>
      </c>
      <c r="AS109" s="70">
        <f>IF((AQ109+AR109)=0,"", AQ109/(AQ109+AR109))</f>
        <v/>
      </c>
      <c r="AT109" s="67">
        <f>COUNTIF('Detailed Attendance'!DF110:DF110, "P")+COUNTIF('Detailed Attendance'!DT110:DT110, "P")+COUNTIF('Detailed Attendance'!EC110:EC110, "P")+COUNTIF('Detailed Attendance'!EQ110:EQ110, "P")+COUNTIF('Detailed Attendance'!EW110:EW110, "P")+COUNTIF('Detailed Attendance'!FK110:FK110, "P")+COUNTIF('Detailed Attendance'!FM110:FM110, "P")+COUNTIF('Detailed Attendance'!GA110:GA110, "P")</f>
        <v/>
      </c>
      <c r="AU109" s="67">
        <f>COUNTIF('Detailed Attendance'!DF110:DF110, "A")+COUNTIF('Detailed Attendance'!DT110:DT110, "A")+COUNTIF('Detailed Attendance'!EC110:EC110, "A")+COUNTIF('Detailed Attendance'!EQ110:EQ110, "A")+COUNTIF('Detailed Attendance'!EW110:EW110, "A")+COUNTIF('Detailed Attendance'!FK110:FK110, "A")+COUNTIF('Detailed Attendance'!FM110:FM110, "A")+COUNTIF('Detailed Attendance'!GA110:GA110, "A")</f>
        <v/>
      </c>
      <c r="AV109" s="68">
        <f>IF((AT109+AU109)=0,"", AT109/(AT109+AU109))</f>
        <v/>
      </c>
      <c r="AW109" s="67">
        <f>COUNTIF('Detailed Attendance'!DK110:DK110, "P")+COUNTIF('Detailed Attendance'!DS110:DS110, "P")+COUNTIF('Detailed Attendance'!EH110:EH110, "P")+COUNTIF('Detailed Attendance'!EP110:EP110, "P")+COUNTIF('Detailed Attendance'!FB110:FB110, "P")+COUNTIF('Detailed Attendance'!FJ110:FJ110, "P")+COUNTIF('Detailed Attendance'!FR110:FR110, "P")+COUNTIF('Detailed Attendance'!FZ110:FZ110, "P")</f>
        <v/>
      </c>
      <c r="AX109" s="67">
        <f>COUNTIF('Detailed Attendance'!DK110:DK110, "A")+COUNTIF('Detailed Attendance'!DS110:DS110, "A")+COUNTIF('Detailed Attendance'!EH110:EH110, "A")+COUNTIF('Detailed Attendance'!EP110:EP110, "A")+COUNTIF('Detailed Attendance'!FB110:FB110, "A")+COUNTIF('Detailed Attendance'!FJ110:FJ110, "A")+COUNTIF('Detailed Attendance'!FR110:FR110, "A")+COUNTIF('Detailed Attendance'!FZ110:FZ110, "A")</f>
        <v/>
      </c>
      <c r="AY109" s="68">
        <f>IF((AW109+AX109)=0,"", AW109/(AW109+AX109))</f>
        <v/>
      </c>
      <c r="AZ109" s="67">
        <f>COUNTIF('Detailed Attendance'!DN110:DN110, "P")+COUNTIF('Detailed Attendance'!DR110:DR110, "P")+COUNTIF('Detailed Attendance'!EK110:EK110, "P")+COUNTIF('Detailed Attendance'!EO110:EO110, "P")+COUNTIF('Detailed Attendance'!FE110:FE110, "P")+COUNTIF('Detailed Attendance'!FI110:FI110, "P")+COUNTIF('Detailed Attendance'!FU110:FU110, "P")+COUNTIF('Detailed Attendance'!FY110:FY110, "P")</f>
        <v/>
      </c>
      <c r="BA109" s="67">
        <f>COUNTIF('Detailed Attendance'!DN110:DN110, "A")+COUNTIF('Detailed Attendance'!DR110:DR110, "A")+COUNTIF('Detailed Attendance'!EK110:EK110, "A")+COUNTIF('Detailed Attendance'!EO110:EO110, "A")+COUNTIF('Detailed Attendance'!FE110:FE110, "A")+COUNTIF('Detailed Attendance'!FI110:FI110, "A")+COUNTIF('Detailed Attendance'!FU110:FU110, "A")+COUNTIF('Detailed Attendance'!FY110:FY110, "A")</f>
        <v/>
      </c>
      <c r="BB109" s="68">
        <f>IF((AZ109+BA109)=0,"", AZ109/(AZ109+BA109))</f>
        <v/>
      </c>
      <c r="BC109" s="67">
        <f>COUNTIF('Detailed Attendance'!DC110:DC110, "P")+COUNTIF('Detailed Attendance'!DV110:DV110, "P")+COUNTIF('Detailed Attendance'!DZ110:DZ110, "P")+COUNTIF('Detailed Attendance'!ES110:ES110, "P")+COUNTIF('Detailed Attendance'!GC110:GC110, "P")+COUNTIF('Detailed Attendance'!GG110:GG110, "P")</f>
        <v/>
      </c>
      <c r="BD109" s="67">
        <f>COUNTIF('Detailed Attendance'!DC110:DC110, "A")+COUNTIF('Detailed Attendance'!DV110:DV110, "A")+COUNTIF('Detailed Attendance'!DZ110:DZ110, "A")+COUNTIF('Detailed Attendance'!ES110:ES110, "A")+COUNTIF('Detailed Attendance'!GC110:GC110, "A")+COUNTIF('Detailed Attendance'!GG110:GG110, "A")</f>
        <v/>
      </c>
      <c r="BE109" s="68">
        <f>IF((BC109+BD109)=0,"", BC109/(BC109+BD109))</f>
        <v/>
      </c>
      <c r="BF109" s="67">
        <f>COUNTIF('Detailed Attendance'!DO110:DO110, "P")+COUNTIF('Detailed Attendance'!DW110:DW110, "P")+COUNTIF('Detailed Attendance'!EL110:EL110, "P")+COUNTIF('Detailed Attendance'!ET110:ET110, "P")+COUNTIF('Detailed Attendance'!FF110:FF110, "P")+COUNTIF('Detailed Attendance'!FV110:FV110, "P")+COUNTIF('Detailed Attendance'!GD110:GD110, "P")</f>
        <v/>
      </c>
      <c r="BG109" s="67">
        <f>COUNTIF('Detailed Attendance'!DO110:DO110, "A")+COUNTIF('Detailed Attendance'!DW110:DW110, "A")+COUNTIF('Detailed Attendance'!EL110:EL110, "A")+COUNTIF('Detailed Attendance'!ET110:ET110, "A")+COUNTIF('Detailed Attendance'!FF110:FF110, "A")+COUNTIF('Detailed Attendance'!FV110:FV110, "A")+COUNTIF('Detailed Attendance'!GD110:GD110, "A")</f>
        <v/>
      </c>
      <c r="BH109" s="68">
        <f>IF((BF109+BG109)=0,"", BF109/(BF109+BG109))</f>
        <v/>
      </c>
      <c r="BI109" s="67">
        <f>AT109+AW109+AZ109+BC109+BF109</f>
        <v/>
      </c>
      <c r="BJ109" s="67">
        <f>AU109+AX109+BA109+BD109+BG109</f>
        <v/>
      </c>
      <c r="BK109" s="68">
        <f>IF((BI109+BJ109)=0,"", BI109/(BI109+BJ109))</f>
        <v/>
      </c>
      <c r="BL109" s="69">
        <f>COUNTIF('Detailed Attendance'!DE110:DE110, "P")+COUNTIF('Detailed Attendance'!EB110:EB110, "P")+COUNTIF('Detailed Attendance'!GI110:GI110, "P")+COUNTIF('Detailed Attendance'!DG110:DG110, "P")+COUNTIF('Detailed Attendance'!ED110:ED110, "P")+COUNTIF('Detailed Attendance'!EX110:EX110, "P")+COUNTIF('Detailed Attendance'!FN110:FN110, "P")+COUNTIF('Detailed Attendance'!DJ110:DJ110, "P")+COUNTIF('Detailed Attendance'!EG110:EG110, "P")+COUNTIF('Detailed Attendance'!FA110:FA110, "P")+COUNTIF('Detailed Attendance'!FQ110:FQ110, "P")</f>
        <v/>
      </c>
      <c r="BM109" s="69">
        <f>COUNTIF('Detailed Attendance'!DE110:DE110, "A")+COUNTIF('Detailed Attendance'!EB110:EB110, "A")+COUNTIF('Detailed Attendance'!GI110:GI110, "A")+COUNTIF('Detailed Attendance'!DG110:DG110, "A")+COUNTIF('Detailed Attendance'!ED110:ED110, "A")+COUNTIF('Detailed Attendance'!EX110:EX110, "A")+COUNTIF('Detailed Attendance'!FN110:FN110, "A")+COUNTIF('Detailed Attendance'!DJ110:DJ110, "A")+COUNTIF('Detailed Attendance'!EG110:EG110, "A")+COUNTIF('Detailed Attendance'!FA110:FA110, "A")+COUNTIF('Detailed Attendance'!FQ110:FQ110, "A")</f>
        <v/>
      </c>
      <c r="BN109" s="70">
        <f>IF((BL109+BM109)=0,"", BL109/(BL109+BM109))</f>
        <v/>
      </c>
      <c r="BO109" s="67">
        <f>D109+Y109+AT109</f>
        <v/>
      </c>
      <c r="BP109" s="67">
        <f>E109+Z109+AU109</f>
        <v/>
      </c>
      <c r="BQ109" s="68">
        <f>IF((BO109+BP109)=0,"", BO109/(BO109+BP109))</f>
        <v/>
      </c>
      <c r="BR109" s="67">
        <f>G109+AB109+AW109</f>
        <v/>
      </c>
      <c r="BS109" s="67">
        <f>H109+AC109+AX109</f>
        <v/>
      </c>
      <c r="BT109" s="68">
        <f>IF((BR109+BS109)=0,"", BR109/(BR109+BS109))</f>
        <v/>
      </c>
      <c r="BU109" s="67">
        <f>J109+AE109+AZ109</f>
        <v/>
      </c>
      <c r="BV109" s="67">
        <f>K109+AF109+BA109</f>
        <v/>
      </c>
      <c r="BW109" s="68">
        <f>IF((BU109+BV109)=0,"", BU109/(BU109+BV109))</f>
        <v/>
      </c>
      <c r="BX109" s="67">
        <f>M109+AH109+BC109</f>
        <v/>
      </c>
      <c r="BY109" s="67">
        <f>N109+AI109+BD109</f>
        <v/>
      </c>
      <c r="BZ109" s="68">
        <f>IF((BX109+BY109)=0,"", BX109/(BX109+BY109))</f>
        <v/>
      </c>
      <c r="CA109" s="67">
        <f>P109+AK109+BF109</f>
        <v/>
      </c>
      <c r="CB109" s="67">
        <f>Q109+AL109+BG109</f>
        <v/>
      </c>
      <c r="CC109" s="68">
        <f>IF((CA109+CB109)=0,"", CA109/(CA109+CB109))</f>
        <v/>
      </c>
      <c r="CD109" s="67">
        <f>S109+AN109+BI109</f>
        <v/>
      </c>
      <c r="CE109" s="67">
        <f>T109+AO109+BJ109</f>
        <v/>
      </c>
      <c r="CF109" s="68">
        <f>IF((CD109+CE109)=0,"", CD109/(CD109+CE109))</f>
        <v/>
      </c>
      <c r="CG109" s="69">
        <f>V109+AQ109+BL109</f>
        <v/>
      </c>
      <c r="CH109" s="69">
        <f>W109+AR109+BM109</f>
        <v/>
      </c>
      <c r="CI109" s="70">
        <f>IF((CG109+CH109)=0,"", CG109/(CG109+CH109))</f>
        <v/>
      </c>
      <c r="CJ109" s="67">
        <f>CD109+(CG109*2)</f>
        <v/>
      </c>
      <c r="CK109" s="67">
        <f>CE109+(CH109*2)</f>
        <v/>
      </c>
      <c r="CL109" s="68">
        <f>IF((CJ109+CK109)=0,"", CJ109/(CJ109+CK109))</f>
        <v/>
      </c>
      <c r="CM109" s="67" t="inlineStr">
        <is>
          <t>Batch 3</t>
        </is>
      </c>
    </row>
    <row r="110" ht="14.25" customHeight="1" s="34">
      <c r="A110" s="46" t="n">
        <v>108</v>
      </c>
      <c r="B110" s="46" t="inlineStr">
        <is>
          <t>325106410108</t>
        </is>
      </c>
      <c r="C110" s="46" t="inlineStr">
        <is>
          <t>SOUDAISSE AHAMADA</t>
        </is>
      </c>
      <c r="D110" s="63" t="n">
        <v>0</v>
      </c>
      <c r="E110" s="63" t="n">
        <v>0</v>
      </c>
      <c r="F110" s="64">
        <f>IF((D110+E110)=0,"", D110/(D110+E110))</f>
        <v/>
      </c>
      <c r="G110" s="63">
        <f>COUNTIF('Detailed Attendance'!I111:I111, "P")</f>
        <v/>
      </c>
      <c r="H110" s="63">
        <f>COUNTIF('Detailed Attendance'!I111:I111, "A")</f>
        <v/>
      </c>
      <c r="I110" s="64">
        <f>IF((G110+H110)=0,"", G110/(G110+H110))</f>
        <v/>
      </c>
      <c r="J110" s="63" t="n">
        <v>0</v>
      </c>
      <c r="K110" s="63" t="n">
        <v>0</v>
      </c>
      <c r="L110" s="64">
        <f>IF((J110+K110)=0,"", J110/(J110+K110))</f>
        <v/>
      </c>
      <c r="M110" s="63">
        <f>COUNTIF('Detailed Attendance'!D111:D111, "P")</f>
        <v/>
      </c>
      <c r="N110" s="63">
        <f>COUNTIF('Detailed Attendance'!D111:D111, "A")</f>
        <v/>
      </c>
      <c r="O110" s="64">
        <f>IF((M110+N110)=0,"", M110/(M110+N110))</f>
        <v/>
      </c>
      <c r="P110" s="63" t="n">
        <v>0</v>
      </c>
      <c r="Q110" s="63" t="n">
        <v>0</v>
      </c>
      <c r="R110" s="64">
        <f>IF((P110+Q110)=0,"", P110/(P110+Q110))</f>
        <v/>
      </c>
      <c r="S110" s="63">
        <f>D110+G110+J110+M110+P110</f>
        <v/>
      </c>
      <c r="T110" s="63">
        <f>E110+H110+K110+N110+Q110</f>
        <v/>
      </c>
      <c r="U110" s="64">
        <f>IF((S110+T110)=0,"", S110/(S110+T110))</f>
        <v/>
      </c>
      <c r="V110" s="65">
        <f>COUNTIF('Detailed Attendance'!E111:E111, "P")+COUNTIF('Detailed Attendance'!H111:H111, "P")</f>
        <v/>
      </c>
      <c r="W110" s="65">
        <f>COUNTIF('Detailed Attendance'!E111:E111, "A")+COUNTIF('Detailed Attendance'!H111:H111, "A")</f>
        <v/>
      </c>
      <c r="X110" s="66">
        <f>IF((V110+W110)=0,"", V110/(V110+W110))</f>
        <v/>
      </c>
      <c r="Y110" s="63">
        <f>COUNTIF('Detailed Attendance'!R111:R111, "P")+COUNTIF('Detailed Attendance'!X111:X111, "P")+COUNTIF('Detailed Attendance'!AL111:AL111, "P")+COUNTIF('Detailed Attendance'!BF111:BF111, "P")+COUNTIF('Detailed Attendance'!BL111:BL111, "P")+COUNTIF('Detailed Attendance'!BZ111:BZ111, "P")+COUNTIF('Detailed Attendance'!CI111:CI111, "P")+COUNTIF('Detailed Attendance'!CW111:CW111, "P")</f>
        <v/>
      </c>
      <c r="Z110" s="63">
        <f>COUNTIF('Detailed Attendance'!R111:R111, "A")+COUNTIF('Detailed Attendance'!X111:X111, "A")+COUNTIF('Detailed Attendance'!AL111:AL111, "A")+COUNTIF('Detailed Attendance'!BF111:BF111, "A")+COUNTIF('Detailed Attendance'!BL111:BL111, "A")+COUNTIF('Detailed Attendance'!BZ111:BZ111, "A")+COUNTIF('Detailed Attendance'!CI111:CI111, "A")+COUNTIF('Detailed Attendance'!CW111:CW111, "A")</f>
        <v/>
      </c>
      <c r="AA110" s="64">
        <f>IF((Y110+Z110)=0,"", Y110/(Y110+Z110))</f>
        <v/>
      </c>
      <c r="AB110" s="63">
        <f>COUNTIF('Detailed Attendance'!Q111:Q111, "P")+COUNTIF('Detailed Attendance'!AC111:AC111, "P")+COUNTIF('Detailed Attendance'!AK111:AK111, "P")+COUNTIF('Detailed Attendance'!AW111:AW111, "P")+COUNTIF('Detailed Attendance'!BE111:BE111, "P")+COUNTIF('Detailed Attendance'!BQ111:BQ111, "P")+COUNTIF('Detailed Attendance'!BY111:BY111, "P")+COUNTIF('Detailed Attendance'!CN111:CN111, "P")+COUNTIF('Detailed Attendance'!CV111:CV111, "P")</f>
        <v/>
      </c>
      <c r="AC110" s="63">
        <f>COUNTIF('Detailed Attendance'!Q111:Q111, "A")+COUNTIF('Detailed Attendance'!AC111:AC111, "A")+COUNTIF('Detailed Attendance'!AK111:AK111, "A")+COUNTIF('Detailed Attendance'!AW111:AW111, "A")+COUNTIF('Detailed Attendance'!BE111:BE111, "A")+COUNTIF('Detailed Attendance'!BQ111:BQ111, "A")+COUNTIF('Detailed Attendance'!BY111:BY111, "A")+COUNTIF('Detailed Attendance'!CN111:CN111, "A")+COUNTIF('Detailed Attendance'!CV111:CV111, "A")</f>
        <v/>
      </c>
      <c r="AD110" s="64">
        <f>IF((AB110+AC110)=0,"", AB110/(AB110+AC110))</f>
        <v/>
      </c>
      <c r="AE110" s="63">
        <f>COUNTIF('Detailed Attendance'!L111:L111, "P")+COUNTIF('Detailed Attendance'!P111:P111, "P")+COUNTIF('Detailed Attendance'!AF111:AF111, "P")+COUNTIF('Detailed Attendance'!AJ111:AJ111, "P")+COUNTIF('Detailed Attendance'!AZ111:AZ111, "P")+COUNTIF('Detailed Attendance'!BD111:BD111, "P")+COUNTIF('Detailed Attendance'!BT111:BT111, "P")+COUNTIF('Detailed Attendance'!BX111:BX111, "P")+COUNTIF('Detailed Attendance'!CQ111:CQ111, "P")+COUNTIF('Detailed Attendance'!CU111:CU111, "P")</f>
        <v/>
      </c>
      <c r="AF110" s="67">
        <f>COUNTIF('Detailed Attendance'!L111:L111, "A")+COUNTIF('Detailed Attendance'!P111:P111, "A")+COUNTIF('Detailed Attendance'!AF111:AF111, "A")+COUNTIF('Detailed Attendance'!AJ111:AJ111, "A")+COUNTIF('Detailed Attendance'!AZ111:AZ111, "A")+COUNTIF('Detailed Attendance'!BD111:BD111, "A")+COUNTIF('Detailed Attendance'!BT111:BT111, "A")+COUNTIF('Detailed Attendance'!BX111:BX111, "A")+COUNTIF('Detailed Attendance'!CQ111:CQ111, "A")+COUNTIF('Detailed Attendance'!CU111:CU111, "A")</f>
        <v/>
      </c>
      <c r="AG110" s="68">
        <f>IF((AE110+AF110)=0,"", AE110/(AE110+AF110))</f>
        <v/>
      </c>
      <c r="AH110" s="67">
        <f>COUNTIF('Detailed Attendance'!T111:T111, "P")+COUNTIF('Detailed Attendance'!AN111:AN111, "P")+COUNTIF('Detailed Attendance'!AR111:AR111, "P")+COUNTIF('Detailed Attendance'!BH111:BH111, "P")+COUNTIF('Detailed Attendance'!CB111:CB111, "P")+COUNTIF('Detailed Attendance'!CF111:CF111, "P")+COUNTIF('Detailed Attendance'!CY111:CY111, "P")</f>
        <v/>
      </c>
      <c r="AI110" s="67">
        <f>COUNTIF('Detailed Attendance'!T111:T111, "A")+COUNTIF('Detailed Attendance'!AN111:AN111, "A")+COUNTIF('Detailed Attendance'!AR111:AR111, "A")+COUNTIF('Detailed Attendance'!BH111:BH111, "A")+COUNTIF('Detailed Attendance'!CB111:CB111, "A")+COUNTIF('Detailed Attendance'!CF111:CF111, "A")+COUNTIF('Detailed Attendance'!CY111:CY111, "A")</f>
        <v/>
      </c>
      <c r="AJ110" s="68">
        <f>IF((AH110+AI110)=0,"", AH110/(AH110+AI110))</f>
        <v/>
      </c>
      <c r="AK110" s="67">
        <f>COUNTIF('Detailed Attendance'!M111:M111, "P")+COUNTIF('Detailed Attendance'!U111:U111, "P")+COUNTIF('Detailed Attendance'!AG111:AG111, "P")+COUNTIF('Detailed Attendance'!AO111:AO111, "P")+COUNTIF('Detailed Attendance'!BA111:BA111, "P")+COUNTIF('Detailed Attendance'!BI111:BI111, "P")+COUNTIF('Detailed Attendance'!BU111:BU111, "P")+COUNTIF('Detailed Attendance'!CC111:CC111, "P")+COUNTIF('Detailed Attendance'!CR111:CR111, "P")+COUNTIF('Detailed Attendance'!CZ111:CZ111, "P")</f>
        <v/>
      </c>
      <c r="AL110" s="67">
        <f>COUNTIF('Detailed Attendance'!M111:M111, "A")+COUNTIF('Detailed Attendance'!U111:U111, "A")+COUNTIF('Detailed Attendance'!AG111:AG111, "A")+COUNTIF('Detailed Attendance'!AO111:AO111, "A")+COUNTIF('Detailed Attendance'!BA111:BA111, "A")+COUNTIF('Detailed Attendance'!BI111:BI111, "A")+COUNTIF('Detailed Attendance'!BU111:BU111, "A")+COUNTIF('Detailed Attendance'!CC111:CC111, "A")+COUNTIF('Detailed Attendance'!CR111:CR111, "A")+COUNTIF('Detailed Attendance'!CZ111:CZ111, "A")</f>
        <v/>
      </c>
      <c r="AM110" s="68">
        <f>IF((AK110+AL110)=0,"", AK110/(AK110+AL110))</f>
        <v/>
      </c>
      <c r="AN110" s="67">
        <f>Y110+AB110+AE110+AH110+AK110</f>
        <v/>
      </c>
      <c r="AO110" s="67">
        <f>Z110+AC110+AF110+AI110+AL110</f>
        <v/>
      </c>
      <c r="AP110" s="68">
        <f>IF((AN110+AO110)=0,"", AN110/(AN110+AO110))</f>
        <v/>
      </c>
      <c r="AQ110" s="69">
        <f>COUNTIF('Detailed Attendance'!CH111:CH111, "P")+COUNTIF('Detailed Attendance'!Y111:Y111, "P")+COUNTIF('Detailed Attendance'!AS111:AS111, "P")+COUNTIF('Detailed Attendance'!BM111:BM111, "P")+COUNTIF('Detailed Attendance'!CJ111:CJ111, "P")+COUNTIF('Detailed Attendance'!AB111:AB111, "P")+COUNTIF('Detailed Attendance'!AV111:AV111, "P")+COUNTIF('Detailed Attendance'!BP111:BP111, "P")+COUNTIF('Detailed Attendance'!CM111:CM111, "P")</f>
        <v/>
      </c>
      <c r="AR110" s="69">
        <f>COUNTIF('Detailed Attendance'!CH111:CH111, "A")+COUNTIF('Detailed Attendance'!Y111:Y111, "A")+COUNTIF('Detailed Attendance'!AS111:AS111, "A")+COUNTIF('Detailed Attendance'!BM111:BM111, "A")+COUNTIF('Detailed Attendance'!CJ111:CJ111, "A")+COUNTIF('Detailed Attendance'!AB111:AB111, "A")+COUNTIF('Detailed Attendance'!AV111:AV111, "A")+COUNTIF('Detailed Attendance'!BP111:BP111, "A")+COUNTIF('Detailed Attendance'!CM111:CM111, "A")</f>
        <v/>
      </c>
      <c r="AS110" s="70">
        <f>IF((AQ110+AR110)=0,"", AQ110/(AQ110+AR110))</f>
        <v/>
      </c>
      <c r="AT110" s="67">
        <f>COUNTIF('Detailed Attendance'!DF111:DF111, "P")+COUNTIF('Detailed Attendance'!DT111:DT111, "P")+COUNTIF('Detailed Attendance'!EC111:EC111, "P")+COUNTIF('Detailed Attendance'!EQ111:EQ111, "P")+COUNTIF('Detailed Attendance'!EW111:EW111, "P")+COUNTIF('Detailed Attendance'!FK111:FK111, "P")+COUNTIF('Detailed Attendance'!FM111:FM111, "P")+COUNTIF('Detailed Attendance'!GA111:GA111, "P")</f>
        <v/>
      </c>
      <c r="AU110" s="67">
        <f>COUNTIF('Detailed Attendance'!DF111:DF111, "A")+COUNTIF('Detailed Attendance'!DT111:DT111, "A")+COUNTIF('Detailed Attendance'!EC111:EC111, "A")+COUNTIF('Detailed Attendance'!EQ111:EQ111, "A")+COUNTIF('Detailed Attendance'!EW111:EW111, "A")+COUNTIF('Detailed Attendance'!FK111:FK111, "A")+COUNTIF('Detailed Attendance'!FM111:FM111, "A")+COUNTIF('Detailed Attendance'!GA111:GA111, "A")</f>
        <v/>
      </c>
      <c r="AV110" s="68">
        <f>IF((AT110+AU110)=0,"", AT110/(AT110+AU110))</f>
        <v/>
      </c>
      <c r="AW110" s="67">
        <f>COUNTIF('Detailed Attendance'!DK111:DK111, "P")+COUNTIF('Detailed Attendance'!DS111:DS111, "P")+COUNTIF('Detailed Attendance'!EH111:EH111, "P")+COUNTIF('Detailed Attendance'!EP111:EP111, "P")+COUNTIF('Detailed Attendance'!FB111:FB111, "P")+COUNTIF('Detailed Attendance'!FJ111:FJ111, "P")+COUNTIF('Detailed Attendance'!FR111:FR111, "P")+COUNTIF('Detailed Attendance'!FZ111:FZ111, "P")</f>
        <v/>
      </c>
      <c r="AX110" s="67">
        <f>COUNTIF('Detailed Attendance'!DK111:DK111, "A")+COUNTIF('Detailed Attendance'!DS111:DS111, "A")+COUNTIF('Detailed Attendance'!EH111:EH111, "A")+COUNTIF('Detailed Attendance'!EP111:EP111, "A")+COUNTIF('Detailed Attendance'!FB111:FB111, "A")+COUNTIF('Detailed Attendance'!FJ111:FJ111, "A")+COUNTIF('Detailed Attendance'!FR111:FR111, "A")+COUNTIF('Detailed Attendance'!FZ111:FZ111, "A")</f>
        <v/>
      </c>
      <c r="AY110" s="68">
        <f>IF((AW110+AX110)=0,"", AW110/(AW110+AX110))</f>
        <v/>
      </c>
      <c r="AZ110" s="67">
        <f>COUNTIF('Detailed Attendance'!DN111:DN111, "P")+COUNTIF('Detailed Attendance'!DR111:DR111, "P")+COUNTIF('Detailed Attendance'!EK111:EK111, "P")+COUNTIF('Detailed Attendance'!EO111:EO111, "P")+COUNTIF('Detailed Attendance'!FE111:FE111, "P")+COUNTIF('Detailed Attendance'!FI111:FI111, "P")+COUNTIF('Detailed Attendance'!FU111:FU111, "P")+COUNTIF('Detailed Attendance'!FY111:FY111, "P")</f>
        <v/>
      </c>
      <c r="BA110" s="67">
        <f>COUNTIF('Detailed Attendance'!DN111:DN111, "A")+COUNTIF('Detailed Attendance'!DR111:DR111, "A")+COUNTIF('Detailed Attendance'!EK111:EK111, "A")+COUNTIF('Detailed Attendance'!EO111:EO111, "A")+COUNTIF('Detailed Attendance'!FE111:FE111, "A")+COUNTIF('Detailed Attendance'!FI111:FI111, "A")+COUNTIF('Detailed Attendance'!FU111:FU111, "A")+COUNTIF('Detailed Attendance'!FY111:FY111, "A")</f>
        <v/>
      </c>
      <c r="BB110" s="68">
        <f>IF((AZ110+BA110)=0,"", AZ110/(AZ110+BA110))</f>
        <v/>
      </c>
      <c r="BC110" s="67">
        <f>COUNTIF('Detailed Attendance'!DC111:DC111, "P")+COUNTIF('Detailed Attendance'!DV111:DV111, "P")+COUNTIF('Detailed Attendance'!DZ111:DZ111, "P")+COUNTIF('Detailed Attendance'!ES111:ES111, "P")+COUNTIF('Detailed Attendance'!GC111:GC111, "P")+COUNTIF('Detailed Attendance'!GG111:GG111, "P")</f>
        <v/>
      </c>
      <c r="BD110" s="67">
        <f>COUNTIF('Detailed Attendance'!DC111:DC111, "A")+COUNTIF('Detailed Attendance'!DV111:DV111, "A")+COUNTIF('Detailed Attendance'!DZ111:DZ111, "A")+COUNTIF('Detailed Attendance'!ES111:ES111, "A")+COUNTIF('Detailed Attendance'!GC111:GC111, "A")+COUNTIF('Detailed Attendance'!GG111:GG111, "A")</f>
        <v/>
      </c>
      <c r="BE110" s="68">
        <f>IF((BC110+BD110)=0,"", BC110/(BC110+BD110))</f>
        <v/>
      </c>
      <c r="BF110" s="67">
        <f>COUNTIF('Detailed Attendance'!DO111:DO111, "P")+COUNTIF('Detailed Attendance'!DW111:DW111, "P")+COUNTIF('Detailed Attendance'!EL111:EL111, "P")+COUNTIF('Detailed Attendance'!ET111:ET111, "P")+COUNTIF('Detailed Attendance'!FF111:FF111, "P")+COUNTIF('Detailed Attendance'!FV111:FV111, "P")+COUNTIF('Detailed Attendance'!GD111:GD111, "P")</f>
        <v/>
      </c>
      <c r="BG110" s="67">
        <f>COUNTIF('Detailed Attendance'!DO111:DO111, "A")+COUNTIF('Detailed Attendance'!DW111:DW111, "A")+COUNTIF('Detailed Attendance'!EL111:EL111, "A")+COUNTIF('Detailed Attendance'!ET111:ET111, "A")+COUNTIF('Detailed Attendance'!FF111:FF111, "A")+COUNTIF('Detailed Attendance'!FV111:FV111, "A")+COUNTIF('Detailed Attendance'!GD111:GD111, "A")</f>
        <v/>
      </c>
      <c r="BH110" s="68">
        <f>IF((BF110+BG110)=0,"", BF110/(BF110+BG110))</f>
        <v/>
      </c>
      <c r="BI110" s="67">
        <f>AT110+AW110+AZ110+BC110+BF110</f>
        <v/>
      </c>
      <c r="BJ110" s="67">
        <f>AU110+AX110+BA110+BD110+BG110</f>
        <v/>
      </c>
      <c r="BK110" s="68">
        <f>IF((BI110+BJ110)=0,"", BI110/(BI110+BJ110))</f>
        <v/>
      </c>
      <c r="BL110" s="69">
        <f>COUNTIF('Detailed Attendance'!DE111:DE111, "P")+COUNTIF('Detailed Attendance'!EB111:EB111, "P")+COUNTIF('Detailed Attendance'!GI111:GI111, "P")+COUNTIF('Detailed Attendance'!DG111:DG111, "P")+COUNTIF('Detailed Attendance'!ED111:ED111, "P")+COUNTIF('Detailed Attendance'!EX111:EX111, "P")+COUNTIF('Detailed Attendance'!FN111:FN111, "P")+COUNTIF('Detailed Attendance'!DJ111:DJ111, "P")+COUNTIF('Detailed Attendance'!EG111:EG111, "P")+COUNTIF('Detailed Attendance'!FA111:FA111, "P")+COUNTIF('Detailed Attendance'!FQ111:FQ111, "P")</f>
        <v/>
      </c>
      <c r="BM110" s="69">
        <f>COUNTIF('Detailed Attendance'!DE111:DE111, "A")+COUNTIF('Detailed Attendance'!EB111:EB111, "A")+COUNTIF('Detailed Attendance'!GI111:GI111, "A")+COUNTIF('Detailed Attendance'!DG111:DG111, "A")+COUNTIF('Detailed Attendance'!ED111:ED111, "A")+COUNTIF('Detailed Attendance'!EX111:EX111, "A")+COUNTIF('Detailed Attendance'!FN111:FN111, "A")+COUNTIF('Detailed Attendance'!DJ111:DJ111, "A")+COUNTIF('Detailed Attendance'!EG111:EG111, "A")+COUNTIF('Detailed Attendance'!FA111:FA111, "A")+COUNTIF('Detailed Attendance'!FQ111:FQ111, "A")</f>
        <v/>
      </c>
      <c r="BN110" s="70">
        <f>IF((BL110+BM110)=0,"", BL110/(BL110+BM110))</f>
        <v/>
      </c>
      <c r="BO110" s="67">
        <f>D110+Y110+AT110</f>
        <v/>
      </c>
      <c r="BP110" s="67">
        <f>E110+Z110+AU110</f>
        <v/>
      </c>
      <c r="BQ110" s="68">
        <f>IF((BO110+BP110)=0,"", BO110/(BO110+BP110))</f>
        <v/>
      </c>
      <c r="BR110" s="67">
        <f>G110+AB110+AW110</f>
        <v/>
      </c>
      <c r="BS110" s="67">
        <f>H110+AC110+AX110</f>
        <v/>
      </c>
      <c r="BT110" s="68">
        <f>IF((BR110+BS110)=0,"", BR110/(BR110+BS110))</f>
        <v/>
      </c>
      <c r="BU110" s="67">
        <f>J110+AE110+AZ110</f>
        <v/>
      </c>
      <c r="BV110" s="67">
        <f>K110+AF110+BA110</f>
        <v/>
      </c>
      <c r="BW110" s="68">
        <f>IF((BU110+BV110)=0,"", BU110/(BU110+BV110))</f>
        <v/>
      </c>
      <c r="BX110" s="67">
        <f>M110+AH110+BC110</f>
        <v/>
      </c>
      <c r="BY110" s="67">
        <f>N110+AI110+BD110</f>
        <v/>
      </c>
      <c r="BZ110" s="68">
        <f>IF((BX110+BY110)=0,"", BX110/(BX110+BY110))</f>
        <v/>
      </c>
      <c r="CA110" s="67">
        <f>P110+AK110+BF110</f>
        <v/>
      </c>
      <c r="CB110" s="67">
        <f>Q110+AL110+BG110</f>
        <v/>
      </c>
      <c r="CC110" s="68">
        <f>IF((CA110+CB110)=0,"", CA110/(CA110+CB110))</f>
        <v/>
      </c>
      <c r="CD110" s="67">
        <f>S110+AN110+BI110</f>
        <v/>
      </c>
      <c r="CE110" s="67">
        <f>T110+AO110+BJ110</f>
        <v/>
      </c>
      <c r="CF110" s="68">
        <f>IF((CD110+CE110)=0,"", CD110/(CD110+CE110))</f>
        <v/>
      </c>
      <c r="CG110" s="69">
        <f>V110+AQ110+BL110</f>
        <v/>
      </c>
      <c r="CH110" s="69">
        <f>W110+AR110+BM110</f>
        <v/>
      </c>
      <c r="CI110" s="70">
        <f>IF((CG110+CH110)=0,"", CG110/(CG110+CH110))</f>
        <v/>
      </c>
      <c r="CJ110" s="67">
        <f>CD110+(CG110*2)</f>
        <v/>
      </c>
      <c r="CK110" s="67">
        <f>CE110+(CH110*2)</f>
        <v/>
      </c>
      <c r="CL110" s="68">
        <f>IF((CJ110+CK110)=0,"", CJ110/(CJ110+CK110))</f>
        <v/>
      </c>
      <c r="CM110" s="67" t="inlineStr">
        <is>
          <t>Batch 3</t>
        </is>
      </c>
    </row>
    <row r="111" ht="14.25" customHeight="1" s="34">
      <c r="A111" s="46" t="n">
        <v>109</v>
      </c>
      <c r="B111" s="46" t="inlineStr">
        <is>
          <t>325106410109</t>
        </is>
      </c>
      <c r="C111" s="46" t="inlineStr">
        <is>
          <t>STELIO LUIS</t>
        </is>
      </c>
      <c r="D111" s="63" t="n">
        <v>0</v>
      </c>
      <c r="E111" s="63" t="n">
        <v>0</v>
      </c>
      <c r="F111" s="64">
        <f>IF((D111+E111)=0,"", D111/(D111+E111))</f>
        <v/>
      </c>
      <c r="G111" s="63">
        <f>COUNTIF('Detailed Attendance'!I112:I112, "P")</f>
        <v/>
      </c>
      <c r="H111" s="63">
        <f>COUNTIF('Detailed Attendance'!I112:I112, "A")</f>
        <v/>
      </c>
      <c r="I111" s="64">
        <f>IF((G111+H111)=0,"", G111/(G111+H111))</f>
        <v/>
      </c>
      <c r="J111" s="63" t="n">
        <v>0</v>
      </c>
      <c r="K111" s="63" t="n">
        <v>0</v>
      </c>
      <c r="L111" s="64">
        <f>IF((J111+K111)=0,"", J111/(J111+K111))</f>
        <v/>
      </c>
      <c r="M111" s="63">
        <f>COUNTIF('Detailed Attendance'!D112:D112, "P")</f>
        <v/>
      </c>
      <c r="N111" s="63">
        <f>COUNTIF('Detailed Attendance'!D112:D112, "A")</f>
        <v/>
      </c>
      <c r="O111" s="64">
        <f>IF((M111+N111)=0,"", M111/(M111+N111))</f>
        <v/>
      </c>
      <c r="P111" s="63" t="n">
        <v>0</v>
      </c>
      <c r="Q111" s="63" t="n">
        <v>0</v>
      </c>
      <c r="R111" s="64">
        <f>IF((P111+Q111)=0,"", P111/(P111+Q111))</f>
        <v/>
      </c>
      <c r="S111" s="63">
        <f>D111+G111+J111+M111+P111</f>
        <v/>
      </c>
      <c r="T111" s="63">
        <f>E111+H111+K111+N111+Q111</f>
        <v/>
      </c>
      <c r="U111" s="64">
        <f>IF((S111+T111)=0,"", S111/(S111+T111))</f>
        <v/>
      </c>
      <c r="V111" s="65">
        <f>COUNTIF('Detailed Attendance'!E112:E112, "P")+COUNTIF('Detailed Attendance'!H112:H112, "P")</f>
        <v/>
      </c>
      <c r="W111" s="65">
        <f>COUNTIF('Detailed Attendance'!E112:E112, "A")+COUNTIF('Detailed Attendance'!H112:H112, "A")</f>
        <v/>
      </c>
      <c r="X111" s="66">
        <f>IF((V111+W111)=0,"", V111/(V111+W111))</f>
        <v/>
      </c>
      <c r="Y111" s="63">
        <f>COUNTIF('Detailed Attendance'!R112:R112, "P")+COUNTIF('Detailed Attendance'!X112:X112, "P")+COUNTIF('Detailed Attendance'!AL112:AL112, "P")+COUNTIF('Detailed Attendance'!BF112:BF112, "P")+COUNTIF('Detailed Attendance'!BL112:BL112, "P")+COUNTIF('Detailed Attendance'!BZ112:BZ112, "P")+COUNTIF('Detailed Attendance'!CI112:CI112, "P")+COUNTIF('Detailed Attendance'!CW112:CW112, "P")</f>
        <v/>
      </c>
      <c r="Z111" s="63">
        <f>COUNTIF('Detailed Attendance'!R112:R112, "A")+COUNTIF('Detailed Attendance'!X112:X112, "A")+COUNTIF('Detailed Attendance'!AL112:AL112, "A")+COUNTIF('Detailed Attendance'!BF112:BF112, "A")+COUNTIF('Detailed Attendance'!BL112:BL112, "A")+COUNTIF('Detailed Attendance'!BZ112:BZ112, "A")+COUNTIF('Detailed Attendance'!CI112:CI112, "A")+COUNTIF('Detailed Attendance'!CW112:CW112, "A")</f>
        <v/>
      </c>
      <c r="AA111" s="64">
        <f>IF((Y111+Z111)=0,"", Y111/(Y111+Z111))</f>
        <v/>
      </c>
      <c r="AB111" s="63">
        <f>COUNTIF('Detailed Attendance'!Q112:Q112, "P")+COUNTIF('Detailed Attendance'!AC112:AC112, "P")+COUNTIF('Detailed Attendance'!AK112:AK112, "P")+COUNTIF('Detailed Attendance'!AW112:AW112, "P")+COUNTIF('Detailed Attendance'!BE112:BE112, "P")+COUNTIF('Detailed Attendance'!BQ112:BQ112, "P")+COUNTIF('Detailed Attendance'!BY112:BY112, "P")+COUNTIF('Detailed Attendance'!CN112:CN112, "P")+COUNTIF('Detailed Attendance'!CV112:CV112, "P")</f>
        <v/>
      </c>
      <c r="AC111" s="63">
        <f>COUNTIF('Detailed Attendance'!Q112:Q112, "A")+COUNTIF('Detailed Attendance'!AC112:AC112, "A")+COUNTIF('Detailed Attendance'!AK112:AK112, "A")+COUNTIF('Detailed Attendance'!AW112:AW112, "A")+COUNTIF('Detailed Attendance'!BE112:BE112, "A")+COUNTIF('Detailed Attendance'!BQ112:BQ112, "A")+COUNTIF('Detailed Attendance'!BY112:BY112, "A")+COUNTIF('Detailed Attendance'!CN112:CN112, "A")+COUNTIF('Detailed Attendance'!CV112:CV112, "A")</f>
        <v/>
      </c>
      <c r="AD111" s="64">
        <f>IF((AB111+AC111)=0,"", AB111/(AB111+AC111))</f>
        <v/>
      </c>
      <c r="AE111" s="63">
        <f>COUNTIF('Detailed Attendance'!L112:L112, "P")+COUNTIF('Detailed Attendance'!P112:P112, "P")+COUNTIF('Detailed Attendance'!AF112:AF112, "P")+COUNTIF('Detailed Attendance'!AJ112:AJ112, "P")+COUNTIF('Detailed Attendance'!AZ112:AZ112, "P")+COUNTIF('Detailed Attendance'!BD112:BD112, "P")+COUNTIF('Detailed Attendance'!BT112:BT112, "P")+COUNTIF('Detailed Attendance'!BX112:BX112, "P")+COUNTIF('Detailed Attendance'!CQ112:CQ112, "P")+COUNTIF('Detailed Attendance'!CU112:CU112, "P")</f>
        <v/>
      </c>
      <c r="AF111" s="67">
        <f>COUNTIF('Detailed Attendance'!L112:L112, "A")+COUNTIF('Detailed Attendance'!P112:P112, "A")+COUNTIF('Detailed Attendance'!AF112:AF112, "A")+COUNTIF('Detailed Attendance'!AJ112:AJ112, "A")+COUNTIF('Detailed Attendance'!AZ112:AZ112, "A")+COUNTIF('Detailed Attendance'!BD112:BD112, "A")+COUNTIF('Detailed Attendance'!BT112:BT112, "A")+COUNTIF('Detailed Attendance'!BX112:BX112, "A")+COUNTIF('Detailed Attendance'!CQ112:CQ112, "A")+COUNTIF('Detailed Attendance'!CU112:CU112, "A")</f>
        <v/>
      </c>
      <c r="AG111" s="68">
        <f>IF((AE111+AF111)=0,"", AE111/(AE111+AF111))</f>
        <v/>
      </c>
      <c r="AH111" s="67">
        <f>COUNTIF('Detailed Attendance'!T112:T112, "P")+COUNTIF('Detailed Attendance'!AN112:AN112, "P")+COUNTIF('Detailed Attendance'!AR112:AR112, "P")+COUNTIF('Detailed Attendance'!BH112:BH112, "P")+COUNTIF('Detailed Attendance'!CB112:CB112, "P")+COUNTIF('Detailed Attendance'!CF112:CF112, "P")+COUNTIF('Detailed Attendance'!CY112:CY112, "P")</f>
        <v/>
      </c>
      <c r="AI111" s="67">
        <f>COUNTIF('Detailed Attendance'!T112:T112, "A")+COUNTIF('Detailed Attendance'!AN112:AN112, "A")+COUNTIF('Detailed Attendance'!AR112:AR112, "A")+COUNTIF('Detailed Attendance'!BH112:BH112, "A")+COUNTIF('Detailed Attendance'!CB112:CB112, "A")+COUNTIF('Detailed Attendance'!CF112:CF112, "A")+COUNTIF('Detailed Attendance'!CY112:CY112, "A")</f>
        <v/>
      </c>
      <c r="AJ111" s="68">
        <f>IF((AH111+AI111)=0,"", AH111/(AH111+AI111))</f>
        <v/>
      </c>
      <c r="AK111" s="67">
        <f>COUNTIF('Detailed Attendance'!M112:M112, "P")+COUNTIF('Detailed Attendance'!U112:U112, "P")+COUNTIF('Detailed Attendance'!AG112:AG112, "P")+COUNTIF('Detailed Attendance'!AO112:AO112, "P")+COUNTIF('Detailed Attendance'!BA112:BA112, "P")+COUNTIF('Detailed Attendance'!BI112:BI112, "P")+COUNTIF('Detailed Attendance'!BU112:BU112, "P")+COUNTIF('Detailed Attendance'!CC112:CC112, "P")+COUNTIF('Detailed Attendance'!CR112:CR112, "P")+COUNTIF('Detailed Attendance'!CZ112:CZ112, "P")</f>
        <v/>
      </c>
      <c r="AL111" s="67">
        <f>COUNTIF('Detailed Attendance'!M112:M112, "A")+COUNTIF('Detailed Attendance'!U112:U112, "A")+COUNTIF('Detailed Attendance'!AG112:AG112, "A")+COUNTIF('Detailed Attendance'!AO112:AO112, "A")+COUNTIF('Detailed Attendance'!BA112:BA112, "A")+COUNTIF('Detailed Attendance'!BI112:BI112, "A")+COUNTIF('Detailed Attendance'!BU112:BU112, "A")+COUNTIF('Detailed Attendance'!CC112:CC112, "A")+COUNTIF('Detailed Attendance'!CR112:CR112, "A")+COUNTIF('Detailed Attendance'!CZ112:CZ112, "A")</f>
        <v/>
      </c>
      <c r="AM111" s="68">
        <f>IF((AK111+AL111)=0,"", AK111/(AK111+AL111))</f>
        <v/>
      </c>
      <c r="AN111" s="67">
        <f>Y111+AB111+AE111+AH111+AK111</f>
        <v/>
      </c>
      <c r="AO111" s="67">
        <f>Z111+AC111+AF111+AI111+AL111</f>
        <v/>
      </c>
      <c r="AP111" s="68">
        <f>IF((AN111+AO111)=0,"", AN111/(AN111+AO111))</f>
        <v/>
      </c>
      <c r="AQ111" s="69">
        <f>COUNTIF('Detailed Attendance'!CH112:CH112, "P")+COUNTIF('Detailed Attendance'!Y112:Y112, "P")+COUNTIF('Detailed Attendance'!AS112:AS112, "P")+COUNTIF('Detailed Attendance'!BM112:BM112, "P")+COUNTIF('Detailed Attendance'!CJ112:CJ112, "P")+COUNTIF('Detailed Attendance'!AB112:AB112, "P")+COUNTIF('Detailed Attendance'!AV112:AV112, "P")+COUNTIF('Detailed Attendance'!BP112:BP112, "P")+COUNTIF('Detailed Attendance'!CM112:CM112, "P")</f>
        <v/>
      </c>
      <c r="AR111" s="69">
        <f>COUNTIF('Detailed Attendance'!CH112:CH112, "A")+COUNTIF('Detailed Attendance'!Y112:Y112, "A")+COUNTIF('Detailed Attendance'!AS112:AS112, "A")+COUNTIF('Detailed Attendance'!BM112:BM112, "A")+COUNTIF('Detailed Attendance'!CJ112:CJ112, "A")+COUNTIF('Detailed Attendance'!AB112:AB112, "A")+COUNTIF('Detailed Attendance'!AV112:AV112, "A")+COUNTIF('Detailed Attendance'!BP112:BP112, "A")+COUNTIF('Detailed Attendance'!CM112:CM112, "A")</f>
        <v/>
      </c>
      <c r="AS111" s="70">
        <f>IF((AQ111+AR111)=0,"", AQ111/(AQ111+AR111))</f>
        <v/>
      </c>
      <c r="AT111" s="67">
        <f>COUNTIF('Detailed Attendance'!DF112:DF112, "P")+COUNTIF('Detailed Attendance'!DT112:DT112, "P")+COUNTIF('Detailed Attendance'!EC112:EC112, "P")+COUNTIF('Detailed Attendance'!EQ112:EQ112, "P")+COUNTIF('Detailed Attendance'!EW112:EW112, "P")+COUNTIF('Detailed Attendance'!FK112:FK112, "P")+COUNTIF('Detailed Attendance'!FM112:FM112, "P")+COUNTIF('Detailed Attendance'!GA112:GA112, "P")</f>
        <v/>
      </c>
      <c r="AU111" s="67">
        <f>COUNTIF('Detailed Attendance'!DF112:DF112, "A")+COUNTIF('Detailed Attendance'!DT112:DT112, "A")+COUNTIF('Detailed Attendance'!EC112:EC112, "A")+COUNTIF('Detailed Attendance'!EQ112:EQ112, "A")+COUNTIF('Detailed Attendance'!EW112:EW112, "A")+COUNTIF('Detailed Attendance'!FK112:FK112, "A")+COUNTIF('Detailed Attendance'!FM112:FM112, "A")+COUNTIF('Detailed Attendance'!GA112:GA112, "A")</f>
        <v/>
      </c>
      <c r="AV111" s="68">
        <f>IF((AT111+AU111)=0,"", AT111/(AT111+AU111))</f>
        <v/>
      </c>
      <c r="AW111" s="67">
        <f>COUNTIF('Detailed Attendance'!DK112:DK112, "P")+COUNTIF('Detailed Attendance'!DS112:DS112, "P")+COUNTIF('Detailed Attendance'!EH112:EH112, "P")+COUNTIF('Detailed Attendance'!EP112:EP112, "P")+COUNTIF('Detailed Attendance'!FB112:FB112, "P")+COUNTIF('Detailed Attendance'!FJ112:FJ112, "P")+COUNTIF('Detailed Attendance'!FR112:FR112, "P")+COUNTIF('Detailed Attendance'!FZ112:FZ112, "P")</f>
        <v/>
      </c>
      <c r="AX111" s="67">
        <f>COUNTIF('Detailed Attendance'!DK112:DK112, "A")+COUNTIF('Detailed Attendance'!DS112:DS112, "A")+COUNTIF('Detailed Attendance'!EH112:EH112, "A")+COUNTIF('Detailed Attendance'!EP112:EP112, "A")+COUNTIF('Detailed Attendance'!FB112:FB112, "A")+COUNTIF('Detailed Attendance'!FJ112:FJ112, "A")+COUNTIF('Detailed Attendance'!FR112:FR112, "A")+COUNTIF('Detailed Attendance'!FZ112:FZ112, "A")</f>
        <v/>
      </c>
      <c r="AY111" s="68">
        <f>IF((AW111+AX111)=0,"", AW111/(AW111+AX111))</f>
        <v/>
      </c>
      <c r="AZ111" s="67">
        <f>COUNTIF('Detailed Attendance'!DN112:DN112, "P")+COUNTIF('Detailed Attendance'!DR112:DR112, "P")+COUNTIF('Detailed Attendance'!EK112:EK112, "P")+COUNTIF('Detailed Attendance'!EO112:EO112, "P")+COUNTIF('Detailed Attendance'!FE112:FE112, "P")+COUNTIF('Detailed Attendance'!FI112:FI112, "P")+COUNTIF('Detailed Attendance'!FU112:FU112, "P")+COUNTIF('Detailed Attendance'!FY112:FY112, "P")</f>
        <v/>
      </c>
      <c r="BA111" s="67">
        <f>COUNTIF('Detailed Attendance'!DN112:DN112, "A")+COUNTIF('Detailed Attendance'!DR112:DR112, "A")+COUNTIF('Detailed Attendance'!EK112:EK112, "A")+COUNTIF('Detailed Attendance'!EO112:EO112, "A")+COUNTIF('Detailed Attendance'!FE112:FE112, "A")+COUNTIF('Detailed Attendance'!FI112:FI112, "A")+COUNTIF('Detailed Attendance'!FU112:FU112, "A")+COUNTIF('Detailed Attendance'!FY112:FY112, "A")</f>
        <v/>
      </c>
      <c r="BB111" s="68">
        <f>IF((AZ111+BA111)=0,"", AZ111/(AZ111+BA111))</f>
        <v/>
      </c>
      <c r="BC111" s="67">
        <f>COUNTIF('Detailed Attendance'!DC112:DC112, "P")+COUNTIF('Detailed Attendance'!DV112:DV112, "P")+COUNTIF('Detailed Attendance'!DZ112:DZ112, "P")+COUNTIF('Detailed Attendance'!ES112:ES112, "P")+COUNTIF('Detailed Attendance'!GC112:GC112, "P")+COUNTIF('Detailed Attendance'!GG112:GG112, "P")</f>
        <v/>
      </c>
      <c r="BD111" s="67">
        <f>COUNTIF('Detailed Attendance'!DC112:DC112, "A")+COUNTIF('Detailed Attendance'!DV112:DV112, "A")+COUNTIF('Detailed Attendance'!DZ112:DZ112, "A")+COUNTIF('Detailed Attendance'!ES112:ES112, "A")+COUNTIF('Detailed Attendance'!GC112:GC112, "A")+COUNTIF('Detailed Attendance'!GG112:GG112, "A")</f>
        <v/>
      </c>
      <c r="BE111" s="68">
        <f>IF((BC111+BD111)=0,"", BC111/(BC111+BD111))</f>
        <v/>
      </c>
      <c r="BF111" s="67">
        <f>COUNTIF('Detailed Attendance'!DO112:DO112, "P")+COUNTIF('Detailed Attendance'!DW112:DW112, "P")+COUNTIF('Detailed Attendance'!EL112:EL112, "P")+COUNTIF('Detailed Attendance'!ET112:ET112, "P")+COUNTIF('Detailed Attendance'!FF112:FF112, "P")+COUNTIF('Detailed Attendance'!FV112:FV112, "P")+COUNTIF('Detailed Attendance'!GD112:GD112, "P")</f>
        <v/>
      </c>
      <c r="BG111" s="67">
        <f>COUNTIF('Detailed Attendance'!DO112:DO112, "A")+COUNTIF('Detailed Attendance'!DW112:DW112, "A")+COUNTIF('Detailed Attendance'!EL112:EL112, "A")+COUNTIF('Detailed Attendance'!ET112:ET112, "A")+COUNTIF('Detailed Attendance'!FF112:FF112, "A")+COUNTIF('Detailed Attendance'!FV112:FV112, "A")+COUNTIF('Detailed Attendance'!GD112:GD112, "A")</f>
        <v/>
      </c>
      <c r="BH111" s="68">
        <f>IF((BF111+BG111)=0,"", BF111/(BF111+BG111))</f>
        <v/>
      </c>
      <c r="BI111" s="67">
        <f>AT111+AW111+AZ111+BC111+BF111</f>
        <v/>
      </c>
      <c r="BJ111" s="67">
        <f>AU111+AX111+BA111+BD111+BG111</f>
        <v/>
      </c>
      <c r="BK111" s="68">
        <f>IF((BI111+BJ111)=0,"", BI111/(BI111+BJ111))</f>
        <v/>
      </c>
      <c r="BL111" s="69">
        <f>COUNTIF('Detailed Attendance'!DE112:DE112, "P")+COUNTIF('Detailed Attendance'!EB112:EB112, "P")+COUNTIF('Detailed Attendance'!GI112:GI112, "P")+COUNTIF('Detailed Attendance'!DG112:DG112, "P")+COUNTIF('Detailed Attendance'!ED112:ED112, "P")+COUNTIF('Detailed Attendance'!EX112:EX112, "P")+COUNTIF('Detailed Attendance'!FN112:FN112, "P")+COUNTIF('Detailed Attendance'!DJ112:DJ112, "P")+COUNTIF('Detailed Attendance'!EG112:EG112, "P")+COUNTIF('Detailed Attendance'!FA112:FA112, "P")+COUNTIF('Detailed Attendance'!FQ112:FQ112, "P")</f>
        <v/>
      </c>
      <c r="BM111" s="69">
        <f>COUNTIF('Detailed Attendance'!DE112:DE112, "A")+COUNTIF('Detailed Attendance'!EB112:EB112, "A")+COUNTIF('Detailed Attendance'!GI112:GI112, "A")+COUNTIF('Detailed Attendance'!DG112:DG112, "A")+COUNTIF('Detailed Attendance'!ED112:ED112, "A")+COUNTIF('Detailed Attendance'!EX112:EX112, "A")+COUNTIF('Detailed Attendance'!FN112:FN112, "A")+COUNTIF('Detailed Attendance'!DJ112:DJ112, "A")+COUNTIF('Detailed Attendance'!EG112:EG112, "A")+COUNTIF('Detailed Attendance'!FA112:FA112, "A")+COUNTIF('Detailed Attendance'!FQ112:FQ112, "A")</f>
        <v/>
      </c>
      <c r="BN111" s="70">
        <f>IF((BL111+BM111)=0,"", BL111/(BL111+BM111))</f>
        <v/>
      </c>
      <c r="BO111" s="67">
        <f>D111+Y111+AT111</f>
        <v/>
      </c>
      <c r="BP111" s="67">
        <f>E111+Z111+AU111</f>
        <v/>
      </c>
      <c r="BQ111" s="68">
        <f>IF((BO111+BP111)=0,"", BO111/(BO111+BP111))</f>
        <v/>
      </c>
      <c r="BR111" s="67">
        <f>G111+AB111+AW111</f>
        <v/>
      </c>
      <c r="BS111" s="67">
        <f>H111+AC111+AX111</f>
        <v/>
      </c>
      <c r="BT111" s="68">
        <f>IF((BR111+BS111)=0,"", BR111/(BR111+BS111))</f>
        <v/>
      </c>
      <c r="BU111" s="67">
        <f>J111+AE111+AZ111</f>
        <v/>
      </c>
      <c r="BV111" s="67">
        <f>K111+AF111+BA111</f>
        <v/>
      </c>
      <c r="BW111" s="68">
        <f>IF((BU111+BV111)=0,"", BU111/(BU111+BV111))</f>
        <v/>
      </c>
      <c r="BX111" s="67">
        <f>M111+AH111+BC111</f>
        <v/>
      </c>
      <c r="BY111" s="67">
        <f>N111+AI111+BD111</f>
        <v/>
      </c>
      <c r="BZ111" s="68">
        <f>IF((BX111+BY111)=0,"", BX111/(BX111+BY111))</f>
        <v/>
      </c>
      <c r="CA111" s="67">
        <f>P111+AK111+BF111</f>
        <v/>
      </c>
      <c r="CB111" s="67">
        <f>Q111+AL111+BG111</f>
        <v/>
      </c>
      <c r="CC111" s="68">
        <f>IF((CA111+CB111)=0,"", CA111/(CA111+CB111))</f>
        <v/>
      </c>
      <c r="CD111" s="67">
        <f>S111+AN111+BI111</f>
        <v/>
      </c>
      <c r="CE111" s="67">
        <f>T111+AO111+BJ111</f>
        <v/>
      </c>
      <c r="CF111" s="68">
        <f>IF((CD111+CE111)=0,"", CD111/(CD111+CE111))</f>
        <v/>
      </c>
      <c r="CG111" s="69">
        <f>V111+AQ111+BL111</f>
        <v/>
      </c>
      <c r="CH111" s="69">
        <f>W111+AR111+BM111</f>
        <v/>
      </c>
      <c r="CI111" s="70">
        <f>IF((CG111+CH111)=0,"", CG111/(CG111+CH111))</f>
        <v/>
      </c>
      <c r="CJ111" s="67">
        <f>CD111+(CG111*2)</f>
        <v/>
      </c>
      <c r="CK111" s="67">
        <f>CE111+(CH111*2)</f>
        <v/>
      </c>
      <c r="CL111" s="68">
        <f>IF((CJ111+CK111)=0,"", CJ111/(CJ111+CK111))</f>
        <v/>
      </c>
      <c r="CM111" s="67" t="inlineStr">
        <is>
          <t>Batch 3</t>
        </is>
      </c>
    </row>
    <row r="112" ht="14.25" customHeight="1" s="34">
      <c r="A112" s="46" t="n">
        <v>110</v>
      </c>
      <c r="B112" s="46" t="inlineStr">
        <is>
          <t>325106410110</t>
        </is>
      </c>
      <c r="C112" s="46" t="inlineStr">
        <is>
          <t>SUSANTHA CHOWDHURY</t>
        </is>
      </c>
      <c r="D112" s="63" t="n">
        <v>0</v>
      </c>
      <c r="E112" s="63" t="n">
        <v>0</v>
      </c>
      <c r="F112" s="64">
        <f>IF((D112+E112)=0,"", D112/(D112+E112))</f>
        <v/>
      </c>
      <c r="G112" s="63">
        <f>COUNTIF('Detailed Attendance'!I113:I113, "P")</f>
        <v/>
      </c>
      <c r="H112" s="63">
        <f>COUNTIF('Detailed Attendance'!I113:I113, "A")</f>
        <v/>
      </c>
      <c r="I112" s="64">
        <f>IF((G112+H112)=0,"", G112/(G112+H112))</f>
        <v/>
      </c>
      <c r="J112" s="63" t="n">
        <v>0</v>
      </c>
      <c r="K112" s="63" t="n">
        <v>0</v>
      </c>
      <c r="L112" s="64">
        <f>IF((J112+K112)=0,"", J112/(J112+K112))</f>
        <v/>
      </c>
      <c r="M112" s="63">
        <f>COUNTIF('Detailed Attendance'!D113:D113, "P")</f>
        <v/>
      </c>
      <c r="N112" s="63">
        <f>COUNTIF('Detailed Attendance'!D113:D113, "A")</f>
        <v/>
      </c>
      <c r="O112" s="64">
        <f>IF((M112+N112)=0,"", M112/(M112+N112))</f>
        <v/>
      </c>
      <c r="P112" s="63" t="n">
        <v>0</v>
      </c>
      <c r="Q112" s="63" t="n">
        <v>0</v>
      </c>
      <c r="R112" s="64">
        <f>IF((P112+Q112)=0,"", P112/(P112+Q112))</f>
        <v/>
      </c>
      <c r="S112" s="63">
        <f>D112+G112+J112+M112+P112</f>
        <v/>
      </c>
      <c r="T112" s="63">
        <f>E112+H112+K112+N112+Q112</f>
        <v/>
      </c>
      <c r="U112" s="64">
        <f>IF((S112+T112)=0,"", S112/(S112+T112))</f>
        <v/>
      </c>
      <c r="V112" s="65">
        <f>COUNTIF('Detailed Attendance'!E113:E113, "P")+COUNTIF('Detailed Attendance'!H113:H113, "P")</f>
        <v/>
      </c>
      <c r="W112" s="65">
        <f>COUNTIF('Detailed Attendance'!E113:E113, "A")+COUNTIF('Detailed Attendance'!H113:H113, "A")</f>
        <v/>
      </c>
      <c r="X112" s="66">
        <f>IF((V112+W112)=0,"", V112/(V112+W112))</f>
        <v/>
      </c>
      <c r="Y112" s="63">
        <f>COUNTIF('Detailed Attendance'!R113:R113, "P")+COUNTIF('Detailed Attendance'!X113:X113, "P")+COUNTIF('Detailed Attendance'!AL113:AL113, "P")+COUNTIF('Detailed Attendance'!BF113:BF113, "P")+COUNTIF('Detailed Attendance'!BL113:BL113, "P")+COUNTIF('Detailed Attendance'!BZ113:BZ113, "P")+COUNTIF('Detailed Attendance'!CI113:CI113, "P")+COUNTIF('Detailed Attendance'!CW113:CW113, "P")</f>
        <v/>
      </c>
      <c r="Z112" s="63">
        <f>COUNTIF('Detailed Attendance'!R113:R113, "A")+COUNTIF('Detailed Attendance'!X113:X113, "A")+COUNTIF('Detailed Attendance'!AL113:AL113, "A")+COUNTIF('Detailed Attendance'!BF113:BF113, "A")+COUNTIF('Detailed Attendance'!BL113:BL113, "A")+COUNTIF('Detailed Attendance'!BZ113:BZ113, "A")+COUNTIF('Detailed Attendance'!CI113:CI113, "A")+COUNTIF('Detailed Attendance'!CW113:CW113, "A")</f>
        <v/>
      </c>
      <c r="AA112" s="64">
        <f>IF((Y112+Z112)=0,"", Y112/(Y112+Z112))</f>
        <v/>
      </c>
      <c r="AB112" s="63">
        <f>COUNTIF('Detailed Attendance'!Q113:Q113, "P")+COUNTIF('Detailed Attendance'!AC113:AC113, "P")+COUNTIF('Detailed Attendance'!AK113:AK113, "P")+COUNTIF('Detailed Attendance'!AW113:AW113, "P")+COUNTIF('Detailed Attendance'!BE113:BE113, "P")+COUNTIF('Detailed Attendance'!BQ113:BQ113, "P")+COUNTIF('Detailed Attendance'!BY113:BY113, "P")+COUNTIF('Detailed Attendance'!CN113:CN113, "P")+COUNTIF('Detailed Attendance'!CV113:CV113, "P")</f>
        <v/>
      </c>
      <c r="AC112" s="63">
        <f>COUNTIF('Detailed Attendance'!Q113:Q113, "A")+COUNTIF('Detailed Attendance'!AC113:AC113, "A")+COUNTIF('Detailed Attendance'!AK113:AK113, "A")+COUNTIF('Detailed Attendance'!AW113:AW113, "A")+COUNTIF('Detailed Attendance'!BE113:BE113, "A")+COUNTIF('Detailed Attendance'!BQ113:BQ113, "A")+COUNTIF('Detailed Attendance'!BY113:BY113, "A")+COUNTIF('Detailed Attendance'!CN113:CN113, "A")+COUNTIF('Detailed Attendance'!CV113:CV113, "A")</f>
        <v/>
      </c>
      <c r="AD112" s="64">
        <f>IF((AB112+AC112)=0,"", AB112/(AB112+AC112))</f>
        <v/>
      </c>
      <c r="AE112" s="63">
        <f>COUNTIF('Detailed Attendance'!L113:L113, "P")+COUNTIF('Detailed Attendance'!P113:P113, "P")+COUNTIF('Detailed Attendance'!AF113:AF113, "P")+COUNTIF('Detailed Attendance'!AJ113:AJ113, "P")+COUNTIF('Detailed Attendance'!AZ113:AZ113, "P")+COUNTIF('Detailed Attendance'!BD113:BD113, "P")+COUNTIF('Detailed Attendance'!BT113:BT113, "P")+COUNTIF('Detailed Attendance'!BX113:BX113, "P")+COUNTIF('Detailed Attendance'!CQ113:CQ113, "P")+COUNTIF('Detailed Attendance'!CU113:CU113, "P")</f>
        <v/>
      </c>
      <c r="AF112" s="67">
        <f>COUNTIF('Detailed Attendance'!L113:L113, "A")+COUNTIF('Detailed Attendance'!P113:P113, "A")+COUNTIF('Detailed Attendance'!AF113:AF113, "A")+COUNTIF('Detailed Attendance'!AJ113:AJ113, "A")+COUNTIF('Detailed Attendance'!AZ113:AZ113, "A")+COUNTIF('Detailed Attendance'!BD113:BD113, "A")+COUNTIF('Detailed Attendance'!BT113:BT113, "A")+COUNTIF('Detailed Attendance'!BX113:BX113, "A")+COUNTIF('Detailed Attendance'!CQ113:CQ113, "A")+COUNTIF('Detailed Attendance'!CU113:CU113, "A")</f>
        <v/>
      </c>
      <c r="AG112" s="68">
        <f>IF((AE112+AF112)=0,"", AE112/(AE112+AF112))</f>
        <v/>
      </c>
      <c r="AH112" s="67">
        <f>COUNTIF('Detailed Attendance'!T113:T113, "P")+COUNTIF('Detailed Attendance'!AN113:AN113, "P")+COUNTIF('Detailed Attendance'!AR113:AR113, "P")+COUNTIF('Detailed Attendance'!BH113:BH113, "P")+COUNTIF('Detailed Attendance'!CB113:CB113, "P")+COUNTIF('Detailed Attendance'!CF113:CF113, "P")+COUNTIF('Detailed Attendance'!CY113:CY113, "P")</f>
        <v/>
      </c>
      <c r="AI112" s="67">
        <f>COUNTIF('Detailed Attendance'!T113:T113, "A")+COUNTIF('Detailed Attendance'!AN113:AN113, "A")+COUNTIF('Detailed Attendance'!AR113:AR113, "A")+COUNTIF('Detailed Attendance'!BH113:BH113, "A")+COUNTIF('Detailed Attendance'!CB113:CB113, "A")+COUNTIF('Detailed Attendance'!CF113:CF113, "A")+COUNTIF('Detailed Attendance'!CY113:CY113, "A")</f>
        <v/>
      </c>
      <c r="AJ112" s="68">
        <f>IF((AH112+AI112)=0,"", AH112/(AH112+AI112))</f>
        <v/>
      </c>
      <c r="AK112" s="67">
        <f>COUNTIF('Detailed Attendance'!M113:M113, "P")+COUNTIF('Detailed Attendance'!U113:U113, "P")+COUNTIF('Detailed Attendance'!AG113:AG113, "P")+COUNTIF('Detailed Attendance'!AO113:AO113, "P")+COUNTIF('Detailed Attendance'!BA113:BA113, "P")+COUNTIF('Detailed Attendance'!BI113:BI113, "P")+COUNTIF('Detailed Attendance'!BU113:BU113, "P")+COUNTIF('Detailed Attendance'!CC113:CC113, "P")+COUNTIF('Detailed Attendance'!CR113:CR113, "P")+COUNTIF('Detailed Attendance'!CZ113:CZ113, "P")</f>
        <v/>
      </c>
      <c r="AL112" s="67">
        <f>COUNTIF('Detailed Attendance'!M113:M113, "A")+COUNTIF('Detailed Attendance'!U113:U113, "A")+COUNTIF('Detailed Attendance'!AG113:AG113, "A")+COUNTIF('Detailed Attendance'!AO113:AO113, "A")+COUNTIF('Detailed Attendance'!BA113:BA113, "A")+COUNTIF('Detailed Attendance'!BI113:BI113, "A")+COUNTIF('Detailed Attendance'!BU113:BU113, "A")+COUNTIF('Detailed Attendance'!CC113:CC113, "A")+COUNTIF('Detailed Attendance'!CR113:CR113, "A")+COUNTIF('Detailed Attendance'!CZ113:CZ113, "A")</f>
        <v/>
      </c>
      <c r="AM112" s="68">
        <f>IF((AK112+AL112)=0,"", AK112/(AK112+AL112))</f>
        <v/>
      </c>
      <c r="AN112" s="67">
        <f>Y112+AB112+AE112+AH112+AK112</f>
        <v/>
      </c>
      <c r="AO112" s="67">
        <f>Z112+AC112+AF112+AI112+AL112</f>
        <v/>
      </c>
      <c r="AP112" s="68">
        <f>IF((AN112+AO112)=0,"", AN112/(AN112+AO112))</f>
        <v/>
      </c>
      <c r="AQ112" s="69">
        <f>COUNTIF('Detailed Attendance'!CH113:CH113, "P")+COUNTIF('Detailed Attendance'!Y113:Y113, "P")+COUNTIF('Detailed Attendance'!AS113:AS113, "P")+COUNTIF('Detailed Attendance'!BM113:BM113, "P")+COUNTIF('Detailed Attendance'!CJ113:CJ113, "P")+COUNTIF('Detailed Attendance'!AB113:AB113, "P")+COUNTIF('Detailed Attendance'!AV113:AV113, "P")+COUNTIF('Detailed Attendance'!BP113:BP113, "P")+COUNTIF('Detailed Attendance'!CM113:CM113, "P")</f>
        <v/>
      </c>
      <c r="AR112" s="69">
        <f>COUNTIF('Detailed Attendance'!CH113:CH113, "A")+COUNTIF('Detailed Attendance'!Y113:Y113, "A")+COUNTIF('Detailed Attendance'!AS113:AS113, "A")+COUNTIF('Detailed Attendance'!BM113:BM113, "A")+COUNTIF('Detailed Attendance'!CJ113:CJ113, "A")+COUNTIF('Detailed Attendance'!AB113:AB113, "A")+COUNTIF('Detailed Attendance'!AV113:AV113, "A")+COUNTIF('Detailed Attendance'!BP113:BP113, "A")+COUNTIF('Detailed Attendance'!CM113:CM113, "A")</f>
        <v/>
      </c>
      <c r="AS112" s="70">
        <f>IF((AQ112+AR112)=0,"", AQ112/(AQ112+AR112))</f>
        <v/>
      </c>
      <c r="AT112" s="67">
        <f>COUNTIF('Detailed Attendance'!DF113:DF113, "P")+COUNTIF('Detailed Attendance'!DT113:DT113, "P")+COUNTIF('Detailed Attendance'!EC113:EC113, "P")+COUNTIF('Detailed Attendance'!EQ113:EQ113, "P")+COUNTIF('Detailed Attendance'!EW113:EW113, "P")+COUNTIF('Detailed Attendance'!FK113:FK113, "P")+COUNTIF('Detailed Attendance'!FM113:FM113, "P")+COUNTIF('Detailed Attendance'!GA113:GA113, "P")</f>
        <v/>
      </c>
      <c r="AU112" s="67">
        <f>COUNTIF('Detailed Attendance'!DF113:DF113, "A")+COUNTIF('Detailed Attendance'!DT113:DT113, "A")+COUNTIF('Detailed Attendance'!EC113:EC113, "A")+COUNTIF('Detailed Attendance'!EQ113:EQ113, "A")+COUNTIF('Detailed Attendance'!EW113:EW113, "A")+COUNTIF('Detailed Attendance'!FK113:FK113, "A")+COUNTIF('Detailed Attendance'!FM113:FM113, "A")+COUNTIF('Detailed Attendance'!GA113:GA113, "A")</f>
        <v/>
      </c>
      <c r="AV112" s="68">
        <f>IF((AT112+AU112)=0,"", AT112/(AT112+AU112))</f>
        <v/>
      </c>
      <c r="AW112" s="67">
        <f>COUNTIF('Detailed Attendance'!DK113:DK113, "P")+COUNTIF('Detailed Attendance'!DS113:DS113, "P")+COUNTIF('Detailed Attendance'!EH113:EH113, "P")+COUNTIF('Detailed Attendance'!EP113:EP113, "P")+COUNTIF('Detailed Attendance'!FB113:FB113, "P")+COUNTIF('Detailed Attendance'!FJ113:FJ113, "P")+COUNTIF('Detailed Attendance'!FR113:FR113, "P")+COUNTIF('Detailed Attendance'!FZ113:FZ113, "P")</f>
        <v/>
      </c>
      <c r="AX112" s="67">
        <f>COUNTIF('Detailed Attendance'!DK113:DK113, "A")+COUNTIF('Detailed Attendance'!DS113:DS113, "A")+COUNTIF('Detailed Attendance'!EH113:EH113, "A")+COUNTIF('Detailed Attendance'!EP113:EP113, "A")+COUNTIF('Detailed Attendance'!FB113:FB113, "A")+COUNTIF('Detailed Attendance'!FJ113:FJ113, "A")+COUNTIF('Detailed Attendance'!FR113:FR113, "A")+COUNTIF('Detailed Attendance'!FZ113:FZ113, "A")</f>
        <v/>
      </c>
      <c r="AY112" s="68">
        <f>IF((AW112+AX112)=0,"", AW112/(AW112+AX112))</f>
        <v/>
      </c>
      <c r="AZ112" s="67">
        <f>COUNTIF('Detailed Attendance'!DN113:DN113, "P")+COUNTIF('Detailed Attendance'!DR113:DR113, "P")+COUNTIF('Detailed Attendance'!EK113:EK113, "P")+COUNTIF('Detailed Attendance'!EO113:EO113, "P")+COUNTIF('Detailed Attendance'!FE113:FE113, "P")+COUNTIF('Detailed Attendance'!FI113:FI113, "P")+COUNTIF('Detailed Attendance'!FU113:FU113, "P")+COUNTIF('Detailed Attendance'!FY113:FY113, "P")</f>
        <v/>
      </c>
      <c r="BA112" s="67">
        <f>COUNTIF('Detailed Attendance'!DN113:DN113, "A")+COUNTIF('Detailed Attendance'!DR113:DR113, "A")+COUNTIF('Detailed Attendance'!EK113:EK113, "A")+COUNTIF('Detailed Attendance'!EO113:EO113, "A")+COUNTIF('Detailed Attendance'!FE113:FE113, "A")+COUNTIF('Detailed Attendance'!FI113:FI113, "A")+COUNTIF('Detailed Attendance'!FU113:FU113, "A")+COUNTIF('Detailed Attendance'!FY113:FY113, "A")</f>
        <v/>
      </c>
      <c r="BB112" s="68">
        <f>IF((AZ112+BA112)=0,"", AZ112/(AZ112+BA112))</f>
        <v/>
      </c>
      <c r="BC112" s="67">
        <f>COUNTIF('Detailed Attendance'!DC113:DC113, "P")+COUNTIF('Detailed Attendance'!DV113:DV113, "P")+COUNTIF('Detailed Attendance'!DZ113:DZ113, "P")+COUNTIF('Detailed Attendance'!ES113:ES113, "P")+COUNTIF('Detailed Attendance'!GC113:GC113, "P")+COUNTIF('Detailed Attendance'!GG113:GG113, "P")</f>
        <v/>
      </c>
      <c r="BD112" s="67">
        <f>COUNTIF('Detailed Attendance'!DC113:DC113, "A")+COUNTIF('Detailed Attendance'!DV113:DV113, "A")+COUNTIF('Detailed Attendance'!DZ113:DZ113, "A")+COUNTIF('Detailed Attendance'!ES113:ES113, "A")+COUNTIF('Detailed Attendance'!GC113:GC113, "A")+COUNTIF('Detailed Attendance'!GG113:GG113, "A")</f>
        <v/>
      </c>
      <c r="BE112" s="68">
        <f>IF((BC112+BD112)=0,"", BC112/(BC112+BD112))</f>
        <v/>
      </c>
      <c r="BF112" s="67">
        <f>COUNTIF('Detailed Attendance'!DO113:DO113, "P")+COUNTIF('Detailed Attendance'!DW113:DW113, "P")+COUNTIF('Detailed Attendance'!EL113:EL113, "P")+COUNTIF('Detailed Attendance'!ET113:ET113, "P")+COUNTIF('Detailed Attendance'!FF113:FF113, "P")+COUNTIF('Detailed Attendance'!FV113:FV113, "P")+COUNTIF('Detailed Attendance'!GD113:GD113, "P")</f>
        <v/>
      </c>
      <c r="BG112" s="67">
        <f>COUNTIF('Detailed Attendance'!DO113:DO113, "A")+COUNTIF('Detailed Attendance'!DW113:DW113, "A")+COUNTIF('Detailed Attendance'!EL113:EL113, "A")+COUNTIF('Detailed Attendance'!ET113:ET113, "A")+COUNTIF('Detailed Attendance'!FF113:FF113, "A")+COUNTIF('Detailed Attendance'!FV113:FV113, "A")+COUNTIF('Detailed Attendance'!GD113:GD113, "A")</f>
        <v/>
      </c>
      <c r="BH112" s="68">
        <f>IF((BF112+BG112)=0,"", BF112/(BF112+BG112))</f>
        <v/>
      </c>
      <c r="BI112" s="67">
        <f>AT112+AW112+AZ112+BC112+BF112</f>
        <v/>
      </c>
      <c r="BJ112" s="67">
        <f>AU112+AX112+BA112+BD112+BG112</f>
        <v/>
      </c>
      <c r="BK112" s="68">
        <f>IF((BI112+BJ112)=0,"", BI112/(BI112+BJ112))</f>
        <v/>
      </c>
      <c r="BL112" s="69">
        <f>COUNTIF('Detailed Attendance'!DE113:DE113, "P")+COUNTIF('Detailed Attendance'!EB113:EB113, "P")+COUNTIF('Detailed Attendance'!GI113:GI113, "P")+COUNTIF('Detailed Attendance'!DG113:DG113, "P")+COUNTIF('Detailed Attendance'!ED113:ED113, "P")+COUNTIF('Detailed Attendance'!EX113:EX113, "P")+COUNTIF('Detailed Attendance'!FN113:FN113, "P")+COUNTIF('Detailed Attendance'!DJ113:DJ113, "P")+COUNTIF('Detailed Attendance'!EG113:EG113, "P")+COUNTIF('Detailed Attendance'!FA113:FA113, "P")+COUNTIF('Detailed Attendance'!FQ113:FQ113, "P")</f>
        <v/>
      </c>
      <c r="BM112" s="69">
        <f>COUNTIF('Detailed Attendance'!DE113:DE113, "A")+COUNTIF('Detailed Attendance'!EB113:EB113, "A")+COUNTIF('Detailed Attendance'!GI113:GI113, "A")+COUNTIF('Detailed Attendance'!DG113:DG113, "A")+COUNTIF('Detailed Attendance'!ED113:ED113, "A")+COUNTIF('Detailed Attendance'!EX113:EX113, "A")+COUNTIF('Detailed Attendance'!FN113:FN113, "A")+COUNTIF('Detailed Attendance'!DJ113:DJ113, "A")+COUNTIF('Detailed Attendance'!EG113:EG113, "A")+COUNTIF('Detailed Attendance'!FA113:FA113, "A")+COUNTIF('Detailed Attendance'!FQ113:FQ113, "A")</f>
        <v/>
      </c>
      <c r="BN112" s="70">
        <f>IF((BL112+BM112)=0,"", BL112/(BL112+BM112))</f>
        <v/>
      </c>
      <c r="BO112" s="67">
        <f>D112+Y112+AT112</f>
        <v/>
      </c>
      <c r="BP112" s="67">
        <f>E112+Z112+AU112</f>
        <v/>
      </c>
      <c r="BQ112" s="68">
        <f>IF((BO112+BP112)=0,"", BO112/(BO112+BP112))</f>
        <v/>
      </c>
      <c r="BR112" s="67">
        <f>G112+AB112+AW112</f>
        <v/>
      </c>
      <c r="BS112" s="67">
        <f>H112+AC112+AX112</f>
        <v/>
      </c>
      <c r="BT112" s="68">
        <f>IF((BR112+BS112)=0,"", BR112/(BR112+BS112))</f>
        <v/>
      </c>
      <c r="BU112" s="67">
        <f>J112+AE112+AZ112</f>
        <v/>
      </c>
      <c r="BV112" s="67">
        <f>K112+AF112+BA112</f>
        <v/>
      </c>
      <c r="BW112" s="68">
        <f>IF((BU112+BV112)=0,"", BU112/(BU112+BV112))</f>
        <v/>
      </c>
      <c r="BX112" s="67">
        <f>M112+AH112+BC112</f>
        <v/>
      </c>
      <c r="BY112" s="67">
        <f>N112+AI112+BD112</f>
        <v/>
      </c>
      <c r="BZ112" s="68">
        <f>IF((BX112+BY112)=0,"", BX112/(BX112+BY112))</f>
        <v/>
      </c>
      <c r="CA112" s="67">
        <f>P112+AK112+BF112</f>
        <v/>
      </c>
      <c r="CB112" s="67">
        <f>Q112+AL112+BG112</f>
        <v/>
      </c>
      <c r="CC112" s="68">
        <f>IF((CA112+CB112)=0,"", CA112/(CA112+CB112))</f>
        <v/>
      </c>
      <c r="CD112" s="67">
        <f>S112+AN112+BI112</f>
        <v/>
      </c>
      <c r="CE112" s="67">
        <f>T112+AO112+BJ112</f>
        <v/>
      </c>
      <c r="CF112" s="68">
        <f>IF((CD112+CE112)=0,"", CD112/(CD112+CE112))</f>
        <v/>
      </c>
      <c r="CG112" s="69">
        <f>V112+AQ112+BL112</f>
        <v/>
      </c>
      <c r="CH112" s="69">
        <f>W112+AR112+BM112</f>
        <v/>
      </c>
      <c r="CI112" s="70">
        <f>IF((CG112+CH112)=0,"", CG112/(CG112+CH112))</f>
        <v/>
      </c>
      <c r="CJ112" s="67">
        <f>CD112+(CG112*2)</f>
        <v/>
      </c>
      <c r="CK112" s="67">
        <f>CE112+(CH112*2)</f>
        <v/>
      </c>
      <c r="CL112" s="68">
        <f>IF((CJ112+CK112)=0,"", CJ112/(CJ112+CK112))</f>
        <v/>
      </c>
      <c r="CM112" s="67" t="inlineStr">
        <is>
          <t>Batch 3</t>
        </is>
      </c>
    </row>
    <row r="113" ht="14.25" customHeight="1" s="34">
      <c r="A113" s="46" t="n">
        <v>111</v>
      </c>
      <c r="B113" s="46" t="inlineStr">
        <is>
          <t>325106410111</t>
        </is>
      </c>
      <c r="C113" s="46" t="inlineStr">
        <is>
          <t>TJITAREE TJIUMBUA</t>
        </is>
      </c>
      <c r="D113" s="63" t="n">
        <v>0</v>
      </c>
      <c r="E113" s="63" t="n">
        <v>0</v>
      </c>
      <c r="F113" s="64">
        <f>IF((D113+E113)=0,"", D113/(D113+E113))</f>
        <v/>
      </c>
      <c r="G113" s="63">
        <f>COUNTIF('Detailed Attendance'!I114:I114, "P")</f>
        <v/>
      </c>
      <c r="H113" s="63">
        <f>COUNTIF('Detailed Attendance'!I114:I114, "A")</f>
        <v/>
      </c>
      <c r="I113" s="64">
        <f>IF((G113+H113)=0,"", G113/(G113+H113))</f>
        <v/>
      </c>
      <c r="J113" s="63" t="n">
        <v>0</v>
      </c>
      <c r="K113" s="63" t="n">
        <v>0</v>
      </c>
      <c r="L113" s="64">
        <f>IF((J113+K113)=0,"", J113/(J113+K113))</f>
        <v/>
      </c>
      <c r="M113" s="63">
        <f>COUNTIF('Detailed Attendance'!D114:D114, "P")</f>
        <v/>
      </c>
      <c r="N113" s="63">
        <f>COUNTIF('Detailed Attendance'!D114:D114, "A")</f>
        <v/>
      </c>
      <c r="O113" s="64">
        <f>IF((M113+N113)=0,"", M113/(M113+N113))</f>
        <v/>
      </c>
      <c r="P113" s="63" t="n">
        <v>0</v>
      </c>
      <c r="Q113" s="63" t="n">
        <v>0</v>
      </c>
      <c r="R113" s="64">
        <f>IF((P113+Q113)=0,"", P113/(P113+Q113))</f>
        <v/>
      </c>
      <c r="S113" s="63">
        <f>D113+G113+J113+M113+P113</f>
        <v/>
      </c>
      <c r="T113" s="63">
        <f>E113+H113+K113+N113+Q113</f>
        <v/>
      </c>
      <c r="U113" s="64">
        <f>IF((S113+T113)=0,"", S113/(S113+T113))</f>
        <v/>
      </c>
      <c r="V113" s="65">
        <f>COUNTIF('Detailed Attendance'!E114:E114, "P")+COUNTIF('Detailed Attendance'!H114:H114, "P")</f>
        <v/>
      </c>
      <c r="W113" s="65">
        <f>COUNTIF('Detailed Attendance'!E114:E114, "A")+COUNTIF('Detailed Attendance'!H114:H114, "A")</f>
        <v/>
      </c>
      <c r="X113" s="66">
        <f>IF((V113+W113)=0,"", V113/(V113+W113))</f>
        <v/>
      </c>
      <c r="Y113" s="63">
        <f>COUNTIF('Detailed Attendance'!R114:R114, "P")+COUNTIF('Detailed Attendance'!X114:X114, "P")+COUNTIF('Detailed Attendance'!AL114:AL114, "P")+COUNTIF('Detailed Attendance'!BF114:BF114, "P")+COUNTIF('Detailed Attendance'!BL114:BL114, "P")+COUNTIF('Detailed Attendance'!BZ114:BZ114, "P")+COUNTIF('Detailed Attendance'!CI114:CI114, "P")+COUNTIF('Detailed Attendance'!CW114:CW114, "P")</f>
        <v/>
      </c>
      <c r="Z113" s="63">
        <f>COUNTIF('Detailed Attendance'!R114:R114, "A")+COUNTIF('Detailed Attendance'!X114:X114, "A")+COUNTIF('Detailed Attendance'!AL114:AL114, "A")+COUNTIF('Detailed Attendance'!BF114:BF114, "A")+COUNTIF('Detailed Attendance'!BL114:BL114, "A")+COUNTIF('Detailed Attendance'!BZ114:BZ114, "A")+COUNTIF('Detailed Attendance'!CI114:CI114, "A")+COUNTIF('Detailed Attendance'!CW114:CW114, "A")</f>
        <v/>
      </c>
      <c r="AA113" s="64">
        <f>IF((Y113+Z113)=0,"", Y113/(Y113+Z113))</f>
        <v/>
      </c>
      <c r="AB113" s="63">
        <f>COUNTIF('Detailed Attendance'!Q114:Q114, "P")+COUNTIF('Detailed Attendance'!AC114:AC114, "P")+COUNTIF('Detailed Attendance'!AK114:AK114, "P")+COUNTIF('Detailed Attendance'!AW114:AW114, "P")+COUNTIF('Detailed Attendance'!BE114:BE114, "P")+COUNTIF('Detailed Attendance'!BQ114:BQ114, "P")+COUNTIF('Detailed Attendance'!BY114:BY114, "P")+COUNTIF('Detailed Attendance'!CN114:CN114, "P")+COUNTIF('Detailed Attendance'!CV114:CV114, "P")</f>
        <v/>
      </c>
      <c r="AC113" s="63">
        <f>COUNTIF('Detailed Attendance'!Q114:Q114, "A")+COUNTIF('Detailed Attendance'!AC114:AC114, "A")+COUNTIF('Detailed Attendance'!AK114:AK114, "A")+COUNTIF('Detailed Attendance'!AW114:AW114, "A")+COUNTIF('Detailed Attendance'!BE114:BE114, "A")+COUNTIF('Detailed Attendance'!BQ114:BQ114, "A")+COUNTIF('Detailed Attendance'!BY114:BY114, "A")+COUNTIF('Detailed Attendance'!CN114:CN114, "A")+COUNTIF('Detailed Attendance'!CV114:CV114, "A")</f>
        <v/>
      </c>
      <c r="AD113" s="64">
        <f>IF((AB113+AC113)=0,"", AB113/(AB113+AC113))</f>
        <v/>
      </c>
      <c r="AE113" s="63">
        <f>COUNTIF('Detailed Attendance'!L114:L114, "P")+COUNTIF('Detailed Attendance'!P114:P114, "P")+COUNTIF('Detailed Attendance'!AF114:AF114, "P")+COUNTIF('Detailed Attendance'!AJ114:AJ114, "P")+COUNTIF('Detailed Attendance'!AZ114:AZ114, "P")+COUNTIF('Detailed Attendance'!BD114:BD114, "P")+COUNTIF('Detailed Attendance'!BT114:BT114, "P")+COUNTIF('Detailed Attendance'!BX114:BX114, "P")+COUNTIF('Detailed Attendance'!CQ114:CQ114, "P")+COUNTIF('Detailed Attendance'!CU114:CU114, "P")</f>
        <v/>
      </c>
      <c r="AF113" s="67">
        <f>COUNTIF('Detailed Attendance'!L114:L114, "A")+COUNTIF('Detailed Attendance'!P114:P114, "A")+COUNTIF('Detailed Attendance'!AF114:AF114, "A")+COUNTIF('Detailed Attendance'!AJ114:AJ114, "A")+COUNTIF('Detailed Attendance'!AZ114:AZ114, "A")+COUNTIF('Detailed Attendance'!BD114:BD114, "A")+COUNTIF('Detailed Attendance'!BT114:BT114, "A")+COUNTIF('Detailed Attendance'!BX114:BX114, "A")+COUNTIF('Detailed Attendance'!CQ114:CQ114, "A")+COUNTIF('Detailed Attendance'!CU114:CU114, "A")</f>
        <v/>
      </c>
      <c r="AG113" s="68">
        <f>IF((AE113+AF113)=0,"", AE113/(AE113+AF113))</f>
        <v/>
      </c>
      <c r="AH113" s="67">
        <f>COUNTIF('Detailed Attendance'!T114:T114, "P")+COUNTIF('Detailed Attendance'!AN114:AN114, "P")+COUNTIF('Detailed Attendance'!AR114:AR114, "P")+COUNTIF('Detailed Attendance'!BH114:BH114, "P")+COUNTIF('Detailed Attendance'!CB114:CB114, "P")+COUNTIF('Detailed Attendance'!CF114:CF114, "P")+COUNTIF('Detailed Attendance'!CY114:CY114, "P")</f>
        <v/>
      </c>
      <c r="AI113" s="67">
        <f>COUNTIF('Detailed Attendance'!T114:T114, "A")+COUNTIF('Detailed Attendance'!AN114:AN114, "A")+COUNTIF('Detailed Attendance'!AR114:AR114, "A")+COUNTIF('Detailed Attendance'!BH114:BH114, "A")+COUNTIF('Detailed Attendance'!CB114:CB114, "A")+COUNTIF('Detailed Attendance'!CF114:CF114, "A")+COUNTIF('Detailed Attendance'!CY114:CY114, "A")</f>
        <v/>
      </c>
      <c r="AJ113" s="68">
        <f>IF((AH113+AI113)=0,"", AH113/(AH113+AI113))</f>
        <v/>
      </c>
      <c r="AK113" s="67">
        <f>COUNTIF('Detailed Attendance'!M114:M114, "P")+COUNTIF('Detailed Attendance'!U114:U114, "P")+COUNTIF('Detailed Attendance'!AG114:AG114, "P")+COUNTIF('Detailed Attendance'!AO114:AO114, "P")+COUNTIF('Detailed Attendance'!BA114:BA114, "P")+COUNTIF('Detailed Attendance'!BI114:BI114, "P")+COUNTIF('Detailed Attendance'!BU114:BU114, "P")+COUNTIF('Detailed Attendance'!CC114:CC114, "P")+COUNTIF('Detailed Attendance'!CR114:CR114, "P")+COUNTIF('Detailed Attendance'!CZ114:CZ114, "P")</f>
        <v/>
      </c>
      <c r="AL113" s="67">
        <f>COUNTIF('Detailed Attendance'!M114:M114, "A")+COUNTIF('Detailed Attendance'!U114:U114, "A")+COUNTIF('Detailed Attendance'!AG114:AG114, "A")+COUNTIF('Detailed Attendance'!AO114:AO114, "A")+COUNTIF('Detailed Attendance'!BA114:BA114, "A")+COUNTIF('Detailed Attendance'!BI114:BI114, "A")+COUNTIF('Detailed Attendance'!BU114:BU114, "A")+COUNTIF('Detailed Attendance'!CC114:CC114, "A")+COUNTIF('Detailed Attendance'!CR114:CR114, "A")+COUNTIF('Detailed Attendance'!CZ114:CZ114, "A")</f>
        <v/>
      </c>
      <c r="AM113" s="68">
        <f>IF((AK113+AL113)=0,"", AK113/(AK113+AL113))</f>
        <v/>
      </c>
      <c r="AN113" s="67">
        <f>Y113+AB113+AE113+AH113+AK113</f>
        <v/>
      </c>
      <c r="AO113" s="67">
        <f>Z113+AC113+AF113+AI113+AL113</f>
        <v/>
      </c>
      <c r="AP113" s="68">
        <f>IF((AN113+AO113)=0,"", AN113/(AN113+AO113))</f>
        <v/>
      </c>
      <c r="AQ113" s="69">
        <f>COUNTIF('Detailed Attendance'!CH114:CH114, "P")+COUNTIF('Detailed Attendance'!Y114:Y114, "P")+COUNTIF('Detailed Attendance'!AS114:AS114, "P")+COUNTIF('Detailed Attendance'!BM114:BM114, "P")+COUNTIF('Detailed Attendance'!CJ114:CJ114, "P")+COUNTIF('Detailed Attendance'!AB114:AB114, "P")+COUNTIF('Detailed Attendance'!AV114:AV114, "P")+COUNTIF('Detailed Attendance'!BP114:BP114, "P")+COUNTIF('Detailed Attendance'!CM114:CM114, "P")</f>
        <v/>
      </c>
      <c r="AR113" s="69">
        <f>COUNTIF('Detailed Attendance'!CH114:CH114, "A")+COUNTIF('Detailed Attendance'!Y114:Y114, "A")+COUNTIF('Detailed Attendance'!AS114:AS114, "A")+COUNTIF('Detailed Attendance'!BM114:BM114, "A")+COUNTIF('Detailed Attendance'!CJ114:CJ114, "A")+COUNTIF('Detailed Attendance'!AB114:AB114, "A")+COUNTIF('Detailed Attendance'!AV114:AV114, "A")+COUNTIF('Detailed Attendance'!BP114:BP114, "A")+COUNTIF('Detailed Attendance'!CM114:CM114, "A")</f>
        <v/>
      </c>
      <c r="AS113" s="70">
        <f>IF((AQ113+AR113)=0,"", AQ113/(AQ113+AR113))</f>
        <v/>
      </c>
      <c r="AT113" s="67">
        <f>COUNTIF('Detailed Attendance'!DF114:DF114, "P")+COUNTIF('Detailed Attendance'!DT114:DT114, "P")+COUNTIF('Detailed Attendance'!EC114:EC114, "P")+COUNTIF('Detailed Attendance'!EQ114:EQ114, "P")+COUNTIF('Detailed Attendance'!EW114:EW114, "P")+COUNTIF('Detailed Attendance'!FK114:FK114, "P")+COUNTIF('Detailed Attendance'!FM114:FM114, "P")+COUNTIF('Detailed Attendance'!GA114:GA114, "P")</f>
        <v/>
      </c>
      <c r="AU113" s="67">
        <f>COUNTIF('Detailed Attendance'!DF114:DF114, "A")+COUNTIF('Detailed Attendance'!DT114:DT114, "A")+COUNTIF('Detailed Attendance'!EC114:EC114, "A")+COUNTIF('Detailed Attendance'!EQ114:EQ114, "A")+COUNTIF('Detailed Attendance'!EW114:EW114, "A")+COUNTIF('Detailed Attendance'!FK114:FK114, "A")+COUNTIF('Detailed Attendance'!FM114:FM114, "A")+COUNTIF('Detailed Attendance'!GA114:GA114, "A")</f>
        <v/>
      </c>
      <c r="AV113" s="68">
        <f>IF((AT113+AU113)=0,"", AT113/(AT113+AU113))</f>
        <v/>
      </c>
      <c r="AW113" s="67">
        <f>COUNTIF('Detailed Attendance'!DK114:DK114, "P")+COUNTIF('Detailed Attendance'!DS114:DS114, "P")+COUNTIF('Detailed Attendance'!EH114:EH114, "P")+COUNTIF('Detailed Attendance'!EP114:EP114, "P")+COUNTIF('Detailed Attendance'!FB114:FB114, "P")+COUNTIF('Detailed Attendance'!FJ114:FJ114, "P")+COUNTIF('Detailed Attendance'!FR114:FR114, "P")+COUNTIF('Detailed Attendance'!FZ114:FZ114, "P")</f>
        <v/>
      </c>
      <c r="AX113" s="67">
        <f>COUNTIF('Detailed Attendance'!DK114:DK114, "A")+COUNTIF('Detailed Attendance'!DS114:DS114, "A")+COUNTIF('Detailed Attendance'!EH114:EH114, "A")+COUNTIF('Detailed Attendance'!EP114:EP114, "A")+COUNTIF('Detailed Attendance'!FB114:FB114, "A")+COUNTIF('Detailed Attendance'!FJ114:FJ114, "A")+COUNTIF('Detailed Attendance'!FR114:FR114, "A")+COUNTIF('Detailed Attendance'!FZ114:FZ114, "A")</f>
        <v/>
      </c>
      <c r="AY113" s="68">
        <f>IF((AW113+AX113)=0,"", AW113/(AW113+AX113))</f>
        <v/>
      </c>
      <c r="AZ113" s="67">
        <f>COUNTIF('Detailed Attendance'!DN114:DN114, "P")+COUNTIF('Detailed Attendance'!DR114:DR114, "P")+COUNTIF('Detailed Attendance'!EK114:EK114, "P")+COUNTIF('Detailed Attendance'!EO114:EO114, "P")+COUNTIF('Detailed Attendance'!FE114:FE114, "P")+COUNTIF('Detailed Attendance'!FI114:FI114, "P")+COUNTIF('Detailed Attendance'!FU114:FU114, "P")+COUNTIF('Detailed Attendance'!FY114:FY114, "P")</f>
        <v/>
      </c>
      <c r="BA113" s="67">
        <f>COUNTIF('Detailed Attendance'!DN114:DN114, "A")+COUNTIF('Detailed Attendance'!DR114:DR114, "A")+COUNTIF('Detailed Attendance'!EK114:EK114, "A")+COUNTIF('Detailed Attendance'!EO114:EO114, "A")+COUNTIF('Detailed Attendance'!FE114:FE114, "A")+COUNTIF('Detailed Attendance'!FI114:FI114, "A")+COUNTIF('Detailed Attendance'!FU114:FU114, "A")+COUNTIF('Detailed Attendance'!FY114:FY114, "A")</f>
        <v/>
      </c>
      <c r="BB113" s="68">
        <f>IF((AZ113+BA113)=0,"", AZ113/(AZ113+BA113))</f>
        <v/>
      </c>
      <c r="BC113" s="67">
        <f>COUNTIF('Detailed Attendance'!DC114:DC114, "P")+COUNTIF('Detailed Attendance'!DV114:DV114, "P")+COUNTIF('Detailed Attendance'!DZ114:DZ114, "P")+COUNTIF('Detailed Attendance'!ES114:ES114, "P")+COUNTIF('Detailed Attendance'!GC114:GC114, "P")+COUNTIF('Detailed Attendance'!GG114:GG114, "P")</f>
        <v/>
      </c>
      <c r="BD113" s="67">
        <f>COUNTIF('Detailed Attendance'!DC114:DC114, "A")+COUNTIF('Detailed Attendance'!DV114:DV114, "A")+COUNTIF('Detailed Attendance'!DZ114:DZ114, "A")+COUNTIF('Detailed Attendance'!ES114:ES114, "A")+COUNTIF('Detailed Attendance'!GC114:GC114, "A")+COUNTIF('Detailed Attendance'!GG114:GG114, "A")</f>
        <v/>
      </c>
      <c r="BE113" s="68">
        <f>IF((BC113+BD113)=0,"", BC113/(BC113+BD113))</f>
        <v/>
      </c>
      <c r="BF113" s="67">
        <f>COUNTIF('Detailed Attendance'!DO114:DO114, "P")+COUNTIF('Detailed Attendance'!DW114:DW114, "P")+COUNTIF('Detailed Attendance'!EL114:EL114, "P")+COUNTIF('Detailed Attendance'!ET114:ET114, "P")+COUNTIF('Detailed Attendance'!FF114:FF114, "P")+COUNTIF('Detailed Attendance'!FV114:FV114, "P")+COUNTIF('Detailed Attendance'!GD114:GD114, "P")</f>
        <v/>
      </c>
      <c r="BG113" s="67">
        <f>COUNTIF('Detailed Attendance'!DO114:DO114, "A")+COUNTIF('Detailed Attendance'!DW114:DW114, "A")+COUNTIF('Detailed Attendance'!EL114:EL114, "A")+COUNTIF('Detailed Attendance'!ET114:ET114, "A")+COUNTIF('Detailed Attendance'!FF114:FF114, "A")+COUNTIF('Detailed Attendance'!FV114:FV114, "A")+COUNTIF('Detailed Attendance'!GD114:GD114, "A")</f>
        <v/>
      </c>
      <c r="BH113" s="68">
        <f>IF((BF113+BG113)=0,"", BF113/(BF113+BG113))</f>
        <v/>
      </c>
      <c r="BI113" s="67">
        <f>AT113+AW113+AZ113+BC113+BF113</f>
        <v/>
      </c>
      <c r="BJ113" s="67">
        <f>AU113+AX113+BA113+BD113+BG113</f>
        <v/>
      </c>
      <c r="BK113" s="68">
        <f>IF((BI113+BJ113)=0,"", BI113/(BI113+BJ113))</f>
        <v/>
      </c>
      <c r="BL113" s="69">
        <f>COUNTIF('Detailed Attendance'!DE114:DE114, "P")+COUNTIF('Detailed Attendance'!EB114:EB114, "P")+COUNTIF('Detailed Attendance'!GI114:GI114, "P")+COUNTIF('Detailed Attendance'!DG114:DG114, "P")+COUNTIF('Detailed Attendance'!ED114:ED114, "P")+COUNTIF('Detailed Attendance'!EX114:EX114, "P")+COUNTIF('Detailed Attendance'!FN114:FN114, "P")+COUNTIF('Detailed Attendance'!DJ114:DJ114, "P")+COUNTIF('Detailed Attendance'!EG114:EG114, "P")+COUNTIF('Detailed Attendance'!FA114:FA114, "P")+COUNTIF('Detailed Attendance'!FQ114:FQ114, "P")</f>
        <v/>
      </c>
      <c r="BM113" s="69">
        <f>COUNTIF('Detailed Attendance'!DE114:DE114, "A")+COUNTIF('Detailed Attendance'!EB114:EB114, "A")+COUNTIF('Detailed Attendance'!GI114:GI114, "A")+COUNTIF('Detailed Attendance'!DG114:DG114, "A")+COUNTIF('Detailed Attendance'!ED114:ED114, "A")+COUNTIF('Detailed Attendance'!EX114:EX114, "A")+COUNTIF('Detailed Attendance'!FN114:FN114, "A")+COUNTIF('Detailed Attendance'!DJ114:DJ114, "A")+COUNTIF('Detailed Attendance'!EG114:EG114, "A")+COUNTIF('Detailed Attendance'!FA114:FA114, "A")+COUNTIF('Detailed Attendance'!FQ114:FQ114, "A")</f>
        <v/>
      </c>
      <c r="BN113" s="70">
        <f>IF((BL113+BM113)=0,"", BL113/(BL113+BM113))</f>
        <v/>
      </c>
      <c r="BO113" s="67">
        <f>D113+Y113+AT113</f>
        <v/>
      </c>
      <c r="BP113" s="67">
        <f>E113+Z113+AU113</f>
        <v/>
      </c>
      <c r="BQ113" s="68">
        <f>IF((BO113+BP113)=0,"", BO113/(BO113+BP113))</f>
        <v/>
      </c>
      <c r="BR113" s="67">
        <f>G113+AB113+AW113</f>
        <v/>
      </c>
      <c r="BS113" s="67">
        <f>H113+AC113+AX113</f>
        <v/>
      </c>
      <c r="BT113" s="68">
        <f>IF((BR113+BS113)=0,"", BR113/(BR113+BS113))</f>
        <v/>
      </c>
      <c r="BU113" s="67">
        <f>J113+AE113+AZ113</f>
        <v/>
      </c>
      <c r="BV113" s="67">
        <f>K113+AF113+BA113</f>
        <v/>
      </c>
      <c r="BW113" s="68">
        <f>IF((BU113+BV113)=0,"", BU113/(BU113+BV113))</f>
        <v/>
      </c>
      <c r="BX113" s="67">
        <f>M113+AH113+BC113</f>
        <v/>
      </c>
      <c r="BY113" s="67">
        <f>N113+AI113+BD113</f>
        <v/>
      </c>
      <c r="BZ113" s="68">
        <f>IF((BX113+BY113)=0,"", BX113/(BX113+BY113))</f>
        <v/>
      </c>
      <c r="CA113" s="67">
        <f>P113+AK113+BF113</f>
        <v/>
      </c>
      <c r="CB113" s="67">
        <f>Q113+AL113+BG113</f>
        <v/>
      </c>
      <c r="CC113" s="68">
        <f>IF((CA113+CB113)=0,"", CA113/(CA113+CB113))</f>
        <v/>
      </c>
      <c r="CD113" s="67">
        <f>S113+AN113+BI113</f>
        <v/>
      </c>
      <c r="CE113" s="67">
        <f>T113+AO113+BJ113</f>
        <v/>
      </c>
      <c r="CF113" s="68">
        <f>IF((CD113+CE113)=0,"", CD113/(CD113+CE113))</f>
        <v/>
      </c>
      <c r="CG113" s="69">
        <f>V113+AQ113+BL113</f>
        <v/>
      </c>
      <c r="CH113" s="69">
        <f>W113+AR113+BM113</f>
        <v/>
      </c>
      <c r="CI113" s="70">
        <f>IF((CG113+CH113)=0,"", CG113/(CG113+CH113))</f>
        <v/>
      </c>
      <c r="CJ113" s="67">
        <f>CD113+(CG113*2)</f>
        <v/>
      </c>
      <c r="CK113" s="67">
        <f>CE113+(CH113*2)</f>
        <v/>
      </c>
      <c r="CL113" s="68">
        <f>IF((CJ113+CK113)=0,"", CJ113/(CJ113+CK113))</f>
        <v/>
      </c>
      <c r="CM113" s="67" t="inlineStr">
        <is>
          <t>Batch 3</t>
        </is>
      </c>
    </row>
    <row r="114" ht="14.25" customHeight="1" s="34">
      <c r="A114" s="46" t="n">
        <v>112</v>
      </c>
      <c r="B114" s="46" t="inlineStr">
        <is>
          <t>325106410112</t>
        </is>
      </c>
      <c r="C114" s="46" t="inlineStr">
        <is>
          <t>TOTHAGOTA DEY KABBO</t>
        </is>
      </c>
      <c r="D114" s="63" t="n">
        <v>0</v>
      </c>
      <c r="E114" s="63" t="n">
        <v>0</v>
      </c>
      <c r="F114" s="64">
        <f>IF((D114+E114)=0,"", D114/(D114+E114))</f>
        <v/>
      </c>
      <c r="G114" s="63">
        <f>COUNTIF('Detailed Attendance'!I115:I115, "P")</f>
        <v/>
      </c>
      <c r="H114" s="63">
        <f>COUNTIF('Detailed Attendance'!I115:I115, "A")</f>
        <v/>
      </c>
      <c r="I114" s="64">
        <f>IF((G114+H114)=0,"", G114/(G114+H114))</f>
        <v/>
      </c>
      <c r="J114" s="63" t="n">
        <v>0</v>
      </c>
      <c r="K114" s="63" t="n">
        <v>0</v>
      </c>
      <c r="L114" s="64">
        <f>IF((J114+K114)=0,"", J114/(J114+K114))</f>
        <v/>
      </c>
      <c r="M114" s="63">
        <f>COUNTIF('Detailed Attendance'!D115:D115, "P")</f>
        <v/>
      </c>
      <c r="N114" s="63">
        <f>COUNTIF('Detailed Attendance'!D115:D115, "A")</f>
        <v/>
      </c>
      <c r="O114" s="64">
        <f>IF((M114+N114)=0,"", M114/(M114+N114))</f>
        <v/>
      </c>
      <c r="P114" s="63" t="n">
        <v>0</v>
      </c>
      <c r="Q114" s="63" t="n">
        <v>0</v>
      </c>
      <c r="R114" s="64">
        <f>IF((P114+Q114)=0,"", P114/(P114+Q114))</f>
        <v/>
      </c>
      <c r="S114" s="63">
        <f>D114+G114+J114+M114+P114</f>
        <v/>
      </c>
      <c r="T114" s="63">
        <f>E114+H114+K114+N114+Q114</f>
        <v/>
      </c>
      <c r="U114" s="64">
        <f>IF((S114+T114)=0,"", S114/(S114+T114))</f>
        <v/>
      </c>
      <c r="V114" s="65">
        <f>COUNTIF('Detailed Attendance'!E115:E115, "P")+COUNTIF('Detailed Attendance'!H115:H115, "P")</f>
        <v/>
      </c>
      <c r="W114" s="65">
        <f>COUNTIF('Detailed Attendance'!E115:E115, "A")+COUNTIF('Detailed Attendance'!H115:H115, "A")</f>
        <v/>
      </c>
      <c r="X114" s="66">
        <f>IF((V114+W114)=0,"", V114/(V114+W114))</f>
        <v/>
      </c>
      <c r="Y114" s="63">
        <f>COUNTIF('Detailed Attendance'!R115:R115, "P")+COUNTIF('Detailed Attendance'!X115:X115, "P")+COUNTIF('Detailed Attendance'!AL115:AL115, "P")+COUNTIF('Detailed Attendance'!BF115:BF115, "P")+COUNTIF('Detailed Attendance'!BL115:BL115, "P")+COUNTIF('Detailed Attendance'!BZ115:BZ115, "P")+COUNTIF('Detailed Attendance'!CI115:CI115, "P")+COUNTIF('Detailed Attendance'!CW115:CW115, "P")</f>
        <v/>
      </c>
      <c r="Z114" s="63">
        <f>COUNTIF('Detailed Attendance'!R115:R115, "A")+COUNTIF('Detailed Attendance'!X115:X115, "A")+COUNTIF('Detailed Attendance'!AL115:AL115, "A")+COUNTIF('Detailed Attendance'!BF115:BF115, "A")+COUNTIF('Detailed Attendance'!BL115:BL115, "A")+COUNTIF('Detailed Attendance'!BZ115:BZ115, "A")+COUNTIF('Detailed Attendance'!CI115:CI115, "A")+COUNTIF('Detailed Attendance'!CW115:CW115, "A")</f>
        <v/>
      </c>
      <c r="AA114" s="64">
        <f>IF((Y114+Z114)=0,"", Y114/(Y114+Z114))</f>
        <v/>
      </c>
      <c r="AB114" s="63">
        <f>COUNTIF('Detailed Attendance'!Q115:Q115, "P")+COUNTIF('Detailed Attendance'!AC115:AC115, "P")+COUNTIF('Detailed Attendance'!AK115:AK115, "P")+COUNTIF('Detailed Attendance'!AW115:AW115, "P")+COUNTIF('Detailed Attendance'!BE115:BE115, "P")+COUNTIF('Detailed Attendance'!BQ115:BQ115, "P")+COUNTIF('Detailed Attendance'!BY115:BY115, "P")+COUNTIF('Detailed Attendance'!CN115:CN115, "P")+COUNTIF('Detailed Attendance'!CV115:CV115, "P")</f>
        <v/>
      </c>
      <c r="AC114" s="63">
        <f>COUNTIF('Detailed Attendance'!Q115:Q115, "A")+COUNTIF('Detailed Attendance'!AC115:AC115, "A")+COUNTIF('Detailed Attendance'!AK115:AK115, "A")+COUNTIF('Detailed Attendance'!AW115:AW115, "A")+COUNTIF('Detailed Attendance'!BE115:BE115, "A")+COUNTIF('Detailed Attendance'!BQ115:BQ115, "A")+COUNTIF('Detailed Attendance'!BY115:BY115, "A")+COUNTIF('Detailed Attendance'!CN115:CN115, "A")+COUNTIF('Detailed Attendance'!CV115:CV115, "A")</f>
        <v/>
      </c>
      <c r="AD114" s="64">
        <f>IF((AB114+AC114)=0,"", AB114/(AB114+AC114))</f>
        <v/>
      </c>
      <c r="AE114" s="63">
        <f>COUNTIF('Detailed Attendance'!L115:L115, "P")+COUNTIF('Detailed Attendance'!P115:P115, "P")+COUNTIF('Detailed Attendance'!AF115:AF115, "P")+COUNTIF('Detailed Attendance'!AJ115:AJ115, "P")+COUNTIF('Detailed Attendance'!AZ115:AZ115, "P")+COUNTIF('Detailed Attendance'!BD115:BD115, "P")+COUNTIF('Detailed Attendance'!BT115:BT115, "P")+COUNTIF('Detailed Attendance'!BX115:BX115, "P")+COUNTIF('Detailed Attendance'!CQ115:CQ115, "P")+COUNTIF('Detailed Attendance'!CU115:CU115, "P")</f>
        <v/>
      </c>
      <c r="AF114" s="67">
        <f>COUNTIF('Detailed Attendance'!L115:L115, "A")+COUNTIF('Detailed Attendance'!P115:P115, "A")+COUNTIF('Detailed Attendance'!AF115:AF115, "A")+COUNTIF('Detailed Attendance'!AJ115:AJ115, "A")+COUNTIF('Detailed Attendance'!AZ115:AZ115, "A")+COUNTIF('Detailed Attendance'!BD115:BD115, "A")+COUNTIF('Detailed Attendance'!BT115:BT115, "A")+COUNTIF('Detailed Attendance'!BX115:BX115, "A")+COUNTIF('Detailed Attendance'!CQ115:CQ115, "A")+COUNTIF('Detailed Attendance'!CU115:CU115, "A")</f>
        <v/>
      </c>
      <c r="AG114" s="68">
        <f>IF((AE114+AF114)=0,"", AE114/(AE114+AF114))</f>
        <v/>
      </c>
      <c r="AH114" s="67">
        <f>COUNTIF('Detailed Attendance'!T115:T115, "P")+COUNTIF('Detailed Attendance'!AN115:AN115, "P")+COUNTIF('Detailed Attendance'!AR115:AR115, "P")+COUNTIF('Detailed Attendance'!BH115:BH115, "P")+COUNTIF('Detailed Attendance'!CB115:CB115, "P")+COUNTIF('Detailed Attendance'!CF115:CF115, "P")+COUNTIF('Detailed Attendance'!CY115:CY115, "P")</f>
        <v/>
      </c>
      <c r="AI114" s="67">
        <f>COUNTIF('Detailed Attendance'!T115:T115, "A")+COUNTIF('Detailed Attendance'!AN115:AN115, "A")+COUNTIF('Detailed Attendance'!AR115:AR115, "A")+COUNTIF('Detailed Attendance'!BH115:BH115, "A")+COUNTIF('Detailed Attendance'!CB115:CB115, "A")+COUNTIF('Detailed Attendance'!CF115:CF115, "A")+COUNTIF('Detailed Attendance'!CY115:CY115, "A")</f>
        <v/>
      </c>
      <c r="AJ114" s="68">
        <f>IF((AH114+AI114)=0,"", AH114/(AH114+AI114))</f>
        <v/>
      </c>
      <c r="AK114" s="67">
        <f>COUNTIF('Detailed Attendance'!M115:M115, "P")+COUNTIF('Detailed Attendance'!U115:U115, "P")+COUNTIF('Detailed Attendance'!AG115:AG115, "P")+COUNTIF('Detailed Attendance'!AO115:AO115, "P")+COUNTIF('Detailed Attendance'!BA115:BA115, "P")+COUNTIF('Detailed Attendance'!BI115:BI115, "P")+COUNTIF('Detailed Attendance'!BU115:BU115, "P")+COUNTIF('Detailed Attendance'!CC115:CC115, "P")+COUNTIF('Detailed Attendance'!CR115:CR115, "P")+COUNTIF('Detailed Attendance'!CZ115:CZ115, "P")</f>
        <v/>
      </c>
      <c r="AL114" s="67">
        <f>COUNTIF('Detailed Attendance'!M115:M115, "A")+COUNTIF('Detailed Attendance'!U115:U115, "A")+COUNTIF('Detailed Attendance'!AG115:AG115, "A")+COUNTIF('Detailed Attendance'!AO115:AO115, "A")+COUNTIF('Detailed Attendance'!BA115:BA115, "A")+COUNTIF('Detailed Attendance'!BI115:BI115, "A")+COUNTIF('Detailed Attendance'!BU115:BU115, "A")+COUNTIF('Detailed Attendance'!CC115:CC115, "A")+COUNTIF('Detailed Attendance'!CR115:CR115, "A")+COUNTIF('Detailed Attendance'!CZ115:CZ115, "A")</f>
        <v/>
      </c>
      <c r="AM114" s="68">
        <f>IF((AK114+AL114)=0,"", AK114/(AK114+AL114))</f>
        <v/>
      </c>
      <c r="AN114" s="67">
        <f>Y114+AB114+AE114+AH114+AK114</f>
        <v/>
      </c>
      <c r="AO114" s="67">
        <f>Z114+AC114+AF114+AI114+AL114</f>
        <v/>
      </c>
      <c r="AP114" s="68">
        <f>IF((AN114+AO114)=0,"", AN114/(AN114+AO114))</f>
        <v/>
      </c>
      <c r="AQ114" s="69">
        <f>COUNTIF('Detailed Attendance'!CH115:CH115, "P")+COUNTIF('Detailed Attendance'!Y115:Y115, "P")+COUNTIF('Detailed Attendance'!AS115:AS115, "P")+COUNTIF('Detailed Attendance'!BM115:BM115, "P")+COUNTIF('Detailed Attendance'!CJ115:CJ115, "P")+COUNTIF('Detailed Attendance'!AB115:AB115, "P")+COUNTIF('Detailed Attendance'!AV115:AV115, "P")+COUNTIF('Detailed Attendance'!BP115:BP115, "P")+COUNTIF('Detailed Attendance'!CM115:CM115, "P")</f>
        <v/>
      </c>
      <c r="AR114" s="69">
        <f>COUNTIF('Detailed Attendance'!CH115:CH115, "A")+COUNTIF('Detailed Attendance'!Y115:Y115, "A")+COUNTIF('Detailed Attendance'!AS115:AS115, "A")+COUNTIF('Detailed Attendance'!BM115:BM115, "A")+COUNTIF('Detailed Attendance'!CJ115:CJ115, "A")+COUNTIF('Detailed Attendance'!AB115:AB115, "A")+COUNTIF('Detailed Attendance'!AV115:AV115, "A")+COUNTIF('Detailed Attendance'!BP115:BP115, "A")+COUNTIF('Detailed Attendance'!CM115:CM115, "A")</f>
        <v/>
      </c>
      <c r="AS114" s="70">
        <f>IF((AQ114+AR114)=0,"", AQ114/(AQ114+AR114))</f>
        <v/>
      </c>
      <c r="AT114" s="67">
        <f>COUNTIF('Detailed Attendance'!DF115:DF115, "P")+COUNTIF('Detailed Attendance'!DT115:DT115, "P")+COUNTIF('Detailed Attendance'!EC115:EC115, "P")+COUNTIF('Detailed Attendance'!EQ115:EQ115, "P")+COUNTIF('Detailed Attendance'!EW115:EW115, "P")+COUNTIF('Detailed Attendance'!FK115:FK115, "P")+COUNTIF('Detailed Attendance'!FM115:FM115, "P")+COUNTIF('Detailed Attendance'!GA115:GA115, "P")</f>
        <v/>
      </c>
      <c r="AU114" s="67">
        <f>COUNTIF('Detailed Attendance'!DF115:DF115, "A")+COUNTIF('Detailed Attendance'!DT115:DT115, "A")+COUNTIF('Detailed Attendance'!EC115:EC115, "A")+COUNTIF('Detailed Attendance'!EQ115:EQ115, "A")+COUNTIF('Detailed Attendance'!EW115:EW115, "A")+COUNTIF('Detailed Attendance'!FK115:FK115, "A")+COUNTIF('Detailed Attendance'!FM115:FM115, "A")+COUNTIF('Detailed Attendance'!GA115:GA115, "A")</f>
        <v/>
      </c>
      <c r="AV114" s="68">
        <f>IF((AT114+AU114)=0,"", AT114/(AT114+AU114))</f>
        <v/>
      </c>
      <c r="AW114" s="67">
        <f>COUNTIF('Detailed Attendance'!DK115:DK115, "P")+COUNTIF('Detailed Attendance'!DS115:DS115, "P")+COUNTIF('Detailed Attendance'!EH115:EH115, "P")+COUNTIF('Detailed Attendance'!EP115:EP115, "P")+COUNTIF('Detailed Attendance'!FB115:FB115, "P")+COUNTIF('Detailed Attendance'!FJ115:FJ115, "P")+COUNTIF('Detailed Attendance'!FR115:FR115, "P")+COUNTIF('Detailed Attendance'!FZ115:FZ115, "P")</f>
        <v/>
      </c>
      <c r="AX114" s="67">
        <f>COUNTIF('Detailed Attendance'!DK115:DK115, "A")+COUNTIF('Detailed Attendance'!DS115:DS115, "A")+COUNTIF('Detailed Attendance'!EH115:EH115, "A")+COUNTIF('Detailed Attendance'!EP115:EP115, "A")+COUNTIF('Detailed Attendance'!FB115:FB115, "A")+COUNTIF('Detailed Attendance'!FJ115:FJ115, "A")+COUNTIF('Detailed Attendance'!FR115:FR115, "A")+COUNTIF('Detailed Attendance'!FZ115:FZ115, "A")</f>
        <v/>
      </c>
      <c r="AY114" s="68">
        <f>IF((AW114+AX114)=0,"", AW114/(AW114+AX114))</f>
        <v/>
      </c>
      <c r="AZ114" s="67">
        <f>COUNTIF('Detailed Attendance'!DN115:DN115, "P")+COUNTIF('Detailed Attendance'!DR115:DR115, "P")+COUNTIF('Detailed Attendance'!EK115:EK115, "P")+COUNTIF('Detailed Attendance'!EO115:EO115, "P")+COUNTIF('Detailed Attendance'!FE115:FE115, "P")+COUNTIF('Detailed Attendance'!FI115:FI115, "P")+COUNTIF('Detailed Attendance'!FU115:FU115, "P")+COUNTIF('Detailed Attendance'!FY115:FY115, "P")</f>
        <v/>
      </c>
      <c r="BA114" s="67">
        <f>COUNTIF('Detailed Attendance'!DN115:DN115, "A")+COUNTIF('Detailed Attendance'!DR115:DR115, "A")+COUNTIF('Detailed Attendance'!EK115:EK115, "A")+COUNTIF('Detailed Attendance'!EO115:EO115, "A")+COUNTIF('Detailed Attendance'!FE115:FE115, "A")+COUNTIF('Detailed Attendance'!FI115:FI115, "A")+COUNTIF('Detailed Attendance'!FU115:FU115, "A")+COUNTIF('Detailed Attendance'!FY115:FY115, "A")</f>
        <v/>
      </c>
      <c r="BB114" s="68">
        <f>IF((AZ114+BA114)=0,"", AZ114/(AZ114+BA114))</f>
        <v/>
      </c>
      <c r="BC114" s="67">
        <f>COUNTIF('Detailed Attendance'!DC115:DC115, "P")+COUNTIF('Detailed Attendance'!DV115:DV115, "P")+COUNTIF('Detailed Attendance'!DZ115:DZ115, "P")+COUNTIF('Detailed Attendance'!ES115:ES115, "P")+COUNTIF('Detailed Attendance'!GC115:GC115, "P")+COUNTIF('Detailed Attendance'!GG115:GG115, "P")</f>
        <v/>
      </c>
      <c r="BD114" s="67">
        <f>COUNTIF('Detailed Attendance'!DC115:DC115, "A")+COUNTIF('Detailed Attendance'!DV115:DV115, "A")+COUNTIF('Detailed Attendance'!DZ115:DZ115, "A")+COUNTIF('Detailed Attendance'!ES115:ES115, "A")+COUNTIF('Detailed Attendance'!GC115:GC115, "A")+COUNTIF('Detailed Attendance'!GG115:GG115, "A")</f>
        <v/>
      </c>
      <c r="BE114" s="68">
        <f>IF((BC114+BD114)=0,"", BC114/(BC114+BD114))</f>
        <v/>
      </c>
      <c r="BF114" s="67">
        <f>COUNTIF('Detailed Attendance'!DO115:DO115, "P")+COUNTIF('Detailed Attendance'!DW115:DW115, "P")+COUNTIF('Detailed Attendance'!EL115:EL115, "P")+COUNTIF('Detailed Attendance'!ET115:ET115, "P")+COUNTIF('Detailed Attendance'!FF115:FF115, "P")+COUNTIF('Detailed Attendance'!FV115:FV115, "P")+COUNTIF('Detailed Attendance'!GD115:GD115, "P")</f>
        <v/>
      </c>
      <c r="BG114" s="67">
        <f>COUNTIF('Detailed Attendance'!DO115:DO115, "A")+COUNTIF('Detailed Attendance'!DW115:DW115, "A")+COUNTIF('Detailed Attendance'!EL115:EL115, "A")+COUNTIF('Detailed Attendance'!ET115:ET115, "A")+COUNTIF('Detailed Attendance'!FF115:FF115, "A")+COUNTIF('Detailed Attendance'!FV115:FV115, "A")+COUNTIF('Detailed Attendance'!GD115:GD115, "A")</f>
        <v/>
      </c>
      <c r="BH114" s="68">
        <f>IF((BF114+BG114)=0,"", BF114/(BF114+BG114))</f>
        <v/>
      </c>
      <c r="BI114" s="67">
        <f>AT114+AW114+AZ114+BC114+BF114</f>
        <v/>
      </c>
      <c r="BJ114" s="67">
        <f>AU114+AX114+BA114+BD114+BG114</f>
        <v/>
      </c>
      <c r="BK114" s="68">
        <f>IF((BI114+BJ114)=0,"", BI114/(BI114+BJ114))</f>
        <v/>
      </c>
      <c r="BL114" s="69">
        <f>COUNTIF('Detailed Attendance'!DE115:DE115, "P")+COUNTIF('Detailed Attendance'!EB115:EB115, "P")+COUNTIF('Detailed Attendance'!GI115:GI115, "P")+COUNTIF('Detailed Attendance'!DG115:DG115, "P")+COUNTIF('Detailed Attendance'!ED115:ED115, "P")+COUNTIF('Detailed Attendance'!EX115:EX115, "P")+COUNTIF('Detailed Attendance'!FN115:FN115, "P")+COUNTIF('Detailed Attendance'!DJ115:DJ115, "P")+COUNTIF('Detailed Attendance'!EG115:EG115, "P")+COUNTIF('Detailed Attendance'!FA115:FA115, "P")+COUNTIF('Detailed Attendance'!FQ115:FQ115, "P")</f>
        <v/>
      </c>
      <c r="BM114" s="69">
        <f>COUNTIF('Detailed Attendance'!DE115:DE115, "A")+COUNTIF('Detailed Attendance'!EB115:EB115, "A")+COUNTIF('Detailed Attendance'!GI115:GI115, "A")+COUNTIF('Detailed Attendance'!DG115:DG115, "A")+COUNTIF('Detailed Attendance'!ED115:ED115, "A")+COUNTIF('Detailed Attendance'!EX115:EX115, "A")+COUNTIF('Detailed Attendance'!FN115:FN115, "A")+COUNTIF('Detailed Attendance'!DJ115:DJ115, "A")+COUNTIF('Detailed Attendance'!EG115:EG115, "A")+COUNTIF('Detailed Attendance'!FA115:FA115, "A")+COUNTIF('Detailed Attendance'!FQ115:FQ115, "A")</f>
        <v/>
      </c>
      <c r="BN114" s="70">
        <f>IF((BL114+BM114)=0,"", BL114/(BL114+BM114))</f>
        <v/>
      </c>
      <c r="BO114" s="67">
        <f>D114+Y114+AT114</f>
        <v/>
      </c>
      <c r="BP114" s="67">
        <f>E114+Z114+AU114</f>
        <v/>
      </c>
      <c r="BQ114" s="68">
        <f>IF((BO114+BP114)=0,"", BO114/(BO114+BP114))</f>
        <v/>
      </c>
      <c r="BR114" s="67">
        <f>G114+AB114+AW114</f>
        <v/>
      </c>
      <c r="BS114" s="67">
        <f>H114+AC114+AX114</f>
        <v/>
      </c>
      <c r="BT114" s="68">
        <f>IF((BR114+BS114)=0,"", BR114/(BR114+BS114))</f>
        <v/>
      </c>
      <c r="BU114" s="67">
        <f>J114+AE114+AZ114</f>
        <v/>
      </c>
      <c r="BV114" s="67">
        <f>K114+AF114+BA114</f>
        <v/>
      </c>
      <c r="BW114" s="68">
        <f>IF((BU114+BV114)=0,"", BU114/(BU114+BV114))</f>
        <v/>
      </c>
      <c r="BX114" s="67">
        <f>M114+AH114+BC114</f>
        <v/>
      </c>
      <c r="BY114" s="67">
        <f>N114+AI114+BD114</f>
        <v/>
      </c>
      <c r="BZ114" s="68">
        <f>IF((BX114+BY114)=0,"", BX114/(BX114+BY114))</f>
        <v/>
      </c>
      <c r="CA114" s="67">
        <f>P114+AK114+BF114</f>
        <v/>
      </c>
      <c r="CB114" s="67">
        <f>Q114+AL114+BG114</f>
        <v/>
      </c>
      <c r="CC114" s="68">
        <f>IF((CA114+CB114)=0,"", CA114/(CA114+CB114))</f>
        <v/>
      </c>
      <c r="CD114" s="67">
        <f>S114+AN114+BI114</f>
        <v/>
      </c>
      <c r="CE114" s="67">
        <f>T114+AO114+BJ114</f>
        <v/>
      </c>
      <c r="CF114" s="68">
        <f>IF((CD114+CE114)=0,"", CD114/(CD114+CE114))</f>
        <v/>
      </c>
      <c r="CG114" s="69">
        <f>V114+AQ114+BL114</f>
        <v/>
      </c>
      <c r="CH114" s="69">
        <f>W114+AR114+BM114</f>
        <v/>
      </c>
      <c r="CI114" s="70">
        <f>IF((CG114+CH114)=0,"", CG114/(CG114+CH114))</f>
        <v/>
      </c>
      <c r="CJ114" s="67">
        <f>CD114+(CG114*2)</f>
        <v/>
      </c>
      <c r="CK114" s="67">
        <f>CE114+(CH114*2)</f>
        <v/>
      </c>
      <c r="CL114" s="68">
        <f>IF((CJ114+CK114)=0,"", CJ114/(CJ114+CK114))</f>
        <v/>
      </c>
      <c r="CM114" s="67" t="inlineStr">
        <is>
          <t>Batch 3</t>
        </is>
      </c>
    </row>
    <row r="115" ht="14.25" customHeight="1" s="34">
      <c r="A115" s="46" t="n">
        <v>113</v>
      </c>
      <c r="B115" s="46" t="inlineStr">
        <is>
          <t>325106410113</t>
        </is>
      </c>
      <c r="C115" s="46" t="inlineStr">
        <is>
          <t>TUMPA DEBNATH</t>
        </is>
      </c>
      <c r="D115" s="63" t="n">
        <v>0</v>
      </c>
      <c r="E115" s="63" t="n">
        <v>0</v>
      </c>
      <c r="F115" s="64">
        <f>IF((D115+E115)=0,"", D115/(D115+E115))</f>
        <v/>
      </c>
      <c r="G115" s="63">
        <f>COUNTIF('Detailed Attendance'!I116:I116, "P")</f>
        <v/>
      </c>
      <c r="H115" s="63">
        <f>COUNTIF('Detailed Attendance'!I116:I116, "A")</f>
        <v/>
      </c>
      <c r="I115" s="64">
        <f>IF((G115+H115)=0,"", G115/(G115+H115))</f>
        <v/>
      </c>
      <c r="J115" s="63" t="n">
        <v>0</v>
      </c>
      <c r="K115" s="63" t="n">
        <v>0</v>
      </c>
      <c r="L115" s="64">
        <f>IF((J115+K115)=0,"", J115/(J115+K115))</f>
        <v/>
      </c>
      <c r="M115" s="63">
        <f>COUNTIF('Detailed Attendance'!D116:D116, "P")</f>
        <v/>
      </c>
      <c r="N115" s="63">
        <f>COUNTIF('Detailed Attendance'!D116:D116, "A")</f>
        <v/>
      </c>
      <c r="O115" s="64">
        <f>IF((M115+N115)=0,"", M115/(M115+N115))</f>
        <v/>
      </c>
      <c r="P115" s="63" t="n">
        <v>0</v>
      </c>
      <c r="Q115" s="63" t="n">
        <v>0</v>
      </c>
      <c r="R115" s="64">
        <f>IF((P115+Q115)=0,"", P115/(P115+Q115))</f>
        <v/>
      </c>
      <c r="S115" s="63">
        <f>D115+G115+J115+M115+P115</f>
        <v/>
      </c>
      <c r="T115" s="63">
        <f>E115+H115+K115+N115+Q115</f>
        <v/>
      </c>
      <c r="U115" s="64">
        <f>IF((S115+T115)=0,"", S115/(S115+T115))</f>
        <v/>
      </c>
      <c r="V115" s="65">
        <f>COUNTIF('Detailed Attendance'!E116:E116, "P")+COUNTIF('Detailed Attendance'!H116:H116, "P")</f>
        <v/>
      </c>
      <c r="W115" s="65">
        <f>COUNTIF('Detailed Attendance'!E116:E116, "A")+COUNTIF('Detailed Attendance'!H116:H116, "A")</f>
        <v/>
      </c>
      <c r="X115" s="66">
        <f>IF((V115+W115)=0,"", V115/(V115+W115))</f>
        <v/>
      </c>
      <c r="Y115" s="63">
        <f>COUNTIF('Detailed Attendance'!R116:R116, "P")+COUNTIF('Detailed Attendance'!X116:X116, "P")+COUNTIF('Detailed Attendance'!AL116:AL116, "P")+COUNTIF('Detailed Attendance'!BF116:BF116, "P")+COUNTIF('Detailed Attendance'!BL116:BL116, "P")+COUNTIF('Detailed Attendance'!BZ116:BZ116, "P")+COUNTIF('Detailed Attendance'!CI116:CI116, "P")+COUNTIF('Detailed Attendance'!CW116:CW116, "P")</f>
        <v/>
      </c>
      <c r="Z115" s="63">
        <f>COUNTIF('Detailed Attendance'!R116:R116, "A")+COUNTIF('Detailed Attendance'!X116:X116, "A")+COUNTIF('Detailed Attendance'!AL116:AL116, "A")+COUNTIF('Detailed Attendance'!BF116:BF116, "A")+COUNTIF('Detailed Attendance'!BL116:BL116, "A")+COUNTIF('Detailed Attendance'!BZ116:BZ116, "A")+COUNTIF('Detailed Attendance'!CI116:CI116, "A")+COUNTIF('Detailed Attendance'!CW116:CW116, "A")</f>
        <v/>
      </c>
      <c r="AA115" s="64">
        <f>IF((Y115+Z115)=0,"", Y115/(Y115+Z115))</f>
        <v/>
      </c>
      <c r="AB115" s="63">
        <f>COUNTIF('Detailed Attendance'!Q116:Q116, "P")+COUNTIF('Detailed Attendance'!AC116:AC116, "P")+COUNTIF('Detailed Attendance'!AK116:AK116, "P")+COUNTIF('Detailed Attendance'!AW116:AW116, "P")+COUNTIF('Detailed Attendance'!BE116:BE116, "P")+COUNTIF('Detailed Attendance'!BQ116:BQ116, "P")+COUNTIF('Detailed Attendance'!BY116:BY116, "P")+COUNTIF('Detailed Attendance'!CN116:CN116, "P")+COUNTIF('Detailed Attendance'!CV116:CV116, "P")</f>
        <v/>
      </c>
      <c r="AC115" s="63">
        <f>COUNTIF('Detailed Attendance'!Q116:Q116, "A")+COUNTIF('Detailed Attendance'!AC116:AC116, "A")+COUNTIF('Detailed Attendance'!AK116:AK116, "A")+COUNTIF('Detailed Attendance'!AW116:AW116, "A")+COUNTIF('Detailed Attendance'!BE116:BE116, "A")+COUNTIF('Detailed Attendance'!BQ116:BQ116, "A")+COUNTIF('Detailed Attendance'!BY116:BY116, "A")+COUNTIF('Detailed Attendance'!CN116:CN116, "A")+COUNTIF('Detailed Attendance'!CV116:CV116, "A")</f>
        <v/>
      </c>
      <c r="AD115" s="64">
        <f>IF((AB115+AC115)=0,"", AB115/(AB115+AC115))</f>
        <v/>
      </c>
      <c r="AE115" s="63">
        <f>COUNTIF('Detailed Attendance'!L116:L116, "P")+COUNTIF('Detailed Attendance'!P116:P116, "P")+COUNTIF('Detailed Attendance'!AF116:AF116, "P")+COUNTIF('Detailed Attendance'!AJ116:AJ116, "P")+COUNTIF('Detailed Attendance'!AZ116:AZ116, "P")+COUNTIF('Detailed Attendance'!BD116:BD116, "P")+COUNTIF('Detailed Attendance'!BT116:BT116, "P")+COUNTIF('Detailed Attendance'!BX116:BX116, "P")+COUNTIF('Detailed Attendance'!CQ116:CQ116, "P")+COUNTIF('Detailed Attendance'!CU116:CU116, "P")</f>
        <v/>
      </c>
      <c r="AF115" s="67">
        <f>COUNTIF('Detailed Attendance'!L116:L116, "A")+COUNTIF('Detailed Attendance'!P116:P116, "A")+COUNTIF('Detailed Attendance'!AF116:AF116, "A")+COUNTIF('Detailed Attendance'!AJ116:AJ116, "A")+COUNTIF('Detailed Attendance'!AZ116:AZ116, "A")+COUNTIF('Detailed Attendance'!BD116:BD116, "A")+COUNTIF('Detailed Attendance'!BT116:BT116, "A")+COUNTIF('Detailed Attendance'!BX116:BX116, "A")+COUNTIF('Detailed Attendance'!CQ116:CQ116, "A")+COUNTIF('Detailed Attendance'!CU116:CU116, "A")</f>
        <v/>
      </c>
      <c r="AG115" s="68">
        <f>IF((AE115+AF115)=0,"", AE115/(AE115+AF115))</f>
        <v/>
      </c>
      <c r="AH115" s="67">
        <f>COUNTIF('Detailed Attendance'!T116:T116, "P")+COUNTIF('Detailed Attendance'!AN116:AN116, "P")+COUNTIF('Detailed Attendance'!AR116:AR116, "P")+COUNTIF('Detailed Attendance'!BH116:BH116, "P")+COUNTIF('Detailed Attendance'!CB116:CB116, "P")+COUNTIF('Detailed Attendance'!CF116:CF116, "P")+COUNTIF('Detailed Attendance'!CY116:CY116, "P")</f>
        <v/>
      </c>
      <c r="AI115" s="67">
        <f>COUNTIF('Detailed Attendance'!T116:T116, "A")+COUNTIF('Detailed Attendance'!AN116:AN116, "A")+COUNTIF('Detailed Attendance'!AR116:AR116, "A")+COUNTIF('Detailed Attendance'!BH116:BH116, "A")+COUNTIF('Detailed Attendance'!CB116:CB116, "A")+COUNTIF('Detailed Attendance'!CF116:CF116, "A")+COUNTIF('Detailed Attendance'!CY116:CY116, "A")</f>
        <v/>
      </c>
      <c r="AJ115" s="68">
        <f>IF((AH115+AI115)=0,"", AH115/(AH115+AI115))</f>
        <v/>
      </c>
      <c r="AK115" s="67">
        <f>COUNTIF('Detailed Attendance'!M116:M116, "P")+COUNTIF('Detailed Attendance'!U116:U116, "P")+COUNTIF('Detailed Attendance'!AG116:AG116, "P")+COUNTIF('Detailed Attendance'!AO116:AO116, "P")+COUNTIF('Detailed Attendance'!BA116:BA116, "P")+COUNTIF('Detailed Attendance'!BI116:BI116, "P")+COUNTIF('Detailed Attendance'!BU116:BU116, "P")+COUNTIF('Detailed Attendance'!CC116:CC116, "P")+COUNTIF('Detailed Attendance'!CR116:CR116, "P")+COUNTIF('Detailed Attendance'!CZ116:CZ116, "P")</f>
        <v/>
      </c>
      <c r="AL115" s="67">
        <f>COUNTIF('Detailed Attendance'!M116:M116, "A")+COUNTIF('Detailed Attendance'!U116:U116, "A")+COUNTIF('Detailed Attendance'!AG116:AG116, "A")+COUNTIF('Detailed Attendance'!AO116:AO116, "A")+COUNTIF('Detailed Attendance'!BA116:BA116, "A")+COUNTIF('Detailed Attendance'!BI116:BI116, "A")+COUNTIF('Detailed Attendance'!BU116:BU116, "A")+COUNTIF('Detailed Attendance'!CC116:CC116, "A")+COUNTIF('Detailed Attendance'!CR116:CR116, "A")+COUNTIF('Detailed Attendance'!CZ116:CZ116, "A")</f>
        <v/>
      </c>
      <c r="AM115" s="68">
        <f>IF((AK115+AL115)=0,"", AK115/(AK115+AL115))</f>
        <v/>
      </c>
      <c r="AN115" s="67">
        <f>Y115+AB115+AE115+AH115+AK115</f>
        <v/>
      </c>
      <c r="AO115" s="67">
        <f>Z115+AC115+AF115+AI115+AL115</f>
        <v/>
      </c>
      <c r="AP115" s="68">
        <f>IF((AN115+AO115)=0,"", AN115/(AN115+AO115))</f>
        <v/>
      </c>
      <c r="AQ115" s="69">
        <f>COUNTIF('Detailed Attendance'!CH116:CH116, "P")+COUNTIF('Detailed Attendance'!Y116:Y116, "P")+COUNTIF('Detailed Attendance'!AS116:AS116, "P")+COUNTIF('Detailed Attendance'!BM116:BM116, "P")+COUNTIF('Detailed Attendance'!CJ116:CJ116, "P")+COUNTIF('Detailed Attendance'!AB116:AB116, "P")+COUNTIF('Detailed Attendance'!AV116:AV116, "P")+COUNTIF('Detailed Attendance'!BP116:BP116, "P")+COUNTIF('Detailed Attendance'!CM116:CM116, "P")</f>
        <v/>
      </c>
      <c r="AR115" s="69">
        <f>COUNTIF('Detailed Attendance'!CH116:CH116, "A")+COUNTIF('Detailed Attendance'!Y116:Y116, "A")+COUNTIF('Detailed Attendance'!AS116:AS116, "A")+COUNTIF('Detailed Attendance'!BM116:BM116, "A")+COUNTIF('Detailed Attendance'!CJ116:CJ116, "A")+COUNTIF('Detailed Attendance'!AB116:AB116, "A")+COUNTIF('Detailed Attendance'!AV116:AV116, "A")+COUNTIF('Detailed Attendance'!BP116:BP116, "A")+COUNTIF('Detailed Attendance'!CM116:CM116, "A")</f>
        <v/>
      </c>
      <c r="AS115" s="70">
        <f>IF((AQ115+AR115)=0,"", AQ115/(AQ115+AR115))</f>
        <v/>
      </c>
      <c r="AT115" s="67">
        <f>COUNTIF('Detailed Attendance'!DF116:DF116, "P")+COUNTIF('Detailed Attendance'!DT116:DT116, "P")+COUNTIF('Detailed Attendance'!EC116:EC116, "P")+COUNTIF('Detailed Attendance'!EQ116:EQ116, "P")+COUNTIF('Detailed Attendance'!EW116:EW116, "P")+COUNTIF('Detailed Attendance'!FK116:FK116, "P")+COUNTIF('Detailed Attendance'!FM116:FM116, "P")+COUNTIF('Detailed Attendance'!GA116:GA116, "P")</f>
        <v/>
      </c>
      <c r="AU115" s="67">
        <f>COUNTIF('Detailed Attendance'!DF116:DF116, "A")+COUNTIF('Detailed Attendance'!DT116:DT116, "A")+COUNTIF('Detailed Attendance'!EC116:EC116, "A")+COUNTIF('Detailed Attendance'!EQ116:EQ116, "A")+COUNTIF('Detailed Attendance'!EW116:EW116, "A")+COUNTIF('Detailed Attendance'!FK116:FK116, "A")+COUNTIF('Detailed Attendance'!FM116:FM116, "A")+COUNTIF('Detailed Attendance'!GA116:GA116, "A")</f>
        <v/>
      </c>
      <c r="AV115" s="68">
        <f>IF((AT115+AU115)=0,"", AT115/(AT115+AU115))</f>
        <v/>
      </c>
      <c r="AW115" s="67">
        <f>COUNTIF('Detailed Attendance'!DK116:DK116, "P")+COUNTIF('Detailed Attendance'!DS116:DS116, "P")+COUNTIF('Detailed Attendance'!EH116:EH116, "P")+COUNTIF('Detailed Attendance'!EP116:EP116, "P")+COUNTIF('Detailed Attendance'!FB116:FB116, "P")+COUNTIF('Detailed Attendance'!FJ116:FJ116, "P")+COUNTIF('Detailed Attendance'!FR116:FR116, "P")+COUNTIF('Detailed Attendance'!FZ116:FZ116, "P")</f>
        <v/>
      </c>
      <c r="AX115" s="67">
        <f>COUNTIF('Detailed Attendance'!DK116:DK116, "A")+COUNTIF('Detailed Attendance'!DS116:DS116, "A")+COUNTIF('Detailed Attendance'!EH116:EH116, "A")+COUNTIF('Detailed Attendance'!EP116:EP116, "A")+COUNTIF('Detailed Attendance'!FB116:FB116, "A")+COUNTIF('Detailed Attendance'!FJ116:FJ116, "A")+COUNTIF('Detailed Attendance'!FR116:FR116, "A")+COUNTIF('Detailed Attendance'!FZ116:FZ116, "A")</f>
        <v/>
      </c>
      <c r="AY115" s="68">
        <f>IF((AW115+AX115)=0,"", AW115/(AW115+AX115))</f>
        <v/>
      </c>
      <c r="AZ115" s="67">
        <f>COUNTIF('Detailed Attendance'!DN116:DN116, "P")+COUNTIF('Detailed Attendance'!DR116:DR116, "P")+COUNTIF('Detailed Attendance'!EK116:EK116, "P")+COUNTIF('Detailed Attendance'!EO116:EO116, "P")+COUNTIF('Detailed Attendance'!FE116:FE116, "P")+COUNTIF('Detailed Attendance'!FI116:FI116, "P")+COUNTIF('Detailed Attendance'!FU116:FU116, "P")+COUNTIF('Detailed Attendance'!FY116:FY116, "P")</f>
        <v/>
      </c>
      <c r="BA115" s="67">
        <f>COUNTIF('Detailed Attendance'!DN116:DN116, "A")+COUNTIF('Detailed Attendance'!DR116:DR116, "A")+COUNTIF('Detailed Attendance'!EK116:EK116, "A")+COUNTIF('Detailed Attendance'!EO116:EO116, "A")+COUNTIF('Detailed Attendance'!FE116:FE116, "A")+COUNTIF('Detailed Attendance'!FI116:FI116, "A")+COUNTIF('Detailed Attendance'!FU116:FU116, "A")+COUNTIF('Detailed Attendance'!FY116:FY116, "A")</f>
        <v/>
      </c>
      <c r="BB115" s="68">
        <f>IF((AZ115+BA115)=0,"", AZ115/(AZ115+BA115))</f>
        <v/>
      </c>
      <c r="BC115" s="67">
        <f>COUNTIF('Detailed Attendance'!DC116:DC116, "P")+COUNTIF('Detailed Attendance'!DV116:DV116, "P")+COUNTIF('Detailed Attendance'!DZ116:DZ116, "P")+COUNTIF('Detailed Attendance'!ES116:ES116, "P")+COUNTIF('Detailed Attendance'!GC116:GC116, "P")+COUNTIF('Detailed Attendance'!GG116:GG116, "P")</f>
        <v/>
      </c>
      <c r="BD115" s="67">
        <f>COUNTIF('Detailed Attendance'!DC116:DC116, "A")+COUNTIF('Detailed Attendance'!DV116:DV116, "A")+COUNTIF('Detailed Attendance'!DZ116:DZ116, "A")+COUNTIF('Detailed Attendance'!ES116:ES116, "A")+COUNTIF('Detailed Attendance'!GC116:GC116, "A")+COUNTIF('Detailed Attendance'!GG116:GG116, "A")</f>
        <v/>
      </c>
      <c r="BE115" s="68">
        <f>IF((BC115+BD115)=0,"", BC115/(BC115+BD115))</f>
        <v/>
      </c>
      <c r="BF115" s="67">
        <f>COUNTIF('Detailed Attendance'!DO116:DO116, "P")+COUNTIF('Detailed Attendance'!DW116:DW116, "P")+COUNTIF('Detailed Attendance'!EL116:EL116, "P")+COUNTIF('Detailed Attendance'!ET116:ET116, "P")+COUNTIF('Detailed Attendance'!FF116:FF116, "P")+COUNTIF('Detailed Attendance'!FV116:FV116, "P")+COUNTIF('Detailed Attendance'!GD116:GD116, "P")</f>
        <v/>
      </c>
      <c r="BG115" s="67">
        <f>COUNTIF('Detailed Attendance'!DO116:DO116, "A")+COUNTIF('Detailed Attendance'!DW116:DW116, "A")+COUNTIF('Detailed Attendance'!EL116:EL116, "A")+COUNTIF('Detailed Attendance'!ET116:ET116, "A")+COUNTIF('Detailed Attendance'!FF116:FF116, "A")+COUNTIF('Detailed Attendance'!FV116:FV116, "A")+COUNTIF('Detailed Attendance'!GD116:GD116, "A")</f>
        <v/>
      </c>
      <c r="BH115" s="68">
        <f>IF((BF115+BG115)=0,"", BF115/(BF115+BG115))</f>
        <v/>
      </c>
      <c r="BI115" s="67">
        <f>AT115+AW115+AZ115+BC115+BF115</f>
        <v/>
      </c>
      <c r="BJ115" s="67">
        <f>AU115+AX115+BA115+BD115+BG115</f>
        <v/>
      </c>
      <c r="BK115" s="68">
        <f>IF((BI115+BJ115)=0,"", BI115/(BI115+BJ115))</f>
        <v/>
      </c>
      <c r="BL115" s="69">
        <f>COUNTIF('Detailed Attendance'!DE116:DE116, "P")+COUNTIF('Detailed Attendance'!EB116:EB116, "P")+COUNTIF('Detailed Attendance'!GI116:GI116, "P")+COUNTIF('Detailed Attendance'!DG116:DG116, "P")+COUNTIF('Detailed Attendance'!ED116:ED116, "P")+COUNTIF('Detailed Attendance'!EX116:EX116, "P")+COUNTIF('Detailed Attendance'!FN116:FN116, "P")+COUNTIF('Detailed Attendance'!DJ116:DJ116, "P")+COUNTIF('Detailed Attendance'!EG116:EG116, "P")+COUNTIF('Detailed Attendance'!FA116:FA116, "P")+COUNTIF('Detailed Attendance'!FQ116:FQ116, "P")</f>
        <v/>
      </c>
      <c r="BM115" s="69">
        <f>COUNTIF('Detailed Attendance'!DE116:DE116, "A")+COUNTIF('Detailed Attendance'!EB116:EB116, "A")+COUNTIF('Detailed Attendance'!GI116:GI116, "A")+COUNTIF('Detailed Attendance'!DG116:DG116, "A")+COUNTIF('Detailed Attendance'!ED116:ED116, "A")+COUNTIF('Detailed Attendance'!EX116:EX116, "A")+COUNTIF('Detailed Attendance'!FN116:FN116, "A")+COUNTIF('Detailed Attendance'!DJ116:DJ116, "A")+COUNTIF('Detailed Attendance'!EG116:EG116, "A")+COUNTIF('Detailed Attendance'!FA116:FA116, "A")+COUNTIF('Detailed Attendance'!FQ116:FQ116, "A")</f>
        <v/>
      </c>
      <c r="BN115" s="70">
        <f>IF((BL115+BM115)=0,"", BL115/(BL115+BM115))</f>
        <v/>
      </c>
      <c r="BO115" s="67">
        <f>D115+Y115+AT115</f>
        <v/>
      </c>
      <c r="BP115" s="67">
        <f>E115+Z115+AU115</f>
        <v/>
      </c>
      <c r="BQ115" s="68">
        <f>IF((BO115+BP115)=0,"", BO115/(BO115+BP115))</f>
        <v/>
      </c>
      <c r="BR115" s="67">
        <f>G115+AB115+AW115</f>
        <v/>
      </c>
      <c r="BS115" s="67">
        <f>H115+AC115+AX115</f>
        <v/>
      </c>
      <c r="BT115" s="68">
        <f>IF((BR115+BS115)=0,"", BR115/(BR115+BS115))</f>
        <v/>
      </c>
      <c r="BU115" s="67">
        <f>J115+AE115+AZ115</f>
        <v/>
      </c>
      <c r="BV115" s="67">
        <f>K115+AF115+BA115</f>
        <v/>
      </c>
      <c r="BW115" s="68">
        <f>IF((BU115+BV115)=0,"", BU115/(BU115+BV115))</f>
        <v/>
      </c>
      <c r="BX115" s="67">
        <f>M115+AH115+BC115</f>
        <v/>
      </c>
      <c r="BY115" s="67">
        <f>N115+AI115+BD115</f>
        <v/>
      </c>
      <c r="BZ115" s="68">
        <f>IF((BX115+BY115)=0,"", BX115/(BX115+BY115))</f>
        <v/>
      </c>
      <c r="CA115" s="67">
        <f>P115+AK115+BF115</f>
        <v/>
      </c>
      <c r="CB115" s="67">
        <f>Q115+AL115+BG115</f>
        <v/>
      </c>
      <c r="CC115" s="68">
        <f>IF((CA115+CB115)=0,"", CA115/(CA115+CB115))</f>
        <v/>
      </c>
      <c r="CD115" s="67">
        <f>S115+AN115+BI115</f>
        <v/>
      </c>
      <c r="CE115" s="67">
        <f>T115+AO115+BJ115</f>
        <v/>
      </c>
      <c r="CF115" s="68">
        <f>IF((CD115+CE115)=0,"", CD115/(CD115+CE115))</f>
        <v/>
      </c>
      <c r="CG115" s="69">
        <f>V115+AQ115+BL115</f>
        <v/>
      </c>
      <c r="CH115" s="69">
        <f>W115+AR115+BM115</f>
        <v/>
      </c>
      <c r="CI115" s="70">
        <f>IF((CG115+CH115)=0,"", CG115/(CG115+CH115))</f>
        <v/>
      </c>
      <c r="CJ115" s="67">
        <f>CD115+(CG115*2)</f>
        <v/>
      </c>
      <c r="CK115" s="67">
        <f>CE115+(CH115*2)</f>
        <v/>
      </c>
      <c r="CL115" s="68">
        <f>IF((CJ115+CK115)=0,"", CJ115/(CJ115+CK115))</f>
        <v/>
      </c>
      <c r="CM115" s="67" t="inlineStr">
        <is>
          <t>Batch 3</t>
        </is>
      </c>
    </row>
    <row r="116" ht="14.25" customHeight="1" s="34">
      <c r="A116" s="46" t="n">
        <v>114</v>
      </c>
      <c r="B116" s="46" t="inlineStr">
        <is>
          <t>325106410114</t>
        </is>
      </c>
      <c r="C116" s="46" t="inlineStr">
        <is>
          <t>UKASH CHAUDHARY</t>
        </is>
      </c>
      <c r="D116" s="63" t="n">
        <v>0</v>
      </c>
      <c r="E116" s="63" t="n">
        <v>0</v>
      </c>
      <c r="F116" s="64">
        <f>IF((D116+E116)=0,"", D116/(D116+E116))</f>
        <v/>
      </c>
      <c r="G116" s="63">
        <f>COUNTIF('Detailed Attendance'!I117:I117, "P")</f>
        <v/>
      </c>
      <c r="H116" s="63">
        <f>COUNTIF('Detailed Attendance'!I117:I117, "A")</f>
        <v/>
      </c>
      <c r="I116" s="64">
        <f>IF((G116+H116)=0,"", G116/(G116+H116))</f>
        <v/>
      </c>
      <c r="J116" s="63" t="n">
        <v>0</v>
      </c>
      <c r="K116" s="63" t="n">
        <v>0</v>
      </c>
      <c r="L116" s="64">
        <f>IF((J116+K116)=0,"", J116/(J116+K116))</f>
        <v/>
      </c>
      <c r="M116" s="63">
        <f>COUNTIF('Detailed Attendance'!D117:D117, "P")</f>
        <v/>
      </c>
      <c r="N116" s="63">
        <f>COUNTIF('Detailed Attendance'!D117:D117, "A")</f>
        <v/>
      </c>
      <c r="O116" s="64">
        <f>IF((M116+N116)=0,"", M116/(M116+N116))</f>
        <v/>
      </c>
      <c r="P116" s="63" t="n">
        <v>0</v>
      </c>
      <c r="Q116" s="63" t="n">
        <v>0</v>
      </c>
      <c r="R116" s="64">
        <f>IF((P116+Q116)=0,"", P116/(P116+Q116))</f>
        <v/>
      </c>
      <c r="S116" s="63">
        <f>D116+G116+J116+M116+P116</f>
        <v/>
      </c>
      <c r="T116" s="63">
        <f>E116+H116+K116+N116+Q116</f>
        <v/>
      </c>
      <c r="U116" s="64">
        <f>IF((S116+T116)=0,"", S116/(S116+T116))</f>
        <v/>
      </c>
      <c r="V116" s="65">
        <f>COUNTIF('Detailed Attendance'!E117:E117, "P")+COUNTIF('Detailed Attendance'!H117:H117, "P")</f>
        <v/>
      </c>
      <c r="W116" s="65">
        <f>COUNTIF('Detailed Attendance'!E117:E117, "A")+COUNTIF('Detailed Attendance'!H117:H117, "A")</f>
        <v/>
      </c>
      <c r="X116" s="66">
        <f>IF((V116+W116)=0,"", V116/(V116+W116))</f>
        <v/>
      </c>
      <c r="Y116" s="63">
        <f>COUNTIF('Detailed Attendance'!R117:R117, "P")+COUNTIF('Detailed Attendance'!X117:X117, "P")+COUNTIF('Detailed Attendance'!AL117:AL117, "P")+COUNTIF('Detailed Attendance'!BF117:BF117, "P")+COUNTIF('Detailed Attendance'!BL117:BL117, "P")+COUNTIF('Detailed Attendance'!BZ117:BZ117, "P")+COUNTIF('Detailed Attendance'!CI117:CI117, "P")+COUNTIF('Detailed Attendance'!CW117:CW117, "P")</f>
        <v/>
      </c>
      <c r="Z116" s="63">
        <f>COUNTIF('Detailed Attendance'!R117:R117, "A")+COUNTIF('Detailed Attendance'!X117:X117, "A")+COUNTIF('Detailed Attendance'!AL117:AL117, "A")+COUNTIF('Detailed Attendance'!BF117:BF117, "A")+COUNTIF('Detailed Attendance'!BL117:BL117, "A")+COUNTIF('Detailed Attendance'!BZ117:BZ117, "A")+COUNTIF('Detailed Attendance'!CI117:CI117, "A")+COUNTIF('Detailed Attendance'!CW117:CW117, "A")</f>
        <v/>
      </c>
      <c r="AA116" s="64">
        <f>IF((Y116+Z116)=0,"", Y116/(Y116+Z116))</f>
        <v/>
      </c>
      <c r="AB116" s="63">
        <f>COUNTIF('Detailed Attendance'!Q117:Q117, "P")+COUNTIF('Detailed Attendance'!AC117:AC117, "P")+COUNTIF('Detailed Attendance'!AK117:AK117, "P")+COUNTIF('Detailed Attendance'!AW117:AW117, "P")+COUNTIF('Detailed Attendance'!BE117:BE117, "P")+COUNTIF('Detailed Attendance'!BQ117:BQ117, "P")+COUNTIF('Detailed Attendance'!BY117:BY117, "P")+COUNTIF('Detailed Attendance'!CN117:CN117, "P")+COUNTIF('Detailed Attendance'!CV117:CV117, "P")</f>
        <v/>
      </c>
      <c r="AC116" s="63">
        <f>COUNTIF('Detailed Attendance'!Q117:Q117, "A")+COUNTIF('Detailed Attendance'!AC117:AC117, "A")+COUNTIF('Detailed Attendance'!AK117:AK117, "A")+COUNTIF('Detailed Attendance'!AW117:AW117, "A")+COUNTIF('Detailed Attendance'!BE117:BE117, "A")+COUNTIF('Detailed Attendance'!BQ117:BQ117, "A")+COUNTIF('Detailed Attendance'!BY117:BY117, "A")+COUNTIF('Detailed Attendance'!CN117:CN117, "A")+COUNTIF('Detailed Attendance'!CV117:CV117, "A")</f>
        <v/>
      </c>
      <c r="AD116" s="64">
        <f>IF((AB116+AC116)=0,"", AB116/(AB116+AC116))</f>
        <v/>
      </c>
      <c r="AE116" s="63">
        <f>COUNTIF('Detailed Attendance'!L117:L117, "P")+COUNTIF('Detailed Attendance'!P117:P117, "P")+COUNTIF('Detailed Attendance'!AF117:AF117, "P")+COUNTIF('Detailed Attendance'!AJ117:AJ117, "P")+COUNTIF('Detailed Attendance'!AZ117:AZ117, "P")+COUNTIF('Detailed Attendance'!BD117:BD117, "P")+COUNTIF('Detailed Attendance'!BT117:BT117, "P")+COUNTIF('Detailed Attendance'!BX117:BX117, "P")+COUNTIF('Detailed Attendance'!CQ117:CQ117, "P")+COUNTIF('Detailed Attendance'!CU117:CU117, "P")</f>
        <v/>
      </c>
      <c r="AF116" s="67">
        <f>COUNTIF('Detailed Attendance'!L117:L117, "A")+COUNTIF('Detailed Attendance'!P117:P117, "A")+COUNTIF('Detailed Attendance'!AF117:AF117, "A")+COUNTIF('Detailed Attendance'!AJ117:AJ117, "A")+COUNTIF('Detailed Attendance'!AZ117:AZ117, "A")+COUNTIF('Detailed Attendance'!BD117:BD117, "A")+COUNTIF('Detailed Attendance'!BT117:BT117, "A")+COUNTIF('Detailed Attendance'!BX117:BX117, "A")+COUNTIF('Detailed Attendance'!CQ117:CQ117, "A")+COUNTIF('Detailed Attendance'!CU117:CU117, "A")</f>
        <v/>
      </c>
      <c r="AG116" s="68">
        <f>IF((AE116+AF116)=0,"", AE116/(AE116+AF116))</f>
        <v/>
      </c>
      <c r="AH116" s="67">
        <f>COUNTIF('Detailed Attendance'!T117:T117, "P")+COUNTIF('Detailed Attendance'!AN117:AN117, "P")+COUNTIF('Detailed Attendance'!AR117:AR117, "P")+COUNTIF('Detailed Attendance'!BH117:BH117, "P")+COUNTIF('Detailed Attendance'!CB117:CB117, "P")+COUNTIF('Detailed Attendance'!CF117:CF117, "P")+COUNTIF('Detailed Attendance'!CY117:CY117, "P")</f>
        <v/>
      </c>
      <c r="AI116" s="67">
        <f>COUNTIF('Detailed Attendance'!T117:T117, "A")+COUNTIF('Detailed Attendance'!AN117:AN117, "A")+COUNTIF('Detailed Attendance'!AR117:AR117, "A")+COUNTIF('Detailed Attendance'!BH117:BH117, "A")+COUNTIF('Detailed Attendance'!CB117:CB117, "A")+COUNTIF('Detailed Attendance'!CF117:CF117, "A")+COUNTIF('Detailed Attendance'!CY117:CY117, "A")</f>
        <v/>
      </c>
      <c r="AJ116" s="68">
        <f>IF((AH116+AI116)=0,"", AH116/(AH116+AI116))</f>
        <v/>
      </c>
      <c r="AK116" s="67">
        <f>COUNTIF('Detailed Attendance'!M117:M117, "P")+COUNTIF('Detailed Attendance'!U117:U117, "P")+COUNTIF('Detailed Attendance'!AG117:AG117, "P")+COUNTIF('Detailed Attendance'!AO117:AO117, "P")+COUNTIF('Detailed Attendance'!BA117:BA117, "P")+COUNTIF('Detailed Attendance'!BI117:BI117, "P")+COUNTIF('Detailed Attendance'!BU117:BU117, "P")+COUNTIF('Detailed Attendance'!CC117:CC117, "P")+COUNTIF('Detailed Attendance'!CR117:CR117, "P")+COUNTIF('Detailed Attendance'!CZ117:CZ117, "P")</f>
        <v/>
      </c>
      <c r="AL116" s="67">
        <f>COUNTIF('Detailed Attendance'!M117:M117, "A")+COUNTIF('Detailed Attendance'!U117:U117, "A")+COUNTIF('Detailed Attendance'!AG117:AG117, "A")+COUNTIF('Detailed Attendance'!AO117:AO117, "A")+COUNTIF('Detailed Attendance'!BA117:BA117, "A")+COUNTIF('Detailed Attendance'!BI117:BI117, "A")+COUNTIF('Detailed Attendance'!BU117:BU117, "A")+COUNTIF('Detailed Attendance'!CC117:CC117, "A")+COUNTIF('Detailed Attendance'!CR117:CR117, "A")+COUNTIF('Detailed Attendance'!CZ117:CZ117, "A")</f>
        <v/>
      </c>
      <c r="AM116" s="68">
        <f>IF((AK116+AL116)=0,"", AK116/(AK116+AL116))</f>
        <v/>
      </c>
      <c r="AN116" s="67">
        <f>Y116+AB116+AE116+AH116+AK116</f>
        <v/>
      </c>
      <c r="AO116" s="67">
        <f>Z116+AC116+AF116+AI116+AL116</f>
        <v/>
      </c>
      <c r="AP116" s="68">
        <f>IF((AN116+AO116)=0,"", AN116/(AN116+AO116))</f>
        <v/>
      </c>
      <c r="AQ116" s="69">
        <f>COUNTIF('Detailed Attendance'!CH117:CH117, "P")+COUNTIF('Detailed Attendance'!Y117:Y117, "P")+COUNTIF('Detailed Attendance'!AS117:AS117, "P")+COUNTIF('Detailed Attendance'!BM117:BM117, "P")+COUNTIF('Detailed Attendance'!CJ117:CJ117, "P")+COUNTIF('Detailed Attendance'!AB117:AB117, "P")+COUNTIF('Detailed Attendance'!AV117:AV117, "P")+COUNTIF('Detailed Attendance'!BP117:BP117, "P")+COUNTIF('Detailed Attendance'!CM117:CM117, "P")</f>
        <v/>
      </c>
      <c r="AR116" s="69">
        <f>COUNTIF('Detailed Attendance'!CH117:CH117, "A")+COUNTIF('Detailed Attendance'!Y117:Y117, "A")+COUNTIF('Detailed Attendance'!AS117:AS117, "A")+COUNTIF('Detailed Attendance'!BM117:BM117, "A")+COUNTIF('Detailed Attendance'!CJ117:CJ117, "A")+COUNTIF('Detailed Attendance'!AB117:AB117, "A")+COUNTIF('Detailed Attendance'!AV117:AV117, "A")+COUNTIF('Detailed Attendance'!BP117:BP117, "A")+COUNTIF('Detailed Attendance'!CM117:CM117, "A")</f>
        <v/>
      </c>
      <c r="AS116" s="70">
        <f>IF((AQ116+AR116)=0,"", AQ116/(AQ116+AR116))</f>
        <v/>
      </c>
      <c r="AT116" s="67">
        <f>COUNTIF('Detailed Attendance'!DF117:DF117, "P")+COUNTIF('Detailed Attendance'!DT117:DT117, "P")+COUNTIF('Detailed Attendance'!EC117:EC117, "P")+COUNTIF('Detailed Attendance'!EQ117:EQ117, "P")+COUNTIF('Detailed Attendance'!EW117:EW117, "P")+COUNTIF('Detailed Attendance'!FK117:FK117, "P")+COUNTIF('Detailed Attendance'!FM117:FM117, "P")+COUNTIF('Detailed Attendance'!GA117:GA117, "P")</f>
        <v/>
      </c>
      <c r="AU116" s="67">
        <f>COUNTIF('Detailed Attendance'!DF117:DF117, "A")+COUNTIF('Detailed Attendance'!DT117:DT117, "A")+COUNTIF('Detailed Attendance'!EC117:EC117, "A")+COUNTIF('Detailed Attendance'!EQ117:EQ117, "A")+COUNTIF('Detailed Attendance'!EW117:EW117, "A")+COUNTIF('Detailed Attendance'!FK117:FK117, "A")+COUNTIF('Detailed Attendance'!FM117:FM117, "A")+COUNTIF('Detailed Attendance'!GA117:GA117, "A")</f>
        <v/>
      </c>
      <c r="AV116" s="68">
        <f>IF((AT116+AU116)=0,"", AT116/(AT116+AU116))</f>
        <v/>
      </c>
      <c r="AW116" s="67">
        <f>COUNTIF('Detailed Attendance'!DK117:DK117, "P")+COUNTIF('Detailed Attendance'!DS117:DS117, "P")+COUNTIF('Detailed Attendance'!EH117:EH117, "P")+COUNTIF('Detailed Attendance'!EP117:EP117, "P")+COUNTIF('Detailed Attendance'!FB117:FB117, "P")+COUNTIF('Detailed Attendance'!FJ117:FJ117, "P")+COUNTIF('Detailed Attendance'!FR117:FR117, "P")+COUNTIF('Detailed Attendance'!FZ117:FZ117, "P")</f>
        <v/>
      </c>
      <c r="AX116" s="67">
        <f>COUNTIF('Detailed Attendance'!DK117:DK117, "A")+COUNTIF('Detailed Attendance'!DS117:DS117, "A")+COUNTIF('Detailed Attendance'!EH117:EH117, "A")+COUNTIF('Detailed Attendance'!EP117:EP117, "A")+COUNTIF('Detailed Attendance'!FB117:FB117, "A")+COUNTIF('Detailed Attendance'!FJ117:FJ117, "A")+COUNTIF('Detailed Attendance'!FR117:FR117, "A")+COUNTIF('Detailed Attendance'!FZ117:FZ117, "A")</f>
        <v/>
      </c>
      <c r="AY116" s="68">
        <f>IF((AW116+AX116)=0,"", AW116/(AW116+AX116))</f>
        <v/>
      </c>
      <c r="AZ116" s="67">
        <f>COUNTIF('Detailed Attendance'!DN117:DN117, "P")+COUNTIF('Detailed Attendance'!DR117:DR117, "P")+COUNTIF('Detailed Attendance'!EK117:EK117, "P")+COUNTIF('Detailed Attendance'!EO117:EO117, "P")+COUNTIF('Detailed Attendance'!FE117:FE117, "P")+COUNTIF('Detailed Attendance'!FI117:FI117, "P")+COUNTIF('Detailed Attendance'!FU117:FU117, "P")+COUNTIF('Detailed Attendance'!FY117:FY117, "P")</f>
        <v/>
      </c>
      <c r="BA116" s="67">
        <f>COUNTIF('Detailed Attendance'!DN117:DN117, "A")+COUNTIF('Detailed Attendance'!DR117:DR117, "A")+COUNTIF('Detailed Attendance'!EK117:EK117, "A")+COUNTIF('Detailed Attendance'!EO117:EO117, "A")+COUNTIF('Detailed Attendance'!FE117:FE117, "A")+COUNTIF('Detailed Attendance'!FI117:FI117, "A")+COUNTIF('Detailed Attendance'!FU117:FU117, "A")+COUNTIF('Detailed Attendance'!FY117:FY117, "A")</f>
        <v/>
      </c>
      <c r="BB116" s="68">
        <f>IF((AZ116+BA116)=0,"", AZ116/(AZ116+BA116))</f>
        <v/>
      </c>
      <c r="BC116" s="67">
        <f>COUNTIF('Detailed Attendance'!DC117:DC117, "P")+COUNTIF('Detailed Attendance'!DV117:DV117, "P")+COUNTIF('Detailed Attendance'!DZ117:DZ117, "P")+COUNTIF('Detailed Attendance'!ES117:ES117, "P")+COUNTIF('Detailed Attendance'!GC117:GC117, "P")+COUNTIF('Detailed Attendance'!GG117:GG117, "P")</f>
        <v/>
      </c>
      <c r="BD116" s="67">
        <f>COUNTIF('Detailed Attendance'!DC117:DC117, "A")+COUNTIF('Detailed Attendance'!DV117:DV117, "A")+COUNTIF('Detailed Attendance'!DZ117:DZ117, "A")+COUNTIF('Detailed Attendance'!ES117:ES117, "A")+COUNTIF('Detailed Attendance'!GC117:GC117, "A")+COUNTIF('Detailed Attendance'!GG117:GG117, "A")</f>
        <v/>
      </c>
      <c r="BE116" s="68">
        <f>IF((BC116+BD116)=0,"", BC116/(BC116+BD116))</f>
        <v/>
      </c>
      <c r="BF116" s="67">
        <f>COUNTIF('Detailed Attendance'!DO117:DO117, "P")+COUNTIF('Detailed Attendance'!DW117:DW117, "P")+COUNTIF('Detailed Attendance'!EL117:EL117, "P")+COUNTIF('Detailed Attendance'!ET117:ET117, "P")+COUNTIF('Detailed Attendance'!FF117:FF117, "P")+COUNTIF('Detailed Attendance'!FV117:FV117, "P")+COUNTIF('Detailed Attendance'!GD117:GD117, "P")</f>
        <v/>
      </c>
      <c r="BG116" s="67">
        <f>COUNTIF('Detailed Attendance'!DO117:DO117, "A")+COUNTIF('Detailed Attendance'!DW117:DW117, "A")+COUNTIF('Detailed Attendance'!EL117:EL117, "A")+COUNTIF('Detailed Attendance'!ET117:ET117, "A")+COUNTIF('Detailed Attendance'!FF117:FF117, "A")+COUNTIF('Detailed Attendance'!FV117:FV117, "A")+COUNTIF('Detailed Attendance'!GD117:GD117, "A")</f>
        <v/>
      </c>
      <c r="BH116" s="68">
        <f>IF((BF116+BG116)=0,"", BF116/(BF116+BG116))</f>
        <v/>
      </c>
      <c r="BI116" s="67">
        <f>AT116+AW116+AZ116+BC116+BF116</f>
        <v/>
      </c>
      <c r="BJ116" s="67">
        <f>AU116+AX116+BA116+BD116+BG116</f>
        <v/>
      </c>
      <c r="BK116" s="68">
        <f>IF((BI116+BJ116)=0,"", BI116/(BI116+BJ116))</f>
        <v/>
      </c>
      <c r="BL116" s="69">
        <f>COUNTIF('Detailed Attendance'!DE117:DE117, "P")+COUNTIF('Detailed Attendance'!EB117:EB117, "P")+COUNTIF('Detailed Attendance'!GI117:GI117, "P")+COUNTIF('Detailed Attendance'!DG117:DG117, "P")+COUNTIF('Detailed Attendance'!ED117:ED117, "P")+COUNTIF('Detailed Attendance'!EX117:EX117, "P")+COUNTIF('Detailed Attendance'!FN117:FN117, "P")+COUNTIF('Detailed Attendance'!DJ117:DJ117, "P")+COUNTIF('Detailed Attendance'!EG117:EG117, "P")+COUNTIF('Detailed Attendance'!FA117:FA117, "P")+COUNTIF('Detailed Attendance'!FQ117:FQ117, "P")</f>
        <v/>
      </c>
      <c r="BM116" s="69">
        <f>COUNTIF('Detailed Attendance'!DE117:DE117, "A")+COUNTIF('Detailed Attendance'!EB117:EB117, "A")+COUNTIF('Detailed Attendance'!GI117:GI117, "A")+COUNTIF('Detailed Attendance'!DG117:DG117, "A")+COUNTIF('Detailed Attendance'!ED117:ED117, "A")+COUNTIF('Detailed Attendance'!EX117:EX117, "A")+COUNTIF('Detailed Attendance'!FN117:FN117, "A")+COUNTIF('Detailed Attendance'!DJ117:DJ117, "A")+COUNTIF('Detailed Attendance'!EG117:EG117, "A")+COUNTIF('Detailed Attendance'!FA117:FA117, "A")+COUNTIF('Detailed Attendance'!FQ117:FQ117, "A")</f>
        <v/>
      </c>
      <c r="BN116" s="70">
        <f>IF((BL116+BM116)=0,"", BL116/(BL116+BM116))</f>
        <v/>
      </c>
      <c r="BO116" s="67">
        <f>D116+Y116+AT116</f>
        <v/>
      </c>
      <c r="BP116" s="67">
        <f>E116+Z116+AU116</f>
        <v/>
      </c>
      <c r="BQ116" s="68">
        <f>IF((BO116+BP116)=0,"", BO116/(BO116+BP116))</f>
        <v/>
      </c>
      <c r="BR116" s="67">
        <f>G116+AB116+AW116</f>
        <v/>
      </c>
      <c r="BS116" s="67">
        <f>H116+AC116+AX116</f>
        <v/>
      </c>
      <c r="BT116" s="68">
        <f>IF((BR116+BS116)=0,"", BR116/(BR116+BS116))</f>
        <v/>
      </c>
      <c r="BU116" s="67">
        <f>J116+AE116+AZ116</f>
        <v/>
      </c>
      <c r="BV116" s="67">
        <f>K116+AF116+BA116</f>
        <v/>
      </c>
      <c r="BW116" s="68">
        <f>IF((BU116+BV116)=0,"", BU116/(BU116+BV116))</f>
        <v/>
      </c>
      <c r="BX116" s="67">
        <f>M116+AH116+BC116</f>
        <v/>
      </c>
      <c r="BY116" s="67">
        <f>N116+AI116+BD116</f>
        <v/>
      </c>
      <c r="BZ116" s="68">
        <f>IF((BX116+BY116)=0,"", BX116/(BX116+BY116))</f>
        <v/>
      </c>
      <c r="CA116" s="67">
        <f>P116+AK116+BF116</f>
        <v/>
      </c>
      <c r="CB116" s="67">
        <f>Q116+AL116+BG116</f>
        <v/>
      </c>
      <c r="CC116" s="68">
        <f>IF((CA116+CB116)=0,"", CA116/(CA116+CB116))</f>
        <v/>
      </c>
      <c r="CD116" s="67">
        <f>S116+AN116+BI116</f>
        <v/>
      </c>
      <c r="CE116" s="67">
        <f>T116+AO116+BJ116</f>
        <v/>
      </c>
      <c r="CF116" s="68">
        <f>IF((CD116+CE116)=0,"", CD116/(CD116+CE116))</f>
        <v/>
      </c>
      <c r="CG116" s="69">
        <f>V116+AQ116+BL116</f>
        <v/>
      </c>
      <c r="CH116" s="69">
        <f>W116+AR116+BM116</f>
        <v/>
      </c>
      <c r="CI116" s="70">
        <f>IF((CG116+CH116)=0,"", CG116/(CG116+CH116))</f>
        <v/>
      </c>
      <c r="CJ116" s="67">
        <f>CD116+(CG116*2)</f>
        <v/>
      </c>
      <c r="CK116" s="67">
        <f>CE116+(CH116*2)</f>
        <v/>
      </c>
      <c r="CL116" s="68">
        <f>IF((CJ116+CK116)=0,"", CJ116/(CJ116+CK116))</f>
        <v/>
      </c>
      <c r="CM116" s="67" t="inlineStr">
        <is>
          <t>Batch 3</t>
        </is>
      </c>
    </row>
    <row r="117" ht="14.25" customHeight="1" s="34">
      <c r="A117" s="46" t="n">
        <v>115</v>
      </c>
      <c r="B117" s="46" t="inlineStr">
        <is>
          <t>325106410115</t>
        </is>
      </c>
      <c r="C117" s="46" t="inlineStr">
        <is>
          <t>WANTOK AMAKOU WANTOK AKHOL</t>
        </is>
      </c>
      <c r="D117" s="63" t="n">
        <v>0</v>
      </c>
      <c r="E117" s="63" t="n">
        <v>0</v>
      </c>
      <c r="F117" s="64">
        <f>IF((D117+E117)=0,"", D117/(D117+E117))</f>
        <v/>
      </c>
      <c r="G117" s="63">
        <f>COUNTIF('Detailed Attendance'!I118:I118, "P")</f>
        <v/>
      </c>
      <c r="H117" s="63">
        <f>COUNTIF('Detailed Attendance'!I118:I118, "A")</f>
        <v/>
      </c>
      <c r="I117" s="64">
        <f>IF((G117+H117)=0,"", G117/(G117+H117))</f>
        <v/>
      </c>
      <c r="J117" s="63" t="n">
        <v>0</v>
      </c>
      <c r="K117" s="63" t="n">
        <v>0</v>
      </c>
      <c r="L117" s="64">
        <f>IF((J117+K117)=0,"", J117/(J117+K117))</f>
        <v/>
      </c>
      <c r="M117" s="63">
        <f>COUNTIF('Detailed Attendance'!D118:D118, "P")</f>
        <v/>
      </c>
      <c r="N117" s="63">
        <f>COUNTIF('Detailed Attendance'!D118:D118, "A")</f>
        <v/>
      </c>
      <c r="O117" s="64">
        <f>IF((M117+N117)=0,"", M117/(M117+N117))</f>
        <v/>
      </c>
      <c r="P117" s="63" t="n">
        <v>0</v>
      </c>
      <c r="Q117" s="63" t="n">
        <v>0</v>
      </c>
      <c r="R117" s="64">
        <f>IF((P117+Q117)=0,"", P117/(P117+Q117))</f>
        <v/>
      </c>
      <c r="S117" s="63">
        <f>D117+G117+J117+M117+P117</f>
        <v/>
      </c>
      <c r="T117" s="63">
        <f>E117+H117+K117+N117+Q117</f>
        <v/>
      </c>
      <c r="U117" s="64">
        <f>IF((S117+T117)=0,"", S117/(S117+T117))</f>
        <v/>
      </c>
      <c r="V117" s="65">
        <f>COUNTIF('Detailed Attendance'!E118:E118, "P")+COUNTIF('Detailed Attendance'!H118:H118, "P")</f>
        <v/>
      </c>
      <c r="W117" s="65">
        <f>COUNTIF('Detailed Attendance'!E118:E118, "A")+COUNTIF('Detailed Attendance'!H118:H118, "A")</f>
        <v/>
      </c>
      <c r="X117" s="66">
        <f>IF((V117+W117)=0,"", V117/(V117+W117))</f>
        <v/>
      </c>
      <c r="Y117" s="63">
        <f>COUNTIF('Detailed Attendance'!R118:R118, "P")+COUNTIF('Detailed Attendance'!X118:X118, "P")+COUNTIF('Detailed Attendance'!AL118:AL118, "P")+COUNTIF('Detailed Attendance'!BF118:BF118, "P")+COUNTIF('Detailed Attendance'!BL118:BL118, "P")+COUNTIF('Detailed Attendance'!BZ118:BZ118, "P")+COUNTIF('Detailed Attendance'!CI118:CI118, "P")+COUNTIF('Detailed Attendance'!CW118:CW118, "P")</f>
        <v/>
      </c>
      <c r="Z117" s="63">
        <f>COUNTIF('Detailed Attendance'!R118:R118, "A")+COUNTIF('Detailed Attendance'!X118:X118, "A")+COUNTIF('Detailed Attendance'!AL118:AL118, "A")+COUNTIF('Detailed Attendance'!BF118:BF118, "A")+COUNTIF('Detailed Attendance'!BL118:BL118, "A")+COUNTIF('Detailed Attendance'!BZ118:BZ118, "A")+COUNTIF('Detailed Attendance'!CI118:CI118, "A")+COUNTIF('Detailed Attendance'!CW118:CW118, "A")</f>
        <v/>
      </c>
      <c r="AA117" s="64">
        <f>IF((Y117+Z117)=0,"", Y117/(Y117+Z117))</f>
        <v/>
      </c>
      <c r="AB117" s="63">
        <f>COUNTIF('Detailed Attendance'!Q118:Q118, "P")+COUNTIF('Detailed Attendance'!AC118:AC118, "P")+COUNTIF('Detailed Attendance'!AK118:AK118, "P")+COUNTIF('Detailed Attendance'!AW118:AW118, "P")+COUNTIF('Detailed Attendance'!BE118:BE118, "P")+COUNTIF('Detailed Attendance'!BQ118:BQ118, "P")+COUNTIF('Detailed Attendance'!BY118:BY118, "P")+COUNTIF('Detailed Attendance'!CN118:CN118, "P")+COUNTIF('Detailed Attendance'!CV118:CV118, "P")</f>
        <v/>
      </c>
      <c r="AC117" s="63">
        <f>COUNTIF('Detailed Attendance'!Q118:Q118, "A")+COUNTIF('Detailed Attendance'!AC118:AC118, "A")+COUNTIF('Detailed Attendance'!AK118:AK118, "A")+COUNTIF('Detailed Attendance'!AW118:AW118, "A")+COUNTIF('Detailed Attendance'!BE118:BE118, "A")+COUNTIF('Detailed Attendance'!BQ118:BQ118, "A")+COUNTIF('Detailed Attendance'!BY118:BY118, "A")+COUNTIF('Detailed Attendance'!CN118:CN118, "A")+COUNTIF('Detailed Attendance'!CV118:CV118, "A")</f>
        <v/>
      </c>
      <c r="AD117" s="64">
        <f>IF((AB117+AC117)=0,"", AB117/(AB117+AC117))</f>
        <v/>
      </c>
      <c r="AE117" s="63">
        <f>COUNTIF('Detailed Attendance'!L118:L118, "P")+COUNTIF('Detailed Attendance'!P118:P118, "P")+COUNTIF('Detailed Attendance'!AF118:AF118, "P")+COUNTIF('Detailed Attendance'!AJ118:AJ118, "P")+COUNTIF('Detailed Attendance'!AZ118:AZ118, "P")+COUNTIF('Detailed Attendance'!BD118:BD118, "P")+COUNTIF('Detailed Attendance'!BT118:BT118, "P")+COUNTIF('Detailed Attendance'!BX118:BX118, "P")+COUNTIF('Detailed Attendance'!CQ118:CQ118, "P")+COUNTIF('Detailed Attendance'!CU118:CU118, "P")</f>
        <v/>
      </c>
      <c r="AF117" s="67">
        <f>COUNTIF('Detailed Attendance'!L118:L118, "A")+COUNTIF('Detailed Attendance'!P118:P118, "A")+COUNTIF('Detailed Attendance'!AF118:AF118, "A")+COUNTIF('Detailed Attendance'!AJ118:AJ118, "A")+COUNTIF('Detailed Attendance'!AZ118:AZ118, "A")+COUNTIF('Detailed Attendance'!BD118:BD118, "A")+COUNTIF('Detailed Attendance'!BT118:BT118, "A")+COUNTIF('Detailed Attendance'!BX118:BX118, "A")+COUNTIF('Detailed Attendance'!CQ118:CQ118, "A")+COUNTIF('Detailed Attendance'!CU118:CU118, "A")</f>
        <v/>
      </c>
      <c r="AG117" s="68">
        <f>IF((AE117+AF117)=0,"", AE117/(AE117+AF117))</f>
        <v/>
      </c>
      <c r="AH117" s="67">
        <f>COUNTIF('Detailed Attendance'!T118:T118, "P")+COUNTIF('Detailed Attendance'!AN118:AN118, "P")+COUNTIF('Detailed Attendance'!AR118:AR118, "P")+COUNTIF('Detailed Attendance'!BH118:BH118, "P")+COUNTIF('Detailed Attendance'!CB118:CB118, "P")+COUNTIF('Detailed Attendance'!CF118:CF118, "P")+COUNTIF('Detailed Attendance'!CY118:CY118, "P")</f>
        <v/>
      </c>
      <c r="AI117" s="67">
        <f>COUNTIF('Detailed Attendance'!T118:T118, "A")+COUNTIF('Detailed Attendance'!AN118:AN118, "A")+COUNTIF('Detailed Attendance'!AR118:AR118, "A")+COUNTIF('Detailed Attendance'!BH118:BH118, "A")+COUNTIF('Detailed Attendance'!CB118:CB118, "A")+COUNTIF('Detailed Attendance'!CF118:CF118, "A")+COUNTIF('Detailed Attendance'!CY118:CY118, "A")</f>
        <v/>
      </c>
      <c r="AJ117" s="68">
        <f>IF((AH117+AI117)=0,"", AH117/(AH117+AI117))</f>
        <v/>
      </c>
      <c r="AK117" s="67">
        <f>COUNTIF('Detailed Attendance'!M118:M118, "P")+COUNTIF('Detailed Attendance'!U118:U118, "P")+COUNTIF('Detailed Attendance'!AG118:AG118, "P")+COUNTIF('Detailed Attendance'!AO118:AO118, "P")+COUNTIF('Detailed Attendance'!BA118:BA118, "P")+COUNTIF('Detailed Attendance'!BI118:BI118, "P")+COUNTIF('Detailed Attendance'!BU118:BU118, "P")+COUNTIF('Detailed Attendance'!CC118:CC118, "P")+COUNTIF('Detailed Attendance'!CR118:CR118, "P")+COUNTIF('Detailed Attendance'!CZ118:CZ118, "P")</f>
        <v/>
      </c>
      <c r="AL117" s="67">
        <f>COUNTIF('Detailed Attendance'!M118:M118, "A")+COUNTIF('Detailed Attendance'!U118:U118, "A")+COUNTIF('Detailed Attendance'!AG118:AG118, "A")+COUNTIF('Detailed Attendance'!AO118:AO118, "A")+COUNTIF('Detailed Attendance'!BA118:BA118, "A")+COUNTIF('Detailed Attendance'!BI118:BI118, "A")+COUNTIF('Detailed Attendance'!BU118:BU118, "A")+COUNTIF('Detailed Attendance'!CC118:CC118, "A")+COUNTIF('Detailed Attendance'!CR118:CR118, "A")+COUNTIF('Detailed Attendance'!CZ118:CZ118, "A")</f>
        <v/>
      </c>
      <c r="AM117" s="68">
        <f>IF((AK117+AL117)=0,"", AK117/(AK117+AL117))</f>
        <v/>
      </c>
      <c r="AN117" s="67">
        <f>Y117+AB117+AE117+AH117+AK117</f>
        <v/>
      </c>
      <c r="AO117" s="67">
        <f>Z117+AC117+AF117+AI117+AL117</f>
        <v/>
      </c>
      <c r="AP117" s="68">
        <f>IF((AN117+AO117)=0,"", AN117/(AN117+AO117))</f>
        <v/>
      </c>
      <c r="AQ117" s="69">
        <f>COUNTIF('Detailed Attendance'!CH118:CH118, "P")+COUNTIF('Detailed Attendance'!Y118:Y118, "P")+COUNTIF('Detailed Attendance'!AS118:AS118, "P")+COUNTIF('Detailed Attendance'!BM118:BM118, "P")+COUNTIF('Detailed Attendance'!CJ118:CJ118, "P")+COUNTIF('Detailed Attendance'!AB118:AB118, "P")+COUNTIF('Detailed Attendance'!AV118:AV118, "P")+COUNTIF('Detailed Attendance'!BP118:BP118, "P")+COUNTIF('Detailed Attendance'!CM118:CM118, "P")</f>
        <v/>
      </c>
      <c r="AR117" s="69">
        <f>COUNTIF('Detailed Attendance'!CH118:CH118, "A")+COUNTIF('Detailed Attendance'!Y118:Y118, "A")+COUNTIF('Detailed Attendance'!AS118:AS118, "A")+COUNTIF('Detailed Attendance'!BM118:BM118, "A")+COUNTIF('Detailed Attendance'!CJ118:CJ118, "A")+COUNTIF('Detailed Attendance'!AB118:AB118, "A")+COUNTIF('Detailed Attendance'!AV118:AV118, "A")+COUNTIF('Detailed Attendance'!BP118:BP118, "A")+COUNTIF('Detailed Attendance'!CM118:CM118, "A")</f>
        <v/>
      </c>
      <c r="AS117" s="70">
        <f>IF((AQ117+AR117)=0,"", AQ117/(AQ117+AR117))</f>
        <v/>
      </c>
      <c r="AT117" s="67">
        <f>COUNTIF('Detailed Attendance'!DF118:DF118, "P")+COUNTIF('Detailed Attendance'!DT118:DT118, "P")+COUNTIF('Detailed Attendance'!EC118:EC118, "P")+COUNTIF('Detailed Attendance'!EQ118:EQ118, "P")+COUNTIF('Detailed Attendance'!EW118:EW118, "P")+COUNTIF('Detailed Attendance'!FK118:FK118, "P")+COUNTIF('Detailed Attendance'!FM118:FM118, "P")+COUNTIF('Detailed Attendance'!GA118:GA118, "P")</f>
        <v/>
      </c>
      <c r="AU117" s="67">
        <f>COUNTIF('Detailed Attendance'!DF118:DF118, "A")+COUNTIF('Detailed Attendance'!DT118:DT118, "A")+COUNTIF('Detailed Attendance'!EC118:EC118, "A")+COUNTIF('Detailed Attendance'!EQ118:EQ118, "A")+COUNTIF('Detailed Attendance'!EW118:EW118, "A")+COUNTIF('Detailed Attendance'!FK118:FK118, "A")+COUNTIF('Detailed Attendance'!FM118:FM118, "A")+COUNTIF('Detailed Attendance'!GA118:GA118, "A")</f>
        <v/>
      </c>
      <c r="AV117" s="68">
        <f>IF((AT117+AU117)=0,"", AT117/(AT117+AU117))</f>
        <v/>
      </c>
      <c r="AW117" s="67">
        <f>COUNTIF('Detailed Attendance'!DK118:DK118, "P")+COUNTIF('Detailed Attendance'!DS118:DS118, "P")+COUNTIF('Detailed Attendance'!EH118:EH118, "P")+COUNTIF('Detailed Attendance'!EP118:EP118, "P")+COUNTIF('Detailed Attendance'!FB118:FB118, "P")+COUNTIF('Detailed Attendance'!FJ118:FJ118, "P")+COUNTIF('Detailed Attendance'!FR118:FR118, "P")+COUNTIF('Detailed Attendance'!FZ118:FZ118, "P")</f>
        <v/>
      </c>
      <c r="AX117" s="67">
        <f>COUNTIF('Detailed Attendance'!DK118:DK118, "A")+COUNTIF('Detailed Attendance'!DS118:DS118, "A")+COUNTIF('Detailed Attendance'!EH118:EH118, "A")+COUNTIF('Detailed Attendance'!EP118:EP118, "A")+COUNTIF('Detailed Attendance'!FB118:FB118, "A")+COUNTIF('Detailed Attendance'!FJ118:FJ118, "A")+COUNTIF('Detailed Attendance'!FR118:FR118, "A")+COUNTIF('Detailed Attendance'!FZ118:FZ118, "A")</f>
        <v/>
      </c>
      <c r="AY117" s="68">
        <f>IF((AW117+AX117)=0,"", AW117/(AW117+AX117))</f>
        <v/>
      </c>
      <c r="AZ117" s="67">
        <f>COUNTIF('Detailed Attendance'!DN118:DN118, "P")+COUNTIF('Detailed Attendance'!DR118:DR118, "P")+COUNTIF('Detailed Attendance'!EK118:EK118, "P")+COUNTIF('Detailed Attendance'!EO118:EO118, "P")+COUNTIF('Detailed Attendance'!FE118:FE118, "P")+COUNTIF('Detailed Attendance'!FI118:FI118, "P")+COUNTIF('Detailed Attendance'!FU118:FU118, "P")+COUNTIF('Detailed Attendance'!FY118:FY118, "P")</f>
        <v/>
      </c>
      <c r="BA117" s="67">
        <f>COUNTIF('Detailed Attendance'!DN118:DN118, "A")+COUNTIF('Detailed Attendance'!DR118:DR118, "A")+COUNTIF('Detailed Attendance'!EK118:EK118, "A")+COUNTIF('Detailed Attendance'!EO118:EO118, "A")+COUNTIF('Detailed Attendance'!FE118:FE118, "A")+COUNTIF('Detailed Attendance'!FI118:FI118, "A")+COUNTIF('Detailed Attendance'!FU118:FU118, "A")+COUNTIF('Detailed Attendance'!FY118:FY118, "A")</f>
        <v/>
      </c>
      <c r="BB117" s="68">
        <f>IF((AZ117+BA117)=0,"", AZ117/(AZ117+BA117))</f>
        <v/>
      </c>
      <c r="BC117" s="67">
        <f>COUNTIF('Detailed Attendance'!DC118:DC118, "P")+COUNTIF('Detailed Attendance'!DV118:DV118, "P")+COUNTIF('Detailed Attendance'!DZ118:DZ118, "P")+COUNTIF('Detailed Attendance'!ES118:ES118, "P")+COUNTIF('Detailed Attendance'!GC118:GC118, "P")+COUNTIF('Detailed Attendance'!GG118:GG118, "P")</f>
        <v/>
      </c>
      <c r="BD117" s="67">
        <f>COUNTIF('Detailed Attendance'!DC118:DC118, "A")+COUNTIF('Detailed Attendance'!DV118:DV118, "A")+COUNTIF('Detailed Attendance'!DZ118:DZ118, "A")+COUNTIF('Detailed Attendance'!ES118:ES118, "A")+COUNTIF('Detailed Attendance'!GC118:GC118, "A")+COUNTIF('Detailed Attendance'!GG118:GG118, "A")</f>
        <v/>
      </c>
      <c r="BE117" s="68">
        <f>IF((BC117+BD117)=0,"", BC117/(BC117+BD117))</f>
        <v/>
      </c>
      <c r="BF117" s="67">
        <f>COUNTIF('Detailed Attendance'!DO118:DO118, "P")+COUNTIF('Detailed Attendance'!DW118:DW118, "P")+COUNTIF('Detailed Attendance'!EL118:EL118, "P")+COUNTIF('Detailed Attendance'!ET118:ET118, "P")+COUNTIF('Detailed Attendance'!FF118:FF118, "P")+COUNTIF('Detailed Attendance'!FV118:FV118, "P")+COUNTIF('Detailed Attendance'!GD118:GD118, "P")</f>
        <v/>
      </c>
      <c r="BG117" s="67">
        <f>COUNTIF('Detailed Attendance'!DO118:DO118, "A")+COUNTIF('Detailed Attendance'!DW118:DW118, "A")+COUNTIF('Detailed Attendance'!EL118:EL118, "A")+COUNTIF('Detailed Attendance'!ET118:ET118, "A")+COUNTIF('Detailed Attendance'!FF118:FF118, "A")+COUNTIF('Detailed Attendance'!FV118:FV118, "A")+COUNTIF('Detailed Attendance'!GD118:GD118, "A")</f>
        <v/>
      </c>
      <c r="BH117" s="68">
        <f>IF((BF117+BG117)=0,"", BF117/(BF117+BG117))</f>
        <v/>
      </c>
      <c r="BI117" s="67">
        <f>AT117+AW117+AZ117+BC117+BF117</f>
        <v/>
      </c>
      <c r="BJ117" s="67">
        <f>AU117+AX117+BA117+BD117+BG117</f>
        <v/>
      </c>
      <c r="BK117" s="68">
        <f>IF((BI117+BJ117)=0,"", BI117/(BI117+BJ117))</f>
        <v/>
      </c>
      <c r="BL117" s="69">
        <f>COUNTIF('Detailed Attendance'!DE118:DE118, "P")+COUNTIF('Detailed Attendance'!EB118:EB118, "P")+COUNTIF('Detailed Attendance'!GI118:GI118, "P")+COUNTIF('Detailed Attendance'!DG118:DG118, "P")+COUNTIF('Detailed Attendance'!ED118:ED118, "P")+COUNTIF('Detailed Attendance'!EX118:EX118, "P")+COUNTIF('Detailed Attendance'!FN118:FN118, "P")+COUNTIF('Detailed Attendance'!DJ118:DJ118, "P")+COUNTIF('Detailed Attendance'!EG118:EG118, "P")+COUNTIF('Detailed Attendance'!FA118:FA118, "P")+COUNTIF('Detailed Attendance'!FQ118:FQ118, "P")</f>
        <v/>
      </c>
      <c r="BM117" s="69">
        <f>COUNTIF('Detailed Attendance'!DE118:DE118, "A")+COUNTIF('Detailed Attendance'!EB118:EB118, "A")+COUNTIF('Detailed Attendance'!GI118:GI118, "A")+COUNTIF('Detailed Attendance'!DG118:DG118, "A")+COUNTIF('Detailed Attendance'!ED118:ED118, "A")+COUNTIF('Detailed Attendance'!EX118:EX118, "A")+COUNTIF('Detailed Attendance'!FN118:FN118, "A")+COUNTIF('Detailed Attendance'!DJ118:DJ118, "A")+COUNTIF('Detailed Attendance'!EG118:EG118, "A")+COUNTIF('Detailed Attendance'!FA118:FA118, "A")+COUNTIF('Detailed Attendance'!FQ118:FQ118, "A")</f>
        <v/>
      </c>
      <c r="BN117" s="70">
        <f>IF((BL117+BM117)=0,"", BL117/(BL117+BM117))</f>
        <v/>
      </c>
      <c r="BO117" s="67">
        <f>D117+Y117+AT117</f>
        <v/>
      </c>
      <c r="BP117" s="67">
        <f>E117+Z117+AU117</f>
        <v/>
      </c>
      <c r="BQ117" s="68">
        <f>IF((BO117+BP117)=0,"", BO117/(BO117+BP117))</f>
        <v/>
      </c>
      <c r="BR117" s="67">
        <f>G117+AB117+AW117</f>
        <v/>
      </c>
      <c r="BS117" s="67">
        <f>H117+AC117+AX117</f>
        <v/>
      </c>
      <c r="BT117" s="68">
        <f>IF((BR117+BS117)=0,"", BR117/(BR117+BS117))</f>
        <v/>
      </c>
      <c r="BU117" s="67">
        <f>J117+AE117+AZ117</f>
        <v/>
      </c>
      <c r="BV117" s="67">
        <f>K117+AF117+BA117</f>
        <v/>
      </c>
      <c r="BW117" s="68">
        <f>IF((BU117+BV117)=0,"", BU117/(BU117+BV117))</f>
        <v/>
      </c>
      <c r="BX117" s="67">
        <f>M117+AH117+BC117</f>
        <v/>
      </c>
      <c r="BY117" s="67">
        <f>N117+AI117+BD117</f>
        <v/>
      </c>
      <c r="BZ117" s="68">
        <f>IF((BX117+BY117)=0,"", BX117/(BX117+BY117))</f>
        <v/>
      </c>
      <c r="CA117" s="67">
        <f>P117+AK117+BF117</f>
        <v/>
      </c>
      <c r="CB117" s="67">
        <f>Q117+AL117+BG117</f>
        <v/>
      </c>
      <c r="CC117" s="68">
        <f>IF((CA117+CB117)=0,"", CA117/(CA117+CB117))</f>
        <v/>
      </c>
      <c r="CD117" s="67">
        <f>S117+AN117+BI117</f>
        <v/>
      </c>
      <c r="CE117" s="67">
        <f>T117+AO117+BJ117</f>
        <v/>
      </c>
      <c r="CF117" s="68">
        <f>IF((CD117+CE117)=0,"", CD117/(CD117+CE117))</f>
        <v/>
      </c>
      <c r="CG117" s="69">
        <f>V117+AQ117+BL117</f>
        <v/>
      </c>
      <c r="CH117" s="69">
        <f>W117+AR117+BM117</f>
        <v/>
      </c>
      <c r="CI117" s="70">
        <f>IF((CG117+CH117)=0,"", CG117/(CG117+CH117))</f>
        <v/>
      </c>
      <c r="CJ117" s="67">
        <f>CD117+(CG117*2)</f>
        <v/>
      </c>
      <c r="CK117" s="67">
        <f>CE117+(CH117*2)</f>
        <v/>
      </c>
      <c r="CL117" s="68">
        <f>IF((CJ117+CK117)=0,"", CJ117/(CJ117+CK117))</f>
        <v/>
      </c>
      <c r="CM117" s="67" t="inlineStr">
        <is>
          <t>Batch 3</t>
        </is>
      </c>
    </row>
    <row r="118" ht="14.25" customHeight="1" s="34">
      <c r="A118" s="46" t="n">
        <v>116</v>
      </c>
      <c r="B118" s="46" t="inlineStr">
        <is>
          <t>325106410116</t>
        </is>
      </c>
      <c r="C118" s="46" t="inlineStr">
        <is>
          <t>WEESLEY ROLL MUNGOI</t>
        </is>
      </c>
      <c r="D118" s="63" t="n">
        <v>0</v>
      </c>
      <c r="E118" s="63" t="n">
        <v>0</v>
      </c>
      <c r="F118" s="64">
        <f>IF((D118+E118)=0,"", D118/(D118+E118))</f>
        <v/>
      </c>
      <c r="G118" s="63">
        <f>COUNTIF('Detailed Attendance'!I119:I119, "P")</f>
        <v/>
      </c>
      <c r="H118" s="63">
        <f>COUNTIF('Detailed Attendance'!I119:I119, "A")</f>
        <v/>
      </c>
      <c r="I118" s="64">
        <f>IF((G118+H118)=0,"", G118/(G118+H118))</f>
        <v/>
      </c>
      <c r="J118" s="63" t="n">
        <v>0</v>
      </c>
      <c r="K118" s="63" t="n">
        <v>0</v>
      </c>
      <c r="L118" s="64">
        <f>IF((J118+K118)=0,"", J118/(J118+K118))</f>
        <v/>
      </c>
      <c r="M118" s="63">
        <f>COUNTIF('Detailed Attendance'!D119:D119, "P")</f>
        <v/>
      </c>
      <c r="N118" s="63">
        <f>COUNTIF('Detailed Attendance'!D119:D119, "A")</f>
        <v/>
      </c>
      <c r="O118" s="64">
        <f>IF((M118+N118)=0,"", M118/(M118+N118))</f>
        <v/>
      </c>
      <c r="P118" s="63" t="n">
        <v>0</v>
      </c>
      <c r="Q118" s="63" t="n">
        <v>0</v>
      </c>
      <c r="R118" s="64">
        <f>IF((P118+Q118)=0,"", P118/(P118+Q118))</f>
        <v/>
      </c>
      <c r="S118" s="63">
        <f>D118+G118+J118+M118+P118</f>
        <v/>
      </c>
      <c r="T118" s="63">
        <f>E118+H118+K118+N118+Q118</f>
        <v/>
      </c>
      <c r="U118" s="64">
        <f>IF((S118+T118)=0,"", S118/(S118+T118))</f>
        <v/>
      </c>
      <c r="V118" s="65">
        <f>COUNTIF('Detailed Attendance'!E119:E119, "P")+COUNTIF('Detailed Attendance'!H119:H119, "P")</f>
        <v/>
      </c>
      <c r="W118" s="65">
        <f>COUNTIF('Detailed Attendance'!E119:E119, "A")+COUNTIF('Detailed Attendance'!H119:H119, "A")</f>
        <v/>
      </c>
      <c r="X118" s="66">
        <f>IF((V118+W118)=0,"", V118/(V118+W118))</f>
        <v/>
      </c>
      <c r="Y118" s="63">
        <f>COUNTIF('Detailed Attendance'!R119:R119, "P")+COUNTIF('Detailed Attendance'!X119:X119, "P")+COUNTIF('Detailed Attendance'!AL119:AL119, "P")+COUNTIF('Detailed Attendance'!BF119:BF119, "P")+COUNTIF('Detailed Attendance'!BL119:BL119, "P")+COUNTIF('Detailed Attendance'!BZ119:BZ119, "P")+COUNTIF('Detailed Attendance'!CI119:CI119, "P")+COUNTIF('Detailed Attendance'!CW119:CW119, "P")</f>
        <v/>
      </c>
      <c r="Z118" s="63">
        <f>COUNTIF('Detailed Attendance'!R119:R119, "A")+COUNTIF('Detailed Attendance'!X119:X119, "A")+COUNTIF('Detailed Attendance'!AL119:AL119, "A")+COUNTIF('Detailed Attendance'!BF119:BF119, "A")+COUNTIF('Detailed Attendance'!BL119:BL119, "A")+COUNTIF('Detailed Attendance'!BZ119:BZ119, "A")+COUNTIF('Detailed Attendance'!CI119:CI119, "A")+COUNTIF('Detailed Attendance'!CW119:CW119, "A")</f>
        <v/>
      </c>
      <c r="AA118" s="64">
        <f>IF((Y118+Z118)=0,"", Y118/(Y118+Z118))</f>
        <v/>
      </c>
      <c r="AB118" s="63">
        <f>COUNTIF('Detailed Attendance'!Q119:Q119, "P")+COUNTIF('Detailed Attendance'!AC119:AC119, "P")+COUNTIF('Detailed Attendance'!AK119:AK119, "P")+COUNTIF('Detailed Attendance'!AW119:AW119, "P")+COUNTIF('Detailed Attendance'!BE119:BE119, "P")+COUNTIF('Detailed Attendance'!BQ119:BQ119, "P")+COUNTIF('Detailed Attendance'!BY119:BY119, "P")+COUNTIF('Detailed Attendance'!CN119:CN119, "P")+COUNTIF('Detailed Attendance'!CV119:CV119, "P")</f>
        <v/>
      </c>
      <c r="AC118" s="63">
        <f>COUNTIF('Detailed Attendance'!Q119:Q119, "A")+COUNTIF('Detailed Attendance'!AC119:AC119, "A")+COUNTIF('Detailed Attendance'!AK119:AK119, "A")+COUNTIF('Detailed Attendance'!AW119:AW119, "A")+COUNTIF('Detailed Attendance'!BE119:BE119, "A")+COUNTIF('Detailed Attendance'!BQ119:BQ119, "A")+COUNTIF('Detailed Attendance'!BY119:BY119, "A")+COUNTIF('Detailed Attendance'!CN119:CN119, "A")+COUNTIF('Detailed Attendance'!CV119:CV119, "A")</f>
        <v/>
      </c>
      <c r="AD118" s="64">
        <f>IF((AB118+AC118)=0,"", AB118/(AB118+AC118))</f>
        <v/>
      </c>
      <c r="AE118" s="63">
        <f>COUNTIF('Detailed Attendance'!L119:L119, "P")+COUNTIF('Detailed Attendance'!P119:P119, "P")+COUNTIF('Detailed Attendance'!AF119:AF119, "P")+COUNTIF('Detailed Attendance'!AJ119:AJ119, "P")+COUNTIF('Detailed Attendance'!AZ119:AZ119, "P")+COUNTIF('Detailed Attendance'!BD119:BD119, "P")+COUNTIF('Detailed Attendance'!BT119:BT119, "P")+COUNTIF('Detailed Attendance'!BX119:BX119, "P")+COUNTIF('Detailed Attendance'!CQ119:CQ119, "P")+COUNTIF('Detailed Attendance'!CU119:CU119, "P")</f>
        <v/>
      </c>
      <c r="AF118" s="67">
        <f>COUNTIF('Detailed Attendance'!L119:L119, "A")+COUNTIF('Detailed Attendance'!P119:P119, "A")+COUNTIF('Detailed Attendance'!AF119:AF119, "A")+COUNTIF('Detailed Attendance'!AJ119:AJ119, "A")+COUNTIF('Detailed Attendance'!AZ119:AZ119, "A")+COUNTIF('Detailed Attendance'!BD119:BD119, "A")+COUNTIF('Detailed Attendance'!BT119:BT119, "A")+COUNTIF('Detailed Attendance'!BX119:BX119, "A")+COUNTIF('Detailed Attendance'!CQ119:CQ119, "A")+COUNTIF('Detailed Attendance'!CU119:CU119, "A")</f>
        <v/>
      </c>
      <c r="AG118" s="68">
        <f>IF((AE118+AF118)=0,"", AE118/(AE118+AF118))</f>
        <v/>
      </c>
      <c r="AH118" s="67">
        <f>COUNTIF('Detailed Attendance'!T119:T119, "P")+COUNTIF('Detailed Attendance'!AN119:AN119, "P")+COUNTIF('Detailed Attendance'!AR119:AR119, "P")+COUNTIF('Detailed Attendance'!BH119:BH119, "P")+COUNTIF('Detailed Attendance'!CB119:CB119, "P")+COUNTIF('Detailed Attendance'!CF119:CF119, "P")+COUNTIF('Detailed Attendance'!CY119:CY119, "P")</f>
        <v/>
      </c>
      <c r="AI118" s="67">
        <f>COUNTIF('Detailed Attendance'!T119:T119, "A")+COUNTIF('Detailed Attendance'!AN119:AN119, "A")+COUNTIF('Detailed Attendance'!AR119:AR119, "A")+COUNTIF('Detailed Attendance'!BH119:BH119, "A")+COUNTIF('Detailed Attendance'!CB119:CB119, "A")+COUNTIF('Detailed Attendance'!CF119:CF119, "A")+COUNTIF('Detailed Attendance'!CY119:CY119, "A")</f>
        <v/>
      </c>
      <c r="AJ118" s="68">
        <f>IF((AH118+AI118)=0,"", AH118/(AH118+AI118))</f>
        <v/>
      </c>
      <c r="AK118" s="67">
        <f>COUNTIF('Detailed Attendance'!M119:M119, "P")+COUNTIF('Detailed Attendance'!U119:U119, "P")+COUNTIF('Detailed Attendance'!AG119:AG119, "P")+COUNTIF('Detailed Attendance'!AO119:AO119, "P")+COUNTIF('Detailed Attendance'!BA119:BA119, "P")+COUNTIF('Detailed Attendance'!BI119:BI119, "P")+COUNTIF('Detailed Attendance'!BU119:BU119, "P")+COUNTIF('Detailed Attendance'!CC119:CC119, "P")+COUNTIF('Detailed Attendance'!CR119:CR119, "P")+COUNTIF('Detailed Attendance'!CZ119:CZ119, "P")</f>
        <v/>
      </c>
      <c r="AL118" s="67">
        <f>COUNTIF('Detailed Attendance'!M119:M119, "A")+COUNTIF('Detailed Attendance'!U119:U119, "A")+COUNTIF('Detailed Attendance'!AG119:AG119, "A")+COUNTIF('Detailed Attendance'!AO119:AO119, "A")+COUNTIF('Detailed Attendance'!BA119:BA119, "A")+COUNTIF('Detailed Attendance'!BI119:BI119, "A")+COUNTIF('Detailed Attendance'!BU119:BU119, "A")+COUNTIF('Detailed Attendance'!CC119:CC119, "A")+COUNTIF('Detailed Attendance'!CR119:CR119, "A")+COUNTIF('Detailed Attendance'!CZ119:CZ119, "A")</f>
        <v/>
      </c>
      <c r="AM118" s="68">
        <f>IF((AK118+AL118)=0,"", AK118/(AK118+AL118))</f>
        <v/>
      </c>
      <c r="AN118" s="67">
        <f>Y118+AB118+AE118+AH118+AK118</f>
        <v/>
      </c>
      <c r="AO118" s="67">
        <f>Z118+AC118+AF118+AI118+AL118</f>
        <v/>
      </c>
      <c r="AP118" s="68">
        <f>IF((AN118+AO118)=0,"", AN118/(AN118+AO118))</f>
        <v/>
      </c>
      <c r="AQ118" s="69">
        <f>COUNTIF('Detailed Attendance'!CH119:CH119, "P")+COUNTIF('Detailed Attendance'!Y119:Y119, "P")+COUNTIF('Detailed Attendance'!AS119:AS119, "P")+COUNTIF('Detailed Attendance'!BM119:BM119, "P")+COUNTIF('Detailed Attendance'!CJ119:CJ119, "P")+COUNTIF('Detailed Attendance'!AB119:AB119, "P")+COUNTIF('Detailed Attendance'!AV119:AV119, "P")+COUNTIF('Detailed Attendance'!BP119:BP119, "P")+COUNTIF('Detailed Attendance'!CM119:CM119, "P")</f>
        <v/>
      </c>
      <c r="AR118" s="69">
        <f>COUNTIF('Detailed Attendance'!CH119:CH119, "A")+COUNTIF('Detailed Attendance'!Y119:Y119, "A")+COUNTIF('Detailed Attendance'!AS119:AS119, "A")+COUNTIF('Detailed Attendance'!BM119:BM119, "A")+COUNTIF('Detailed Attendance'!CJ119:CJ119, "A")+COUNTIF('Detailed Attendance'!AB119:AB119, "A")+COUNTIF('Detailed Attendance'!AV119:AV119, "A")+COUNTIF('Detailed Attendance'!BP119:BP119, "A")+COUNTIF('Detailed Attendance'!CM119:CM119, "A")</f>
        <v/>
      </c>
      <c r="AS118" s="70">
        <f>IF((AQ118+AR118)=0,"", AQ118/(AQ118+AR118))</f>
        <v/>
      </c>
      <c r="AT118" s="67">
        <f>COUNTIF('Detailed Attendance'!DF119:DF119, "P")+COUNTIF('Detailed Attendance'!DT119:DT119, "P")+COUNTIF('Detailed Attendance'!EC119:EC119, "P")+COUNTIF('Detailed Attendance'!EQ119:EQ119, "P")+COUNTIF('Detailed Attendance'!EW119:EW119, "P")+COUNTIF('Detailed Attendance'!FK119:FK119, "P")+COUNTIF('Detailed Attendance'!FM119:FM119, "P")+COUNTIF('Detailed Attendance'!GA119:GA119, "P")</f>
        <v/>
      </c>
      <c r="AU118" s="67">
        <f>COUNTIF('Detailed Attendance'!DF119:DF119, "A")+COUNTIF('Detailed Attendance'!DT119:DT119, "A")+COUNTIF('Detailed Attendance'!EC119:EC119, "A")+COUNTIF('Detailed Attendance'!EQ119:EQ119, "A")+COUNTIF('Detailed Attendance'!EW119:EW119, "A")+COUNTIF('Detailed Attendance'!FK119:FK119, "A")+COUNTIF('Detailed Attendance'!FM119:FM119, "A")+COUNTIF('Detailed Attendance'!GA119:GA119, "A")</f>
        <v/>
      </c>
      <c r="AV118" s="68">
        <f>IF((AT118+AU118)=0,"", AT118/(AT118+AU118))</f>
        <v/>
      </c>
      <c r="AW118" s="67">
        <f>COUNTIF('Detailed Attendance'!DK119:DK119, "P")+COUNTIF('Detailed Attendance'!DS119:DS119, "P")+COUNTIF('Detailed Attendance'!EH119:EH119, "P")+COUNTIF('Detailed Attendance'!EP119:EP119, "P")+COUNTIF('Detailed Attendance'!FB119:FB119, "P")+COUNTIF('Detailed Attendance'!FJ119:FJ119, "P")+COUNTIF('Detailed Attendance'!FR119:FR119, "P")+COUNTIF('Detailed Attendance'!FZ119:FZ119, "P")</f>
        <v/>
      </c>
      <c r="AX118" s="67">
        <f>COUNTIF('Detailed Attendance'!DK119:DK119, "A")+COUNTIF('Detailed Attendance'!DS119:DS119, "A")+COUNTIF('Detailed Attendance'!EH119:EH119, "A")+COUNTIF('Detailed Attendance'!EP119:EP119, "A")+COUNTIF('Detailed Attendance'!FB119:FB119, "A")+COUNTIF('Detailed Attendance'!FJ119:FJ119, "A")+COUNTIF('Detailed Attendance'!FR119:FR119, "A")+COUNTIF('Detailed Attendance'!FZ119:FZ119, "A")</f>
        <v/>
      </c>
      <c r="AY118" s="68">
        <f>IF((AW118+AX118)=0,"", AW118/(AW118+AX118))</f>
        <v/>
      </c>
      <c r="AZ118" s="67">
        <f>COUNTIF('Detailed Attendance'!DN119:DN119, "P")+COUNTIF('Detailed Attendance'!DR119:DR119, "P")+COUNTIF('Detailed Attendance'!EK119:EK119, "P")+COUNTIF('Detailed Attendance'!EO119:EO119, "P")+COUNTIF('Detailed Attendance'!FE119:FE119, "P")+COUNTIF('Detailed Attendance'!FI119:FI119, "P")+COUNTIF('Detailed Attendance'!FU119:FU119, "P")+COUNTIF('Detailed Attendance'!FY119:FY119, "P")</f>
        <v/>
      </c>
      <c r="BA118" s="67">
        <f>COUNTIF('Detailed Attendance'!DN119:DN119, "A")+COUNTIF('Detailed Attendance'!DR119:DR119, "A")+COUNTIF('Detailed Attendance'!EK119:EK119, "A")+COUNTIF('Detailed Attendance'!EO119:EO119, "A")+COUNTIF('Detailed Attendance'!FE119:FE119, "A")+COUNTIF('Detailed Attendance'!FI119:FI119, "A")+COUNTIF('Detailed Attendance'!FU119:FU119, "A")+COUNTIF('Detailed Attendance'!FY119:FY119, "A")</f>
        <v/>
      </c>
      <c r="BB118" s="68">
        <f>IF((AZ118+BA118)=0,"", AZ118/(AZ118+BA118))</f>
        <v/>
      </c>
      <c r="BC118" s="67">
        <f>COUNTIF('Detailed Attendance'!DC119:DC119, "P")+COUNTIF('Detailed Attendance'!DV119:DV119, "P")+COUNTIF('Detailed Attendance'!DZ119:DZ119, "P")+COUNTIF('Detailed Attendance'!ES119:ES119, "P")+COUNTIF('Detailed Attendance'!GC119:GC119, "P")+COUNTIF('Detailed Attendance'!GG119:GG119, "P")</f>
        <v/>
      </c>
      <c r="BD118" s="67">
        <f>COUNTIF('Detailed Attendance'!DC119:DC119, "A")+COUNTIF('Detailed Attendance'!DV119:DV119, "A")+COUNTIF('Detailed Attendance'!DZ119:DZ119, "A")+COUNTIF('Detailed Attendance'!ES119:ES119, "A")+COUNTIF('Detailed Attendance'!GC119:GC119, "A")+COUNTIF('Detailed Attendance'!GG119:GG119, "A")</f>
        <v/>
      </c>
      <c r="BE118" s="68">
        <f>IF((BC118+BD118)=0,"", BC118/(BC118+BD118))</f>
        <v/>
      </c>
      <c r="BF118" s="67">
        <f>COUNTIF('Detailed Attendance'!DO119:DO119, "P")+COUNTIF('Detailed Attendance'!DW119:DW119, "P")+COUNTIF('Detailed Attendance'!EL119:EL119, "P")+COUNTIF('Detailed Attendance'!ET119:ET119, "P")+COUNTIF('Detailed Attendance'!FF119:FF119, "P")+COUNTIF('Detailed Attendance'!FV119:FV119, "P")+COUNTIF('Detailed Attendance'!GD119:GD119, "P")</f>
        <v/>
      </c>
      <c r="BG118" s="67">
        <f>COUNTIF('Detailed Attendance'!DO119:DO119, "A")+COUNTIF('Detailed Attendance'!DW119:DW119, "A")+COUNTIF('Detailed Attendance'!EL119:EL119, "A")+COUNTIF('Detailed Attendance'!ET119:ET119, "A")+COUNTIF('Detailed Attendance'!FF119:FF119, "A")+COUNTIF('Detailed Attendance'!FV119:FV119, "A")+COUNTIF('Detailed Attendance'!GD119:GD119, "A")</f>
        <v/>
      </c>
      <c r="BH118" s="68">
        <f>IF((BF118+BG118)=0,"", BF118/(BF118+BG118))</f>
        <v/>
      </c>
      <c r="BI118" s="67">
        <f>AT118+AW118+AZ118+BC118+BF118</f>
        <v/>
      </c>
      <c r="BJ118" s="67">
        <f>AU118+AX118+BA118+BD118+BG118</f>
        <v/>
      </c>
      <c r="BK118" s="68">
        <f>IF((BI118+BJ118)=0,"", BI118/(BI118+BJ118))</f>
        <v/>
      </c>
      <c r="BL118" s="69">
        <f>COUNTIF('Detailed Attendance'!DE119:DE119, "P")+COUNTIF('Detailed Attendance'!EB119:EB119, "P")+COUNTIF('Detailed Attendance'!GI119:GI119, "P")+COUNTIF('Detailed Attendance'!DG119:DG119, "P")+COUNTIF('Detailed Attendance'!ED119:ED119, "P")+COUNTIF('Detailed Attendance'!EX119:EX119, "P")+COUNTIF('Detailed Attendance'!FN119:FN119, "P")+COUNTIF('Detailed Attendance'!DJ119:DJ119, "P")+COUNTIF('Detailed Attendance'!EG119:EG119, "P")+COUNTIF('Detailed Attendance'!FA119:FA119, "P")+COUNTIF('Detailed Attendance'!FQ119:FQ119, "P")</f>
        <v/>
      </c>
      <c r="BM118" s="69">
        <f>COUNTIF('Detailed Attendance'!DE119:DE119, "A")+COUNTIF('Detailed Attendance'!EB119:EB119, "A")+COUNTIF('Detailed Attendance'!GI119:GI119, "A")+COUNTIF('Detailed Attendance'!DG119:DG119, "A")+COUNTIF('Detailed Attendance'!ED119:ED119, "A")+COUNTIF('Detailed Attendance'!EX119:EX119, "A")+COUNTIF('Detailed Attendance'!FN119:FN119, "A")+COUNTIF('Detailed Attendance'!DJ119:DJ119, "A")+COUNTIF('Detailed Attendance'!EG119:EG119, "A")+COUNTIF('Detailed Attendance'!FA119:FA119, "A")+COUNTIF('Detailed Attendance'!FQ119:FQ119, "A")</f>
        <v/>
      </c>
      <c r="BN118" s="70">
        <f>IF((BL118+BM118)=0,"", BL118/(BL118+BM118))</f>
        <v/>
      </c>
      <c r="BO118" s="67">
        <f>D118+Y118+AT118</f>
        <v/>
      </c>
      <c r="BP118" s="67">
        <f>E118+Z118+AU118</f>
        <v/>
      </c>
      <c r="BQ118" s="68">
        <f>IF((BO118+BP118)=0,"", BO118/(BO118+BP118))</f>
        <v/>
      </c>
      <c r="BR118" s="67">
        <f>G118+AB118+AW118</f>
        <v/>
      </c>
      <c r="BS118" s="67">
        <f>H118+AC118+AX118</f>
        <v/>
      </c>
      <c r="BT118" s="68">
        <f>IF((BR118+BS118)=0,"", BR118/(BR118+BS118))</f>
        <v/>
      </c>
      <c r="BU118" s="67">
        <f>J118+AE118+AZ118</f>
        <v/>
      </c>
      <c r="BV118" s="67">
        <f>K118+AF118+BA118</f>
        <v/>
      </c>
      <c r="BW118" s="68">
        <f>IF((BU118+BV118)=0,"", BU118/(BU118+BV118))</f>
        <v/>
      </c>
      <c r="BX118" s="67">
        <f>M118+AH118+BC118</f>
        <v/>
      </c>
      <c r="BY118" s="67">
        <f>N118+AI118+BD118</f>
        <v/>
      </c>
      <c r="BZ118" s="68">
        <f>IF((BX118+BY118)=0,"", BX118/(BX118+BY118))</f>
        <v/>
      </c>
      <c r="CA118" s="67">
        <f>P118+AK118+BF118</f>
        <v/>
      </c>
      <c r="CB118" s="67">
        <f>Q118+AL118+BG118</f>
        <v/>
      </c>
      <c r="CC118" s="68">
        <f>IF((CA118+CB118)=0,"", CA118/(CA118+CB118))</f>
        <v/>
      </c>
      <c r="CD118" s="67">
        <f>S118+AN118+BI118</f>
        <v/>
      </c>
      <c r="CE118" s="67">
        <f>T118+AO118+BJ118</f>
        <v/>
      </c>
      <c r="CF118" s="68">
        <f>IF((CD118+CE118)=0,"", CD118/(CD118+CE118))</f>
        <v/>
      </c>
      <c r="CG118" s="69">
        <f>V118+AQ118+BL118</f>
        <v/>
      </c>
      <c r="CH118" s="69">
        <f>W118+AR118+BM118</f>
        <v/>
      </c>
      <c r="CI118" s="70">
        <f>IF((CG118+CH118)=0,"", CG118/(CG118+CH118))</f>
        <v/>
      </c>
      <c r="CJ118" s="67">
        <f>CD118+(CG118*2)</f>
        <v/>
      </c>
      <c r="CK118" s="67">
        <f>CE118+(CH118*2)</f>
        <v/>
      </c>
      <c r="CL118" s="68">
        <f>IF((CJ118+CK118)=0,"", CJ118/(CJ118+CK118))</f>
        <v/>
      </c>
      <c r="CM118" s="67" t="inlineStr">
        <is>
          <t>Batch 3</t>
        </is>
      </c>
    </row>
    <row r="119" ht="14.25" customHeight="1" s="34">
      <c r="A119" s="46" t="n">
        <v>117</v>
      </c>
      <c r="B119" s="46" t="inlineStr">
        <is>
          <t>325106410117</t>
        </is>
      </c>
      <c r="C119" s="46" t="inlineStr">
        <is>
          <t>YAZID RABIU</t>
        </is>
      </c>
      <c r="D119" s="63" t="n">
        <v>0</v>
      </c>
      <c r="E119" s="63" t="n">
        <v>0</v>
      </c>
      <c r="F119" s="64">
        <f>IF((D119+E119)=0,"", D119/(D119+E119))</f>
        <v/>
      </c>
      <c r="G119" s="63">
        <f>COUNTIF('Detailed Attendance'!I120:I120, "P")</f>
        <v/>
      </c>
      <c r="H119" s="63">
        <f>COUNTIF('Detailed Attendance'!I120:I120, "A")</f>
        <v/>
      </c>
      <c r="I119" s="64">
        <f>IF((G119+H119)=0,"", G119/(G119+H119))</f>
        <v/>
      </c>
      <c r="J119" s="63" t="n">
        <v>0</v>
      </c>
      <c r="K119" s="63" t="n">
        <v>0</v>
      </c>
      <c r="L119" s="64">
        <f>IF((J119+K119)=0,"", J119/(J119+K119))</f>
        <v/>
      </c>
      <c r="M119" s="63">
        <f>COUNTIF('Detailed Attendance'!D120:D120, "P")</f>
        <v/>
      </c>
      <c r="N119" s="63">
        <f>COUNTIF('Detailed Attendance'!D120:D120, "A")</f>
        <v/>
      </c>
      <c r="O119" s="64">
        <f>IF((M119+N119)=0,"", M119/(M119+N119))</f>
        <v/>
      </c>
      <c r="P119" s="63" t="n">
        <v>0</v>
      </c>
      <c r="Q119" s="63" t="n">
        <v>0</v>
      </c>
      <c r="R119" s="64">
        <f>IF((P119+Q119)=0,"", P119/(P119+Q119))</f>
        <v/>
      </c>
      <c r="S119" s="63">
        <f>D119+G119+J119+M119+P119</f>
        <v/>
      </c>
      <c r="T119" s="63">
        <f>E119+H119+K119+N119+Q119</f>
        <v/>
      </c>
      <c r="U119" s="64">
        <f>IF((S119+T119)=0,"", S119/(S119+T119))</f>
        <v/>
      </c>
      <c r="V119" s="65">
        <f>COUNTIF('Detailed Attendance'!E120:E120, "P")+COUNTIF('Detailed Attendance'!H120:H120, "P")</f>
        <v/>
      </c>
      <c r="W119" s="65">
        <f>COUNTIF('Detailed Attendance'!E120:E120, "A")+COUNTIF('Detailed Attendance'!H120:H120, "A")</f>
        <v/>
      </c>
      <c r="X119" s="66">
        <f>IF((V119+W119)=0,"", V119/(V119+W119))</f>
        <v/>
      </c>
      <c r="Y119" s="63">
        <f>COUNTIF('Detailed Attendance'!R120:R120, "P")+COUNTIF('Detailed Attendance'!X120:X120, "P")+COUNTIF('Detailed Attendance'!AL120:AL120, "P")+COUNTIF('Detailed Attendance'!BF120:BF120, "P")+COUNTIF('Detailed Attendance'!BL120:BL120, "P")+COUNTIF('Detailed Attendance'!BZ120:BZ120, "P")+COUNTIF('Detailed Attendance'!CI120:CI120, "P")+COUNTIF('Detailed Attendance'!CW120:CW120, "P")</f>
        <v/>
      </c>
      <c r="Z119" s="63">
        <f>COUNTIF('Detailed Attendance'!R120:R120, "A")+COUNTIF('Detailed Attendance'!X120:X120, "A")+COUNTIF('Detailed Attendance'!AL120:AL120, "A")+COUNTIF('Detailed Attendance'!BF120:BF120, "A")+COUNTIF('Detailed Attendance'!BL120:BL120, "A")+COUNTIF('Detailed Attendance'!BZ120:BZ120, "A")+COUNTIF('Detailed Attendance'!CI120:CI120, "A")+COUNTIF('Detailed Attendance'!CW120:CW120, "A")</f>
        <v/>
      </c>
      <c r="AA119" s="64">
        <f>IF((Y119+Z119)=0,"", Y119/(Y119+Z119))</f>
        <v/>
      </c>
      <c r="AB119" s="63">
        <f>COUNTIF('Detailed Attendance'!Q120:Q120, "P")+COUNTIF('Detailed Attendance'!AC120:AC120, "P")+COUNTIF('Detailed Attendance'!AK120:AK120, "P")+COUNTIF('Detailed Attendance'!AW120:AW120, "P")+COUNTIF('Detailed Attendance'!BE120:BE120, "P")+COUNTIF('Detailed Attendance'!BQ120:BQ120, "P")+COUNTIF('Detailed Attendance'!BY120:BY120, "P")+COUNTIF('Detailed Attendance'!CN120:CN120, "P")+COUNTIF('Detailed Attendance'!CV120:CV120, "P")</f>
        <v/>
      </c>
      <c r="AC119" s="63">
        <f>COUNTIF('Detailed Attendance'!Q120:Q120, "A")+COUNTIF('Detailed Attendance'!AC120:AC120, "A")+COUNTIF('Detailed Attendance'!AK120:AK120, "A")+COUNTIF('Detailed Attendance'!AW120:AW120, "A")+COUNTIF('Detailed Attendance'!BE120:BE120, "A")+COUNTIF('Detailed Attendance'!BQ120:BQ120, "A")+COUNTIF('Detailed Attendance'!BY120:BY120, "A")+COUNTIF('Detailed Attendance'!CN120:CN120, "A")+COUNTIF('Detailed Attendance'!CV120:CV120, "A")</f>
        <v/>
      </c>
      <c r="AD119" s="64">
        <f>IF((AB119+AC119)=0,"", AB119/(AB119+AC119))</f>
        <v/>
      </c>
      <c r="AE119" s="63">
        <f>COUNTIF('Detailed Attendance'!L120:L120, "P")+COUNTIF('Detailed Attendance'!P120:P120, "P")+COUNTIF('Detailed Attendance'!AF120:AF120, "P")+COUNTIF('Detailed Attendance'!AJ120:AJ120, "P")+COUNTIF('Detailed Attendance'!AZ120:AZ120, "P")+COUNTIF('Detailed Attendance'!BD120:BD120, "P")+COUNTIF('Detailed Attendance'!BT120:BT120, "P")+COUNTIF('Detailed Attendance'!BX120:BX120, "P")+COUNTIF('Detailed Attendance'!CQ120:CQ120, "P")+COUNTIF('Detailed Attendance'!CU120:CU120, "P")</f>
        <v/>
      </c>
      <c r="AF119" s="67">
        <f>COUNTIF('Detailed Attendance'!L120:L120, "A")+COUNTIF('Detailed Attendance'!P120:P120, "A")+COUNTIF('Detailed Attendance'!AF120:AF120, "A")+COUNTIF('Detailed Attendance'!AJ120:AJ120, "A")+COUNTIF('Detailed Attendance'!AZ120:AZ120, "A")+COUNTIF('Detailed Attendance'!BD120:BD120, "A")+COUNTIF('Detailed Attendance'!BT120:BT120, "A")+COUNTIF('Detailed Attendance'!BX120:BX120, "A")+COUNTIF('Detailed Attendance'!CQ120:CQ120, "A")+COUNTIF('Detailed Attendance'!CU120:CU120, "A")</f>
        <v/>
      </c>
      <c r="AG119" s="68">
        <f>IF((AE119+AF119)=0,"", AE119/(AE119+AF119))</f>
        <v/>
      </c>
      <c r="AH119" s="67">
        <f>COUNTIF('Detailed Attendance'!T120:T120, "P")+COUNTIF('Detailed Attendance'!AN120:AN120, "P")+COUNTIF('Detailed Attendance'!AR120:AR120, "P")+COUNTIF('Detailed Attendance'!BH120:BH120, "P")+COUNTIF('Detailed Attendance'!CB120:CB120, "P")+COUNTIF('Detailed Attendance'!CF120:CF120, "P")+COUNTIF('Detailed Attendance'!CY120:CY120, "P")</f>
        <v/>
      </c>
      <c r="AI119" s="67">
        <f>COUNTIF('Detailed Attendance'!T120:T120, "A")+COUNTIF('Detailed Attendance'!AN120:AN120, "A")+COUNTIF('Detailed Attendance'!AR120:AR120, "A")+COUNTIF('Detailed Attendance'!BH120:BH120, "A")+COUNTIF('Detailed Attendance'!CB120:CB120, "A")+COUNTIF('Detailed Attendance'!CF120:CF120, "A")+COUNTIF('Detailed Attendance'!CY120:CY120, "A")</f>
        <v/>
      </c>
      <c r="AJ119" s="68">
        <f>IF((AH119+AI119)=0,"", AH119/(AH119+AI119))</f>
        <v/>
      </c>
      <c r="AK119" s="67">
        <f>COUNTIF('Detailed Attendance'!M120:M120, "P")+COUNTIF('Detailed Attendance'!U120:U120, "P")+COUNTIF('Detailed Attendance'!AG120:AG120, "P")+COUNTIF('Detailed Attendance'!AO120:AO120, "P")+COUNTIF('Detailed Attendance'!BA120:BA120, "P")+COUNTIF('Detailed Attendance'!BI120:BI120, "P")+COUNTIF('Detailed Attendance'!BU120:BU120, "P")+COUNTIF('Detailed Attendance'!CC120:CC120, "P")+COUNTIF('Detailed Attendance'!CR120:CR120, "P")+COUNTIF('Detailed Attendance'!CZ120:CZ120, "P")</f>
        <v/>
      </c>
      <c r="AL119" s="67">
        <f>COUNTIF('Detailed Attendance'!M120:M120, "A")+COUNTIF('Detailed Attendance'!U120:U120, "A")+COUNTIF('Detailed Attendance'!AG120:AG120, "A")+COUNTIF('Detailed Attendance'!AO120:AO120, "A")+COUNTIF('Detailed Attendance'!BA120:BA120, "A")+COUNTIF('Detailed Attendance'!BI120:BI120, "A")+COUNTIF('Detailed Attendance'!BU120:BU120, "A")+COUNTIF('Detailed Attendance'!CC120:CC120, "A")+COUNTIF('Detailed Attendance'!CR120:CR120, "A")+COUNTIF('Detailed Attendance'!CZ120:CZ120, "A")</f>
        <v/>
      </c>
      <c r="AM119" s="68">
        <f>IF((AK119+AL119)=0,"", AK119/(AK119+AL119))</f>
        <v/>
      </c>
      <c r="AN119" s="67">
        <f>Y119+AB119+AE119+AH119+AK119</f>
        <v/>
      </c>
      <c r="AO119" s="67">
        <f>Z119+AC119+AF119+AI119+AL119</f>
        <v/>
      </c>
      <c r="AP119" s="68">
        <f>IF((AN119+AO119)=0,"", AN119/(AN119+AO119))</f>
        <v/>
      </c>
      <c r="AQ119" s="69">
        <f>COUNTIF('Detailed Attendance'!CH120:CH120, "P")+COUNTIF('Detailed Attendance'!Y120:Y120, "P")+COUNTIF('Detailed Attendance'!AS120:AS120, "P")+COUNTIF('Detailed Attendance'!BM120:BM120, "P")+COUNTIF('Detailed Attendance'!CJ120:CJ120, "P")+COUNTIF('Detailed Attendance'!AB120:AB120, "P")+COUNTIF('Detailed Attendance'!AV120:AV120, "P")+COUNTIF('Detailed Attendance'!BP120:BP120, "P")+COUNTIF('Detailed Attendance'!CM120:CM120, "P")</f>
        <v/>
      </c>
      <c r="AR119" s="69">
        <f>COUNTIF('Detailed Attendance'!CH120:CH120, "A")+COUNTIF('Detailed Attendance'!Y120:Y120, "A")+COUNTIF('Detailed Attendance'!AS120:AS120, "A")+COUNTIF('Detailed Attendance'!BM120:BM120, "A")+COUNTIF('Detailed Attendance'!CJ120:CJ120, "A")+COUNTIF('Detailed Attendance'!AB120:AB120, "A")+COUNTIF('Detailed Attendance'!AV120:AV120, "A")+COUNTIF('Detailed Attendance'!BP120:BP120, "A")+COUNTIF('Detailed Attendance'!CM120:CM120, "A")</f>
        <v/>
      </c>
      <c r="AS119" s="70">
        <f>IF((AQ119+AR119)=0,"", AQ119/(AQ119+AR119))</f>
        <v/>
      </c>
      <c r="AT119" s="67">
        <f>COUNTIF('Detailed Attendance'!DF120:DF120, "P")+COUNTIF('Detailed Attendance'!DT120:DT120, "P")+COUNTIF('Detailed Attendance'!EC120:EC120, "P")+COUNTIF('Detailed Attendance'!EQ120:EQ120, "P")+COUNTIF('Detailed Attendance'!EW120:EW120, "P")+COUNTIF('Detailed Attendance'!FK120:FK120, "P")+COUNTIF('Detailed Attendance'!FM120:FM120, "P")+COUNTIF('Detailed Attendance'!GA120:GA120, "P")</f>
        <v/>
      </c>
      <c r="AU119" s="67">
        <f>COUNTIF('Detailed Attendance'!DF120:DF120, "A")+COUNTIF('Detailed Attendance'!DT120:DT120, "A")+COUNTIF('Detailed Attendance'!EC120:EC120, "A")+COUNTIF('Detailed Attendance'!EQ120:EQ120, "A")+COUNTIF('Detailed Attendance'!EW120:EW120, "A")+COUNTIF('Detailed Attendance'!FK120:FK120, "A")+COUNTIF('Detailed Attendance'!FM120:FM120, "A")+COUNTIF('Detailed Attendance'!GA120:GA120, "A")</f>
        <v/>
      </c>
      <c r="AV119" s="68">
        <f>IF((AT119+AU119)=0,"", AT119/(AT119+AU119))</f>
        <v/>
      </c>
      <c r="AW119" s="67">
        <f>COUNTIF('Detailed Attendance'!DK120:DK120, "P")+COUNTIF('Detailed Attendance'!DS120:DS120, "P")+COUNTIF('Detailed Attendance'!EH120:EH120, "P")+COUNTIF('Detailed Attendance'!EP120:EP120, "P")+COUNTIF('Detailed Attendance'!FB120:FB120, "P")+COUNTIF('Detailed Attendance'!FJ120:FJ120, "P")+COUNTIF('Detailed Attendance'!FR120:FR120, "P")+COUNTIF('Detailed Attendance'!FZ120:FZ120, "P")</f>
        <v/>
      </c>
      <c r="AX119" s="67">
        <f>COUNTIF('Detailed Attendance'!DK120:DK120, "A")+COUNTIF('Detailed Attendance'!DS120:DS120, "A")+COUNTIF('Detailed Attendance'!EH120:EH120, "A")+COUNTIF('Detailed Attendance'!EP120:EP120, "A")+COUNTIF('Detailed Attendance'!FB120:FB120, "A")+COUNTIF('Detailed Attendance'!FJ120:FJ120, "A")+COUNTIF('Detailed Attendance'!FR120:FR120, "A")+COUNTIF('Detailed Attendance'!FZ120:FZ120, "A")</f>
        <v/>
      </c>
      <c r="AY119" s="68">
        <f>IF((AW119+AX119)=0,"", AW119/(AW119+AX119))</f>
        <v/>
      </c>
      <c r="AZ119" s="67">
        <f>COUNTIF('Detailed Attendance'!DN120:DN120, "P")+COUNTIF('Detailed Attendance'!DR120:DR120, "P")+COUNTIF('Detailed Attendance'!EK120:EK120, "P")+COUNTIF('Detailed Attendance'!EO120:EO120, "P")+COUNTIF('Detailed Attendance'!FE120:FE120, "P")+COUNTIF('Detailed Attendance'!FI120:FI120, "P")+COUNTIF('Detailed Attendance'!FU120:FU120, "P")+COUNTIF('Detailed Attendance'!FY120:FY120, "P")</f>
        <v/>
      </c>
      <c r="BA119" s="67">
        <f>COUNTIF('Detailed Attendance'!DN120:DN120, "A")+COUNTIF('Detailed Attendance'!DR120:DR120, "A")+COUNTIF('Detailed Attendance'!EK120:EK120, "A")+COUNTIF('Detailed Attendance'!EO120:EO120, "A")+COUNTIF('Detailed Attendance'!FE120:FE120, "A")+COUNTIF('Detailed Attendance'!FI120:FI120, "A")+COUNTIF('Detailed Attendance'!FU120:FU120, "A")+COUNTIF('Detailed Attendance'!FY120:FY120, "A")</f>
        <v/>
      </c>
      <c r="BB119" s="68">
        <f>IF((AZ119+BA119)=0,"", AZ119/(AZ119+BA119))</f>
        <v/>
      </c>
      <c r="BC119" s="67">
        <f>COUNTIF('Detailed Attendance'!DC120:DC120, "P")+COUNTIF('Detailed Attendance'!DV120:DV120, "P")+COUNTIF('Detailed Attendance'!DZ120:DZ120, "P")+COUNTIF('Detailed Attendance'!ES120:ES120, "P")+COUNTIF('Detailed Attendance'!GC120:GC120, "P")+COUNTIF('Detailed Attendance'!GG120:GG120, "P")</f>
        <v/>
      </c>
      <c r="BD119" s="67">
        <f>COUNTIF('Detailed Attendance'!DC120:DC120, "A")+COUNTIF('Detailed Attendance'!DV120:DV120, "A")+COUNTIF('Detailed Attendance'!DZ120:DZ120, "A")+COUNTIF('Detailed Attendance'!ES120:ES120, "A")+COUNTIF('Detailed Attendance'!GC120:GC120, "A")+COUNTIF('Detailed Attendance'!GG120:GG120, "A")</f>
        <v/>
      </c>
      <c r="BE119" s="68">
        <f>IF((BC119+BD119)=0,"", BC119/(BC119+BD119))</f>
        <v/>
      </c>
      <c r="BF119" s="67">
        <f>COUNTIF('Detailed Attendance'!DO120:DO120, "P")+COUNTIF('Detailed Attendance'!DW120:DW120, "P")+COUNTIF('Detailed Attendance'!EL120:EL120, "P")+COUNTIF('Detailed Attendance'!ET120:ET120, "P")+COUNTIF('Detailed Attendance'!FF120:FF120, "P")+COUNTIF('Detailed Attendance'!FV120:FV120, "P")+COUNTIF('Detailed Attendance'!GD120:GD120, "P")</f>
        <v/>
      </c>
      <c r="BG119" s="67">
        <f>COUNTIF('Detailed Attendance'!DO120:DO120, "A")+COUNTIF('Detailed Attendance'!DW120:DW120, "A")+COUNTIF('Detailed Attendance'!EL120:EL120, "A")+COUNTIF('Detailed Attendance'!ET120:ET120, "A")+COUNTIF('Detailed Attendance'!FF120:FF120, "A")+COUNTIF('Detailed Attendance'!FV120:FV120, "A")+COUNTIF('Detailed Attendance'!GD120:GD120, "A")</f>
        <v/>
      </c>
      <c r="BH119" s="68">
        <f>IF((BF119+BG119)=0,"", BF119/(BF119+BG119))</f>
        <v/>
      </c>
      <c r="BI119" s="67">
        <f>AT119+AW119+AZ119+BC119+BF119</f>
        <v/>
      </c>
      <c r="BJ119" s="67">
        <f>AU119+AX119+BA119+BD119+BG119</f>
        <v/>
      </c>
      <c r="BK119" s="68">
        <f>IF((BI119+BJ119)=0,"", BI119/(BI119+BJ119))</f>
        <v/>
      </c>
      <c r="BL119" s="69">
        <f>COUNTIF('Detailed Attendance'!DE120:DE120, "P")+COUNTIF('Detailed Attendance'!EB120:EB120, "P")+COUNTIF('Detailed Attendance'!GI120:GI120, "P")+COUNTIF('Detailed Attendance'!DG120:DG120, "P")+COUNTIF('Detailed Attendance'!ED120:ED120, "P")+COUNTIF('Detailed Attendance'!EX120:EX120, "P")+COUNTIF('Detailed Attendance'!FN120:FN120, "P")+COUNTIF('Detailed Attendance'!DJ120:DJ120, "P")+COUNTIF('Detailed Attendance'!EG120:EG120, "P")+COUNTIF('Detailed Attendance'!FA120:FA120, "P")+COUNTIF('Detailed Attendance'!FQ120:FQ120, "P")</f>
        <v/>
      </c>
      <c r="BM119" s="69">
        <f>COUNTIF('Detailed Attendance'!DE120:DE120, "A")+COUNTIF('Detailed Attendance'!EB120:EB120, "A")+COUNTIF('Detailed Attendance'!GI120:GI120, "A")+COUNTIF('Detailed Attendance'!DG120:DG120, "A")+COUNTIF('Detailed Attendance'!ED120:ED120, "A")+COUNTIF('Detailed Attendance'!EX120:EX120, "A")+COUNTIF('Detailed Attendance'!FN120:FN120, "A")+COUNTIF('Detailed Attendance'!DJ120:DJ120, "A")+COUNTIF('Detailed Attendance'!EG120:EG120, "A")+COUNTIF('Detailed Attendance'!FA120:FA120, "A")+COUNTIF('Detailed Attendance'!FQ120:FQ120, "A")</f>
        <v/>
      </c>
      <c r="BN119" s="70">
        <f>IF((BL119+BM119)=0,"", BL119/(BL119+BM119))</f>
        <v/>
      </c>
      <c r="BO119" s="67">
        <f>D119+Y119+AT119</f>
        <v/>
      </c>
      <c r="BP119" s="67">
        <f>E119+Z119+AU119</f>
        <v/>
      </c>
      <c r="BQ119" s="68">
        <f>IF((BO119+BP119)=0,"", BO119/(BO119+BP119))</f>
        <v/>
      </c>
      <c r="BR119" s="67">
        <f>G119+AB119+AW119</f>
        <v/>
      </c>
      <c r="BS119" s="67">
        <f>H119+AC119+AX119</f>
        <v/>
      </c>
      <c r="BT119" s="68">
        <f>IF((BR119+BS119)=0,"", BR119/(BR119+BS119))</f>
        <v/>
      </c>
      <c r="BU119" s="67">
        <f>J119+AE119+AZ119</f>
        <v/>
      </c>
      <c r="BV119" s="67">
        <f>K119+AF119+BA119</f>
        <v/>
      </c>
      <c r="BW119" s="68">
        <f>IF((BU119+BV119)=0,"", BU119/(BU119+BV119))</f>
        <v/>
      </c>
      <c r="BX119" s="67">
        <f>M119+AH119+BC119</f>
        <v/>
      </c>
      <c r="BY119" s="67">
        <f>N119+AI119+BD119</f>
        <v/>
      </c>
      <c r="BZ119" s="68">
        <f>IF((BX119+BY119)=0,"", BX119/(BX119+BY119))</f>
        <v/>
      </c>
      <c r="CA119" s="67">
        <f>P119+AK119+BF119</f>
        <v/>
      </c>
      <c r="CB119" s="67">
        <f>Q119+AL119+BG119</f>
        <v/>
      </c>
      <c r="CC119" s="68">
        <f>IF((CA119+CB119)=0,"", CA119/(CA119+CB119))</f>
        <v/>
      </c>
      <c r="CD119" s="67">
        <f>S119+AN119+BI119</f>
        <v/>
      </c>
      <c r="CE119" s="67">
        <f>T119+AO119+BJ119</f>
        <v/>
      </c>
      <c r="CF119" s="68">
        <f>IF((CD119+CE119)=0,"", CD119/(CD119+CE119))</f>
        <v/>
      </c>
      <c r="CG119" s="69">
        <f>V119+AQ119+BL119</f>
        <v/>
      </c>
      <c r="CH119" s="69">
        <f>W119+AR119+BM119</f>
        <v/>
      </c>
      <c r="CI119" s="70">
        <f>IF((CG119+CH119)=0,"", CG119/(CG119+CH119))</f>
        <v/>
      </c>
      <c r="CJ119" s="67">
        <f>CD119+(CG119*2)</f>
        <v/>
      </c>
      <c r="CK119" s="67">
        <f>CE119+(CH119*2)</f>
        <v/>
      </c>
      <c r="CL119" s="68">
        <f>IF((CJ119+CK119)=0,"", CJ119/(CJ119+CK119))</f>
        <v/>
      </c>
      <c r="CM119" s="67" t="inlineStr">
        <is>
          <t>Batch 3</t>
        </is>
      </c>
    </row>
    <row r="120" ht="14.25" customHeight="1" s="34">
      <c r="A120" s="46" t="n">
        <v>118</v>
      </c>
      <c r="B120" s="46" t="inlineStr">
        <is>
          <t>325106410118</t>
        </is>
      </c>
      <c r="C120" s="46" t="inlineStr">
        <is>
          <t>BANDARU LAXMANA ROHAN PATRUDU</t>
        </is>
      </c>
      <c r="D120" s="63" t="n">
        <v>0</v>
      </c>
      <c r="E120" s="63" t="n">
        <v>0</v>
      </c>
      <c r="F120" s="64">
        <f>IF((D120+E120)=0,"", D120/(D120+E120))</f>
        <v/>
      </c>
      <c r="G120" s="63">
        <f>COUNTIF('Detailed Attendance'!I121:I121, "P")</f>
        <v/>
      </c>
      <c r="H120" s="63">
        <f>COUNTIF('Detailed Attendance'!I121:I121, "A")</f>
        <v/>
      </c>
      <c r="I120" s="64">
        <f>IF((G120+H120)=0,"", G120/(G120+H120))</f>
        <v/>
      </c>
      <c r="J120" s="63" t="n">
        <v>0</v>
      </c>
      <c r="K120" s="63" t="n">
        <v>0</v>
      </c>
      <c r="L120" s="64">
        <f>IF((J120+K120)=0,"", J120/(J120+K120))</f>
        <v/>
      </c>
      <c r="M120" s="63">
        <f>COUNTIF('Detailed Attendance'!D121:D121, "P")</f>
        <v/>
      </c>
      <c r="N120" s="63">
        <f>COUNTIF('Detailed Attendance'!D121:D121, "A")</f>
        <v/>
      </c>
      <c r="O120" s="64">
        <f>IF((M120+N120)=0,"", M120/(M120+N120))</f>
        <v/>
      </c>
      <c r="P120" s="63" t="n">
        <v>0</v>
      </c>
      <c r="Q120" s="63" t="n">
        <v>0</v>
      </c>
      <c r="R120" s="64">
        <f>IF((P120+Q120)=0,"", P120/(P120+Q120))</f>
        <v/>
      </c>
      <c r="S120" s="63">
        <f>D120+G120+J120+M120+P120</f>
        <v/>
      </c>
      <c r="T120" s="63">
        <f>E120+H120+K120+N120+Q120</f>
        <v/>
      </c>
      <c r="U120" s="64">
        <f>IF((S120+T120)=0,"", S120/(S120+T120))</f>
        <v/>
      </c>
      <c r="V120" s="65">
        <f>COUNTIF('Detailed Attendance'!E121:E121, "P")+COUNTIF('Detailed Attendance'!H121:H121, "P")</f>
        <v/>
      </c>
      <c r="W120" s="65">
        <f>COUNTIF('Detailed Attendance'!E121:E121, "A")+COUNTIF('Detailed Attendance'!H121:H121, "A")</f>
        <v/>
      </c>
      <c r="X120" s="66">
        <f>IF((V120+W120)=0,"", V120/(V120+W120))</f>
        <v/>
      </c>
      <c r="Y120" s="63">
        <f>COUNTIF('Detailed Attendance'!R121:R121, "P")+COUNTIF('Detailed Attendance'!X121:X121, "P")+COUNTIF('Detailed Attendance'!AL121:AL121, "P")+COUNTIF('Detailed Attendance'!BF121:BF121, "P")+COUNTIF('Detailed Attendance'!BL121:BL121, "P")+COUNTIF('Detailed Attendance'!BZ121:BZ121, "P")+COUNTIF('Detailed Attendance'!CI121:CI121, "P")+COUNTIF('Detailed Attendance'!CW121:CW121, "P")</f>
        <v/>
      </c>
      <c r="Z120" s="63">
        <f>COUNTIF('Detailed Attendance'!R121:R121, "A")+COUNTIF('Detailed Attendance'!X121:X121, "A")+COUNTIF('Detailed Attendance'!AL121:AL121, "A")+COUNTIF('Detailed Attendance'!BF121:BF121, "A")+COUNTIF('Detailed Attendance'!BL121:BL121, "A")+COUNTIF('Detailed Attendance'!BZ121:BZ121, "A")+COUNTIF('Detailed Attendance'!CI121:CI121, "A")+COUNTIF('Detailed Attendance'!CW121:CW121, "A")</f>
        <v/>
      </c>
      <c r="AA120" s="64">
        <f>IF((Y120+Z120)=0,"", Y120/(Y120+Z120))</f>
        <v/>
      </c>
      <c r="AB120" s="63">
        <f>COUNTIF('Detailed Attendance'!Q121:Q121, "P")+COUNTIF('Detailed Attendance'!AC121:AC121, "P")+COUNTIF('Detailed Attendance'!AK121:AK121, "P")+COUNTIF('Detailed Attendance'!AW121:AW121, "P")+COUNTIF('Detailed Attendance'!BE121:BE121, "P")+COUNTIF('Detailed Attendance'!BQ121:BQ121, "P")+COUNTIF('Detailed Attendance'!BY121:BY121, "P")+COUNTIF('Detailed Attendance'!CN121:CN121, "P")+COUNTIF('Detailed Attendance'!CV121:CV121, "P")</f>
        <v/>
      </c>
      <c r="AC120" s="63">
        <f>COUNTIF('Detailed Attendance'!Q121:Q121, "A")+COUNTIF('Detailed Attendance'!AC121:AC121, "A")+COUNTIF('Detailed Attendance'!AK121:AK121, "A")+COUNTIF('Detailed Attendance'!AW121:AW121, "A")+COUNTIF('Detailed Attendance'!BE121:BE121, "A")+COUNTIF('Detailed Attendance'!BQ121:BQ121, "A")+COUNTIF('Detailed Attendance'!BY121:BY121, "A")+COUNTIF('Detailed Attendance'!CN121:CN121, "A")+COUNTIF('Detailed Attendance'!CV121:CV121, "A")</f>
        <v/>
      </c>
      <c r="AD120" s="64">
        <f>IF((AB120+AC120)=0,"", AB120/(AB120+AC120))</f>
        <v/>
      </c>
      <c r="AE120" s="63">
        <f>COUNTIF('Detailed Attendance'!L121:L121, "P")+COUNTIF('Detailed Attendance'!P121:P121, "P")+COUNTIF('Detailed Attendance'!AF121:AF121, "P")+COUNTIF('Detailed Attendance'!AJ121:AJ121, "P")+COUNTIF('Detailed Attendance'!AZ121:AZ121, "P")+COUNTIF('Detailed Attendance'!BD121:BD121, "P")+COUNTIF('Detailed Attendance'!BT121:BT121, "P")+COUNTIF('Detailed Attendance'!BX121:BX121, "P")+COUNTIF('Detailed Attendance'!CQ121:CQ121, "P")+COUNTIF('Detailed Attendance'!CU121:CU121, "P")</f>
        <v/>
      </c>
      <c r="AF120" s="67">
        <f>COUNTIF('Detailed Attendance'!L121:L121, "A")+COUNTIF('Detailed Attendance'!P121:P121, "A")+COUNTIF('Detailed Attendance'!AF121:AF121, "A")+COUNTIF('Detailed Attendance'!AJ121:AJ121, "A")+COUNTIF('Detailed Attendance'!AZ121:AZ121, "A")+COUNTIF('Detailed Attendance'!BD121:BD121, "A")+COUNTIF('Detailed Attendance'!BT121:BT121, "A")+COUNTIF('Detailed Attendance'!BX121:BX121, "A")+COUNTIF('Detailed Attendance'!CQ121:CQ121, "A")+COUNTIF('Detailed Attendance'!CU121:CU121, "A")</f>
        <v/>
      </c>
      <c r="AG120" s="68">
        <f>IF((AE120+AF120)=0,"", AE120/(AE120+AF120))</f>
        <v/>
      </c>
      <c r="AH120" s="67">
        <f>COUNTIF('Detailed Attendance'!T121:T121, "P")+COUNTIF('Detailed Attendance'!AN121:AN121, "P")+COUNTIF('Detailed Attendance'!AR121:AR121, "P")+COUNTIF('Detailed Attendance'!BH121:BH121, "P")+COUNTIF('Detailed Attendance'!CB121:CB121, "P")+COUNTIF('Detailed Attendance'!CF121:CF121, "P")+COUNTIF('Detailed Attendance'!CY121:CY121, "P")</f>
        <v/>
      </c>
      <c r="AI120" s="67">
        <f>COUNTIF('Detailed Attendance'!T121:T121, "A")+COUNTIF('Detailed Attendance'!AN121:AN121, "A")+COUNTIF('Detailed Attendance'!AR121:AR121, "A")+COUNTIF('Detailed Attendance'!BH121:BH121, "A")+COUNTIF('Detailed Attendance'!CB121:CB121, "A")+COUNTIF('Detailed Attendance'!CF121:CF121, "A")+COUNTIF('Detailed Attendance'!CY121:CY121, "A")</f>
        <v/>
      </c>
      <c r="AJ120" s="68">
        <f>IF((AH120+AI120)=0,"", AH120/(AH120+AI120))</f>
        <v/>
      </c>
      <c r="AK120" s="67">
        <f>COUNTIF('Detailed Attendance'!M121:M121, "P")+COUNTIF('Detailed Attendance'!U121:U121, "P")+COUNTIF('Detailed Attendance'!AG121:AG121, "P")+COUNTIF('Detailed Attendance'!AO121:AO121, "P")+COUNTIF('Detailed Attendance'!BA121:BA121, "P")+COUNTIF('Detailed Attendance'!BI121:BI121, "P")+COUNTIF('Detailed Attendance'!BU121:BU121, "P")+COUNTIF('Detailed Attendance'!CC121:CC121, "P")+COUNTIF('Detailed Attendance'!CR121:CR121, "P")+COUNTIF('Detailed Attendance'!CZ121:CZ121, "P")</f>
        <v/>
      </c>
      <c r="AL120" s="67">
        <f>COUNTIF('Detailed Attendance'!M121:M121, "A")+COUNTIF('Detailed Attendance'!U121:U121, "A")+COUNTIF('Detailed Attendance'!AG121:AG121, "A")+COUNTIF('Detailed Attendance'!AO121:AO121, "A")+COUNTIF('Detailed Attendance'!BA121:BA121, "A")+COUNTIF('Detailed Attendance'!BI121:BI121, "A")+COUNTIF('Detailed Attendance'!BU121:BU121, "A")+COUNTIF('Detailed Attendance'!CC121:CC121, "A")+COUNTIF('Detailed Attendance'!CR121:CR121, "A")+COUNTIF('Detailed Attendance'!CZ121:CZ121, "A")</f>
        <v/>
      </c>
      <c r="AM120" s="68">
        <f>IF((AK120+AL120)=0,"", AK120/(AK120+AL120))</f>
        <v/>
      </c>
      <c r="AN120" s="67">
        <f>Y120+AB120+AE120+AH120+AK120</f>
        <v/>
      </c>
      <c r="AO120" s="67">
        <f>Z120+AC120+AF120+AI120+AL120</f>
        <v/>
      </c>
      <c r="AP120" s="68">
        <f>IF((AN120+AO120)=0,"", AN120/(AN120+AO120))</f>
        <v/>
      </c>
      <c r="AQ120" s="69">
        <f>COUNTIF('Detailed Attendance'!CH121:CH121, "P")+COUNTIF('Detailed Attendance'!Y121:Y121, "P")+COUNTIF('Detailed Attendance'!AS121:AS121, "P")+COUNTIF('Detailed Attendance'!BM121:BM121, "P")+COUNTIF('Detailed Attendance'!CJ121:CJ121, "P")+COUNTIF('Detailed Attendance'!AB121:AB121, "P")+COUNTIF('Detailed Attendance'!AV121:AV121, "P")+COUNTIF('Detailed Attendance'!BP121:BP121, "P")+COUNTIF('Detailed Attendance'!CM121:CM121, "P")</f>
        <v/>
      </c>
      <c r="AR120" s="69">
        <f>COUNTIF('Detailed Attendance'!CH121:CH121, "A")+COUNTIF('Detailed Attendance'!Y121:Y121, "A")+COUNTIF('Detailed Attendance'!AS121:AS121, "A")+COUNTIF('Detailed Attendance'!BM121:BM121, "A")+COUNTIF('Detailed Attendance'!CJ121:CJ121, "A")+COUNTIF('Detailed Attendance'!AB121:AB121, "A")+COUNTIF('Detailed Attendance'!AV121:AV121, "A")+COUNTIF('Detailed Attendance'!BP121:BP121, "A")+COUNTIF('Detailed Attendance'!CM121:CM121, "A")</f>
        <v/>
      </c>
      <c r="AS120" s="70">
        <f>IF((AQ120+AR120)=0,"", AQ120/(AQ120+AR120))</f>
        <v/>
      </c>
      <c r="AT120" s="67">
        <f>COUNTIF('Detailed Attendance'!DF121:DF121, "P")+COUNTIF('Detailed Attendance'!DT121:DT121, "P")+COUNTIF('Detailed Attendance'!EC121:EC121, "P")+COUNTIF('Detailed Attendance'!EQ121:EQ121, "P")+COUNTIF('Detailed Attendance'!EW121:EW121, "P")+COUNTIF('Detailed Attendance'!FK121:FK121, "P")+COUNTIF('Detailed Attendance'!FM121:FM121, "P")+COUNTIF('Detailed Attendance'!GA121:GA121, "P")</f>
        <v/>
      </c>
      <c r="AU120" s="67">
        <f>COUNTIF('Detailed Attendance'!DF121:DF121, "A")+COUNTIF('Detailed Attendance'!DT121:DT121, "A")+COUNTIF('Detailed Attendance'!EC121:EC121, "A")+COUNTIF('Detailed Attendance'!EQ121:EQ121, "A")+COUNTIF('Detailed Attendance'!EW121:EW121, "A")+COUNTIF('Detailed Attendance'!FK121:FK121, "A")+COUNTIF('Detailed Attendance'!FM121:FM121, "A")+COUNTIF('Detailed Attendance'!GA121:GA121, "A")</f>
        <v/>
      </c>
      <c r="AV120" s="68">
        <f>IF((AT120+AU120)=0,"", AT120/(AT120+AU120))</f>
        <v/>
      </c>
      <c r="AW120" s="67">
        <f>COUNTIF('Detailed Attendance'!DK121:DK121, "P")+COUNTIF('Detailed Attendance'!DS121:DS121, "P")+COUNTIF('Detailed Attendance'!EH121:EH121, "P")+COUNTIF('Detailed Attendance'!EP121:EP121, "P")+COUNTIF('Detailed Attendance'!FB121:FB121, "P")+COUNTIF('Detailed Attendance'!FJ121:FJ121, "P")+COUNTIF('Detailed Attendance'!FR121:FR121, "P")+COUNTIF('Detailed Attendance'!FZ121:FZ121, "P")</f>
        <v/>
      </c>
      <c r="AX120" s="67">
        <f>COUNTIF('Detailed Attendance'!DK121:DK121, "A")+COUNTIF('Detailed Attendance'!DS121:DS121, "A")+COUNTIF('Detailed Attendance'!EH121:EH121, "A")+COUNTIF('Detailed Attendance'!EP121:EP121, "A")+COUNTIF('Detailed Attendance'!FB121:FB121, "A")+COUNTIF('Detailed Attendance'!FJ121:FJ121, "A")+COUNTIF('Detailed Attendance'!FR121:FR121, "A")+COUNTIF('Detailed Attendance'!FZ121:FZ121, "A")</f>
        <v/>
      </c>
      <c r="AY120" s="68">
        <f>IF((AW120+AX120)=0,"", AW120/(AW120+AX120))</f>
        <v/>
      </c>
      <c r="AZ120" s="67">
        <f>COUNTIF('Detailed Attendance'!DN121:DN121, "P")+COUNTIF('Detailed Attendance'!DR121:DR121, "P")+COUNTIF('Detailed Attendance'!EK121:EK121, "P")+COUNTIF('Detailed Attendance'!EO121:EO121, "P")+COUNTIF('Detailed Attendance'!FE121:FE121, "P")+COUNTIF('Detailed Attendance'!FI121:FI121, "P")+COUNTIF('Detailed Attendance'!FU121:FU121, "P")+COUNTIF('Detailed Attendance'!FY121:FY121, "P")</f>
        <v/>
      </c>
      <c r="BA120" s="67">
        <f>COUNTIF('Detailed Attendance'!DN121:DN121, "A")+COUNTIF('Detailed Attendance'!DR121:DR121, "A")+COUNTIF('Detailed Attendance'!EK121:EK121, "A")+COUNTIF('Detailed Attendance'!EO121:EO121, "A")+COUNTIF('Detailed Attendance'!FE121:FE121, "A")+COUNTIF('Detailed Attendance'!FI121:FI121, "A")+COUNTIF('Detailed Attendance'!FU121:FU121, "A")+COUNTIF('Detailed Attendance'!FY121:FY121, "A")</f>
        <v/>
      </c>
      <c r="BB120" s="68">
        <f>IF((AZ120+BA120)=0,"", AZ120/(AZ120+BA120))</f>
        <v/>
      </c>
      <c r="BC120" s="67">
        <f>COUNTIF('Detailed Attendance'!DC121:DC121, "P")+COUNTIF('Detailed Attendance'!DV121:DV121, "P")+COUNTIF('Detailed Attendance'!DZ121:DZ121, "P")+COUNTIF('Detailed Attendance'!ES121:ES121, "P")+COUNTIF('Detailed Attendance'!GC121:GC121, "P")+COUNTIF('Detailed Attendance'!GG121:GG121, "P")</f>
        <v/>
      </c>
      <c r="BD120" s="67">
        <f>COUNTIF('Detailed Attendance'!DC121:DC121, "A")+COUNTIF('Detailed Attendance'!DV121:DV121, "A")+COUNTIF('Detailed Attendance'!DZ121:DZ121, "A")+COUNTIF('Detailed Attendance'!ES121:ES121, "A")+COUNTIF('Detailed Attendance'!GC121:GC121, "A")+COUNTIF('Detailed Attendance'!GG121:GG121, "A")</f>
        <v/>
      </c>
      <c r="BE120" s="68">
        <f>IF((BC120+BD120)=0,"", BC120/(BC120+BD120))</f>
        <v/>
      </c>
      <c r="BF120" s="67">
        <f>COUNTIF('Detailed Attendance'!DO121:DO121, "P")+COUNTIF('Detailed Attendance'!DW121:DW121, "P")+COUNTIF('Detailed Attendance'!EL121:EL121, "P")+COUNTIF('Detailed Attendance'!ET121:ET121, "P")+COUNTIF('Detailed Attendance'!FF121:FF121, "P")+COUNTIF('Detailed Attendance'!FV121:FV121, "P")+COUNTIF('Detailed Attendance'!GD121:GD121, "P")</f>
        <v/>
      </c>
      <c r="BG120" s="67">
        <f>COUNTIF('Detailed Attendance'!DO121:DO121, "A")+COUNTIF('Detailed Attendance'!DW121:DW121, "A")+COUNTIF('Detailed Attendance'!EL121:EL121, "A")+COUNTIF('Detailed Attendance'!ET121:ET121, "A")+COUNTIF('Detailed Attendance'!FF121:FF121, "A")+COUNTIF('Detailed Attendance'!FV121:FV121, "A")+COUNTIF('Detailed Attendance'!GD121:GD121, "A")</f>
        <v/>
      </c>
      <c r="BH120" s="68">
        <f>IF((BF120+BG120)=0,"", BF120/(BF120+BG120))</f>
        <v/>
      </c>
      <c r="BI120" s="67">
        <f>AT120+AW120+AZ120+BC120+BF120</f>
        <v/>
      </c>
      <c r="BJ120" s="67">
        <f>AU120+AX120+BA120+BD120+BG120</f>
        <v/>
      </c>
      <c r="BK120" s="68">
        <f>IF((BI120+BJ120)=0,"", BI120/(BI120+BJ120))</f>
        <v/>
      </c>
      <c r="BL120" s="69">
        <f>COUNTIF('Detailed Attendance'!DE121:DE121, "P")+COUNTIF('Detailed Attendance'!EB121:EB121, "P")+COUNTIF('Detailed Attendance'!GI121:GI121, "P")+COUNTIF('Detailed Attendance'!DG121:DG121, "P")+COUNTIF('Detailed Attendance'!ED121:ED121, "P")+COUNTIF('Detailed Attendance'!EX121:EX121, "P")+COUNTIF('Detailed Attendance'!FN121:FN121, "P")+COUNTIF('Detailed Attendance'!DJ121:DJ121, "P")+COUNTIF('Detailed Attendance'!EG121:EG121, "P")+COUNTIF('Detailed Attendance'!FA121:FA121, "P")+COUNTIF('Detailed Attendance'!FQ121:FQ121, "P")</f>
        <v/>
      </c>
      <c r="BM120" s="69">
        <f>COUNTIF('Detailed Attendance'!DE121:DE121, "A")+COUNTIF('Detailed Attendance'!EB121:EB121, "A")+COUNTIF('Detailed Attendance'!GI121:GI121, "A")+COUNTIF('Detailed Attendance'!DG121:DG121, "A")+COUNTIF('Detailed Attendance'!ED121:ED121, "A")+COUNTIF('Detailed Attendance'!EX121:EX121, "A")+COUNTIF('Detailed Attendance'!FN121:FN121, "A")+COUNTIF('Detailed Attendance'!DJ121:DJ121, "A")+COUNTIF('Detailed Attendance'!EG121:EG121, "A")+COUNTIF('Detailed Attendance'!FA121:FA121, "A")+COUNTIF('Detailed Attendance'!FQ121:FQ121, "A")</f>
        <v/>
      </c>
      <c r="BN120" s="70">
        <f>IF((BL120+BM120)=0,"", BL120/(BL120+BM120))</f>
        <v/>
      </c>
      <c r="BO120" s="67">
        <f>D120+Y120+AT120</f>
        <v/>
      </c>
      <c r="BP120" s="67">
        <f>E120+Z120+AU120</f>
        <v/>
      </c>
      <c r="BQ120" s="68">
        <f>IF((BO120+BP120)=0,"", BO120/(BO120+BP120))</f>
        <v/>
      </c>
      <c r="BR120" s="67">
        <f>G120+AB120+AW120</f>
        <v/>
      </c>
      <c r="BS120" s="67">
        <f>H120+AC120+AX120</f>
        <v/>
      </c>
      <c r="BT120" s="68">
        <f>IF((BR120+BS120)=0,"", BR120/(BR120+BS120))</f>
        <v/>
      </c>
      <c r="BU120" s="67">
        <f>J120+AE120+AZ120</f>
        <v/>
      </c>
      <c r="BV120" s="67">
        <f>K120+AF120+BA120</f>
        <v/>
      </c>
      <c r="BW120" s="68">
        <f>IF((BU120+BV120)=0,"", BU120/(BU120+BV120))</f>
        <v/>
      </c>
      <c r="BX120" s="67">
        <f>M120+AH120+BC120</f>
        <v/>
      </c>
      <c r="BY120" s="67">
        <f>N120+AI120+BD120</f>
        <v/>
      </c>
      <c r="BZ120" s="68">
        <f>IF((BX120+BY120)=0,"", BX120/(BX120+BY120))</f>
        <v/>
      </c>
      <c r="CA120" s="67">
        <f>P120+AK120+BF120</f>
        <v/>
      </c>
      <c r="CB120" s="67">
        <f>Q120+AL120+BG120</f>
        <v/>
      </c>
      <c r="CC120" s="68">
        <f>IF((CA120+CB120)=0,"", CA120/(CA120+CB120))</f>
        <v/>
      </c>
      <c r="CD120" s="67">
        <f>S120+AN120+BI120</f>
        <v/>
      </c>
      <c r="CE120" s="67">
        <f>T120+AO120+BJ120</f>
        <v/>
      </c>
      <c r="CF120" s="68">
        <f>IF((CD120+CE120)=0,"", CD120/(CD120+CE120))</f>
        <v/>
      </c>
      <c r="CG120" s="69">
        <f>V120+AQ120+BL120</f>
        <v/>
      </c>
      <c r="CH120" s="69">
        <f>W120+AR120+BM120</f>
        <v/>
      </c>
      <c r="CI120" s="70">
        <f>IF((CG120+CH120)=0,"", CG120/(CG120+CH120))</f>
        <v/>
      </c>
      <c r="CJ120" s="67">
        <f>CD120+(CG120*2)</f>
        <v/>
      </c>
      <c r="CK120" s="67">
        <f>CE120+(CH120*2)</f>
        <v/>
      </c>
      <c r="CL120" s="68">
        <f>IF((CJ120+CK120)=0,"", CJ120/(CJ120+CK120))</f>
        <v/>
      </c>
      <c r="CM120" s="67" t="inlineStr">
        <is>
          <t>Batch 3</t>
        </is>
      </c>
    </row>
    <row r="121" ht="14.25" customHeight="1" s="34">
      <c r="A121" s="46" t="n">
        <v>119</v>
      </c>
      <c r="B121" s="46" t="inlineStr">
        <is>
          <t>325106410119</t>
        </is>
      </c>
      <c r="C121" s="46" t="inlineStr">
        <is>
          <t>BENDURTHI JAYASREE</t>
        </is>
      </c>
      <c r="D121" s="63" t="n">
        <v>0</v>
      </c>
      <c r="E121" s="63" t="n">
        <v>0</v>
      </c>
      <c r="F121" s="64">
        <f>IF((D121+E121)=0,"", D121/(D121+E121))</f>
        <v/>
      </c>
      <c r="G121" s="63">
        <f>COUNTIF('Detailed Attendance'!I122:I122, "P")</f>
        <v/>
      </c>
      <c r="H121" s="63">
        <f>COUNTIF('Detailed Attendance'!I122:I122, "A")</f>
        <v/>
      </c>
      <c r="I121" s="64">
        <f>IF((G121+H121)=0,"", G121/(G121+H121))</f>
        <v/>
      </c>
      <c r="J121" s="63" t="n">
        <v>0</v>
      </c>
      <c r="K121" s="63" t="n">
        <v>0</v>
      </c>
      <c r="L121" s="64">
        <f>IF((J121+K121)=0,"", J121/(J121+K121))</f>
        <v/>
      </c>
      <c r="M121" s="63">
        <f>COUNTIF('Detailed Attendance'!D122:D122, "P")</f>
        <v/>
      </c>
      <c r="N121" s="63">
        <f>COUNTIF('Detailed Attendance'!D122:D122, "A")</f>
        <v/>
      </c>
      <c r="O121" s="64">
        <f>IF((M121+N121)=0,"", M121/(M121+N121))</f>
        <v/>
      </c>
      <c r="P121" s="63" t="n">
        <v>0</v>
      </c>
      <c r="Q121" s="63" t="n">
        <v>0</v>
      </c>
      <c r="R121" s="64">
        <f>IF((P121+Q121)=0,"", P121/(P121+Q121))</f>
        <v/>
      </c>
      <c r="S121" s="63">
        <f>D121+G121+J121+M121+P121</f>
        <v/>
      </c>
      <c r="T121" s="63">
        <f>E121+H121+K121+N121+Q121</f>
        <v/>
      </c>
      <c r="U121" s="64">
        <f>IF((S121+T121)=0,"", S121/(S121+T121))</f>
        <v/>
      </c>
      <c r="V121" s="65">
        <f>COUNTIF('Detailed Attendance'!E122:E122, "P")+COUNTIF('Detailed Attendance'!H122:H122, "P")</f>
        <v/>
      </c>
      <c r="W121" s="65">
        <f>COUNTIF('Detailed Attendance'!E122:E122, "A")+COUNTIF('Detailed Attendance'!H122:H122, "A")</f>
        <v/>
      </c>
      <c r="X121" s="66">
        <f>IF((V121+W121)=0,"", V121/(V121+W121))</f>
        <v/>
      </c>
      <c r="Y121" s="63">
        <f>COUNTIF('Detailed Attendance'!R122:R122, "P")+COUNTIF('Detailed Attendance'!X122:X122, "P")+COUNTIF('Detailed Attendance'!AL122:AL122, "P")+COUNTIF('Detailed Attendance'!BF122:BF122, "P")+COUNTIF('Detailed Attendance'!BL122:BL122, "P")+COUNTIF('Detailed Attendance'!BZ122:BZ122, "P")+COUNTIF('Detailed Attendance'!CI122:CI122, "P")+COUNTIF('Detailed Attendance'!CW122:CW122, "P")</f>
        <v/>
      </c>
      <c r="Z121" s="63">
        <f>COUNTIF('Detailed Attendance'!R122:R122, "A")+COUNTIF('Detailed Attendance'!X122:X122, "A")+COUNTIF('Detailed Attendance'!AL122:AL122, "A")+COUNTIF('Detailed Attendance'!BF122:BF122, "A")+COUNTIF('Detailed Attendance'!BL122:BL122, "A")+COUNTIF('Detailed Attendance'!BZ122:BZ122, "A")+COUNTIF('Detailed Attendance'!CI122:CI122, "A")+COUNTIF('Detailed Attendance'!CW122:CW122, "A")</f>
        <v/>
      </c>
      <c r="AA121" s="64">
        <f>IF((Y121+Z121)=0,"", Y121/(Y121+Z121))</f>
        <v/>
      </c>
      <c r="AB121" s="63">
        <f>COUNTIF('Detailed Attendance'!Q122:Q122, "P")+COUNTIF('Detailed Attendance'!AC122:AC122, "P")+COUNTIF('Detailed Attendance'!AK122:AK122, "P")+COUNTIF('Detailed Attendance'!AW122:AW122, "P")+COUNTIF('Detailed Attendance'!BE122:BE122, "P")+COUNTIF('Detailed Attendance'!BQ122:BQ122, "P")+COUNTIF('Detailed Attendance'!BY122:BY122, "P")+COUNTIF('Detailed Attendance'!CN122:CN122, "P")+COUNTIF('Detailed Attendance'!CV122:CV122, "P")</f>
        <v/>
      </c>
      <c r="AC121" s="63">
        <f>COUNTIF('Detailed Attendance'!Q122:Q122, "A")+COUNTIF('Detailed Attendance'!AC122:AC122, "A")+COUNTIF('Detailed Attendance'!AK122:AK122, "A")+COUNTIF('Detailed Attendance'!AW122:AW122, "A")+COUNTIF('Detailed Attendance'!BE122:BE122, "A")+COUNTIF('Detailed Attendance'!BQ122:BQ122, "A")+COUNTIF('Detailed Attendance'!BY122:BY122, "A")+COUNTIF('Detailed Attendance'!CN122:CN122, "A")+COUNTIF('Detailed Attendance'!CV122:CV122, "A")</f>
        <v/>
      </c>
      <c r="AD121" s="64">
        <f>IF((AB121+AC121)=0,"", AB121/(AB121+AC121))</f>
        <v/>
      </c>
      <c r="AE121" s="63">
        <f>COUNTIF('Detailed Attendance'!L122:L122, "P")+COUNTIF('Detailed Attendance'!P122:P122, "P")+COUNTIF('Detailed Attendance'!AF122:AF122, "P")+COUNTIF('Detailed Attendance'!AJ122:AJ122, "P")+COUNTIF('Detailed Attendance'!AZ122:AZ122, "P")+COUNTIF('Detailed Attendance'!BD122:BD122, "P")+COUNTIF('Detailed Attendance'!BT122:BT122, "P")+COUNTIF('Detailed Attendance'!BX122:BX122, "P")+COUNTIF('Detailed Attendance'!CQ122:CQ122, "P")+COUNTIF('Detailed Attendance'!CU122:CU122, "P")</f>
        <v/>
      </c>
      <c r="AF121" s="67">
        <f>COUNTIF('Detailed Attendance'!L122:L122, "A")+COUNTIF('Detailed Attendance'!P122:P122, "A")+COUNTIF('Detailed Attendance'!AF122:AF122, "A")+COUNTIF('Detailed Attendance'!AJ122:AJ122, "A")+COUNTIF('Detailed Attendance'!AZ122:AZ122, "A")+COUNTIF('Detailed Attendance'!BD122:BD122, "A")+COUNTIF('Detailed Attendance'!BT122:BT122, "A")+COUNTIF('Detailed Attendance'!BX122:BX122, "A")+COUNTIF('Detailed Attendance'!CQ122:CQ122, "A")+COUNTIF('Detailed Attendance'!CU122:CU122, "A")</f>
        <v/>
      </c>
      <c r="AG121" s="68">
        <f>IF((AE121+AF121)=0,"", AE121/(AE121+AF121))</f>
        <v/>
      </c>
      <c r="AH121" s="67">
        <f>COUNTIF('Detailed Attendance'!T122:T122, "P")+COUNTIF('Detailed Attendance'!AN122:AN122, "P")+COUNTIF('Detailed Attendance'!AR122:AR122, "P")+COUNTIF('Detailed Attendance'!BH122:BH122, "P")+COUNTIF('Detailed Attendance'!CB122:CB122, "P")+COUNTIF('Detailed Attendance'!CF122:CF122, "P")+COUNTIF('Detailed Attendance'!CY122:CY122, "P")</f>
        <v/>
      </c>
      <c r="AI121" s="67">
        <f>COUNTIF('Detailed Attendance'!T122:T122, "A")+COUNTIF('Detailed Attendance'!AN122:AN122, "A")+COUNTIF('Detailed Attendance'!AR122:AR122, "A")+COUNTIF('Detailed Attendance'!BH122:BH122, "A")+COUNTIF('Detailed Attendance'!CB122:CB122, "A")+COUNTIF('Detailed Attendance'!CF122:CF122, "A")+COUNTIF('Detailed Attendance'!CY122:CY122, "A")</f>
        <v/>
      </c>
      <c r="AJ121" s="68">
        <f>IF((AH121+AI121)=0,"", AH121/(AH121+AI121))</f>
        <v/>
      </c>
      <c r="AK121" s="67">
        <f>COUNTIF('Detailed Attendance'!M122:M122, "P")+COUNTIF('Detailed Attendance'!U122:U122, "P")+COUNTIF('Detailed Attendance'!AG122:AG122, "P")+COUNTIF('Detailed Attendance'!AO122:AO122, "P")+COUNTIF('Detailed Attendance'!BA122:BA122, "P")+COUNTIF('Detailed Attendance'!BI122:BI122, "P")+COUNTIF('Detailed Attendance'!BU122:BU122, "P")+COUNTIF('Detailed Attendance'!CC122:CC122, "P")+COUNTIF('Detailed Attendance'!CR122:CR122, "P")+COUNTIF('Detailed Attendance'!CZ122:CZ122, "P")</f>
        <v/>
      </c>
      <c r="AL121" s="67">
        <f>COUNTIF('Detailed Attendance'!M122:M122, "A")+COUNTIF('Detailed Attendance'!U122:U122, "A")+COUNTIF('Detailed Attendance'!AG122:AG122, "A")+COUNTIF('Detailed Attendance'!AO122:AO122, "A")+COUNTIF('Detailed Attendance'!BA122:BA122, "A")+COUNTIF('Detailed Attendance'!BI122:BI122, "A")+COUNTIF('Detailed Attendance'!BU122:BU122, "A")+COUNTIF('Detailed Attendance'!CC122:CC122, "A")+COUNTIF('Detailed Attendance'!CR122:CR122, "A")+COUNTIF('Detailed Attendance'!CZ122:CZ122, "A")</f>
        <v/>
      </c>
      <c r="AM121" s="68">
        <f>IF((AK121+AL121)=0,"", AK121/(AK121+AL121))</f>
        <v/>
      </c>
      <c r="AN121" s="67">
        <f>Y121+AB121+AE121+AH121+AK121</f>
        <v/>
      </c>
      <c r="AO121" s="67">
        <f>Z121+AC121+AF121+AI121+AL121</f>
        <v/>
      </c>
      <c r="AP121" s="68">
        <f>IF((AN121+AO121)=0,"", AN121/(AN121+AO121))</f>
        <v/>
      </c>
      <c r="AQ121" s="69">
        <f>COUNTIF('Detailed Attendance'!CH122:CH122, "P")+COUNTIF('Detailed Attendance'!Y122:Y122, "P")+COUNTIF('Detailed Attendance'!AS122:AS122, "P")+COUNTIF('Detailed Attendance'!BM122:BM122, "P")+COUNTIF('Detailed Attendance'!CJ122:CJ122, "P")+COUNTIF('Detailed Attendance'!AB122:AB122, "P")+COUNTIF('Detailed Attendance'!AV122:AV122, "P")+COUNTIF('Detailed Attendance'!BP122:BP122, "P")+COUNTIF('Detailed Attendance'!CM122:CM122, "P")</f>
        <v/>
      </c>
      <c r="AR121" s="69">
        <f>COUNTIF('Detailed Attendance'!CH122:CH122, "A")+COUNTIF('Detailed Attendance'!Y122:Y122, "A")+COUNTIF('Detailed Attendance'!AS122:AS122, "A")+COUNTIF('Detailed Attendance'!BM122:BM122, "A")+COUNTIF('Detailed Attendance'!CJ122:CJ122, "A")+COUNTIF('Detailed Attendance'!AB122:AB122, "A")+COUNTIF('Detailed Attendance'!AV122:AV122, "A")+COUNTIF('Detailed Attendance'!BP122:BP122, "A")+COUNTIF('Detailed Attendance'!CM122:CM122, "A")</f>
        <v/>
      </c>
      <c r="AS121" s="70">
        <f>IF((AQ121+AR121)=0,"", AQ121/(AQ121+AR121))</f>
        <v/>
      </c>
      <c r="AT121" s="67">
        <f>COUNTIF('Detailed Attendance'!DF122:DF122, "P")+COUNTIF('Detailed Attendance'!DT122:DT122, "P")+COUNTIF('Detailed Attendance'!EC122:EC122, "P")+COUNTIF('Detailed Attendance'!EQ122:EQ122, "P")+COUNTIF('Detailed Attendance'!EW122:EW122, "P")+COUNTIF('Detailed Attendance'!FK122:FK122, "P")+COUNTIF('Detailed Attendance'!FM122:FM122, "P")+COUNTIF('Detailed Attendance'!GA122:GA122, "P")</f>
        <v/>
      </c>
      <c r="AU121" s="67">
        <f>COUNTIF('Detailed Attendance'!DF122:DF122, "A")+COUNTIF('Detailed Attendance'!DT122:DT122, "A")+COUNTIF('Detailed Attendance'!EC122:EC122, "A")+COUNTIF('Detailed Attendance'!EQ122:EQ122, "A")+COUNTIF('Detailed Attendance'!EW122:EW122, "A")+COUNTIF('Detailed Attendance'!FK122:FK122, "A")+COUNTIF('Detailed Attendance'!FM122:FM122, "A")+COUNTIF('Detailed Attendance'!GA122:GA122, "A")</f>
        <v/>
      </c>
      <c r="AV121" s="68">
        <f>IF((AT121+AU121)=0,"", AT121/(AT121+AU121))</f>
        <v/>
      </c>
      <c r="AW121" s="67">
        <f>COUNTIF('Detailed Attendance'!DK122:DK122, "P")+COUNTIF('Detailed Attendance'!DS122:DS122, "P")+COUNTIF('Detailed Attendance'!EH122:EH122, "P")+COUNTIF('Detailed Attendance'!EP122:EP122, "P")+COUNTIF('Detailed Attendance'!FB122:FB122, "P")+COUNTIF('Detailed Attendance'!FJ122:FJ122, "P")+COUNTIF('Detailed Attendance'!FR122:FR122, "P")+COUNTIF('Detailed Attendance'!FZ122:FZ122, "P")</f>
        <v/>
      </c>
      <c r="AX121" s="67">
        <f>COUNTIF('Detailed Attendance'!DK122:DK122, "A")+COUNTIF('Detailed Attendance'!DS122:DS122, "A")+COUNTIF('Detailed Attendance'!EH122:EH122, "A")+COUNTIF('Detailed Attendance'!EP122:EP122, "A")+COUNTIF('Detailed Attendance'!FB122:FB122, "A")+COUNTIF('Detailed Attendance'!FJ122:FJ122, "A")+COUNTIF('Detailed Attendance'!FR122:FR122, "A")+COUNTIF('Detailed Attendance'!FZ122:FZ122, "A")</f>
        <v/>
      </c>
      <c r="AY121" s="68">
        <f>IF((AW121+AX121)=0,"", AW121/(AW121+AX121))</f>
        <v/>
      </c>
      <c r="AZ121" s="67">
        <f>COUNTIF('Detailed Attendance'!DN122:DN122, "P")+COUNTIF('Detailed Attendance'!DR122:DR122, "P")+COUNTIF('Detailed Attendance'!EK122:EK122, "P")+COUNTIF('Detailed Attendance'!EO122:EO122, "P")+COUNTIF('Detailed Attendance'!FE122:FE122, "P")+COUNTIF('Detailed Attendance'!FI122:FI122, "P")+COUNTIF('Detailed Attendance'!FU122:FU122, "P")+COUNTIF('Detailed Attendance'!FY122:FY122, "P")</f>
        <v/>
      </c>
      <c r="BA121" s="67">
        <f>COUNTIF('Detailed Attendance'!DN122:DN122, "A")+COUNTIF('Detailed Attendance'!DR122:DR122, "A")+COUNTIF('Detailed Attendance'!EK122:EK122, "A")+COUNTIF('Detailed Attendance'!EO122:EO122, "A")+COUNTIF('Detailed Attendance'!FE122:FE122, "A")+COUNTIF('Detailed Attendance'!FI122:FI122, "A")+COUNTIF('Detailed Attendance'!FU122:FU122, "A")+COUNTIF('Detailed Attendance'!FY122:FY122, "A")</f>
        <v/>
      </c>
      <c r="BB121" s="68">
        <f>IF((AZ121+BA121)=0,"", AZ121/(AZ121+BA121))</f>
        <v/>
      </c>
      <c r="BC121" s="67">
        <f>COUNTIF('Detailed Attendance'!DC122:DC122, "P")+COUNTIF('Detailed Attendance'!DV122:DV122, "P")+COUNTIF('Detailed Attendance'!DZ122:DZ122, "P")+COUNTIF('Detailed Attendance'!ES122:ES122, "P")+COUNTIF('Detailed Attendance'!GC122:GC122, "P")+COUNTIF('Detailed Attendance'!GG122:GG122, "P")</f>
        <v/>
      </c>
      <c r="BD121" s="67">
        <f>COUNTIF('Detailed Attendance'!DC122:DC122, "A")+COUNTIF('Detailed Attendance'!DV122:DV122, "A")+COUNTIF('Detailed Attendance'!DZ122:DZ122, "A")+COUNTIF('Detailed Attendance'!ES122:ES122, "A")+COUNTIF('Detailed Attendance'!GC122:GC122, "A")+COUNTIF('Detailed Attendance'!GG122:GG122, "A")</f>
        <v/>
      </c>
      <c r="BE121" s="68">
        <f>IF((BC121+BD121)=0,"", BC121/(BC121+BD121))</f>
        <v/>
      </c>
      <c r="BF121" s="67">
        <f>COUNTIF('Detailed Attendance'!DO122:DO122, "P")+COUNTIF('Detailed Attendance'!DW122:DW122, "P")+COUNTIF('Detailed Attendance'!EL122:EL122, "P")+COUNTIF('Detailed Attendance'!ET122:ET122, "P")+COUNTIF('Detailed Attendance'!FF122:FF122, "P")+COUNTIF('Detailed Attendance'!FV122:FV122, "P")+COUNTIF('Detailed Attendance'!GD122:GD122, "P")</f>
        <v/>
      </c>
      <c r="BG121" s="67">
        <f>COUNTIF('Detailed Attendance'!DO122:DO122, "A")+COUNTIF('Detailed Attendance'!DW122:DW122, "A")+COUNTIF('Detailed Attendance'!EL122:EL122, "A")+COUNTIF('Detailed Attendance'!ET122:ET122, "A")+COUNTIF('Detailed Attendance'!FF122:FF122, "A")+COUNTIF('Detailed Attendance'!FV122:FV122, "A")+COUNTIF('Detailed Attendance'!GD122:GD122, "A")</f>
        <v/>
      </c>
      <c r="BH121" s="68">
        <f>IF((BF121+BG121)=0,"", BF121/(BF121+BG121))</f>
        <v/>
      </c>
      <c r="BI121" s="67">
        <f>AT121+AW121+AZ121+BC121+BF121</f>
        <v/>
      </c>
      <c r="BJ121" s="67">
        <f>AU121+AX121+BA121+BD121+BG121</f>
        <v/>
      </c>
      <c r="BK121" s="68">
        <f>IF((BI121+BJ121)=0,"", BI121/(BI121+BJ121))</f>
        <v/>
      </c>
      <c r="BL121" s="69">
        <f>COUNTIF('Detailed Attendance'!DE122:DE122, "P")+COUNTIF('Detailed Attendance'!EB122:EB122, "P")+COUNTIF('Detailed Attendance'!GI122:GI122, "P")+COUNTIF('Detailed Attendance'!DG122:DG122, "P")+COUNTIF('Detailed Attendance'!ED122:ED122, "P")+COUNTIF('Detailed Attendance'!EX122:EX122, "P")+COUNTIF('Detailed Attendance'!FN122:FN122, "P")+COUNTIF('Detailed Attendance'!DJ122:DJ122, "P")+COUNTIF('Detailed Attendance'!EG122:EG122, "P")+COUNTIF('Detailed Attendance'!FA122:FA122, "P")+COUNTIF('Detailed Attendance'!FQ122:FQ122, "P")</f>
        <v/>
      </c>
      <c r="BM121" s="69">
        <f>COUNTIF('Detailed Attendance'!DE122:DE122, "A")+COUNTIF('Detailed Attendance'!EB122:EB122, "A")+COUNTIF('Detailed Attendance'!GI122:GI122, "A")+COUNTIF('Detailed Attendance'!DG122:DG122, "A")+COUNTIF('Detailed Attendance'!ED122:ED122, "A")+COUNTIF('Detailed Attendance'!EX122:EX122, "A")+COUNTIF('Detailed Attendance'!FN122:FN122, "A")+COUNTIF('Detailed Attendance'!DJ122:DJ122, "A")+COUNTIF('Detailed Attendance'!EG122:EG122, "A")+COUNTIF('Detailed Attendance'!FA122:FA122, "A")+COUNTIF('Detailed Attendance'!FQ122:FQ122, "A")</f>
        <v/>
      </c>
      <c r="BN121" s="70">
        <f>IF((BL121+BM121)=0,"", BL121/(BL121+BM121))</f>
        <v/>
      </c>
      <c r="BO121" s="67">
        <f>D121+Y121+AT121</f>
        <v/>
      </c>
      <c r="BP121" s="67">
        <f>E121+Z121+AU121</f>
        <v/>
      </c>
      <c r="BQ121" s="68">
        <f>IF((BO121+BP121)=0,"", BO121/(BO121+BP121))</f>
        <v/>
      </c>
      <c r="BR121" s="67">
        <f>G121+AB121+AW121</f>
        <v/>
      </c>
      <c r="BS121" s="67">
        <f>H121+AC121+AX121</f>
        <v/>
      </c>
      <c r="BT121" s="68">
        <f>IF((BR121+BS121)=0,"", BR121/(BR121+BS121))</f>
        <v/>
      </c>
      <c r="BU121" s="67">
        <f>J121+AE121+AZ121</f>
        <v/>
      </c>
      <c r="BV121" s="67">
        <f>K121+AF121+BA121</f>
        <v/>
      </c>
      <c r="BW121" s="68">
        <f>IF((BU121+BV121)=0,"", BU121/(BU121+BV121))</f>
        <v/>
      </c>
      <c r="BX121" s="67">
        <f>M121+AH121+BC121</f>
        <v/>
      </c>
      <c r="BY121" s="67">
        <f>N121+AI121+BD121</f>
        <v/>
      </c>
      <c r="BZ121" s="68">
        <f>IF((BX121+BY121)=0,"", BX121/(BX121+BY121))</f>
        <v/>
      </c>
      <c r="CA121" s="67">
        <f>P121+AK121+BF121</f>
        <v/>
      </c>
      <c r="CB121" s="67">
        <f>Q121+AL121+BG121</f>
        <v/>
      </c>
      <c r="CC121" s="68">
        <f>IF((CA121+CB121)=0,"", CA121/(CA121+CB121))</f>
        <v/>
      </c>
      <c r="CD121" s="67">
        <f>S121+AN121+BI121</f>
        <v/>
      </c>
      <c r="CE121" s="67">
        <f>T121+AO121+BJ121</f>
        <v/>
      </c>
      <c r="CF121" s="68">
        <f>IF((CD121+CE121)=0,"", CD121/(CD121+CE121))</f>
        <v/>
      </c>
      <c r="CG121" s="69">
        <f>V121+AQ121+BL121</f>
        <v/>
      </c>
      <c r="CH121" s="69">
        <f>W121+AR121+BM121</f>
        <v/>
      </c>
      <c r="CI121" s="70">
        <f>IF((CG121+CH121)=0,"", CG121/(CG121+CH121))</f>
        <v/>
      </c>
      <c r="CJ121" s="67">
        <f>CD121+(CG121*2)</f>
        <v/>
      </c>
      <c r="CK121" s="67">
        <f>CE121+(CH121*2)</f>
        <v/>
      </c>
      <c r="CL121" s="68">
        <f>IF((CJ121+CK121)=0,"", CJ121/(CJ121+CK121))</f>
        <v/>
      </c>
      <c r="CM121" s="67" t="inlineStr">
        <is>
          <t>Batch 3</t>
        </is>
      </c>
    </row>
    <row r="122" ht="14.25" customHeight="1" s="34">
      <c r="A122" s="46" t="n">
        <v>120</v>
      </c>
      <c r="B122" s="46" t="inlineStr">
        <is>
          <t>325106410120</t>
        </is>
      </c>
      <c r="C122" s="46" t="inlineStr">
        <is>
          <t>BOTTA LOKESH BABU</t>
        </is>
      </c>
      <c r="D122" s="63" t="n">
        <v>0</v>
      </c>
      <c r="E122" s="63" t="n">
        <v>0</v>
      </c>
      <c r="F122" s="64">
        <f>IF((D122+E122)=0,"", D122/(D122+E122))</f>
        <v/>
      </c>
      <c r="G122" s="63">
        <f>COUNTIF('Detailed Attendance'!I123:I123, "P")</f>
        <v/>
      </c>
      <c r="H122" s="63">
        <f>COUNTIF('Detailed Attendance'!I123:I123, "A")</f>
        <v/>
      </c>
      <c r="I122" s="64">
        <f>IF((G122+H122)=0,"", G122/(G122+H122))</f>
        <v/>
      </c>
      <c r="J122" s="63" t="n">
        <v>0</v>
      </c>
      <c r="K122" s="63" t="n">
        <v>0</v>
      </c>
      <c r="L122" s="64">
        <f>IF((J122+K122)=0,"", J122/(J122+K122))</f>
        <v/>
      </c>
      <c r="M122" s="63">
        <f>COUNTIF('Detailed Attendance'!D123:D123, "P")</f>
        <v/>
      </c>
      <c r="N122" s="63">
        <f>COUNTIF('Detailed Attendance'!D123:D123, "A")</f>
        <v/>
      </c>
      <c r="O122" s="64">
        <f>IF((M122+N122)=0,"", M122/(M122+N122))</f>
        <v/>
      </c>
      <c r="P122" s="63" t="n">
        <v>0</v>
      </c>
      <c r="Q122" s="63" t="n">
        <v>0</v>
      </c>
      <c r="R122" s="64">
        <f>IF((P122+Q122)=0,"", P122/(P122+Q122))</f>
        <v/>
      </c>
      <c r="S122" s="63">
        <f>D122+G122+J122+M122+P122</f>
        <v/>
      </c>
      <c r="T122" s="63">
        <f>E122+H122+K122+N122+Q122</f>
        <v/>
      </c>
      <c r="U122" s="64">
        <f>IF((S122+T122)=0,"", S122/(S122+T122))</f>
        <v/>
      </c>
      <c r="V122" s="65">
        <f>COUNTIF('Detailed Attendance'!E123:E123, "P")+COUNTIF('Detailed Attendance'!H123:H123, "P")</f>
        <v/>
      </c>
      <c r="W122" s="65">
        <f>COUNTIF('Detailed Attendance'!E123:E123, "A")+COUNTIF('Detailed Attendance'!H123:H123, "A")</f>
        <v/>
      </c>
      <c r="X122" s="66">
        <f>IF((V122+W122)=0,"", V122/(V122+W122))</f>
        <v/>
      </c>
      <c r="Y122" s="63">
        <f>COUNTIF('Detailed Attendance'!R123:R123, "P")+COUNTIF('Detailed Attendance'!X123:X123, "P")+COUNTIF('Detailed Attendance'!AL123:AL123, "P")+COUNTIF('Detailed Attendance'!BF123:BF123, "P")+COUNTIF('Detailed Attendance'!BL123:BL123, "P")+COUNTIF('Detailed Attendance'!BZ123:BZ123, "P")+COUNTIF('Detailed Attendance'!CI123:CI123, "P")+COUNTIF('Detailed Attendance'!CW123:CW123, "P")</f>
        <v/>
      </c>
      <c r="Z122" s="63">
        <f>COUNTIF('Detailed Attendance'!R123:R123, "A")+COUNTIF('Detailed Attendance'!X123:X123, "A")+COUNTIF('Detailed Attendance'!AL123:AL123, "A")+COUNTIF('Detailed Attendance'!BF123:BF123, "A")+COUNTIF('Detailed Attendance'!BL123:BL123, "A")+COUNTIF('Detailed Attendance'!BZ123:BZ123, "A")+COUNTIF('Detailed Attendance'!CI123:CI123, "A")+COUNTIF('Detailed Attendance'!CW123:CW123, "A")</f>
        <v/>
      </c>
      <c r="AA122" s="64">
        <f>IF((Y122+Z122)=0,"", Y122/(Y122+Z122))</f>
        <v/>
      </c>
      <c r="AB122" s="63">
        <f>COUNTIF('Detailed Attendance'!Q123:Q123, "P")+COUNTIF('Detailed Attendance'!AC123:AC123, "P")+COUNTIF('Detailed Attendance'!AK123:AK123, "P")+COUNTIF('Detailed Attendance'!AW123:AW123, "P")+COUNTIF('Detailed Attendance'!BE123:BE123, "P")+COUNTIF('Detailed Attendance'!BQ123:BQ123, "P")+COUNTIF('Detailed Attendance'!BY123:BY123, "P")+COUNTIF('Detailed Attendance'!CN123:CN123, "P")+COUNTIF('Detailed Attendance'!CV123:CV123, "P")</f>
        <v/>
      </c>
      <c r="AC122" s="63">
        <f>COUNTIF('Detailed Attendance'!Q123:Q123, "A")+COUNTIF('Detailed Attendance'!AC123:AC123, "A")+COUNTIF('Detailed Attendance'!AK123:AK123, "A")+COUNTIF('Detailed Attendance'!AW123:AW123, "A")+COUNTIF('Detailed Attendance'!BE123:BE123, "A")+COUNTIF('Detailed Attendance'!BQ123:BQ123, "A")+COUNTIF('Detailed Attendance'!BY123:BY123, "A")+COUNTIF('Detailed Attendance'!CN123:CN123, "A")+COUNTIF('Detailed Attendance'!CV123:CV123, "A")</f>
        <v/>
      </c>
      <c r="AD122" s="64">
        <f>IF((AB122+AC122)=0,"", AB122/(AB122+AC122))</f>
        <v/>
      </c>
      <c r="AE122" s="63">
        <f>COUNTIF('Detailed Attendance'!L123:L123, "P")+COUNTIF('Detailed Attendance'!P123:P123, "P")+COUNTIF('Detailed Attendance'!AF123:AF123, "P")+COUNTIF('Detailed Attendance'!AJ123:AJ123, "P")+COUNTIF('Detailed Attendance'!AZ123:AZ123, "P")+COUNTIF('Detailed Attendance'!BD123:BD123, "P")+COUNTIF('Detailed Attendance'!BT123:BT123, "P")+COUNTIF('Detailed Attendance'!BX123:BX123, "P")+COUNTIF('Detailed Attendance'!CQ123:CQ123, "P")+COUNTIF('Detailed Attendance'!CU123:CU123, "P")</f>
        <v/>
      </c>
      <c r="AF122" s="67">
        <f>COUNTIF('Detailed Attendance'!L123:L123, "A")+COUNTIF('Detailed Attendance'!P123:P123, "A")+COUNTIF('Detailed Attendance'!AF123:AF123, "A")+COUNTIF('Detailed Attendance'!AJ123:AJ123, "A")+COUNTIF('Detailed Attendance'!AZ123:AZ123, "A")+COUNTIF('Detailed Attendance'!BD123:BD123, "A")+COUNTIF('Detailed Attendance'!BT123:BT123, "A")+COUNTIF('Detailed Attendance'!BX123:BX123, "A")+COUNTIF('Detailed Attendance'!CQ123:CQ123, "A")+COUNTIF('Detailed Attendance'!CU123:CU123, "A")</f>
        <v/>
      </c>
      <c r="AG122" s="68">
        <f>IF((AE122+AF122)=0,"", AE122/(AE122+AF122))</f>
        <v/>
      </c>
      <c r="AH122" s="67">
        <f>COUNTIF('Detailed Attendance'!T123:T123, "P")+COUNTIF('Detailed Attendance'!AN123:AN123, "P")+COUNTIF('Detailed Attendance'!AR123:AR123, "P")+COUNTIF('Detailed Attendance'!BH123:BH123, "P")+COUNTIF('Detailed Attendance'!CB123:CB123, "P")+COUNTIF('Detailed Attendance'!CF123:CF123, "P")+COUNTIF('Detailed Attendance'!CY123:CY123, "P")</f>
        <v/>
      </c>
      <c r="AI122" s="67">
        <f>COUNTIF('Detailed Attendance'!T123:T123, "A")+COUNTIF('Detailed Attendance'!AN123:AN123, "A")+COUNTIF('Detailed Attendance'!AR123:AR123, "A")+COUNTIF('Detailed Attendance'!BH123:BH123, "A")+COUNTIF('Detailed Attendance'!CB123:CB123, "A")+COUNTIF('Detailed Attendance'!CF123:CF123, "A")+COUNTIF('Detailed Attendance'!CY123:CY123, "A")</f>
        <v/>
      </c>
      <c r="AJ122" s="68">
        <f>IF((AH122+AI122)=0,"", AH122/(AH122+AI122))</f>
        <v/>
      </c>
      <c r="AK122" s="67">
        <f>COUNTIF('Detailed Attendance'!M123:M123, "P")+COUNTIF('Detailed Attendance'!U123:U123, "P")+COUNTIF('Detailed Attendance'!AG123:AG123, "P")+COUNTIF('Detailed Attendance'!AO123:AO123, "P")+COUNTIF('Detailed Attendance'!BA123:BA123, "P")+COUNTIF('Detailed Attendance'!BI123:BI123, "P")+COUNTIF('Detailed Attendance'!BU123:BU123, "P")+COUNTIF('Detailed Attendance'!CC123:CC123, "P")+COUNTIF('Detailed Attendance'!CR123:CR123, "P")+COUNTIF('Detailed Attendance'!CZ123:CZ123, "P")</f>
        <v/>
      </c>
      <c r="AL122" s="67">
        <f>COUNTIF('Detailed Attendance'!M123:M123, "A")+COUNTIF('Detailed Attendance'!U123:U123, "A")+COUNTIF('Detailed Attendance'!AG123:AG123, "A")+COUNTIF('Detailed Attendance'!AO123:AO123, "A")+COUNTIF('Detailed Attendance'!BA123:BA123, "A")+COUNTIF('Detailed Attendance'!BI123:BI123, "A")+COUNTIF('Detailed Attendance'!BU123:BU123, "A")+COUNTIF('Detailed Attendance'!CC123:CC123, "A")+COUNTIF('Detailed Attendance'!CR123:CR123, "A")+COUNTIF('Detailed Attendance'!CZ123:CZ123, "A")</f>
        <v/>
      </c>
      <c r="AM122" s="68">
        <f>IF((AK122+AL122)=0,"", AK122/(AK122+AL122))</f>
        <v/>
      </c>
      <c r="AN122" s="67">
        <f>Y122+AB122+AE122+AH122+AK122</f>
        <v/>
      </c>
      <c r="AO122" s="67">
        <f>Z122+AC122+AF122+AI122+AL122</f>
        <v/>
      </c>
      <c r="AP122" s="68">
        <f>IF((AN122+AO122)=0,"", AN122/(AN122+AO122))</f>
        <v/>
      </c>
      <c r="AQ122" s="69">
        <f>COUNTIF('Detailed Attendance'!CH123:CH123, "P")+COUNTIF('Detailed Attendance'!Y123:Y123, "P")+COUNTIF('Detailed Attendance'!AS123:AS123, "P")+COUNTIF('Detailed Attendance'!BM123:BM123, "P")+COUNTIF('Detailed Attendance'!CJ123:CJ123, "P")+COUNTIF('Detailed Attendance'!AB123:AB123, "P")+COUNTIF('Detailed Attendance'!AV123:AV123, "P")+COUNTIF('Detailed Attendance'!BP123:BP123, "P")+COUNTIF('Detailed Attendance'!CM123:CM123, "P")</f>
        <v/>
      </c>
      <c r="AR122" s="69">
        <f>COUNTIF('Detailed Attendance'!CH123:CH123, "A")+COUNTIF('Detailed Attendance'!Y123:Y123, "A")+COUNTIF('Detailed Attendance'!AS123:AS123, "A")+COUNTIF('Detailed Attendance'!BM123:BM123, "A")+COUNTIF('Detailed Attendance'!CJ123:CJ123, "A")+COUNTIF('Detailed Attendance'!AB123:AB123, "A")+COUNTIF('Detailed Attendance'!AV123:AV123, "A")+COUNTIF('Detailed Attendance'!BP123:BP123, "A")+COUNTIF('Detailed Attendance'!CM123:CM123, "A")</f>
        <v/>
      </c>
      <c r="AS122" s="70">
        <f>IF((AQ122+AR122)=0,"", AQ122/(AQ122+AR122))</f>
        <v/>
      </c>
      <c r="AT122" s="67">
        <f>COUNTIF('Detailed Attendance'!DF123:DF123, "P")+COUNTIF('Detailed Attendance'!DT123:DT123, "P")+COUNTIF('Detailed Attendance'!EC123:EC123, "P")+COUNTIF('Detailed Attendance'!EQ123:EQ123, "P")+COUNTIF('Detailed Attendance'!EW123:EW123, "P")+COUNTIF('Detailed Attendance'!FK123:FK123, "P")+COUNTIF('Detailed Attendance'!FM123:FM123, "P")+COUNTIF('Detailed Attendance'!GA123:GA123, "P")</f>
        <v/>
      </c>
      <c r="AU122" s="67">
        <f>COUNTIF('Detailed Attendance'!DF123:DF123, "A")+COUNTIF('Detailed Attendance'!DT123:DT123, "A")+COUNTIF('Detailed Attendance'!EC123:EC123, "A")+COUNTIF('Detailed Attendance'!EQ123:EQ123, "A")+COUNTIF('Detailed Attendance'!EW123:EW123, "A")+COUNTIF('Detailed Attendance'!FK123:FK123, "A")+COUNTIF('Detailed Attendance'!FM123:FM123, "A")+COUNTIF('Detailed Attendance'!GA123:GA123, "A")</f>
        <v/>
      </c>
      <c r="AV122" s="68">
        <f>IF((AT122+AU122)=0,"", AT122/(AT122+AU122))</f>
        <v/>
      </c>
      <c r="AW122" s="67">
        <f>COUNTIF('Detailed Attendance'!DK123:DK123, "P")+COUNTIF('Detailed Attendance'!DS123:DS123, "P")+COUNTIF('Detailed Attendance'!EH123:EH123, "P")+COUNTIF('Detailed Attendance'!EP123:EP123, "P")+COUNTIF('Detailed Attendance'!FB123:FB123, "P")+COUNTIF('Detailed Attendance'!FJ123:FJ123, "P")+COUNTIF('Detailed Attendance'!FR123:FR123, "P")+COUNTIF('Detailed Attendance'!FZ123:FZ123, "P")</f>
        <v/>
      </c>
      <c r="AX122" s="67">
        <f>COUNTIF('Detailed Attendance'!DK123:DK123, "A")+COUNTIF('Detailed Attendance'!DS123:DS123, "A")+COUNTIF('Detailed Attendance'!EH123:EH123, "A")+COUNTIF('Detailed Attendance'!EP123:EP123, "A")+COUNTIF('Detailed Attendance'!FB123:FB123, "A")+COUNTIF('Detailed Attendance'!FJ123:FJ123, "A")+COUNTIF('Detailed Attendance'!FR123:FR123, "A")+COUNTIF('Detailed Attendance'!FZ123:FZ123, "A")</f>
        <v/>
      </c>
      <c r="AY122" s="68">
        <f>IF((AW122+AX122)=0,"", AW122/(AW122+AX122))</f>
        <v/>
      </c>
      <c r="AZ122" s="67">
        <f>COUNTIF('Detailed Attendance'!DN123:DN123, "P")+COUNTIF('Detailed Attendance'!DR123:DR123, "P")+COUNTIF('Detailed Attendance'!EK123:EK123, "P")+COUNTIF('Detailed Attendance'!EO123:EO123, "P")+COUNTIF('Detailed Attendance'!FE123:FE123, "P")+COUNTIF('Detailed Attendance'!FI123:FI123, "P")+COUNTIF('Detailed Attendance'!FU123:FU123, "P")+COUNTIF('Detailed Attendance'!FY123:FY123, "P")</f>
        <v/>
      </c>
      <c r="BA122" s="67">
        <f>COUNTIF('Detailed Attendance'!DN123:DN123, "A")+COUNTIF('Detailed Attendance'!DR123:DR123, "A")+COUNTIF('Detailed Attendance'!EK123:EK123, "A")+COUNTIF('Detailed Attendance'!EO123:EO123, "A")+COUNTIF('Detailed Attendance'!FE123:FE123, "A")+COUNTIF('Detailed Attendance'!FI123:FI123, "A")+COUNTIF('Detailed Attendance'!FU123:FU123, "A")+COUNTIF('Detailed Attendance'!FY123:FY123, "A")</f>
        <v/>
      </c>
      <c r="BB122" s="68">
        <f>IF((AZ122+BA122)=0,"", AZ122/(AZ122+BA122))</f>
        <v/>
      </c>
      <c r="BC122" s="67">
        <f>COUNTIF('Detailed Attendance'!DC123:DC123, "P")+COUNTIF('Detailed Attendance'!DV123:DV123, "P")+COUNTIF('Detailed Attendance'!DZ123:DZ123, "P")+COUNTIF('Detailed Attendance'!ES123:ES123, "P")+COUNTIF('Detailed Attendance'!GC123:GC123, "P")+COUNTIF('Detailed Attendance'!GG123:GG123, "P")</f>
        <v/>
      </c>
      <c r="BD122" s="67">
        <f>COUNTIF('Detailed Attendance'!DC123:DC123, "A")+COUNTIF('Detailed Attendance'!DV123:DV123, "A")+COUNTIF('Detailed Attendance'!DZ123:DZ123, "A")+COUNTIF('Detailed Attendance'!ES123:ES123, "A")+COUNTIF('Detailed Attendance'!GC123:GC123, "A")+COUNTIF('Detailed Attendance'!GG123:GG123, "A")</f>
        <v/>
      </c>
      <c r="BE122" s="68">
        <f>IF((BC122+BD122)=0,"", BC122/(BC122+BD122))</f>
        <v/>
      </c>
      <c r="BF122" s="67">
        <f>COUNTIF('Detailed Attendance'!DO123:DO123, "P")+COUNTIF('Detailed Attendance'!DW123:DW123, "P")+COUNTIF('Detailed Attendance'!EL123:EL123, "P")+COUNTIF('Detailed Attendance'!ET123:ET123, "P")+COUNTIF('Detailed Attendance'!FF123:FF123, "P")+COUNTIF('Detailed Attendance'!FV123:FV123, "P")+COUNTIF('Detailed Attendance'!GD123:GD123, "P")</f>
        <v/>
      </c>
      <c r="BG122" s="67">
        <f>COUNTIF('Detailed Attendance'!DO123:DO123, "A")+COUNTIF('Detailed Attendance'!DW123:DW123, "A")+COUNTIF('Detailed Attendance'!EL123:EL123, "A")+COUNTIF('Detailed Attendance'!ET123:ET123, "A")+COUNTIF('Detailed Attendance'!FF123:FF123, "A")+COUNTIF('Detailed Attendance'!FV123:FV123, "A")+COUNTIF('Detailed Attendance'!GD123:GD123, "A")</f>
        <v/>
      </c>
      <c r="BH122" s="68">
        <f>IF((BF122+BG122)=0,"", BF122/(BF122+BG122))</f>
        <v/>
      </c>
      <c r="BI122" s="67">
        <f>AT122+AW122+AZ122+BC122+BF122</f>
        <v/>
      </c>
      <c r="BJ122" s="67">
        <f>AU122+AX122+BA122+BD122+BG122</f>
        <v/>
      </c>
      <c r="BK122" s="68">
        <f>IF((BI122+BJ122)=0,"", BI122/(BI122+BJ122))</f>
        <v/>
      </c>
      <c r="BL122" s="69">
        <f>COUNTIF('Detailed Attendance'!DE123:DE123, "P")+COUNTIF('Detailed Attendance'!EB123:EB123, "P")+COUNTIF('Detailed Attendance'!GI123:GI123, "P")+COUNTIF('Detailed Attendance'!DG123:DG123, "P")+COUNTIF('Detailed Attendance'!ED123:ED123, "P")+COUNTIF('Detailed Attendance'!EX123:EX123, "P")+COUNTIF('Detailed Attendance'!FN123:FN123, "P")+COUNTIF('Detailed Attendance'!DJ123:DJ123, "P")+COUNTIF('Detailed Attendance'!EG123:EG123, "P")+COUNTIF('Detailed Attendance'!FA123:FA123, "P")+COUNTIF('Detailed Attendance'!FQ123:FQ123, "P")</f>
        <v/>
      </c>
      <c r="BM122" s="69">
        <f>COUNTIF('Detailed Attendance'!DE123:DE123, "A")+COUNTIF('Detailed Attendance'!EB123:EB123, "A")+COUNTIF('Detailed Attendance'!GI123:GI123, "A")+COUNTIF('Detailed Attendance'!DG123:DG123, "A")+COUNTIF('Detailed Attendance'!ED123:ED123, "A")+COUNTIF('Detailed Attendance'!EX123:EX123, "A")+COUNTIF('Detailed Attendance'!FN123:FN123, "A")+COUNTIF('Detailed Attendance'!DJ123:DJ123, "A")+COUNTIF('Detailed Attendance'!EG123:EG123, "A")+COUNTIF('Detailed Attendance'!FA123:FA123, "A")+COUNTIF('Detailed Attendance'!FQ123:FQ123, "A")</f>
        <v/>
      </c>
      <c r="BN122" s="70">
        <f>IF((BL122+BM122)=0,"", BL122/(BL122+BM122))</f>
        <v/>
      </c>
      <c r="BO122" s="67">
        <f>D122+Y122+AT122</f>
        <v/>
      </c>
      <c r="BP122" s="67">
        <f>E122+Z122+AU122</f>
        <v/>
      </c>
      <c r="BQ122" s="68">
        <f>IF((BO122+BP122)=0,"", BO122/(BO122+BP122))</f>
        <v/>
      </c>
      <c r="BR122" s="67">
        <f>G122+AB122+AW122</f>
        <v/>
      </c>
      <c r="BS122" s="67">
        <f>H122+AC122+AX122</f>
        <v/>
      </c>
      <c r="BT122" s="68">
        <f>IF((BR122+BS122)=0,"", BR122/(BR122+BS122))</f>
        <v/>
      </c>
      <c r="BU122" s="67">
        <f>J122+AE122+AZ122</f>
        <v/>
      </c>
      <c r="BV122" s="67">
        <f>K122+AF122+BA122</f>
        <v/>
      </c>
      <c r="BW122" s="68">
        <f>IF((BU122+BV122)=0,"", BU122/(BU122+BV122))</f>
        <v/>
      </c>
      <c r="BX122" s="67">
        <f>M122+AH122+BC122</f>
        <v/>
      </c>
      <c r="BY122" s="67">
        <f>N122+AI122+BD122</f>
        <v/>
      </c>
      <c r="BZ122" s="68">
        <f>IF((BX122+BY122)=0,"", BX122/(BX122+BY122))</f>
        <v/>
      </c>
      <c r="CA122" s="67">
        <f>P122+AK122+BF122</f>
        <v/>
      </c>
      <c r="CB122" s="67">
        <f>Q122+AL122+BG122</f>
        <v/>
      </c>
      <c r="CC122" s="68">
        <f>IF((CA122+CB122)=0,"", CA122/(CA122+CB122))</f>
        <v/>
      </c>
      <c r="CD122" s="67">
        <f>S122+AN122+BI122</f>
        <v/>
      </c>
      <c r="CE122" s="67">
        <f>T122+AO122+BJ122</f>
        <v/>
      </c>
      <c r="CF122" s="68">
        <f>IF((CD122+CE122)=0,"", CD122/(CD122+CE122))</f>
        <v/>
      </c>
      <c r="CG122" s="69">
        <f>V122+AQ122+BL122</f>
        <v/>
      </c>
      <c r="CH122" s="69">
        <f>W122+AR122+BM122</f>
        <v/>
      </c>
      <c r="CI122" s="70">
        <f>IF((CG122+CH122)=0,"", CG122/(CG122+CH122))</f>
        <v/>
      </c>
      <c r="CJ122" s="67">
        <f>CD122+(CG122*2)</f>
        <v/>
      </c>
      <c r="CK122" s="67">
        <f>CE122+(CH122*2)</f>
        <v/>
      </c>
      <c r="CL122" s="68">
        <f>IF((CJ122+CK122)=0,"", CJ122/(CJ122+CK122))</f>
        <v/>
      </c>
      <c r="CM122" s="67" t="inlineStr">
        <is>
          <t>Batch 3</t>
        </is>
      </c>
    </row>
    <row r="123" ht="14.25" customHeight="1" s="34">
      <c r="A123" s="46" t="n">
        <v>121</v>
      </c>
      <c r="B123" s="46" t="inlineStr">
        <is>
          <t>325106410121</t>
        </is>
      </c>
      <c r="C123" s="46" t="inlineStr">
        <is>
          <t>MADDULA SRAVAN KUMAR</t>
        </is>
      </c>
      <c r="D123" s="63" t="n">
        <v>0</v>
      </c>
      <c r="E123" s="63" t="n">
        <v>0</v>
      </c>
      <c r="F123" s="64">
        <f>IF((D123+E123)=0,"", D123/(D123+E123))</f>
        <v/>
      </c>
      <c r="G123" s="63">
        <f>COUNTIF('Detailed Attendance'!I124:I124, "P")</f>
        <v/>
      </c>
      <c r="H123" s="63">
        <f>COUNTIF('Detailed Attendance'!I124:I124, "A")</f>
        <v/>
      </c>
      <c r="I123" s="64">
        <f>IF((G123+H123)=0,"", G123/(G123+H123))</f>
        <v/>
      </c>
      <c r="J123" s="63" t="n">
        <v>0</v>
      </c>
      <c r="K123" s="63" t="n">
        <v>0</v>
      </c>
      <c r="L123" s="64">
        <f>IF((J123+K123)=0,"", J123/(J123+K123))</f>
        <v/>
      </c>
      <c r="M123" s="63">
        <f>COUNTIF('Detailed Attendance'!D124:D124, "P")</f>
        <v/>
      </c>
      <c r="N123" s="63">
        <f>COUNTIF('Detailed Attendance'!D124:D124, "A")</f>
        <v/>
      </c>
      <c r="O123" s="64">
        <f>IF((M123+N123)=0,"", M123/(M123+N123))</f>
        <v/>
      </c>
      <c r="P123" s="63" t="n">
        <v>0</v>
      </c>
      <c r="Q123" s="63" t="n">
        <v>0</v>
      </c>
      <c r="R123" s="64">
        <f>IF((P123+Q123)=0,"", P123/(P123+Q123))</f>
        <v/>
      </c>
      <c r="S123" s="63">
        <f>D123+G123+J123+M123+P123</f>
        <v/>
      </c>
      <c r="T123" s="63">
        <f>E123+H123+K123+N123+Q123</f>
        <v/>
      </c>
      <c r="U123" s="64">
        <f>IF((S123+T123)=0,"", S123/(S123+T123))</f>
        <v/>
      </c>
      <c r="V123" s="65">
        <f>COUNTIF('Detailed Attendance'!E124:E124, "P")+COUNTIF('Detailed Attendance'!H124:H124, "P")</f>
        <v/>
      </c>
      <c r="W123" s="65">
        <f>COUNTIF('Detailed Attendance'!E124:E124, "A")+COUNTIF('Detailed Attendance'!H124:H124, "A")</f>
        <v/>
      </c>
      <c r="X123" s="66">
        <f>IF((V123+W123)=0,"", V123/(V123+W123))</f>
        <v/>
      </c>
      <c r="Y123" s="63">
        <f>COUNTIF('Detailed Attendance'!R124:R124, "P")+COUNTIF('Detailed Attendance'!X124:X124, "P")+COUNTIF('Detailed Attendance'!AL124:AL124, "P")+COUNTIF('Detailed Attendance'!BF124:BF124, "P")+COUNTIF('Detailed Attendance'!BL124:BL124, "P")+COUNTIF('Detailed Attendance'!BZ124:BZ124, "P")+COUNTIF('Detailed Attendance'!CI124:CI124, "P")+COUNTIF('Detailed Attendance'!CW124:CW124, "P")</f>
        <v/>
      </c>
      <c r="Z123" s="63">
        <f>COUNTIF('Detailed Attendance'!R124:R124, "A")+COUNTIF('Detailed Attendance'!X124:X124, "A")+COUNTIF('Detailed Attendance'!AL124:AL124, "A")+COUNTIF('Detailed Attendance'!BF124:BF124, "A")+COUNTIF('Detailed Attendance'!BL124:BL124, "A")+COUNTIF('Detailed Attendance'!BZ124:BZ124, "A")+COUNTIF('Detailed Attendance'!CI124:CI124, "A")+COUNTIF('Detailed Attendance'!CW124:CW124, "A")</f>
        <v/>
      </c>
      <c r="AA123" s="64">
        <f>IF((Y123+Z123)=0,"", Y123/(Y123+Z123))</f>
        <v/>
      </c>
      <c r="AB123" s="63">
        <f>COUNTIF('Detailed Attendance'!Q124:Q124, "P")+COUNTIF('Detailed Attendance'!AC124:AC124, "P")+COUNTIF('Detailed Attendance'!AK124:AK124, "P")+COUNTIF('Detailed Attendance'!AW124:AW124, "P")+COUNTIF('Detailed Attendance'!BE124:BE124, "P")+COUNTIF('Detailed Attendance'!BQ124:BQ124, "P")+COUNTIF('Detailed Attendance'!BY124:BY124, "P")+COUNTIF('Detailed Attendance'!CN124:CN124, "P")+COUNTIF('Detailed Attendance'!CV124:CV124, "P")</f>
        <v/>
      </c>
      <c r="AC123" s="63">
        <f>COUNTIF('Detailed Attendance'!Q124:Q124, "A")+COUNTIF('Detailed Attendance'!AC124:AC124, "A")+COUNTIF('Detailed Attendance'!AK124:AK124, "A")+COUNTIF('Detailed Attendance'!AW124:AW124, "A")+COUNTIF('Detailed Attendance'!BE124:BE124, "A")+COUNTIF('Detailed Attendance'!BQ124:BQ124, "A")+COUNTIF('Detailed Attendance'!BY124:BY124, "A")+COUNTIF('Detailed Attendance'!CN124:CN124, "A")+COUNTIF('Detailed Attendance'!CV124:CV124, "A")</f>
        <v/>
      </c>
      <c r="AD123" s="64">
        <f>IF((AB123+AC123)=0,"", AB123/(AB123+AC123))</f>
        <v/>
      </c>
      <c r="AE123" s="63">
        <f>COUNTIF('Detailed Attendance'!L124:L124, "P")+COUNTIF('Detailed Attendance'!P124:P124, "P")+COUNTIF('Detailed Attendance'!AF124:AF124, "P")+COUNTIF('Detailed Attendance'!AJ124:AJ124, "P")+COUNTIF('Detailed Attendance'!AZ124:AZ124, "P")+COUNTIF('Detailed Attendance'!BD124:BD124, "P")+COUNTIF('Detailed Attendance'!BT124:BT124, "P")+COUNTIF('Detailed Attendance'!BX124:BX124, "P")+COUNTIF('Detailed Attendance'!CQ124:CQ124, "P")+COUNTIF('Detailed Attendance'!CU124:CU124, "P")</f>
        <v/>
      </c>
      <c r="AF123" s="67">
        <f>COUNTIF('Detailed Attendance'!L124:L124, "A")+COUNTIF('Detailed Attendance'!P124:P124, "A")+COUNTIF('Detailed Attendance'!AF124:AF124, "A")+COUNTIF('Detailed Attendance'!AJ124:AJ124, "A")+COUNTIF('Detailed Attendance'!AZ124:AZ124, "A")+COUNTIF('Detailed Attendance'!BD124:BD124, "A")+COUNTIF('Detailed Attendance'!BT124:BT124, "A")+COUNTIF('Detailed Attendance'!BX124:BX124, "A")+COUNTIF('Detailed Attendance'!CQ124:CQ124, "A")+COUNTIF('Detailed Attendance'!CU124:CU124, "A")</f>
        <v/>
      </c>
      <c r="AG123" s="68">
        <f>IF((AE123+AF123)=0,"", AE123/(AE123+AF123))</f>
        <v/>
      </c>
      <c r="AH123" s="67">
        <f>COUNTIF('Detailed Attendance'!T124:T124, "P")+COUNTIF('Detailed Attendance'!AN124:AN124, "P")+COUNTIF('Detailed Attendance'!AR124:AR124, "P")+COUNTIF('Detailed Attendance'!BH124:BH124, "P")+COUNTIF('Detailed Attendance'!CB124:CB124, "P")+COUNTIF('Detailed Attendance'!CF124:CF124, "P")+COUNTIF('Detailed Attendance'!CY124:CY124, "P")</f>
        <v/>
      </c>
      <c r="AI123" s="67">
        <f>COUNTIF('Detailed Attendance'!T124:T124, "A")+COUNTIF('Detailed Attendance'!AN124:AN124, "A")+COUNTIF('Detailed Attendance'!AR124:AR124, "A")+COUNTIF('Detailed Attendance'!BH124:BH124, "A")+COUNTIF('Detailed Attendance'!CB124:CB124, "A")+COUNTIF('Detailed Attendance'!CF124:CF124, "A")+COUNTIF('Detailed Attendance'!CY124:CY124, "A")</f>
        <v/>
      </c>
      <c r="AJ123" s="68">
        <f>IF((AH123+AI123)=0,"", AH123/(AH123+AI123))</f>
        <v/>
      </c>
      <c r="AK123" s="67">
        <f>COUNTIF('Detailed Attendance'!M124:M124, "P")+COUNTIF('Detailed Attendance'!U124:U124, "P")+COUNTIF('Detailed Attendance'!AG124:AG124, "P")+COUNTIF('Detailed Attendance'!AO124:AO124, "P")+COUNTIF('Detailed Attendance'!BA124:BA124, "P")+COUNTIF('Detailed Attendance'!BI124:BI124, "P")+COUNTIF('Detailed Attendance'!BU124:BU124, "P")+COUNTIF('Detailed Attendance'!CC124:CC124, "P")+COUNTIF('Detailed Attendance'!CR124:CR124, "P")+COUNTIF('Detailed Attendance'!CZ124:CZ124, "P")</f>
        <v/>
      </c>
      <c r="AL123" s="67">
        <f>COUNTIF('Detailed Attendance'!M124:M124, "A")+COUNTIF('Detailed Attendance'!U124:U124, "A")+COUNTIF('Detailed Attendance'!AG124:AG124, "A")+COUNTIF('Detailed Attendance'!AO124:AO124, "A")+COUNTIF('Detailed Attendance'!BA124:BA124, "A")+COUNTIF('Detailed Attendance'!BI124:BI124, "A")+COUNTIF('Detailed Attendance'!BU124:BU124, "A")+COUNTIF('Detailed Attendance'!CC124:CC124, "A")+COUNTIF('Detailed Attendance'!CR124:CR124, "A")+COUNTIF('Detailed Attendance'!CZ124:CZ124, "A")</f>
        <v/>
      </c>
      <c r="AM123" s="68">
        <f>IF((AK123+AL123)=0,"", AK123/(AK123+AL123))</f>
        <v/>
      </c>
      <c r="AN123" s="67">
        <f>Y123+AB123+AE123+AH123+AK123</f>
        <v/>
      </c>
      <c r="AO123" s="67">
        <f>Z123+AC123+AF123+AI123+AL123</f>
        <v/>
      </c>
      <c r="AP123" s="68">
        <f>IF((AN123+AO123)=0,"", AN123/(AN123+AO123))</f>
        <v/>
      </c>
      <c r="AQ123" s="69">
        <f>COUNTIF('Detailed Attendance'!CH124:CH124, "P")+COUNTIF('Detailed Attendance'!Y124:Y124, "P")+COUNTIF('Detailed Attendance'!AS124:AS124, "P")+COUNTIF('Detailed Attendance'!BM124:BM124, "P")+COUNTIF('Detailed Attendance'!CJ124:CJ124, "P")+COUNTIF('Detailed Attendance'!AB124:AB124, "P")+COUNTIF('Detailed Attendance'!AV124:AV124, "P")+COUNTIF('Detailed Attendance'!BP124:BP124, "P")+COUNTIF('Detailed Attendance'!CM124:CM124, "P")</f>
        <v/>
      </c>
      <c r="AR123" s="69">
        <f>COUNTIF('Detailed Attendance'!CH124:CH124, "A")+COUNTIF('Detailed Attendance'!Y124:Y124, "A")+COUNTIF('Detailed Attendance'!AS124:AS124, "A")+COUNTIF('Detailed Attendance'!BM124:BM124, "A")+COUNTIF('Detailed Attendance'!CJ124:CJ124, "A")+COUNTIF('Detailed Attendance'!AB124:AB124, "A")+COUNTIF('Detailed Attendance'!AV124:AV124, "A")+COUNTIF('Detailed Attendance'!BP124:BP124, "A")+COUNTIF('Detailed Attendance'!CM124:CM124, "A")</f>
        <v/>
      </c>
      <c r="AS123" s="70">
        <f>IF((AQ123+AR123)=0,"", AQ123/(AQ123+AR123))</f>
        <v/>
      </c>
      <c r="AT123" s="67">
        <f>COUNTIF('Detailed Attendance'!DF124:DF124, "P")+COUNTIF('Detailed Attendance'!DT124:DT124, "P")+COUNTIF('Detailed Attendance'!EC124:EC124, "P")+COUNTIF('Detailed Attendance'!EQ124:EQ124, "P")+COUNTIF('Detailed Attendance'!EW124:EW124, "P")+COUNTIF('Detailed Attendance'!FK124:FK124, "P")+COUNTIF('Detailed Attendance'!FM124:FM124, "P")+COUNTIF('Detailed Attendance'!GA124:GA124, "P")</f>
        <v/>
      </c>
      <c r="AU123" s="67">
        <f>COUNTIF('Detailed Attendance'!DF124:DF124, "A")+COUNTIF('Detailed Attendance'!DT124:DT124, "A")+COUNTIF('Detailed Attendance'!EC124:EC124, "A")+COUNTIF('Detailed Attendance'!EQ124:EQ124, "A")+COUNTIF('Detailed Attendance'!EW124:EW124, "A")+COUNTIF('Detailed Attendance'!FK124:FK124, "A")+COUNTIF('Detailed Attendance'!FM124:FM124, "A")+COUNTIF('Detailed Attendance'!GA124:GA124, "A")</f>
        <v/>
      </c>
      <c r="AV123" s="68">
        <f>IF((AT123+AU123)=0,"", AT123/(AT123+AU123))</f>
        <v/>
      </c>
      <c r="AW123" s="67">
        <f>COUNTIF('Detailed Attendance'!DK124:DK124, "P")+COUNTIF('Detailed Attendance'!DS124:DS124, "P")+COUNTIF('Detailed Attendance'!EH124:EH124, "P")+COUNTIF('Detailed Attendance'!EP124:EP124, "P")+COUNTIF('Detailed Attendance'!FB124:FB124, "P")+COUNTIF('Detailed Attendance'!FJ124:FJ124, "P")+COUNTIF('Detailed Attendance'!FR124:FR124, "P")+COUNTIF('Detailed Attendance'!FZ124:FZ124, "P")</f>
        <v/>
      </c>
      <c r="AX123" s="67">
        <f>COUNTIF('Detailed Attendance'!DK124:DK124, "A")+COUNTIF('Detailed Attendance'!DS124:DS124, "A")+COUNTIF('Detailed Attendance'!EH124:EH124, "A")+COUNTIF('Detailed Attendance'!EP124:EP124, "A")+COUNTIF('Detailed Attendance'!FB124:FB124, "A")+COUNTIF('Detailed Attendance'!FJ124:FJ124, "A")+COUNTIF('Detailed Attendance'!FR124:FR124, "A")+COUNTIF('Detailed Attendance'!FZ124:FZ124, "A")</f>
        <v/>
      </c>
      <c r="AY123" s="68">
        <f>IF((AW123+AX123)=0,"", AW123/(AW123+AX123))</f>
        <v/>
      </c>
      <c r="AZ123" s="67">
        <f>COUNTIF('Detailed Attendance'!DN124:DN124, "P")+COUNTIF('Detailed Attendance'!DR124:DR124, "P")+COUNTIF('Detailed Attendance'!EK124:EK124, "P")+COUNTIF('Detailed Attendance'!EO124:EO124, "P")+COUNTIF('Detailed Attendance'!FE124:FE124, "P")+COUNTIF('Detailed Attendance'!FI124:FI124, "P")+COUNTIF('Detailed Attendance'!FU124:FU124, "P")+COUNTIF('Detailed Attendance'!FY124:FY124, "P")</f>
        <v/>
      </c>
      <c r="BA123" s="67">
        <f>COUNTIF('Detailed Attendance'!DN124:DN124, "A")+COUNTIF('Detailed Attendance'!DR124:DR124, "A")+COUNTIF('Detailed Attendance'!EK124:EK124, "A")+COUNTIF('Detailed Attendance'!EO124:EO124, "A")+COUNTIF('Detailed Attendance'!FE124:FE124, "A")+COUNTIF('Detailed Attendance'!FI124:FI124, "A")+COUNTIF('Detailed Attendance'!FU124:FU124, "A")+COUNTIF('Detailed Attendance'!FY124:FY124, "A")</f>
        <v/>
      </c>
      <c r="BB123" s="68">
        <f>IF((AZ123+BA123)=0,"", AZ123/(AZ123+BA123))</f>
        <v/>
      </c>
      <c r="BC123" s="67">
        <f>COUNTIF('Detailed Attendance'!DC124:DC124, "P")+COUNTIF('Detailed Attendance'!DV124:DV124, "P")+COUNTIF('Detailed Attendance'!DZ124:DZ124, "P")+COUNTIF('Detailed Attendance'!ES124:ES124, "P")+COUNTIF('Detailed Attendance'!GC124:GC124, "P")+COUNTIF('Detailed Attendance'!GG124:GG124, "P")</f>
        <v/>
      </c>
      <c r="BD123" s="67">
        <f>COUNTIF('Detailed Attendance'!DC124:DC124, "A")+COUNTIF('Detailed Attendance'!DV124:DV124, "A")+COUNTIF('Detailed Attendance'!DZ124:DZ124, "A")+COUNTIF('Detailed Attendance'!ES124:ES124, "A")+COUNTIF('Detailed Attendance'!GC124:GC124, "A")+COUNTIF('Detailed Attendance'!GG124:GG124, "A")</f>
        <v/>
      </c>
      <c r="BE123" s="68">
        <f>IF((BC123+BD123)=0,"", BC123/(BC123+BD123))</f>
        <v/>
      </c>
      <c r="BF123" s="67">
        <f>COUNTIF('Detailed Attendance'!DO124:DO124, "P")+COUNTIF('Detailed Attendance'!DW124:DW124, "P")+COUNTIF('Detailed Attendance'!EL124:EL124, "P")+COUNTIF('Detailed Attendance'!ET124:ET124, "P")+COUNTIF('Detailed Attendance'!FF124:FF124, "P")+COUNTIF('Detailed Attendance'!FV124:FV124, "P")+COUNTIF('Detailed Attendance'!GD124:GD124, "P")</f>
        <v/>
      </c>
      <c r="BG123" s="67">
        <f>COUNTIF('Detailed Attendance'!DO124:DO124, "A")+COUNTIF('Detailed Attendance'!DW124:DW124, "A")+COUNTIF('Detailed Attendance'!EL124:EL124, "A")+COUNTIF('Detailed Attendance'!ET124:ET124, "A")+COUNTIF('Detailed Attendance'!FF124:FF124, "A")+COUNTIF('Detailed Attendance'!FV124:FV124, "A")+COUNTIF('Detailed Attendance'!GD124:GD124, "A")</f>
        <v/>
      </c>
      <c r="BH123" s="68">
        <f>IF((BF123+BG123)=0,"", BF123/(BF123+BG123))</f>
        <v/>
      </c>
      <c r="BI123" s="67">
        <f>AT123+AW123+AZ123+BC123+BF123</f>
        <v/>
      </c>
      <c r="BJ123" s="67">
        <f>AU123+AX123+BA123+BD123+BG123</f>
        <v/>
      </c>
      <c r="BK123" s="68">
        <f>IF((BI123+BJ123)=0,"", BI123/(BI123+BJ123))</f>
        <v/>
      </c>
      <c r="BL123" s="69">
        <f>COUNTIF('Detailed Attendance'!DE124:DE124, "P")+COUNTIF('Detailed Attendance'!EB124:EB124, "P")+COUNTIF('Detailed Attendance'!GI124:GI124, "P")+COUNTIF('Detailed Attendance'!DG124:DG124, "P")+COUNTIF('Detailed Attendance'!ED124:ED124, "P")+COUNTIF('Detailed Attendance'!EX124:EX124, "P")+COUNTIF('Detailed Attendance'!FN124:FN124, "P")+COUNTIF('Detailed Attendance'!DJ124:DJ124, "P")+COUNTIF('Detailed Attendance'!EG124:EG124, "P")+COUNTIF('Detailed Attendance'!FA124:FA124, "P")+COUNTIF('Detailed Attendance'!FQ124:FQ124, "P")</f>
        <v/>
      </c>
      <c r="BM123" s="69">
        <f>COUNTIF('Detailed Attendance'!DE124:DE124, "A")+COUNTIF('Detailed Attendance'!EB124:EB124, "A")+COUNTIF('Detailed Attendance'!GI124:GI124, "A")+COUNTIF('Detailed Attendance'!DG124:DG124, "A")+COUNTIF('Detailed Attendance'!ED124:ED124, "A")+COUNTIF('Detailed Attendance'!EX124:EX124, "A")+COUNTIF('Detailed Attendance'!FN124:FN124, "A")+COUNTIF('Detailed Attendance'!DJ124:DJ124, "A")+COUNTIF('Detailed Attendance'!EG124:EG124, "A")+COUNTIF('Detailed Attendance'!FA124:FA124, "A")+COUNTIF('Detailed Attendance'!FQ124:FQ124, "A")</f>
        <v/>
      </c>
      <c r="BN123" s="70">
        <f>IF((BL123+BM123)=0,"", BL123/(BL123+BM123))</f>
        <v/>
      </c>
      <c r="BO123" s="67">
        <f>D123+Y123+AT123</f>
        <v/>
      </c>
      <c r="BP123" s="67">
        <f>E123+Z123+AU123</f>
        <v/>
      </c>
      <c r="BQ123" s="68">
        <f>IF((BO123+BP123)=0,"", BO123/(BO123+BP123))</f>
        <v/>
      </c>
      <c r="BR123" s="67">
        <f>G123+AB123+AW123</f>
        <v/>
      </c>
      <c r="BS123" s="67">
        <f>H123+AC123+AX123</f>
        <v/>
      </c>
      <c r="BT123" s="68">
        <f>IF((BR123+BS123)=0,"", BR123/(BR123+BS123))</f>
        <v/>
      </c>
      <c r="BU123" s="67">
        <f>J123+AE123+AZ123</f>
        <v/>
      </c>
      <c r="BV123" s="67">
        <f>K123+AF123+BA123</f>
        <v/>
      </c>
      <c r="BW123" s="68">
        <f>IF((BU123+BV123)=0,"", BU123/(BU123+BV123))</f>
        <v/>
      </c>
      <c r="BX123" s="67">
        <f>M123+AH123+BC123</f>
        <v/>
      </c>
      <c r="BY123" s="67">
        <f>N123+AI123+BD123</f>
        <v/>
      </c>
      <c r="BZ123" s="68">
        <f>IF((BX123+BY123)=0,"", BX123/(BX123+BY123))</f>
        <v/>
      </c>
      <c r="CA123" s="67">
        <f>P123+AK123+BF123</f>
        <v/>
      </c>
      <c r="CB123" s="67">
        <f>Q123+AL123+BG123</f>
        <v/>
      </c>
      <c r="CC123" s="68">
        <f>IF((CA123+CB123)=0,"", CA123/(CA123+CB123))</f>
        <v/>
      </c>
      <c r="CD123" s="67">
        <f>S123+AN123+BI123</f>
        <v/>
      </c>
      <c r="CE123" s="67">
        <f>T123+AO123+BJ123</f>
        <v/>
      </c>
      <c r="CF123" s="68">
        <f>IF((CD123+CE123)=0,"", CD123/(CD123+CE123))</f>
        <v/>
      </c>
      <c r="CG123" s="69">
        <f>V123+AQ123+BL123</f>
        <v/>
      </c>
      <c r="CH123" s="69">
        <f>W123+AR123+BM123</f>
        <v/>
      </c>
      <c r="CI123" s="70">
        <f>IF((CG123+CH123)=0,"", CG123/(CG123+CH123))</f>
        <v/>
      </c>
      <c r="CJ123" s="67">
        <f>CD123+(CG123*2)</f>
        <v/>
      </c>
      <c r="CK123" s="67">
        <f>CE123+(CH123*2)</f>
        <v/>
      </c>
      <c r="CL123" s="68">
        <f>IF((CJ123+CK123)=0,"", CJ123/(CJ123+CK123))</f>
        <v/>
      </c>
      <c r="CM123" s="67" t="inlineStr">
        <is>
          <t>Batch 3</t>
        </is>
      </c>
    </row>
    <row r="124" ht="14.25" customHeight="1" s="34">
      <c r="A124" s="46" t="n">
        <v>122</v>
      </c>
      <c r="B124" s="46" t="inlineStr">
        <is>
          <t>325106410122</t>
        </is>
      </c>
      <c r="C124" s="46" t="inlineStr">
        <is>
          <t>SALADI KALYAN MODHA ANKSHINI</t>
        </is>
      </c>
      <c r="D124" s="63" t="n">
        <v>0</v>
      </c>
      <c r="E124" s="63" t="n">
        <v>0</v>
      </c>
      <c r="F124" s="64">
        <f>IF((D124+E124)=0,"", D124/(D124+E124))</f>
        <v/>
      </c>
      <c r="G124" s="63">
        <f>COUNTIF('Detailed Attendance'!I125:I125, "P")</f>
        <v/>
      </c>
      <c r="H124" s="63">
        <f>COUNTIF('Detailed Attendance'!I125:I125, "A")</f>
        <v/>
      </c>
      <c r="I124" s="64">
        <f>IF((G124+H124)=0,"", G124/(G124+H124))</f>
        <v/>
      </c>
      <c r="J124" s="63" t="n">
        <v>0</v>
      </c>
      <c r="K124" s="63" t="n">
        <v>0</v>
      </c>
      <c r="L124" s="64">
        <f>IF((J124+K124)=0,"", J124/(J124+K124))</f>
        <v/>
      </c>
      <c r="M124" s="63">
        <f>COUNTIF('Detailed Attendance'!D125:D125, "P")</f>
        <v/>
      </c>
      <c r="N124" s="63">
        <f>COUNTIF('Detailed Attendance'!D125:D125, "A")</f>
        <v/>
      </c>
      <c r="O124" s="64">
        <f>IF((M124+N124)=0,"", M124/(M124+N124))</f>
        <v/>
      </c>
      <c r="P124" s="63" t="n">
        <v>0</v>
      </c>
      <c r="Q124" s="63" t="n">
        <v>0</v>
      </c>
      <c r="R124" s="64">
        <f>IF((P124+Q124)=0,"", P124/(P124+Q124))</f>
        <v/>
      </c>
      <c r="S124" s="63">
        <f>D124+G124+J124+M124+P124</f>
        <v/>
      </c>
      <c r="T124" s="63">
        <f>E124+H124+K124+N124+Q124</f>
        <v/>
      </c>
      <c r="U124" s="64">
        <f>IF((S124+T124)=0,"", S124/(S124+T124))</f>
        <v/>
      </c>
      <c r="V124" s="65">
        <f>COUNTIF('Detailed Attendance'!E125:E125, "P")+COUNTIF('Detailed Attendance'!H125:H125, "P")</f>
        <v/>
      </c>
      <c r="W124" s="65">
        <f>COUNTIF('Detailed Attendance'!E125:E125, "A")+COUNTIF('Detailed Attendance'!H125:H125, "A")</f>
        <v/>
      </c>
      <c r="X124" s="66">
        <f>IF((V124+W124)=0,"", V124/(V124+W124))</f>
        <v/>
      </c>
      <c r="Y124" s="63">
        <f>COUNTIF('Detailed Attendance'!R125:R125, "P")+COUNTIF('Detailed Attendance'!X125:X125, "P")+COUNTIF('Detailed Attendance'!AL125:AL125, "P")+COUNTIF('Detailed Attendance'!BF125:BF125, "P")+COUNTIF('Detailed Attendance'!BL125:BL125, "P")+COUNTIF('Detailed Attendance'!BZ125:BZ125, "P")+COUNTIF('Detailed Attendance'!CI125:CI125, "P")+COUNTIF('Detailed Attendance'!CW125:CW125, "P")</f>
        <v/>
      </c>
      <c r="Z124" s="63">
        <f>COUNTIF('Detailed Attendance'!R125:R125, "A")+COUNTIF('Detailed Attendance'!X125:X125, "A")+COUNTIF('Detailed Attendance'!AL125:AL125, "A")+COUNTIF('Detailed Attendance'!BF125:BF125, "A")+COUNTIF('Detailed Attendance'!BL125:BL125, "A")+COUNTIF('Detailed Attendance'!BZ125:BZ125, "A")+COUNTIF('Detailed Attendance'!CI125:CI125, "A")+COUNTIF('Detailed Attendance'!CW125:CW125, "A")</f>
        <v/>
      </c>
      <c r="AA124" s="64">
        <f>IF((Y124+Z124)=0,"", Y124/(Y124+Z124))</f>
        <v/>
      </c>
      <c r="AB124" s="63">
        <f>COUNTIF('Detailed Attendance'!Q125:Q125, "P")+COUNTIF('Detailed Attendance'!AC125:AC125, "P")+COUNTIF('Detailed Attendance'!AK125:AK125, "P")+COUNTIF('Detailed Attendance'!AW125:AW125, "P")+COUNTIF('Detailed Attendance'!BE125:BE125, "P")+COUNTIF('Detailed Attendance'!BQ125:BQ125, "P")+COUNTIF('Detailed Attendance'!BY125:BY125, "P")+COUNTIF('Detailed Attendance'!CN125:CN125, "P")+COUNTIF('Detailed Attendance'!CV125:CV125, "P")</f>
        <v/>
      </c>
      <c r="AC124" s="63">
        <f>COUNTIF('Detailed Attendance'!Q125:Q125, "A")+COUNTIF('Detailed Attendance'!AC125:AC125, "A")+COUNTIF('Detailed Attendance'!AK125:AK125, "A")+COUNTIF('Detailed Attendance'!AW125:AW125, "A")+COUNTIF('Detailed Attendance'!BE125:BE125, "A")+COUNTIF('Detailed Attendance'!BQ125:BQ125, "A")+COUNTIF('Detailed Attendance'!BY125:BY125, "A")+COUNTIF('Detailed Attendance'!CN125:CN125, "A")+COUNTIF('Detailed Attendance'!CV125:CV125, "A")</f>
        <v/>
      </c>
      <c r="AD124" s="64">
        <f>IF((AB124+AC124)=0,"", AB124/(AB124+AC124))</f>
        <v/>
      </c>
      <c r="AE124" s="63">
        <f>COUNTIF('Detailed Attendance'!L125:L125, "P")+COUNTIF('Detailed Attendance'!P125:P125, "P")+COUNTIF('Detailed Attendance'!AF125:AF125, "P")+COUNTIF('Detailed Attendance'!AJ125:AJ125, "P")+COUNTIF('Detailed Attendance'!AZ125:AZ125, "P")+COUNTIF('Detailed Attendance'!BD125:BD125, "P")+COUNTIF('Detailed Attendance'!BT125:BT125, "P")+COUNTIF('Detailed Attendance'!BX125:BX125, "P")+COUNTIF('Detailed Attendance'!CQ125:CQ125, "P")+COUNTIF('Detailed Attendance'!CU125:CU125, "P")</f>
        <v/>
      </c>
      <c r="AF124" s="67">
        <f>COUNTIF('Detailed Attendance'!L125:L125, "A")+COUNTIF('Detailed Attendance'!P125:P125, "A")+COUNTIF('Detailed Attendance'!AF125:AF125, "A")+COUNTIF('Detailed Attendance'!AJ125:AJ125, "A")+COUNTIF('Detailed Attendance'!AZ125:AZ125, "A")+COUNTIF('Detailed Attendance'!BD125:BD125, "A")+COUNTIF('Detailed Attendance'!BT125:BT125, "A")+COUNTIF('Detailed Attendance'!BX125:BX125, "A")+COUNTIF('Detailed Attendance'!CQ125:CQ125, "A")+COUNTIF('Detailed Attendance'!CU125:CU125, "A")</f>
        <v/>
      </c>
      <c r="AG124" s="68">
        <f>IF((AE124+AF124)=0,"", AE124/(AE124+AF124))</f>
        <v/>
      </c>
      <c r="AH124" s="67">
        <f>COUNTIF('Detailed Attendance'!T125:T125, "P")+COUNTIF('Detailed Attendance'!AN125:AN125, "P")+COUNTIF('Detailed Attendance'!AR125:AR125, "P")+COUNTIF('Detailed Attendance'!BH125:BH125, "P")+COUNTIF('Detailed Attendance'!CB125:CB125, "P")+COUNTIF('Detailed Attendance'!CF125:CF125, "P")+COUNTIF('Detailed Attendance'!CY125:CY125, "P")</f>
        <v/>
      </c>
      <c r="AI124" s="67">
        <f>COUNTIF('Detailed Attendance'!T125:T125, "A")+COUNTIF('Detailed Attendance'!AN125:AN125, "A")+COUNTIF('Detailed Attendance'!AR125:AR125, "A")+COUNTIF('Detailed Attendance'!BH125:BH125, "A")+COUNTIF('Detailed Attendance'!CB125:CB125, "A")+COUNTIF('Detailed Attendance'!CF125:CF125, "A")+COUNTIF('Detailed Attendance'!CY125:CY125, "A")</f>
        <v/>
      </c>
      <c r="AJ124" s="68">
        <f>IF((AH124+AI124)=0,"", AH124/(AH124+AI124))</f>
        <v/>
      </c>
      <c r="AK124" s="67">
        <f>COUNTIF('Detailed Attendance'!M125:M125, "P")+COUNTIF('Detailed Attendance'!U125:U125, "P")+COUNTIF('Detailed Attendance'!AG125:AG125, "P")+COUNTIF('Detailed Attendance'!AO125:AO125, "P")+COUNTIF('Detailed Attendance'!BA125:BA125, "P")+COUNTIF('Detailed Attendance'!BI125:BI125, "P")+COUNTIF('Detailed Attendance'!BU125:BU125, "P")+COUNTIF('Detailed Attendance'!CC125:CC125, "P")+COUNTIF('Detailed Attendance'!CR125:CR125, "P")+COUNTIF('Detailed Attendance'!CZ125:CZ125, "P")</f>
        <v/>
      </c>
      <c r="AL124" s="67">
        <f>COUNTIF('Detailed Attendance'!M125:M125, "A")+COUNTIF('Detailed Attendance'!U125:U125, "A")+COUNTIF('Detailed Attendance'!AG125:AG125, "A")+COUNTIF('Detailed Attendance'!AO125:AO125, "A")+COUNTIF('Detailed Attendance'!BA125:BA125, "A")+COUNTIF('Detailed Attendance'!BI125:BI125, "A")+COUNTIF('Detailed Attendance'!BU125:BU125, "A")+COUNTIF('Detailed Attendance'!CC125:CC125, "A")+COUNTIF('Detailed Attendance'!CR125:CR125, "A")+COUNTIF('Detailed Attendance'!CZ125:CZ125, "A")</f>
        <v/>
      </c>
      <c r="AM124" s="68">
        <f>IF((AK124+AL124)=0,"", AK124/(AK124+AL124))</f>
        <v/>
      </c>
      <c r="AN124" s="67">
        <f>Y124+AB124+AE124+AH124+AK124</f>
        <v/>
      </c>
      <c r="AO124" s="67">
        <f>Z124+AC124+AF124+AI124+AL124</f>
        <v/>
      </c>
      <c r="AP124" s="68">
        <f>IF((AN124+AO124)=0,"", AN124/(AN124+AO124))</f>
        <v/>
      </c>
      <c r="AQ124" s="69">
        <f>COUNTIF('Detailed Attendance'!CH125:CH125, "P")+COUNTIF('Detailed Attendance'!Y125:Y125, "P")+COUNTIF('Detailed Attendance'!AS125:AS125, "P")+COUNTIF('Detailed Attendance'!BM125:BM125, "P")+COUNTIF('Detailed Attendance'!CJ125:CJ125, "P")+COUNTIF('Detailed Attendance'!AB125:AB125, "P")+COUNTIF('Detailed Attendance'!AV125:AV125, "P")+COUNTIF('Detailed Attendance'!BP125:BP125, "P")+COUNTIF('Detailed Attendance'!CM125:CM125, "P")</f>
        <v/>
      </c>
      <c r="AR124" s="69">
        <f>COUNTIF('Detailed Attendance'!CH125:CH125, "A")+COUNTIF('Detailed Attendance'!Y125:Y125, "A")+COUNTIF('Detailed Attendance'!AS125:AS125, "A")+COUNTIF('Detailed Attendance'!BM125:BM125, "A")+COUNTIF('Detailed Attendance'!CJ125:CJ125, "A")+COUNTIF('Detailed Attendance'!AB125:AB125, "A")+COUNTIF('Detailed Attendance'!AV125:AV125, "A")+COUNTIF('Detailed Attendance'!BP125:BP125, "A")+COUNTIF('Detailed Attendance'!CM125:CM125, "A")</f>
        <v/>
      </c>
      <c r="AS124" s="70">
        <f>IF((AQ124+AR124)=0,"", AQ124/(AQ124+AR124))</f>
        <v/>
      </c>
      <c r="AT124" s="67">
        <f>COUNTIF('Detailed Attendance'!DF125:DF125, "P")+COUNTIF('Detailed Attendance'!DT125:DT125, "P")+COUNTIF('Detailed Attendance'!EC125:EC125, "P")+COUNTIF('Detailed Attendance'!EQ125:EQ125, "P")+COUNTIF('Detailed Attendance'!EW125:EW125, "P")+COUNTIF('Detailed Attendance'!FK125:FK125, "P")+COUNTIF('Detailed Attendance'!FM125:FM125, "P")+COUNTIF('Detailed Attendance'!GA125:GA125, "P")</f>
        <v/>
      </c>
      <c r="AU124" s="67">
        <f>COUNTIF('Detailed Attendance'!DF125:DF125, "A")+COUNTIF('Detailed Attendance'!DT125:DT125, "A")+COUNTIF('Detailed Attendance'!EC125:EC125, "A")+COUNTIF('Detailed Attendance'!EQ125:EQ125, "A")+COUNTIF('Detailed Attendance'!EW125:EW125, "A")+COUNTIF('Detailed Attendance'!FK125:FK125, "A")+COUNTIF('Detailed Attendance'!FM125:FM125, "A")+COUNTIF('Detailed Attendance'!GA125:GA125, "A")</f>
        <v/>
      </c>
      <c r="AV124" s="68">
        <f>IF((AT124+AU124)=0,"", AT124/(AT124+AU124))</f>
        <v/>
      </c>
      <c r="AW124" s="67">
        <f>COUNTIF('Detailed Attendance'!DK125:DK125, "P")+COUNTIF('Detailed Attendance'!DS125:DS125, "P")+COUNTIF('Detailed Attendance'!EH125:EH125, "P")+COUNTIF('Detailed Attendance'!EP125:EP125, "P")+COUNTIF('Detailed Attendance'!FB125:FB125, "P")+COUNTIF('Detailed Attendance'!FJ125:FJ125, "P")+COUNTIF('Detailed Attendance'!FR125:FR125, "P")+COUNTIF('Detailed Attendance'!FZ125:FZ125, "P")</f>
        <v/>
      </c>
      <c r="AX124" s="67">
        <f>COUNTIF('Detailed Attendance'!DK125:DK125, "A")+COUNTIF('Detailed Attendance'!DS125:DS125, "A")+COUNTIF('Detailed Attendance'!EH125:EH125, "A")+COUNTIF('Detailed Attendance'!EP125:EP125, "A")+COUNTIF('Detailed Attendance'!FB125:FB125, "A")+COUNTIF('Detailed Attendance'!FJ125:FJ125, "A")+COUNTIF('Detailed Attendance'!FR125:FR125, "A")+COUNTIF('Detailed Attendance'!FZ125:FZ125, "A")</f>
        <v/>
      </c>
      <c r="AY124" s="68">
        <f>IF((AW124+AX124)=0,"", AW124/(AW124+AX124))</f>
        <v/>
      </c>
      <c r="AZ124" s="67">
        <f>COUNTIF('Detailed Attendance'!DN125:DN125, "P")+COUNTIF('Detailed Attendance'!DR125:DR125, "P")+COUNTIF('Detailed Attendance'!EK125:EK125, "P")+COUNTIF('Detailed Attendance'!EO125:EO125, "P")+COUNTIF('Detailed Attendance'!FE125:FE125, "P")+COUNTIF('Detailed Attendance'!FI125:FI125, "P")+COUNTIF('Detailed Attendance'!FU125:FU125, "P")+COUNTIF('Detailed Attendance'!FY125:FY125, "P")</f>
        <v/>
      </c>
      <c r="BA124" s="67">
        <f>COUNTIF('Detailed Attendance'!DN125:DN125, "A")+COUNTIF('Detailed Attendance'!DR125:DR125, "A")+COUNTIF('Detailed Attendance'!EK125:EK125, "A")+COUNTIF('Detailed Attendance'!EO125:EO125, "A")+COUNTIF('Detailed Attendance'!FE125:FE125, "A")+COUNTIF('Detailed Attendance'!FI125:FI125, "A")+COUNTIF('Detailed Attendance'!FU125:FU125, "A")+COUNTIF('Detailed Attendance'!FY125:FY125, "A")</f>
        <v/>
      </c>
      <c r="BB124" s="68">
        <f>IF((AZ124+BA124)=0,"", AZ124/(AZ124+BA124))</f>
        <v/>
      </c>
      <c r="BC124" s="67">
        <f>COUNTIF('Detailed Attendance'!DC125:DC125, "P")+COUNTIF('Detailed Attendance'!DV125:DV125, "P")+COUNTIF('Detailed Attendance'!DZ125:DZ125, "P")+COUNTIF('Detailed Attendance'!ES125:ES125, "P")+COUNTIF('Detailed Attendance'!GC125:GC125, "P")+COUNTIF('Detailed Attendance'!GG125:GG125, "P")</f>
        <v/>
      </c>
      <c r="BD124" s="67">
        <f>COUNTIF('Detailed Attendance'!DC125:DC125, "A")+COUNTIF('Detailed Attendance'!DV125:DV125, "A")+COUNTIF('Detailed Attendance'!DZ125:DZ125, "A")+COUNTIF('Detailed Attendance'!ES125:ES125, "A")+COUNTIF('Detailed Attendance'!GC125:GC125, "A")+COUNTIF('Detailed Attendance'!GG125:GG125, "A")</f>
        <v/>
      </c>
      <c r="BE124" s="68">
        <f>IF((BC124+BD124)=0,"", BC124/(BC124+BD124))</f>
        <v/>
      </c>
      <c r="BF124" s="67">
        <f>COUNTIF('Detailed Attendance'!DO125:DO125, "P")+COUNTIF('Detailed Attendance'!DW125:DW125, "P")+COUNTIF('Detailed Attendance'!EL125:EL125, "P")+COUNTIF('Detailed Attendance'!ET125:ET125, "P")+COUNTIF('Detailed Attendance'!FF125:FF125, "P")+COUNTIF('Detailed Attendance'!FV125:FV125, "P")+COUNTIF('Detailed Attendance'!GD125:GD125, "P")</f>
        <v/>
      </c>
      <c r="BG124" s="67">
        <f>COUNTIF('Detailed Attendance'!DO125:DO125, "A")+COUNTIF('Detailed Attendance'!DW125:DW125, "A")+COUNTIF('Detailed Attendance'!EL125:EL125, "A")+COUNTIF('Detailed Attendance'!ET125:ET125, "A")+COUNTIF('Detailed Attendance'!FF125:FF125, "A")+COUNTIF('Detailed Attendance'!FV125:FV125, "A")+COUNTIF('Detailed Attendance'!GD125:GD125, "A")</f>
        <v/>
      </c>
      <c r="BH124" s="68">
        <f>IF((BF124+BG124)=0,"", BF124/(BF124+BG124))</f>
        <v/>
      </c>
      <c r="BI124" s="67">
        <f>AT124+AW124+AZ124+BC124+BF124</f>
        <v/>
      </c>
      <c r="BJ124" s="67">
        <f>AU124+AX124+BA124+BD124+BG124</f>
        <v/>
      </c>
      <c r="BK124" s="68">
        <f>IF((BI124+BJ124)=0,"", BI124/(BI124+BJ124))</f>
        <v/>
      </c>
      <c r="BL124" s="69">
        <f>COUNTIF('Detailed Attendance'!DE125:DE125, "P")+COUNTIF('Detailed Attendance'!EB125:EB125, "P")+COUNTIF('Detailed Attendance'!GI125:GI125, "P")+COUNTIF('Detailed Attendance'!DG125:DG125, "P")+COUNTIF('Detailed Attendance'!ED125:ED125, "P")+COUNTIF('Detailed Attendance'!EX125:EX125, "P")+COUNTIF('Detailed Attendance'!FN125:FN125, "P")+COUNTIF('Detailed Attendance'!DJ125:DJ125, "P")+COUNTIF('Detailed Attendance'!EG125:EG125, "P")+COUNTIF('Detailed Attendance'!FA125:FA125, "P")+COUNTIF('Detailed Attendance'!FQ125:FQ125, "P")</f>
        <v/>
      </c>
      <c r="BM124" s="69">
        <f>COUNTIF('Detailed Attendance'!DE125:DE125, "A")+COUNTIF('Detailed Attendance'!EB125:EB125, "A")+COUNTIF('Detailed Attendance'!GI125:GI125, "A")+COUNTIF('Detailed Attendance'!DG125:DG125, "A")+COUNTIF('Detailed Attendance'!ED125:ED125, "A")+COUNTIF('Detailed Attendance'!EX125:EX125, "A")+COUNTIF('Detailed Attendance'!FN125:FN125, "A")+COUNTIF('Detailed Attendance'!DJ125:DJ125, "A")+COUNTIF('Detailed Attendance'!EG125:EG125, "A")+COUNTIF('Detailed Attendance'!FA125:FA125, "A")+COUNTIF('Detailed Attendance'!FQ125:FQ125, "A")</f>
        <v/>
      </c>
      <c r="BN124" s="70">
        <f>IF((BL124+BM124)=0,"", BL124/(BL124+BM124))</f>
        <v/>
      </c>
      <c r="BO124" s="67">
        <f>D124+Y124+AT124</f>
        <v/>
      </c>
      <c r="BP124" s="67">
        <f>E124+Z124+AU124</f>
        <v/>
      </c>
      <c r="BQ124" s="68">
        <f>IF((BO124+BP124)=0,"", BO124/(BO124+BP124))</f>
        <v/>
      </c>
      <c r="BR124" s="67">
        <f>G124+AB124+AW124</f>
        <v/>
      </c>
      <c r="BS124" s="67">
        <f>H124+AC124+AX124</f>
        <v/>
      </c>
      <c r="BT124" s="68">
        <f>IF((BR124+BS124)=0,"", BR124/(BR124+BS124))</f>
        <v/>
      </c>
      <c r="BU124" s="67">
        <f>J124+AE124+AZ124</f>
        <v/>
      </c>
      <c r="BV124" s="67">
        <f>K124+AF124+BA124</f>
        <v/>
      </c>
      <c r="BW124" s="68">
        <f>IF((BU124+BV124)=0,"", BU124/(BU124+BV124))</f>
        <v/>
      </c>
      <c r="BX124" s="67">
        <f>M124+AH124+BC124</f>
        <v/>
      </c>
      <c r="BY124" s="67">
        <f>N124+AI124+BD124</f>
        <v/>
      </c>
      <c r="BZ124" s="68">
        <f>IF((BX124+BY124)=0,"", BX124/(BX124+BY124))</f>
        <v/>
      </c>
      <c r="CA124" s="67">
        <f>P124+AK124+BF124</f>
        <v/>
      </c>
      <c r="CB124" s="67">
        <f>Q124+AL124+BG124</f>
        <v/>
      </c>
      <c r="CC124" s="68">
        <f>IF((CA124+CB124)=0,"", CA124/(CA124+CB124))</f>
        <v/>
      </c>
      <c r="CD124" s="67">
        <f>S124+AN124+BI124</f>
        <v/>
      </c>
      <c r="CE124" s="67">
        <f>T124+AO124+BJ124</f>
        <v/>
      </c>
      <c r="CF124" s="68">
        <f>IF((CD124+CE124)=0,"", CD124/(CD124+CE124))</f>
        <v/>
      </c>
      <c r="CG124" s="69">
        <f>V124+AQ124+BL124</f>
        <v/>
      </c>
      <c r="CH124" s="69">
        <f>W124+AR124+BM124</f>
        <v/>
      </c>
      <c r="CI124" s="70">
        <f>IF((CG124+CH124)=0,"", CG124/(CG124+CH124))</f>
        <v/>
      </c>
      <c r="CJ124" s="67">
        <f>CD124+(CG124*2)</f>
        <v/>
      </c>
      <c r="CK124" s="67">
        <f>CE124+(CH124*2)</f>
        <v/>
      </c>
      <c r="CL124" s="68">
        <f>IF((CJ124+CK124)=0,"", CJ124/(CJ124+CK124))</f>
        <v/>
      </c>
      <c r="CM124" s="67" t="inlineStr">
        <is>
          <t>Batch 3</t>
        </is>
      </c>
    </row>
    <row r="125" ht="14.25" customHeight="1" s="34">
      <c r="A125" s="46" t="n">
        <v>123</v>
      </c>
      <c r="B125" s="46" t="inlineStr">
        <is>
          <t>325106410123</t>
        </is>
      </c>
      <c r="C125" s="46" t="inlineStr">
        <is>
          <t>VERAPANENI VENKATA CHOWDARY</t>
        </is>
      </c>
      <c r="D125" s="63" t="n">
        <v>0</v>
      </c>
      <c r="E125" s="63" t="n">
        <v>0</v>
      </c>
      <c r="F125" s="64">
        <f>IF((D125+E125)=0,"", D125/(D125+E125))</f>
        <v/>
      </c>
      <c r="G125" s="63">
        <f>COUNTIF('Detailed Attendance'!I126:I126, "P")</f>
        <v/>
      </c>
      <c r="H125" s="63">
        <f>COUNTIF('Detailed Attendance'!I126:I126, "A")</f>
        <v/>
      </c>
      <c r="I125" s="64">
        <f>IF((G125+H125)=0,"", G125/(G125+H125))</f>
        <v/>
      </c>
      <c r="J125" s="63" t="n">
        <v>0</v>
      </c>
      <c r="K125" s="63" t="n">
        <v>0</v>
      </c>
      <c r="L125" s="64">
        <f>IF((J125+K125)=0,"", J125/(J125+K125))</f>
        <v/>
      </c>
      <c r="M125" s="63">
        <f>COUNTIF('Detailed Attendance'!D126:D126, "P")</f>
        <v/>
      </c>
      <c r="N125" s="63">
        <f>COUNTIF('Detailed Attendance'!D126:D126, "A")</f>
        <v/>
      </c>
      <c r="O125" s="64">
        <f>IF((M125+N125)=0,"", M125/(M125+N125))</f>
        <v/>
      </c>
      <c r="P125" s="63" t="n">
        <v>0</v>
      </c>
      <c r="Q125" s="63" t="n">
        <v>0</v>
      </c>
      <c r="R125" s="64">
        <f>IF((P125+Q125)=0,"", P125/(P125+Q125))</f>
        <v/>
      </c>
      <c r="S125" s="63">
        <f>D125+G125+J125+M125+P125</f>
        <v/>
      </c>
      <c r="T125" s="63">
        <f>E125+H125+K125+N125+Q125</f>
        <v/>
      </c>
      <c r="U125" s="64">
        <f>IF((S125+T125)=0,"", S125/(S125+T125))</f>
        <v/>
      </c>
      <c r="V125" s="65">
        <f>COUNTIF('Detailed Attendance'!E126:E126, "P")+COUNTIF('Detailed Attendance'!H126:H126, "P")</f>
        <v/>
      </c>
      <c r="W125" s="65">
        <f>COUNTIF('Detailed Attendance'!E126:E126, "A")+COUNTIF('Detailed Attendance'!H126:H126, "A")</f>
        <v/>
      </c>
      <c r="X125" s="66">
        <f>IF((V125+W125)=0,"", V125/(V125+W125))</f>
        <v/>
      </c>
      <c r="Y125" s="63">
        <f>COUNTIF('Detailed Attendance'!R126:R126, "P")+COUNTIF('Detailed Attendance'!X126:X126, "P")+COUNTIF('Detailed Attendance'!AL126:AL126, "P")+COUNTIF('Detailed Attendance'!BF126:BF126, "P")+COUNTIF('Detailed Attendance'!BL126:BL126, "P")+COUNTIF('Detailed Attendance'!BZ126:BZ126, "P")+COUNTIF('Detailed Attendance'!CI126:CI126, "P")+COUNTIF('Detailed Attendance'!CW126:CW126, "P")</f>
        <v/>
      </c>
      <c r="Z125" s="63">
        <f>COUNTIF('Detailed Attendance'!R126:R126, "A")+COUNTIF('Detailed Attendance'!X126:X126, "A")+COUNTIF('Detailed Attendance'!AL126:AL126, "A")+COUNTIF('Detailed Attendance'!BF126:BF126, "A")+COUNTIF('Detailed Attendance'!BL126:BL126, "A")+COUNTIF('Detailed Attendance'!BZ126:BZ126, "A")+COUNTIF('Detailed Attendance'!CI126:CI126, "A")+COUNTIF('Detailed Attendance'!CW126:CW126, "A")</f>
        <v/>
      </c>
      <c r="AA125" s="64">
        <f>IF((Y125+Z125)=0,"", Y125/(Y125+Z125))</f>
        <v/>
      </c>
      <c r="AB125" s="63">
        <f>COUNTIF('Detailed Attendance'!Q126:Q126, "P")+COUNTIF('Detailed Attendance'!AC126:AC126, "P")+COUNTIF('Detailed Attendance'!AK126:AK126, "P")+COUNTIF('Detailed Attendance'!AW126:AW126, "P")+COUNTIF('Detailed Attendance'!BE126:BE126, "P")+COUNTIF('Detailed Attendance'!BQ126:BQ126, "P")+COUNTIF('Detailed Attendance'!BY126:BY126, "P")+COUNTIF('Detailed Attendance'!CN126:CN126, "P")+COUNTIF('Detailed Attendance'!CV126:CV126, "P")</f>
        <v/>
      </c>
      <c r="AC125" s="63">
        <f>COUNTIF('Detailed Attendance'!Q126:Q126, "A")+COUNTIF('Detailed Attendance'!AC126:AC126, "A")+COUNTIF('Detailed Attendance'!AK126:AK126, "A")+COUNTIF('Detailed Attendance'!AW126:AW126, "A")+COUNTIF('Detailed Attendance'!BE126:BE126, "A")+COUNTIF('Detailed Attendance'!BQ126:BQ126, "A")+COUNTIF('Detailed Attendance'!BY126:BY126, "A")+COUNTIF('Detailed Attendance'!CN126:CN126, "A")+COUNTIF('Detailed Attendance'!CV126:CV126, "A")</f>
        <v/>
      </c>
      <c r="AD125" s="64">
        <f>IF((AB125+AC125)=0,"", AB125/(AB125+AC125))</f>
        <v/>
      </c>
      <c r="AE125" s="63">
        <f>COUNTIF('Detailed Attendance'!L126:L126, "P")+COUNTIF('Detailed Attendance'!P126:P126, "P")+COUNTIF('Detailed Attendance'!AF126:AF126, "P")+COUNTIF('Detailed Attendance'!AJ126:AJ126, "P")+COUNTIF('Detailed Attendance'!AZ126:AZ126, "P")+COUNTIF('Detailed Attendance'!BD126:BD126, "P")+COUNTIF('Detailed Attendance'!BT126:BT126, "P")+COUNTIF('Detailed Attendance'!BX126:BX126, "P")+COUNTIF('Detailed Attendance'!CQ126:CQ126, "P")+COUNTIF('Detailed Attendance'!CU126:CU126, "P")</f>
        <v/>
      </c>
      <c r="AF125" s="67">
        <f>COUNTIF('Detailed Attendance'!L126:L126, "A")+COUNTIF('Detailed Attendance'!P126:P126, "A")+COUNTIF('Detailed Attendance'!AF126:AF126, "A")+COUNTIF('Detailed Attendance'!AJ126:AJ126, "A")+COUNTIF('Detailed Attendance'!AZ126:AZ126, "A")+COUNTIF('Detailed Attendance'!BD126:BD126, "A")+COUNTIF('Detailed Attendance'!BT126:BT126, "A")+COUNTIF('Detailed Attendance'!BX126:BX126, "A")+COUNTIF('Detailed Attendance'!CQ126:CQ126, "A")+COUNTIF('Detailed Attendance'!CU126:CU126, "A")</f>
        <v/>
      </c>
      <c r="AG125" s="68">
        <f>IF((AE125+AF125)=0,"", AE125/(AE125+AF125))</f>
        <v/>
      </c>
      <c r="AH125" s="67">
        <f>COUNTIF('Detailed Attendance'!T126:T126, "P")+COUNTIF('Detailed Attendance'!AN126:AN126, "P")+COUNTIF('Detailed Attendance'!AR126:AR126, "P")+COUNTIF('Detailed Attendance'!BH126:BH126, "P")+COUNTIF('Detailed Attendance'!CB126:CB126, "P")+COUNTIF('Detailed Attendance'!CF126:CF126, "P")+COUNTIF('Detailed Attendance'!CY126:CY126, "P")</f>
        <v/>
      </c>
      <c r="AI125" s="67">
        <f>COUNTIF('Detailed Attendance'!T126:T126, "A")+COUNTIF('Detailed Attendance'!AN126:AN126, "A")+COUNTIF('Detailed Attendance'!AR126:AR126, "A")+COUNTIF('Detailed Attendance'!BH126:BH126, "A")+COUNTIF('Detailed Attendance'!CB126:CB126, "A")+COUNTIF('Detailed Attendance'!CF126:CF126, "A")+COUNTIF('Detailed Attendance'!CY126:CY126, "A")</f>
        <v/>
      </c>
      <c r="AJ125" s="68">
        <f>IF((AH125+AI125)=0,"", AH125/(AH125+AI125))</f>
        <v/>
      </c>
      <c r="AK125" s="67">
        <f>COUNTIF('Detailed Attendance'!M126:M126, "P")+COUNTIF('Detailed Attendance'!U126:U126, "P")+COUNTIF('Detailed Attendance'!AG126:AG126, "P")+COUNTIF('Detailed Attendance'!AO126:AO126, "P")+COUNTIF('Detailed Attendance'!BA126:BA126, "P")+COUNTIF('Detailed Attendance'!BI126:BI126, "P")+COUNTIF('Detailed Attendance'!BU126:BU126, "P")+COUNTIF('Detailed Attendance'!CC126:CC126, "P")+COUNTIF('Detailed Attendance'!CR126:CR126, "P")+COUNTIF('Detailed Attendance'!CZ126:CZ126, "P")</f>
        <v/>
      </c>
      <c r="AL125" s="67">
        <f>COUNTIF('Detailed Attendance'!M126:M126, "A")+COUNTIF('Detailed Attendance'!U126:U126, "A")+COUNTIF('Detailed Attendance'!AG126:AG126, "A")+COUNTIF('Detailed Attendance'!AO126:AO126, "A")+COUNTIF('Detailed Attendance'!BA126:BA126, "A")+COUNTIF('Detailed Attendance'!BI126:BI126, "A")+COUNTIF('Detailed Attendance'!BU126:BU126, "A")+COUNTIF('Detailed Attendance'!CC126:CC126, "A")+COUNTIF('Detailed Attendance'!CR126:CR126, "A")+COUNTIF('Detailed Attendance'!CZ126:CZ126, "A")</f>
        <v/>
      </c>
      <c r="AM125" s="68">
        <f>IF((AK125+AL125)=0,"", AK125/(AK125+AL125))</f>
        <v/>
      </c>
      <c r="AN125" s="67">
        <f>Y125+AB125+AE125+AH125+AK125</f>
        <v/>
      </c>
      <c r="AO125" s="67">
        <f>Z125+AC125+AF125+AI125+AL125</f>
        <v/>
      </c>
      <c r="AP125" s="68">
        <f>IF((AN125+AO125)=0,"", AN125/(AN125+AO125))</f>
        <v/>
      </c>
      <c r="AQ125" s="69">
        <f>COUNTIF('Detailed Attendance'!CH126:CH126, "P")+COUNTIF('Detailed Attendance'!Y126:Y126, "P")+COUNTIF('Detailed Attendance'!AS126:AS126, "P")+COUNTIF('Detailed Attendance'!BM126:BM126, "P")+COUNTIF('Detailed Attendance'!CJ126:CJ126, "P")+COUNTIF('Detailed Attendance'!AB126:AB126, "P")+COUNTIF('Detailed Attendance'!AV126:AV126, "P")+COUNTIF('Detailed Attendance'!BP126:BP126, "P")+COUNTIF('Detailed Attendance'!CM126:CM126, "P")</f>
        <v/>
      </c>
      <c r="AR125" s="69">
        <f>COUNTIF('Detailed Attendance'!CH126:CH126, "A")+COUNTIF('Detailed Attendance'!Y126:Y126, "A")+COUNTIF('Detailed Attendance'!AS126:AS126, "A")+COUNTIF('Detailed Attendance'!BM126:BM126, "A")+COUNTIF('Detailed Attendance'!CJ126:CJ126, "A")+COUNTIF('Detailed Attendance'!AB126:AB126, "A")+COUNTIF('Detailed Attendance'!AV126:AV126, "A")+COUNTIF('Detailed Attendance'!BP126:BP126, "A")+COUNTIF('Detailed Attendance'!CM126:CM126, "A")</f>
        <v/>
      </c>
      <c r="AS125" s="70">
        <f>IF((AQ125+AR125)=0,"", AQ125/(AQ125+AR125))</f>
        <v/>
      </c>
      <c r="AT125" s="67">
        <f>COUNTIF('Detailed Attendance'!DF126:DF126, "P")+COUNTIF('Detailed Attendance'!DT126:DT126, "P")+COUNTIF('Detailed Attendance'!EC126:EC126, "P")+COUNTIF('Detailed Attendance'!EQ126:EQ126, "P")+COUNTIF('Detailed Attendance'!EW126:EW126, "P")+COUNTIF('Detailed Attendance'!FK126:FK126, "P")+COUNTIF('Detailed Attendance'!FM126:FM126, "P")+COUNTIF('Detailed Attendance'!GA126:GA126, "P")</f>
        <v/>
      </c>
      <c r="AU125" s="67">
        <f>COUNTIF('Detailed Attendance'!DF126:DF126, "A")+COUNTIF('Detailed Attendance'!DT126:DT126, "A")+COUNTIF('Detailed Attendance'!EC126:EC126, "A")+COUNTIF('Detailed Attendance'!EQ126:EQ126, "A")+COUNTIF('Detailed Attendance'!EW126:EW126, "A")+COUNTIF('Detailed Attendance'!FK126:FK126, "A")+COUNTIF('Detailed Attendance'!FM126:FM126, "A")+COUNTIF('Detailed Attendance'!GA126:GA126, "A")</f>
        <v/>
      </c>
      <c r="AV125" s="68">
        <f>IF((AT125+AU125)=0,"", AT125/(AT125+AU125))</f>
        <v/>
      </c>
      <c r="AW125" s="67">
        <f>COUNTIF('Detailed Attendance'!DK126:DK126, "P")+COUNTIF('Detailed Attendance'!DS126:DS126, "P")+COUNTIF('Detailed Attendance'!EH126:EH126, "P")+COUNTIF('Detailed Attendance'!EP126:EP126, "P")+COUNTIF('Detailed Attendance'!FB126:FB126, "P")+COUNTIF('Detailed Attendance'!FJ126:FJ126, "P")+COUNTIF('Detailed Attendance'!FR126:FR126, "P")+COUNTIF('Detailed Attendance'!FZ126:FZ126, "P")</f>
        <v/>
      </c>
      <c r="AX125" s="67">
        <f>COUNTIF('Detailed Attendance'!DK126:DK126, "A")+COUNTIF('Detailed Attendance'!DS126:DS126, "A")+COUNTIF('Detailed Attendance'!EH126:EH126, "A")+COUNTIF('Detailed Attendance'!EP126:EP126, "A")+COUNTIF('Detailed Attendance'!FB126:FB126, "A")+COUNTIF('Detailed Attendance'!FJ126:FJ126, "A")+COUNTIF('Detailed Attendance'!FR126:FR126, "A")+COUNTIF('Detailed Attendance'!FZ126:FZ126, "A")</f>
        <v/>
      </c>
      <c r="AY125" s="68">
        <f>IF((AW125+AX125)=0,"", AW125/(AW125+AX125))</f>
        <v/>
      </c>
      <c r="AZ125" s="67">
        <f>COUNTIF('Detailed Attendance'!DN126:DN126, "P")+COUNTIF('Detailed Attendance'!DR126:DR126, "P")+COUNTIF('Detailed Attendance'!EK126:EK126, "P")+COUNTIF('Detailed Attendance'!EO126:EO126, "P")+COUNTIF('Detailed Attendance'!FE126:FE126, "P")+COUNTIF('Detailed Attendance'!FI126:FI126, "P")+COUNTIF('Detailed Attendance'!FU126:FU126, "P")+COUNTIF('Detailed Attendance'!FY126:FY126, "P")</f>
        <v/>
      </c>
      <c r="BA125" s="67">
        <f>COUNTIF('Detailed Attendance'!DN126:DN126, "A")+COUNTIF('Detailed Attendance'!DR126:DR126, "A")+COUNTIF('Detailed Attendance'!EK126:EK126, "A")+COUNTIF('Detailed Attendance'!EO126:EO126, "A")+COUNTIF('Detailed Attendance'!FE126:FE126, "A")+COUNTIF('Detailed Attendance'!FI126:FI126, "A")+COUNTIF('Detailed Attendance'!FU126:FU126, "A")+COUNTIF('Detailed Attendance'!FY126:FY126, "A")</f>
        <v/>
      </c>
      <c r="BB125" s="68">
        <f>IF((AZ125+BA125)=0,"", AZ125/(AZ125+BA125))</f>
        <v/>
      </c>
      <c r="BC125" s="67">
        <f>COUNTIF('Detailed Attendance'!DC126:DC126, "P")+COUNTIF('Detailed Attendance'!DV126:DV126, "P")+COUNTIF('Detailed Attendance'!DZ126:DZ126, "P")+COUNTIF('Detailed Attendance'!ES126:ES126, "P")+COUNTIF('Detailed Attendance'!GC126:GC126, "P")+COUNTIF('Detailed Attendance'!GG126:GG126, "P")</f>
        <v/>
      </c>
      <c r="BD125" s="67">
        <f>COUNTIF('Detailed Attendance'!DC126:DC126, "A")+COUNTIF('Detailed Attendance'!DV126:DV126, "A")+COUNTIF('Detailed Attendance'!DZ126:DZ126, "A")+COUNTIF('Detailed Attendance'!ES126:ES126, "A")+COUNTIF('Detailed Attendance'!GC126:GC126, "A")+COUNTIF('Detailed Attendance'!GG126:GG126, "A")</f>
        <v/>
      </c>
      <c r="BE125" s="68">
        <f>IF((BC125+BD125)=0,"", BC125/(BC125+BD125))</f>
        <v/>
      </c>
      <c r="BF125" s="67">
        <f>COUNTIF('Detailed Attendance'!DO126:DO126, "P")+COUNTIF('Detailed Attendance'!DW126:DW126, "P")+COUNTIF('Detailed Attendance'!EL126:EL126, "P")+COUNTIF('Detailed Attendance'!ET126:ET126, "P")+COUNTIF('Detailed Attendance'!FF126:FF126, "P")+COUNTIF('Detailed Attendance'!FV126:FV126, "P")+COUNTIF('Detailed Attendance'!GD126:GD126, "P")</f>
        <v/>
      </c>
      <c r="BG125" s="67">
        <f>COUNTIF('Detailed Attendance'!DO126:DO126, "A")+COUNTIF('Detailed Attendance'!DW126:DW126, "A")+COUNTIF('Detailed Attendance'!EL126:EL126, "A")+COUNTIF('Detailed Attendance'!ET126:ET126, "A")+COUNTIF('Detailed Attendance'!FF126:FF126, "A")+COUNTIF('Detailed Attendance'!FV126:FV126, "A")+COUNTIF('Detailed Attendance'!GD126:GD126, "A")</f>
        <v/>
      </c>
      <c r="BH125" s="68">
        <f>IF((BF125+BG125)=0,"", BF125/(BF125+BG125))</f>
        <v/>
      </c>
      <c r="BI125" s="67">
        <f>AT125+AW125+AZ125+BC125+BF125</f>
        <v/>
      </c>
      <c r="BJ125" s="67">
        <f>AU125+AX125+BA125+BD125+BG125</f>
        <v/>
      </c>
      <c r="BK125" s="68">
        <f>IF((BI125+BJ125)=0,"", BI125/(BI125+BJ125))</f>
        <v/>
      </c>
      <c r="BL125" s="69">
        <f>COUNTIF('Detailed Attendance'!DE126:DE126, "P")+COUNTIF('Detailed Attendance'!EB126:EB126, "P")+COUNTIF('Detailed Attendance'!GI126:GI126, "P")+COUNTIF('Detailed Attendance'!DG126:DG126, "P")+COUNTIF('Detailed Attendance'!ED126:ED126, "P")+COUNTIF('Detailed Attendance'!EX126:EX126, "P")+COUNTIF('Detailed Attendance'!FN126:FN126, "P")+COUNTIF('Detailed Attendance'!DJ126:DJ126, "P")+COUNTIF('Detailed Attendance'!EG126:EG126, "P")+COUNTIF('Detailed Attendance'!FA126:FA126, "P")+COUNTIF('Detailed Attendance'!FQ126:FQ126, "P")</f>
        <v/>
      </c>
      <c r="BM125" s="69">
        <f>COUNTIF('Detailed Attendance'!DE126:DE126, "A")+COUNTIF('Detailed Attendance'!EB126:EB126, "A")+COUNTIF('Detailed Attendance'!GI126:GI126, "A")+COUNTIF('Detailed Attendance'!DG126:DG126, "A")+COUNTIF('Detailed Attendance'!ED126:ED126, "A")+COUNTIF('Detailed Attendance'!EX126:EX126, "A")+COUNTIF('Detailed Attendance'!FN126:FN126, "A")+COUNTIF('Detailed Attendance'!DJ126:DJ126, "A")+COUNTIF('Detailed Attendance'!EG126:EG126, "A")+COUNTIF('Detailed Attendance'!FA126:FA126, "A")+COUNTIF('Detailed Attendance'!FQ126:FQ126, "A")</f>
        <v/>
      </c>
      <c r="BN125" s="70">
        <f>IF((BL125+BM125)=0,"", BL125/(BL125+BM125))</f>
        <v/>
      </c>
      <c r="BO125" s="67">
        <f>D125+Y125+AT125</f>
        <v/>
      </c>
      <c r="BP125" s="67">
        <f>E125+Z125+AU125</f>
        <v/>
      </c>
      <c r="BQ125" s="68">
        <f>IF((BO125+BP125)=0,"", BO125/(BO125+BP125))</f>
        <v/>
      </c>
      <c r="BR125" s="67">
        <f>G125+AB125+AW125</f>
        <v/>
      </c>
      <c r="BS125" s="67">
        <f>H125+AC125+AX125</f>
        <v/>
      </c>
      <c r="BT125" s="68">
        <f>IF((BR125+BS125)=0,"", BR125/(BR125+BS125))</f>
        <v/>
      </c>
      <c r="BU125" s="67">
        <f>J125+AE125+AZ125</f>
        <v/>
      </c>
      <c r="BV125" s="67">
        <f>K125+AF125+BA125</f>
        <v/>
      </c>
      <c r="BW125" s="68">
        <f>IF((BU125+BV125)=0,"", BU125/(BU125+BV125))</f>
        <v/>
      </c>
      <c r="BX125" s="67">
        <f>M125+AH125+BC125</f>
        <v/>
      </c>
      <c r="BY125" s="67">
        <f>N125+AI125+BD125</f>
        <v/>
      </c>
      <c r="BZ125" s="68">
        <f>IF((BX125+BY125)=0,"", BX125/(BX125+BY125))</f>
        <v/>
      </c>
      <c r="CA125" s="67">
        <f>P125+AK125+BF125</f>
        <v/>
      </c>
      <c r="CB125" s="67">
        <f>Q125+AL125+BG125</f>
        <v/>
      </c>
      <c r="CC125" s="68">
        <f>IF((CA125+CB125)=0,"", CA125/(CA125+CB125))</f>
        <v/>
      </c>
      <c r="CD125" s="67">
        <f>S125+AN125+BI125</f>
        <v/>
      </c>
      <c r="CE125" s="67">
        <f>T125+AO125+BJ125</f>
        <v/>
      </c>
      <c r="CF125" s="68">
        <f>IF((CD125+CE125)=0,"", CD125/(CD125+CE125))</f>
        <v/>
      </c>
      <c r="CG125" s="69">
        <f>V125+AQ125+BL125</f>
        <v/>
      </c>
      <c r="CH125" s="69">
        <f>W125+AR125+BM125</f>
        <v/>
      </c>
      <c r="CI125" s="70">
        <f>IF((CG125+CH125)=0,"", CG125/(CG125+CH125))</f>
        <v/>
      </c>
      <c r="CJ125" s="67">
        <f>CD125+(CG125*2)</f>
        <v/>
      </c>
      <c r="CK125" s="67">
        <f>CE125+(CH125*2)</f>
        <v/>
      </c>
      <c r="CL125" s="68">
        <f>IF((CJ125+CK125)=0,"", CJ125/(CJ125+CK125))</f>
        <v/>
      </c>
      <c r="CM125" s="67" t="inlineStr">
        <is>
          <t>Batch 3</t>
        </is>
      </c>
    </row>
    <row r="126" ht="14.25" customHeight="1" s="34">
      <c r="A126" s="46" t="n">
        <v>124</v>
      </c>
      <c r="B126" s="46" t="inlineStr">
        <is>
          <t>325106410124</t>
        </is>
      </c>
      <c r="C126" s="46" t="inlineStr">
        <is>
          <t>YUVRAJ SINGH</t>
        </is>
      </c>
      <c r="D126" s="63" t="n">
        <v>0</v>
      </c>
      <c r="E126" s="63" t="n">
        <v>0</v>
      </c>
      <c r="F126" s="64">
        <f>IF((D126+E126)=0,"", D126/(D126+E126))</f>
        <v/>
      </c>
      <c r="G126" s="63">
        <f>COUNTIF('Detailed Attendance'!I127:I127, "P")</f>
        <v/>
      </c>
      <c r="H126" s="63">
        <f>COUNTIF('Detailed Attendance'!I127:I127, "A")</f>
        <v/>
      </c>
      <c r="I126" s="64">
        <f>IF((G126+H126)=0,"", G126/(G126+H126))</f>
        <v/>
      </c>
      <c r="J126" s="63" t="n">
        <v>0</v>
      </c>
      <c r="K126" s="63" t="n">
        <v>0</v>
      </c>
      <c r="L126" s="64">
        <f>IF((J126+K126)=0,"", J126/(J126+K126))</f>
        <v/>
      </c>
      <c r="M126" s="63">
        <f>COUNTIF('Detailed Attendance'!D127:D127, "P")</f>
        <v/>
      </c>
      <c r="N126" s="63">
        <f>COUNTIF('Detailed Attendance'!D127:D127, "A")</f>
        <v/>
      </c>
      <c r="O126" s="64">
        <f>IF((M126+N126)=0,"", M126/(M126+N126))</f>
        <v/>
      </c>
      <c r="P126" s="63" t="n">
        <v>0</v>
      </c>
      <c r="Q126" s="63" t="n">
        <v>0</v>
      </c>
      <c r="R126" s="64">
        <f>IF((P126+Q126)=0,"", P126/(P126+Q126))</f>
        <v/>
      </c>
      <c r="S126" s="63">
        <f>D126+G126+J126+M126+P126</f>
        <v/>
      </c>
      <c r="T126" s="63">
        <f>E126+H126+K126+N126+Q126</f>
        <v/>
      </c>
      <c r="U126" s="64">
        <f>IF((S126+T126)=0,"", S126/(S126+T126))</f>
        <v/>
      </c>
      <c r="V126" s="65">
        <f>COUNTIF('Detailed Attendance'!E127:E127, "P")+COUNTIF('Detailed Attendance'!H127:H127, "P")</f>
        <v/>
      </c>
      <c r="W126" s="65">
        <f>COUNTIF('Detailed Attendance'!E127:E127, "A")+COUNTIF('Detailed Attendance'!H127:H127, "A")</f>
        <v/>
      </c>
      <c r="X126" s="66">
        <f>IF((V126+W126)=0,"", V126/(V126+W126))</f>
        <v/>
      </c>
      <c r="Y126" s="63">
        <f>COUNTIF('Detailed Attendance'!R127:R127, "P")+COUNTIF('Detailed Attendance'!X127:X127, "P")+COUNTIF('Detailed Attendance'!AL127:AL127, "P")+COUNTIF('Detailed Attendance'!BF127:BF127, "P")+COUNTIF('Detailed Attendance'!BL127:BL127, "P")+COUNTIF('Detailed Attendance'!BZ127:BZ127, "P")+COUNTIF('Detailed Attendance'!CI127:CI127, "P")+COUNTIF('Detailed Attendance'!CW127:CW127, "P")</f>
        <v/>
      </c>
      <c r="Z126" s="63">
        <f>COUNTIF('Detailed Attendance'!R127:R127, "A")+COUNTIF('Detailed Attendance'!X127:X127, "A")+COUNTIF('Detailed Attendance'!AL127:AL127, "A")+COUNTIF('Detailed Attendance'!BF127:BF127, "A")+COUNTIF('Detailed Attendance'!BL127:BL127, "A")+COUNTIF('Detailed Attendance'!BZ127:BZ127, "A")+COUNTIF('Detailed Attendance'!CI127:CI127, "A")+COUNTIF('Detailed Attendance'!CW127:CW127, "A")</f>
        <v/>
      </c>
      <c r="AA126" s="64">
        <f>IF((Y126+Z126)=0,"", Y126/(Y126+Z126))</f>
        <v/>
      </c>
      <c r="AB126" s="63">
        <f>COUNTIF('Detailed Attendance'!Q127:Q127, "P")+COUNTIF('Detailed Attendance'!AC127:AC127, "P")+COUNTIF('Detailed Attendance'!AK127:AK127, "P")+COUNTIF('Detailed Attendance'!AW127:AW127, "P")+COUNTIF('Detailed Attendance'!BE127:BE127, "P")+COUNTIF('Detailed Attendance'!BQ127:BQ127, "P")+COUNTIF('Detailed Attendance'!BY127:BY127, "P")+COUNTIF('Detailed Attendance'!CN127:CN127, "P")+COUNTIF('Detailed Attendance'!CV127:CV127, "P")</f>
        <v/>
      </c>
      <c r="AC126" s="63">
        <f>COUNTIF('Detailed Attendance'!Q127:Q127, "A")+COUNTIF('Detailed Attendance'!AC127:AC127, "A")+COUNTIF('Detailed Attendance'!AK127:AK127, "A")+COUNTIF('Detailed Attendance'!AW127:AW127, "A")+COUNTIF('Detailed Attendance'!BE127:BE127, "A")+COUNTIF('Detailed Attendance'!BQ127:BQ127, "A")+COUNTIF('Detailed Attendance'!BY127:BY127, "A")+COUNTIF('Detailed Attendance'!CN127:CN127, "A")+COUNTIF('Detailed Attendance'!CV127:CV127, "A")</f>
        <v/>
      </c>
      <c r="AD126" s="64">
        <f>IF((AB126+AC126)=0,"", AB126/(AB126+AC126))</f>
        <v/>
      </c>
      <c r="AE126" s="63">
        <f>COUNTIF('Detailed Attendance'!L127:L127, "P")+COUNTIF('Detailed Attendance'!P127:P127, "P")+COUNTIF('Detailed Attendance'!AF127:AF127, "P")+COUNTIF('Detailed Attendance'!AJ127:AJ127, "P")+COUNTIF('Detailed Attendance'!AZ127:AZ127, "P")+COUNTIF('Detailed Attendance'!BD127:BD127, "P")+COUNTIF('Detailed Attendance'!BT127:BT127, "P")+COUNTIF('Detailed Attendance'!BX127:BX127, "P")+COUNTIF('Detailed Attendance'!CQ127:CQ127, "P")+COUNTIF('Detailed Attendance'!CU127:CU127, "P")</f>
        <v/>
      </c>
      <c r="AF126" s="67">
        <f>COUNTIF('Detailed Attendance'!L127:L127, "A")+COUNTIF('Detailed Attendance'!P127:P127, "A")+COUNTIF('Detailed Attendance'!AF127:AF127, "A")+COUNTIF('Detailed Attendance'!AJ127:AJ127, "A")+COUNTIF('Detailed Attendance'!AZ127:AZ127, "A")+COUNTIF('Detailed Attendance'!BD127:BD127, "A")+COUNTIF('Detailed Attendance'!BT127:BT127, "A")+COUNTIF('Detailed Attendance'!BX127:BX127, "A")+COUNTIF('Detailed Attendance'!CQ127:CQ127, "A")+COUNTIF('Detailed Attendance'!CU127:CU127, "A")</f>
        <v/>
      </c>
      <c r="AG126" s="68">
        <f>IF((AE126+AF126)=0,"", AE126/(AE126+AF126))</f>
        <v/>
      </c>
      <c r="AH126" s="67">
        <f>COUNTIF('Detailed Attendance'!T127:T127, "P")+COUNTIF('Detailed Attendance'!AN127:AN127, "P")+COUNTIF('Detailed Attendance'!AR127:AR127, "P")+COUNTIF('Detailed Attendance'!BH127:BH127, "P")+COUNTIF('Detailed Attendance'!CB127:CB127, "P")+COUNTIF('Detailed Attendance'!CF127:CF127, "P")+COUNTIF('Detailed Attendance'!CY127:CY127, "P")</f>
        <v/>
      </c>
      <c r="AI126" s="67">
        <f>COUNTIF('Detailed Attendance'!T127:T127, "A")+COUNTIF('Detailed Attendance'!AN127:AN127, "A")+COUNTIF('Detailed Attendance'!AR127:AR127, "A")+COUNTIF('Detailed Attendance'!BH127:BH127, "A")+COUNTIF('Detailed Attendance'!CB127:CB127, "A")+COUNTIF('Detailed Attendance'!CF127:CF127, "A")+COUNTIF('Detailed Attendance'!CY127:CY127, "A")</f>
        <v/>
      </c>
      <c r="AJ126" s="68">
        <f>IF((AH126+AI126)=0,"", AH126/(AH126+AI126))</f>
        <v/>
      </c>
      <c r="AK126" s="67">
        <f>COUNTIF('Detailed Attendance'!M127:M127, "P")+COUNTIF('Detailed Attendance'!U127:U127, "P")+COUNTIF('Detailed Attendance'!AG127:AG127, "P")+COUNTIF('Detailed Attendance'!AO127:AO127, "P")+COUNTIF('Detailed Attendance'!BA127:BA127, "P")+COUNTIF('Detailed Attendance'!BI127:BI127, "P")+COUNTIF('Detailed Attendance'!BU127:BU127, "P")+COUNTIF('Detailed Attendance'!CC127:CC127, "P")+COUNTIF('Detailed Attendance'!CR127:CR127, "P")+COUNTIF('Detailed Attendance'!CZ127:CZ127, "P")</f>
        <v/>
      </c>
      <c r="AL126" s="67">
        <f>COUNTIF('Detailed Attendance'!M127:M127, "A")+COUNTIF('Detailed Attendance'!U127:U127, "A")+COUNTIF('Detailed Attendance'!AG127:AG127, "A")+COUNTIF('Detailed Attendance'!AO127:AO127, "A")+COUNTIF('Detailed Attendance'!BA127:BA127, "A")+COUNTIF('Detailed Attendance'!BI127:BI127, "A")+COUNTIF('Detailed Attendance'!BU127:BU127, "A")+COUNTIF('Detailed Attendance'!CC127:CC127, "A")+COUNTIF('Detailed Attendance'!CR127:CR127, "A")+COUNTIF('Detailed Attendance'!CZ127:CZ127, "A")</f>
        <v/>
      </c>
      <c r="AM126" s="68">
        <f>IF((AK126+AL126)=0,"", AK126/(AK126+AL126))</f>
        <v/>
      </c>
      <c r="AN126" s="67">
        <f>Y126+AB126+AE126+AH126+AK126</f>
        <v/>
      </c>
      <c r="AO126" s="67">
        <f>Z126+AC126+AF126+AI126+AL126</f>
        <v/>
      </c>
      <c r="AP126" s="68">
        <f>IF((AN126+AO126)=0,"", AN126/(AN126+AO126))</f>
        <v/>
      </c>
      <c r="AQ126" s="69">
        <f>COUNTIF('Detailed Attendance'!CH127:CH127, "P")+COUNTIF('Detailed Attendance'!Y127:Y127, "P")+COUNTIF('Detailed Attendance'!AS127:AS127, "P")+COUNTIF('Detailed Attendance'!BM127:BM127, "P")+COUNTIF('Detailed Attendance'!CJ127:CJ127, "P")+COUNTIF('Detailed Attendance'!AB127:AB127, "P")+COUNTIF('Detailed Attendance'!AV127:AV127, "P")+COUNTIF('Detailed Attendance'!BP127:BP127, "P")+COUNTIF('Detailed Attendance'!CM127:CM127, "P")</f>
        <v/>
      </c>
      <c r="AR126" s="69">
        <f>COUNTIF('Detailed Attendance'!CH127:CH127, "A")+COUNTIF('Detailed Attendance'!Y127:Y127, "A")+COUNTIF('Detailed Attendance'!AS127:AS127, "A")+COUNTIF('Detailed Attendance'!BM127:BM127, "A")+COUNTIF('Detailed Attendance'!CJ127:CJ127, "A")+COUNTIF('Detailed Attendance'!AB127:AB127, "A")+COUNTIF('Detailed Attendance'!AV127:AV127, "A")+COUNTIF('Detailed Attendance'!BP127:BP127, "A")+COUNTIF('Detailed Attendance'!CM127:CM127, "A")</f>
        <v/>
      </c>
      <c r="AS126" s="70">
        <f>IF((AQ126+AR126)=0,"", AQ126/(AQ126+AR126))</f>
        <v/>
      </c>
      <c r="AT126" s="67">
        <f>COUNTIF('Detailed Attendance'!DF127:DF127, "P")+COUNTIF('Detailed Attendance'!DT127:DT127, "P")+COUNTIF('Detailed Attendance'!EC127:EC127, "P")+COUNTIF('Detailed Attendance'!EQ127:EQ127, "P")+COUNTIF('Detailed Attendance'!EW127:EW127, "P")+COUNTIF('Detailed Attendance'!FK127:FK127, "P")+COUNTIF('Detailed Attendance'!FM127:FM127, "P")+COUNTIF('Detailed Attendance'!GA127:GA127, "P")</f>
        <v/>
      </c>
      <c r="AU126" s="67">
        <f>COUNTIF('Detailed Attendance'!DF127:DF127, "A")+COUNTIF('Detailed Attendance'!DT127:DT127, "A")+COUNTIF('Detailed Attendance'!EC127:EC127, "A")+COUNTIF('Detailed Attendance'!EQ127:EQ127, "A")+COUNTIF('Detailed Attendance'!EW127:EW127, "A")+COUNTIF('Detailed Attendance'!FK127:FK127, "A")+COUNTIF('Detailed Attendance'!FM127:FM127, "A")+COUNTIF('Detailed Attendance'!GA127:GA127, "A")</f>
        <v/>
      </c>
      <c r="AV126" s="68">
        <f>IF((AT126+AU126)=0,"", AT126/(AT126+AU126))</f>
        <v/>
      </c>
      <c r="AW126" s="67">
        <f>COUNTIF('Detailed Attendance'!DK127:DK127, "P")+COUNTIF('Detailed Attendance'!DS127:DS127, "P")+COUNTIF('Detailed Attendance'!EH127:EH127, "P")+COUNTIF('Detailed Attendance'!EP127:EP127, "P")+COUNTIF('Detailed Attendance'!FB127:FB127, "P")+COUNTIF('Detailed Attendance'!FJ127:FJ127, "P")+COUNTIF('Detailed Attendance'!FR127:FR127, "P")+COUNTIF('Detailed Attendance'!FZ127:FZ127, "P")</f>
        <v/>
      </c>
      <c r="AX126" s="67">
        <f>COUNTIF('Detailed Attendance'!DK127:DK127, "A")+COUNTIF('Detailed Attendance'!DS127:DS127, "A")+COUNTIF('Detailed Attendance'!EH127:EH127, "A")+COUNTIF('Detailed Attendance'!EP127:EP127, "A")+COUNTIF('Detailed Attendance'!FB127:FB127, "A")+COUNTIF('Detailed Attendance'!FJ127:FJ127, "A")+COUNTIF('Detailed Attendance'!FR127:FR127, "A")+COUNTIF('Detailed Attendance'!FZ127:FZ127, "A")</f>
        <v/>
      </c>
      <c r="AY126" s="68">
        <f>IF((AW126+AX126)=0,"", AW126/(AW126+AX126))</f>
        <v/>
      </c>
      <c r="AZ126" s="67">
        <f>COUNTIF('Detailed Attendance'!DN127:DN127, "P")+COUNTIF('Detailed Attendance'!DR127:DR127, "P")+COUNTIF('Detailed Attendance'!EK127:EK127, "P")+COUNTIF('Detailed Attendance'!EO127:EO127, "P")+COUNTIF('Detailed Attendance'!FE127:FE127, "P")+COUNTIF('Detailed Attendance'!FI127:FI127, "P")+COUNTIF('Detailed Attendance'!FU127:FU127, "P")+COUNTIF('Detailed Attendance'!FY127:FY127, "P")</f>
        <v/>
      </c>
      <c r="BA126" s="67">
        <f>COUNTIF('Detailed Attendance'!DN127:DN127, "A")+COUNTIF('Detailed Attendance'!DR127:DR127, "A")+COUNTIF('Detailed Attendance'!EK127:EK127, "A")+COUNTIF('Detailed Attendance'!EO127:EO127, "A")+COUNTIF('Detailed Attendance'!FE127:FE127, "A")+COUNTIF('Detailed Attendance'!FI127:FI127, "A")+COUNTIF('Detailed Attendance'!FU127:FU127, "A")+COUNTIF('Detailed Attendance'!FY127:FY127, "A")</f>
        <v/>
      </c>
      <c r="BB126" s="68">
        <f>IF((AZ126+BA126)=0,"", AZ126/(AZ126+BA126))</f>
        <v/>
      </c>
      <c r="BC126" s="67">
        <f>COUNTIF('Detailed Attendance'!DC127:DC127, "P")+COUNTIF('Detailed Attendance'!DV127:DV127, "P")+COUNTIF('Detailed Attendance'!DZ127:DZ127, "P")+COUNTIF('Detailed Attendance'!ES127:ES127, "P")+COUNTIF('Detailed Attendance'!GC127:GC127, "P")+COUNTIF('Detailed Attendance'!GG127:GG127, "P")</f>
        <v/>
      </c>
      <c r="BD126" s="67">
        <f>COUNTIF('Detailed Attendance'!DC127:DC127, "A")+COUNTIF('Detailed Attendance'!DV127:DV127, "A")+COUNTIF('Detailed Attendance'!DZ127:DZ127, "A")+COUNTIF('Detailed Attendance'!ES127:ES127, "A")+COUNTIF('Detailed Attendance'!GC127:GC127, "A")+COUNTIF('Detailed Attendance'!GG127:GG127, "A")</f>
        <v/>
      </c>
      <c r="BE126" s="68">
        <f>IF((BC126+BD126)=0,"", BC126/(BC126+BD126))</f>
        <v/>
      </c>
      <c r="BF126" s="67">
        <f>COUNTIF('Detailed Attendance'!DO127:DO127, "P")+COUNTIF('Detailed Attendance'!DW127:DW127, "P")+COUNTIF('Detailed Attendance'!EL127:EL127, "P")+COUNTIF('Detailed Attendance'!ET127:ET127, "P")+COUNTIF('Detailed Attendance'!FF127:FF127, "P")+COUNTIF('Detailed Attendance'!FV127:FV127, "P")+COUNTIF('Detailed Attendance'!GD127:GD127, "P")</f>
        <v/>
      </c>
      <c r="BG126" s="67">
        <f>COUNTIF('Detailed Attendance'!DO127:DO127, "A")+COUNTIF('Detailed Attendance'!DW127:DW127, "A")+COUNTIF('Detailed Attendance'!EL127:EL127, "A")+COUNTIF('Detailed Attendance'!ET127:ET127, "A")+COUNTIF('Detailed Attendance'!FF127:FF127, "A")+COUNTIF('Detailed Attendance'!FV127:FV127, "A")+COUNTIF('Detailed Attendance'!GD127:GD127, "A")</f>
        <v/>
      </c>
      <c r="BH126" s="68">
        <f>IF((BF126+BG126)=0,"", BF126/(BF126+BG126))</f>
        <v/>
      </c>
      <c r="BI126" s="67">
        <f>AT126+AW126+AZ126+BC126+BF126</f>
        <v/>
      </c>
      <c r="BJ126" s="67">
        <f>AU126+AX126+BA126+BD126+BG126</f>
        <v/>
      </c>
      <c r="BK126" s="68">
        <f>IF((BI126+BJ126)=0,"", BI126/(BI126+BJ126))</f>
        <v/>
      </c>
      <c r="BL126" s="69">
        <f>COUNTIF('Detailed Attendance'!DE127:DE127, "P")+COUNTIF('Detailed Attendance'!EB127:EB127, "P")+COUNTIF('Detailed Attendance'!GI127:GI127, "P")+COUNTIF('Detailed Attendance'!DG127:DG127, "P")+COUNTIF('Detailed Attendance'!ED127:ED127, "P")+COUNTIF('Detailed Attendance'!EX127:EX127, "P")+COUNTIF('Detailed Attendance'!FN127:FN127, "P")+COUNTIF('Detailed Attendance'!DJ127:DJ127, "P")+COUNTIF('Detailed Attendance'!EG127:EG127, "P")+COUNTIF('Detailed Attendance'!FA127:FA127, "P")+COUNTIF('Detailed Attendance'!FQ127:FQ127, "P")</f>
        <v/>
      </c>
      <c r="BM126" s="69">
        <f>COUNTIF('Detailed Attendance'!DE127:DE127, "A")+COUNTIF('Detailed Attendance'!EB127:EB127, "A")+COUNTIF('Detailed Attendance'!GI127:GI127, "A")+COUNTIF('Detailed Attendance'!DG127:DG127, "A")+COUNTIF('Detailed Attendance'!ED127:ED127, "A")+COUNTIF('Detailed Attendance'!EX127:EX127, "A")+COUNTIF('Detailed Attendance'!FN127:FN127, "A")+COUNTIF('Detailed Attendance'!DJ127:DJ127, "A")+COUNTIF('Detailed Attendance'!EG127:EG127, "A")+COUNTIF('Detailed Attendance'!FA127:FA127, "A")+COUNTIF('Detailed Attendance'!FQ127:FQ127, "A")</f>
        <v/>
      </c>
      <c r="BN126" s="70">
        <f>IF((BL126+BM126)=0,"", BL126/(BL126+BM126))</f>
        <v/>
      </c>
      <c r="BO126" s="67">
        <f>D126+Y126+AT126</f>
        <v/>
      </c>
      <c r="BP126" s="67">
        <f>E126+Z126+AU126</f>
        <v/>
      </c>
      <c r="BQ126" s="68">
        <f>IF((BO126+BP126)=0,"", BO126/(BO126+BP126))</f>
        <v/>
      </c>
      <c r="BR126" s="67">
        <f>G126+AB126+AW126</f>
        <v/>
      </c>
      <c r="BS126" s="67">
        <f>H126+AC126+AX126</f>
        <v/>
      </c>
      <c r="BT126" s="68">
        <f>IF((BR126+BS126)=0,"", BR126/(BR126+BS126))</f>
        <v/>
      </c>
      <c r="BU126" s="67">
        <f>J126+AE126+AZ126</f>
        <v/>
      </c>
      <c r="BV126" s="67">
        <f>K126+AF126+BA126</f>
        <v/>
      </c>
      <c r="BW126" s="68">
        <f>IF((BU126+BV126)=0,"", BU126/(BU126+BV126))</f>
        <v/>
      </c>
      <c r="BX126" s="67">
        <f>M126+AH126+BC126</f>
        <v/>
      </c>
      <c r="BY126" s="67">
        <f>N126+AI126+BD126</f>
        <v/>
      </c>
      <c r="BZ126" s="68">
        <f>IF((BX126+BY126)=0,"", BX126/(BX126+BY126))</f>
        <v/>
      </c>
      <c r="CA126" s="67">
        <f>P126+AK126+BF126</f>
        <v/>
      </c>
      <c r="CB126" s="67">
        <f>Q126+AL126+BG126</f>
        <v/>
      </c>
      <c r="CC126" s="68">
        <f>IF((CA126+CB126)=0,"", CA126/(CA126+CB126))</f>
        <v/>
      </c>
      <c r="CD126" s="67">
        <f>S126+AN126+BI126</f>
        <v/>
      </c>
      <c r="CE126" s="67">
        <f>T126+AO126+BJ126</f>
        <v/>
      </c>
      <c r="CF126" s="68">
        <f>IF((CD126+CE126)=0,"", CD126/(CD126+CE126))</f>
        <v/>
      </c>
      <c r="CG126" s="69">
        <f>V126+AQ126+BL126</f>
        <v/>
      </c>
      <c r="CH126" s="69">
        <f>W126+AR126+BM126</f>
        <v/>
      </c>
      <c r="CI126" s="70">
        <f>IF((CG126+CH126)=0,"", CG126/(CG126+CH126))</f>
        <v/>
      </c>
      <c r="CJ126" s="67">
        <f>CD126+(CG126*2)</f>
        <v/>
      </c>
      <c r="CK126" s="67">
        <f>CE126+(CH126*2)</f>
        <v/>
      </c>
      <c r="CL126" s="68">
        <f>IF((CJ126+CK126)=0,"", CJ126/(CJ126+CK126))</f>
        <v/>
      </c>
      <c r="CM126" s="67" t="inlineStr">
        <is>
          <t>Batch 3</t>
        </is>
      </c>
    </row>
  </sheetData>
  <mergeCells count="8">
    <mergeCell ref="CJ1:CM1"/>
    <mergeCell ref="D1:X1"/>
    <mergeCell ref="C1:C2"/>
    <mergeCell ref="B1:B2"/>
    <mergeCell ref="Y1:AS1"/>
    <mergeCell ref="AT1:BN1"/>
    <mergeCell ref="BO1:CI1"/>
    <mergeCell ref="A1:A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E125"/>
  <sheetViews>
    <sheetView showFormulas="0" showGridLines="1" showRowColHeaders="1" showZeros="1" rightToLeft="0" tabSelected="0" showOutlineSymbols="1" defaultGridColor="1" view="normal" topLeftCell="E1" colorId="64" zoomScale="100" zoomScaleNormal="100" zoomScalePageLayoutView="100" workbookViewId="0">
      <selection pane="topLeft" activeCell="C14" activeCellId="0" sqref="C14"/>
    </sheetView>
  </sheetViews>
  <sheetFormatPr baseColWidth="8" defaultColWidth="8.796875" defaultRowHeight="14.25" zeroHeight="0" outlineLevelRow="0"/>
  <cols>
    <col width="6" customWidth="1" style="36" min="1" max="1"/>
    <col width="18" customWidth="1" style="36" min="2" max="2"/>
    <col width="35" customWidth="1" style="36" min="3" max="3"/>
    <col width="12" customWidth="1" style="36" min="4" max="31"/>
  </cols>
  <sheetData>
    <row r="1" ht="14.25" customHeight="1" s="34">
      <c r="A1" s="39" t="inlineStr">
        <is>
          <t>S.No</t>
        </is>
      </c>
      <c r="B1" s="39" t="inlineStr">
        <is>
          <t>Registration No</t>
        </is>
      </c>
      <c r="C1" s="39" t="inlineStr">
        <is>
          <t>Student Name</t>
        </is>
      </c>
      <c r="D1" s="39" t="inlineStr">
        <is>
          <t>PSQT P</t>
        </is>
      </c>
      <c r="E1" s="39" t="inlineStr">
        <is>
          <t>PSQT A</t>
        </is>
      </c>
      <c r="F1" s="39" t="inlineStr">
        <is>
          <t>PSQT %</t>
        </is>
      </c>
      <c r="G1" s="39" t="inlineStr">
        <is>
          <t>OOPJ P</t>
        </is>
      </c>
      <c r="H1" s="39" t="inlineStr">
        <is>
          <t>OOPJ A</t>
        </is>
      </c>
      <c r="I1" s="39" t="inlineStr">
        <is>
          <t>OOPJ %</t>
        </is>
      </c>
      <c r="J1" s="39" t="inlineStr">
        <is>
          <t>OS P</t>
        </is>
      </c>
      <c r="K1" s="39" t="inlineStr">
        <is>
          <t>OS A</t>
        </is>
      </c>
      <c r="L1" s="39" t="inlineStr">
        <is>
          <t>OS %</t>
        </is>
      </c>
      <c r="M1" s="39" t="inlineStr">
        <is>
          <t>COA P</t>
        </is>
      </c>
      <c r="N1" s="39" t="inlineStr">
        <is>
          <t>COA A</t>
        </is>
      </c>
      <c r="O1" s="39" t="inlineStr">
        <is>
          <t>COA %</t>
        </is>
      </c>
      <c r="P1" s="39" t="inlineStr">
        <is>
          <t>DMS P</t>
        </is>
      </c>
      <c r="Q1" s="39" t="inlineStr">
        <is>
          <t>DMS A</t>
        </is>
      </c>
      <c r="R1" s="39" t="inlineStr">
        <is>
          <t>DMS %</t>
        </is>
      </c>
      <c r="S1" s="71" t="inlineStr">
        <is>
          <t>OOPJ Lab P</t>
        </is>
      </c>
      <c r="T1" s="71" t="inlineStr">
        <is>
          <t>OOPJ Lab A</t>
        </is>
      </c>
      <c r="U1" s="71" t="inlineStr">
        <is>
          <t>OOPJ Lab %</t>
        </is>
      </c>
      <c r="V1" s="71" t="inlineStr">
        <is>
          <t>OS Lab P</t>
        </is>
      </c>
      <c r="W1" s="71" t="inlineStr">
        <is>
          <t>OS Lab A</t>
        </is>
      </c>
      <c r="X1" s="71" t="inlineStr">
        <is>
          <t>OS Lab %</t>
        </is>
      </c>
      <c r="Y1" s="71" t="inlineStr">
        <is>
          <t>COA Lab P</t>
        </is>
      </c>
      <c r="Z1" s="71" t="inlineStr">
        <is>
          <t>COA Lab A</t>
        </is>
      </c>
      <c r="AA1" s="71" t="inlineStr">
        <is>
          <t>COA Lab %</t>
        </is>
      </c>
      <c r="AB1" s="71" t="inlineStr">
        <is>
          <t>Total Lab P</t>
        </is>
      </c>
      <c r="AC1" s="71" t="inlineStr">
        <is>
          <t>Total Lab A</t>
        </is>
      </c>
      <c r="AD1" s="71" t="inlineStr">
        <is>
          <t>Total Lab %</t>
        </is>
      </c>
      <c r="AE1" s="71" t="inlineStr">
        <is>
          <t>Lab Batch</t>
        </is>
      </c>
    </row>
    <row r="2" ht="14.25" customHeight="1" s="34">
      <c r="A2" s="46" t="n">
        <v>1</v>
      </c>
      <c r="B2" s="46" t="inlineStr">
        <is>
          <t>325106410001</t>
        </is>
      </c>
      <c r="C2" s="46" t="inlineStr">
        <is>
          <t>RATISH SHARMA</t>
        </is>
      </c>
      <c r="D2" s="46">
        <f>COUNTIF('Detailed Attendance'!R4:R4, "P")+COUNTIF('Detailed Attendance'!X4:X4, "P")+COUNTIF('Detailed Attendance'!AL4:AL4, "P")+COUNTIF('Detailed Attendance'!BF4:BF4, "P")+COUNTIF('Detailed Attendance'!BL4:BL4, "P")+COUNTIF('Detailed Attendance'!BZ4:BZ4, "P")+COUNTIF('Detailed Attendance'!CI4:CI4, "P")+COUNTIF('Detailed Attendance'!CW4:CW4, "P")+COUNTIF('Detailed Attendance'!DF4:DF4, "P")+COUNTIF('Detailed Attendance'!DT4:DT4, "P")+COUNTIF('Detailed Attendance'!EC4:EC4, "P")+COUNTIF('Detailed Attendance'!EQ4:EQ4, "P")+COUNTIF('Detailed Attendance'!EW4:EW4, "P")+COUNTIF('Detailed Attendance'!FK4:FK4, "P")+COUNTIF('Detailed Attendance'!FM4:FM4, "P")+COUNTIF('Detailed Attendance'!GA4:GA4, "P")</f>
        <v/>
      </c>
      <c r="E2" s="46">
        <f>COUNTIF('Detailed Attendance'!R4:R4, "A")+COUNTIF('Detailed Attendance'!X4:X4, "A")+COUNTIF('Detailed Attendance'!AL4:AL4, "A")+COUNTIF('Detailed Attendance'!BF4:BF4, "A")+COUNTIF('Detailed Attendance'!BL4:BL4, "A")+COUNTIF('Detailed Attendance'!BZ4:BZ4, "A")+COUNTIF('Detailed Attendance'!CI4:CI4, "A")+COUNTIF('Detailed Attendance'!CW4:CW4, "A")+COUNTIF('Detailed Attendance'!DF4:DF4, "A")+COUNTIF('Detailed Attendance'!DT4:DT4, "A")+COUNTIF('Detailed Attendance'!EC4:EC4, "A")+COUNTIF('Detailed Attendance'!EQ4:EQ4, "A")+COUNTIF('Detailed Attendance'!EW4:EW4, "A")+COUNTIF('Detailed Attendance'!FK4:FK4, "A")+COUNTIF('Detailed Attendance'!FM4:FM4, "A")+COUNTIF('Detailed Attendance'!GA4:GA4, "A")</f>
        <v/>
      </c>
      <c r="F2" s="72">
        <f>IF((D2+E2)=0, "", D2/(D2+E2))</f>
        <v/>
      </c>
      <c r="G2" s="46">
        <f>COUNTIF('Detailed Attendance'!I4:I4, "P")+COUNTIF('Detailed Attendance'!Q4:Q4, "P")+COUNTIF('Detailed Attendance'!AC4:AC4, "P")+COUNTIF('Detailed Attendance'!AK4:AK4, "P")+COUNTIF('Detailed Attendance'!AW4:AW4, "P")+COUNTIF('Detailed Attendance'!BE4:BE4, "P")+COUNTIF('Detailed Attendance'!BQ4:BQ4, "P")+COUNTIF('Detailed Attendance'!BY4:BY4, "P")+COUNTIF('Detailed Attendance'!CN4:CN4, "P")+COUNTIF('Detailed Attendance'!CV4:CV4, "P")+COUNTIF('Detailed Attendance'!DK4:DK4, "P")+COUNTIF('Detailed Attendance'!DS4:DS4, "P")+COUNTIF('Detailed Attendance'!EH4:EH4, "P")+COUNTIF('Detailed Attendance'!EP4:EP4, "P")+COUNTIF('Detailed Attendance'!FB4:FB4, "P")+COUNTIF('Detailed Attendance'!FJ4:FJ4, "P")+COUNTIF('Detailed Attendance'!FR4:FR4, "P")+COUNTIF('Detailed Attendance'!FZ4:FZ4, "P")</f>
        <v/>
      </c>
      <c r="H2" s="46">
        <f>COUNTIF('Detailed Attendance'!I4:I4, "A")+COUNTIF('Detailed Attendance'!Q4:Q4, "A")+COUNTIF('Detailed Attendance'!AC4:AC4, "A")+COUNTIF('Detailed Attendance'!AK4:AK4, "A")+COUNTIF('Detailed Attendance'!AW4:AW4, "A")+COUNTIF('Detailed Attendance'!BE4:BE4, "A")+COUNTIF('Detailed Attendance'!BQ4:BQ4, "A")+COUNTIF('Detailed Attendance'!BY4:BY4, "A")+COUNTIF('Detailed Attendance'!CN4:CN4, "A")+COUNTIF('Detailed Attendance'!CV4:CV4, "A")+COUNTIF('Detailed Attendance'!DK4:DK4, "A")+COUNTIF('Detailed Attendance'!DS4:DS4, "A")+COUNTIF('Detailed Attendance'!EH4:EH4, "A")+COUNTIF('Detailed Attendance'!EP4:EP4, "A")+COUNTIF('Detailed Attendance'!FB4:FB4, "A")+COUNTIF('Detailed Attendance'!FJ4:FJ4, "A")+COUNTIF('Detailed Attendance'!FR4:FR4, "A")+COUNTIF('Detailed Attendance'!FZ4:FZ4, "A")</f>
        <v/>
      </c>
      <c r="I2" s="72">
        <f>IF((G2+H2)=0, "", G2/(G2+H2))</f>
        <v/>
      </c>
      <c r="J2" s="46">
        <f>COUNTIF('Detailed Attendance'!L4:L4, "P")+COUNTIF('Detailed Attendance'!P4:P4, "P")+COUNTIF('Detailed Attendance'!AF4:AF4, "P")+COUNTIF('Detailed Attendance'!AJ4:AJ4, "P")+COUNTIF('Detailed Attendance'!AZ4:AZ4, "P")+COUNTIF('Detailed Attendance'!BD4:BD4, "P")+COUNTIF('Detailed Attendance'!BT4:BT4, "P")+COUNTIF('Detailed Attendance'!BX4:BX4, "P")+COUNTIF('Detailed Attendance'!CQ4:CQ4, "P")+COUNTIF('Detailed Attendance'!CU4:CU4, "P")+COUNTIF('Detailed Attendance'!DN4:DN4, "P")+COUNTIF('Detailed Attendance'!DR4:DR4, "P")+COUNTIF('Detailed Attendance'!EK4:EK4, "P")+COUNTIF('Detailed Attendance'!EO4:EO4, "P")+COUNTIF('Detailed Attendance'!FE4:FE4, "P")+COUNTIF('Detailed Attendance'!FI4:FI4, "P")+COUNTIF('Detailed Attendance'!FU4:FU4, "P")+COUNTIF('Detailed Attendance'!FY4:FY4, "P")</f>
        <v/>
      </c>
      <c r="K2" s="46">
        <f>COUNTIF('Detailed Attendance'!L4:L4, "A")+COUNTIF('Detailed Attendance'!P4:P4, "A")+COUNTIF('Detailed Attendance'!AF4:AF4, "A")+COUNTIF('Detailed Attendance'!AJ4:AJ4, "A")+COUNTIF('Detailed Attendance'!AZ4:AZ4, "A")+COUNTIF('Detailed Attendance'!BD4:BD4, "A")+COUNTIF('Detailed Attendance'!BT4:BT4, "A")+COUNTIF('Detailed Attendance'!BX4:BX4, "A")+COUNTIF('Detailed Attendance'!CQ4:CQ4, "A")+COUNTIF('Detailed Attendance'!CU4:CU4, "A")+COUNTIF('Detailed Attendance'!DN4:DN4, "A")+COUNTIF('Detailed Attendance'!DR4:DR4, "A")+COUNTIF('Detailed Attendance'!EK4:EK4, "A")+COUNTIF('Detailed Attendance'!EO4:EO4, "A")+COUNTIF('Detailed Attendance'!FE4:FE4, "A")+COUNTIF('Detailed Attendance'!FI4:FI4, "A")+COUNTIF('Detailed Attendance'!FU4:FU4, "A")+COUNTIF('Detailed Attendance'!FY4:FY4, "A")</f>
        <v/>
      </c>
      <c r="L2" s="72">
        <f>IF((J2+K2)=0, "", J2/(J2+K2))</f>
        <v/>
      </c>
      <c r="M2" s="46">
        <f>COUNTIF('Detailed Attendance'!D4:D4, "P")+COUNTIF('Detailed Attendance'!T4:T4, "P")+COUNTIF('Detailed Attendance'!AN4:AN4, "P")+COUNTIF('Detailed Attendance'!AR4:AR4, "P")+COUNTIF('Detailed Attendance'!BH4:BH4, "P")+COUNTIF('Detailed Attendance'!CB4:CB4, "P")+COUNTIF('Detailed Attendance'!CF4:CF4, "P")+COUNTIF('Detailed Attendance'!CY4:CY4, "P")+COUNTIF('Detailed Attendance'!DC4:DC4, "P")+COUNTIF('Detailed Attendance'!DV4:DV4, "P")+COUNTIF('Detailed Attendance'!DZ4:DZ4, "P")+COUNTIF('Detailed Attendance'!ES4:ES4, "P")+COUNTIF('Detailed Attendance'!GC4:GC4, "P")+COUNTIF('Detailed Attendance'!GG4:GG4, "P")</f>
        <v/>
      </c>
      <c r="N2" s="46">
        <f>COUNTIF('Detailed Attendance'!D4:D4, "A")+COUNTIF('Detailed Attendance'!T4:T4, "A")+COUNTIF('Detailed Attendance'!AN4:AN4, "A")+COUNTIF('Detailed Attendance'!AR4:AR4, "A")+COUNTIF('Detailed Attendance'!BH4:BH4, "A")+COUNTIF('Detailed Attendance'!CB4:CB4, "A")+COUNTIF('Detailed Attendance'!CF4:CF4, "A")+COUNTIF('Detailed Attendance'!CY4:CY4, "A")+COUNTIF('Detailed Attendance'!DC4:DC4, "A")+COUNTIF('Detailed Attendance'!DV4:DV4, "A")+COUNTIF('Detailed Attendance'!DZ4:DZ4, "A")+COUNTIF('Detailed Attendance'!ES4:ES4, "A")+COUNTIF('Detailed Attendance'!GC4:GC4, "A")+COUNTIF('Detailed Attendance'!GG4:GG4, "A")</f>
        <v/>
      </c>
      <c r="O2" s="72">
        <f>IF((M2+N2)=0, "", M2/(M2+N2))</f>
        <v/>
      </c>
      <c r="P2" s="46">
        <f>COUNTIF('Detailed Attendance'!M4:M4, "P")+COUNTIF('Detailed Attendance'!U4:U4, "P")+COUNTIF('Detailed Attendance'!AG4:AG4, "P")+COUNTIF('Detailed Attendance'!AO4:AO4, "P")+COUNTIF('Detailed Attendance'!BA4:BA4, "P")+COUNTIF('Detailed Attendance'!BI4:BI4, "P")+COUNTIF('Detailed Attendance'!BU4:BU4, "P")+COUNTIF('Detailed Attendance'!CC4:CC4, "P")+COUNTIF('Detailed Attendance'!CR4:CR4, "P")+COUNTIF('Detailed Attendance'!CZ4:CZ4, "P")+COUNTIF('Detailed Attendance'!DO4:DO4, "P")+COUNTIF('Detailed Attendance'!DW4:DW4, "P")+COUNTIF('Detailed Attendance'!EL4:EL4, "P")+COUNTIF('Detailed Attendance'!ET4:ET4, "P")+COUNTIF('Detailed Attendance'!FF4:FF4, "P")+COUNTIF('Detailed Attendance'!FV4:FV4, "P")+COUNTIF('Detailed Attendance'!GD4:GD4, "P")</f>
        <v/>
      </c>
      <c r="Q2" s="46">
        <f>COUNTIF('Detailed Attendance'!M4:M4, "A")+COUNTIF('Detailed Attendance'!U4:U4, "A")+COUNTIF('Detailed Attendance'!AG4:AG4, "A")+COUNTIF('Detailed Attendance'!AO4:AO4, "A")+COUNTIF('Detailed Attendance'!BA4:BA4, "A")+COUNTIF('Detailed Attendance'!BI4:BI4, "A")+COUNTIF('Detailed Attendance'!BU4:BU4, "A")+COUNTIF('Detailed Attendance'!CC4:CC4, "A")+COUNTIF('Detailed Attendance'!CR4:CR4, "A")+COUNTIF('Detailed Attendance'!CZ4:CZ4, "A")+COUNTIF('Detailed Attendance'!DO4:DO4, "A")+COUNTIF('Detailed Attendance'!DW4:DW4, "A")+COUNTIF('Detailed Attendance'!EL4:EL4, "A")+COUNTIF('Detailed Attendance'!ET4:ET4, "A")+COUNTIF('Detailed Attendance'!FF4:FF4, "A")+COUNTIF('Detailed Attendance'!FV4:FV4, "A")+COUNTIF('Detailed Attendance'!GD4:GD4, "A")</f>
        <v/>
      </c>
      <c r="R2" s="72">
        <f>IF((P2+Q2)=0, "", P2/(P2+Q2))</f>
        <v/>
      </c>
      <c r="S2" s="46">
        <f>COUNTIF('Detailed Attendance'!CH4:CH4, "P")+COUNTIF('Detailed Attendance'!DE4:DE4, "P")+COUNTIF('Detailed Attendance'!EB4:EB4, "P")+COUNTIF('Detailed Attendance'!GI4:GI4, "P")</f>
        <v/>
      </c>
      <c r="T2" s="46">
        <f>COUNTIF('Detailed Attendance'!CH4:CH4, "A")+COUNTIF('Detailed Attendance'!DE4:DE4, "A")+COUNTIF('Detailed Attendance'!EB4:EB4, "A")+COUNTIF('Detailed Attendance'!GI4:GI4, "A")</f>
        <v/>
      </c>
      <c r="U2" s="73">
        <f>IF((S2+T2)=0, "", S2/(S2+T2))</f>
        <v/>
      </c>
      <c r="V2" s="46">
        <f>COUNTIF('Detailed Attendance'!V4:V4, "P")+COUNTIF('Detailed Attendance'!AP4:AP4, "P")+COUNTIF('Detailed Attendance'!BJ4:BJ4, "P")+COUNTIF('Detailed Attendance'!CD4:CD4, "P")+COUNTIF('Detailed Attendance'!DA4:DA4, "P")+COUNTIF('Detailed Attendance'!DX4:DX4, "P")+COUNTIF('Detailed Attendance'!EU4:EU4, "P")+COUNTIF('Detailed Attendance'!GE4:GE4, "P")</f>
        <v/>
      </c>
      <c r="W2" s="46">
        <f>COUNTIF('Detailed Attendance'!V4:V4, "A")+COUNTIF('Detailed Attendance'!AP4:AP4, "A")+COUNTIF('Detailed Attendance'!BJ4:BJ4, "A")+COUNTIF('Detailed Attendance'!CD4:CD4, "A")+COUNTIF('Detailed Attendance'!DA4:DA4, "A")+COUNTIF('Detailed Attendance'!DX4:DX4, "A")+COUNTIF('Detailed Attendance'!EU4:EU4, "A")+COUNTIF('Detailed Attendance'!GE4:GE4, "A")</f>
        <v/>
      </c>
      <c r="X2" s="73">
        <f>IF((V2+W2)=0, "", V2/(V2+W2))</f>
        <v/>
      </c>
      <c r="Y2" s="46">
        <f>COUNTIF('Detailed Attendance'!E4:E4, "P")+COUNTIF('Detailed Attendance'!Y4:Y4, "P")+COUNTIF('Detailed Attendance'!AS4:AS4, "P")+COUNTIF('Detailed Attendance'!BM4:BM4, "P")+COUNTIF('Detailed Attendance'!CJ4:CJ4, "P")+COUNTIF('Detailed Attendance'!DG4:DG4, "P")+COUNTIF('Detailed Attendance'!ED4:ED4, "P")+COUNTIF('Detailed Attendance'!EX4:EX4, "P")+COUNTIF('Detailed Attendance'!FN4:FN4, "P")</f>
        <v/>
      </c>
      <c r="Z2" s="46">
        <f>COUNTIF('Detailed Attendance'!E4:E4, "A")+COUNTIF('Detailed Attendance'!Y4:Y4, "A")+COUNTIF('Detailed Attendance'!AS4:AS4, "A")+COUNTIF('Detailed Attendance'!BM4:BM4, "A")+COUNTIF('Detailed Attendance'!CJ4:CJ4, "A")+COUNTIF('Detailed Attendance'!DG4:DG4, "A")+COUNTIF('Detailed Attendance'!ED4:ED4, "A")+COUNTIF('Detailed Attendance'!EX4:EX4, "A")+COUNTIF('Detailed Attendance'!FN4:FN4, "A")</f>
        <v/>
      </c>
      <c r="AA2" s="73">
        <f>IF((Y2+Z2)=0, "", Y2/(Y2+Z2))</f>
        <v/>
      </c>
      <c r="AB2" s="46">
        <f>S2+V2+Y2</f>
        <v/>
      </c>
      <c r="AC2" s="46">
        <f>T2+W2+Z2</f>
        <v/>
      </c>
      <c r="AD2" s="73">
        <f>IF((AB2+AC2)=0, "", AB2/(AB2+AC2))</f>
        <v/>
      </c>
      <c r="AE2" s="46" t="inlineStr">
        <is>
          <t>Batch 1</t>
        </is>
      </c>
    </row>
    <row r="3" ht="14.25" customHeight="1" s="34">
      <c r="A3" s="46" t="n">
        <v>2</v>
      </c>
      <c r="B3" s="46" t="inlineStr">
        <is>
          <t>325106410002</t>
        </is>
      </c>
      <c r="C3" s="46" t="inlineStr">
        <is>
          <t>ABDUL REHMAN</t>
        </is>
      </c>
      <c r="D3" s="46">
        <f>COUNTIF('Detailed Attendance'!R5:R5, "P")+COUNTIF('Detailed Attendance'!X5:X5, "P")+COUNTIF('Detailed Attendance'!AL5:AL5, "P")+COUNTIF('Detailed Attendance'!BF5:BF5, "P")+COUNTIF('Detailed Attendance'!BL5:BL5, "P")+COUNTIF('Detailed Attendance'!BZ5:BZ5, "P")+COUNTIF('Detailed Attendance'!CI5:CI5, "P")+COUNTIF('Detailed Attendance'!CW5:CW5, "P")+COUNTIF('Detailed Attendance'!DF5:DF5, "P")+COUNTIF('Detailed Attendance'!DT5:DT5, "P")+COUNTIF('Detailed Attendance'!EC5:EC5, "P")+COUNTIF('Detailed Attendance'!EQ5:EQ5, "P")+COUNTIF('Detailed Attendance'!EW5:EW5, "P")+COUNTIF('Detailed Attendance'!FK5:FK5, "P")+COUNTIF('Detailed Attendance'!FM5:FM5, "P")+COUNTIF('Detailed Attendance'!GA5:GA5, "P")</f>
        <v/>
      </c>
      <c r="E3" s="46">
        <f>COUNTIF('Detailed Attendance'!R5:R5, "A")+COUNTIF('Detailed Attendance'!X5:X5, "A")+COUNTIF('Detailed Attendance'!AL5:AL5, "A")+COUNTIF('Detailed Attendance'!BF5:BF5, "A")+COUNTIF('Detailed Attendance'!BL5:BL5, "A")+COUNTIF('Detailed Attendance'!BZ5:BZ5, "A")+COUNTIF('Detailed Attendance'!CI5:CI5, "A")+COUNTIF('Detailed Attendance'!CW5:CW5, "A")+COUNTIF('Detailed Attendance'!DF5:DF5, "A")+COUNTIF('Detailed Attendance'!DT5:DT5, "A")+COUNTIF('Detailed Attendance'!EC5:EC5, "A")+COUNTIF('Detailed Attendance'!EQ5:EQ5, "A")+COUNTIF('Detailed Attendance'!EW5:EW5, "A")+COUNTIF('Detailed Attendance'!FK5:FK5, "A")+COUNTIF('Detailed Attendance'!FM5:FM5, "A")+COUNTIF('Detailed Attendance'!GA5:GA5, "A")</f>
        <v/>
      </c>
      <c r="F3" s="72">
        <f>IF((D3+E3)=0, "", D3/(D3+E3))</f>
        <v/>
      </c>
      <c r="G3" s="46">
        <f>COUNTIF('Detailed Attendance'!I5:I5, "P")+COUNTIF('Detailed Attendance'!Q5:Q5, "P")+COUNTIF('Detailed Attendance'!AC5:AC5, "P")+COUNTIF('Detailed Attendance'!AK5:AK5, "P")+COUNTIF('Detailed Attendance'!AW5:AW5, "P")+COUNTIF('Detailed Attendance'!BE5:BE5, "P")+COUNTIF('Detailed Attendance'!BQ5:BQ5, "P")+COUNTIF('Detailed Attendance'!BY5:BY5, "P")+COUNTIF('Detailed Attendance'!CN5:CN5, "P")+COUNTIF('Detailed Attendance'!CV5:CV5, "P")+COUNTIF('Detailed Attendance'!DK5:DK5, "P")+COUNTIF('Detailed Attendance'!DS5:DS5, "P")+COUNTIF('Detailed Attendance'!EH5:EH5, "P")+COUNTIF('Detailed Attendance'!EP5:EP5, "P")+COUNTIF('Detailed Attendance'!FB5:FB5, "P")+COUNTIF('Detailed Attendance'!FJ5:FJ5, "P")+COUNTIF('Detailed Attendance'!FR5:FR5, "P")+COUNTIF('Detailed Attendance'!FZ5:FZ5, "P")</f>
        <v/>
      </c>
      <c r="H3" s="46">
        <f>COUNTIF('Detailed Attendance'!I5:I5, "A")+COUNTIF('Detailed Attendance'!Q5:Q5, "A")+COUNTIF('Detailed Attendance'!AC5:AC5, "A")+COUNTIF('Detailed Attendance'!AK5:AK5, "A")+COUNTIF('Detailed Attendance'!AW5:AW5, "A")+COUNTIF('Detailed Attendance'!BE5:BE5, "A")+COUNTIF('Detailed Attendance'!BQ5:BQ5, "A")+COUNTIF('Detailed Attendance'!BY5:BY5, "A")+COUNTIF('Detailed Attendance'!CN5:CN5, "A")+COUNTIF('Detailed Attendance'!CV5:CV5, "A")+COUNTIF('Detailed Attendance'!DK5:DK5, "A")+COUNTIF('Detailed Attendance'!DS5:DS5, "A")+COUNTIF('Detailed Attendance'!EH5:EH5, "A")+COUNTIF('Detailed Attendance'!EP5:EP5, "A")+COUNTIF('Detailed Attendance'!FB5:FB5, "A")+COUNTIF('Detailed Attendance'!FJ5:FJ5, "A")+COUNTIF('Detailed Attendance'!FR5:FR5, "A")+COUNTIF('Detailed Attendance'!FZ5:FZ5, "A")</f>
        <v/>
      </c>
      <c r="I3" s="72">
        <f>IF((G3+H3)=0, "", G3/(G3+H3))</f>
        <v/>
      </c>
      <c r="J3" s="46">
        <f>COUNTIF('Detailed Attendance'!L5:L5, "P")+COUNTIF('Detailed Attendance'!P5:P5, "P")+COUNTIF('Detailed Attendance'!AF5:AF5, "P")+COUNTIF('Detailed Attendance'!AJ5:AJ5, "P")+COUNTIF('Detailed Attendance'!AZ5:AZ5, "P")+COUNTIF('Detailed Attendance'!BD5:BD5, "P")+COUNTIF('Detailed Attendance'!BT5:BT5, "P")+COUNTIF('Detailed Attendance'!BX5:BX5, "P")+COUNTIF('Detailed Attendance'!CQ5:CQ5, "P")+COUNTIF('Detailed Attendance'!CU5:CU5, "P")+COUNTIF('Detailed Attendance'!DN5:DN5, "P")+COUNTIF('Detailed Attendance'!DR5:DR5, "P")+COUNTIF('Detailed Attendance'!EK5:EK5, "P")+COUNTIF('Detailed Attendance'!EO5:EO5, "P")+COUNTIF('Detailed Attendance'!FE5:FE5, "P")+COUNTIF('Detailed Attendance'!FI5:FI5, "P")+COUNTIF('Detailed Attendance'!FU5:FU5, "P")+COUNTIF('Detailed Attendance'!FY5:FY5, "P")</f>
        <v/>
      </c>
      <c r="K3" s="46">
        <f>COUNTIF('Detailed Attendance'!L5:L5, "A")+COUNTIF('Detailed Attendance'!P5:P5, "A")+COUNTIF('Detailed Attendance'!AF5:AF5, "A")+COUNTIF('Detailed Attendance'!AJ5:AJ5, "A")+COUNTIF('Detailed Attendance'!AZ5:AZ5, "A")+COUNTIF('Detailed Attendance'!BD5:BD5, "A")+COUNTIF('Detailed Attendance'!BT5:BT5, "A")+COUNTIF('Detailed Attendance'!BX5:BX5, "A")+COUNTIF('Detailed Attendance'!CQ5:CQ5, "A")+COUNTIF('Detailed Attendance'!CU5:CU5, "A")+COUNTIF('Detailed Attendance'!DN5:DN5, "A")+COUNTIF('Detailed Attendance'!DR5:DR5, "A")+COUNTIF('Detailed Attendance'!EK5:EK5, "A")+COUNTIF('Detailed Attendance'!EO5:EO5, "A")+COUNTIF('Detailed Attendance'!FE5:FE5, "A")+COUNTIF('Detailed Attendance'!FI5:FI5, "A")+COUNTIF('Detailed Attendance'!FU5:FU5, "A")+COUNTIF('Detailed Attendance'!FY5:FY5, "A")</f>
        <v/>
      </c>
      <c r="L3" s="72">
        <f>IF((J3+K3)=0, "", J3/(J3+K3))</f>
        <v/>
      </c>
      <c r="M3" s="46">
        <f>COUNTIF('Detailed Attendance'!D5:D5, "P")+COUNTIF('Detailed Attendance'!T5:T5, "P")+COUNTIF('Detailed Attendance'!AN5:AN5, "P")+COUNTIF('Detailed Attendance'!AR5:AR5, "P")+COUNTIF('Detailed Attendance'!BH5:BH5, "P")+COUNTIF('Detailed Attendance'!CB5:CB5, "P")+COUNTIF('Detailed Attendance'!CF5:CF5, "P")+COUNTIF('Detailed Attendance'!CY5:CY5, "P")+COUNTIF('Detailed Attendance'!DC5:DC5, "P")+COUNTIF('Detailed Attendance'!DV5:DV5, "P")+COUNTIF('Detailed Attendance'!DZ5:DZ5, "P")+COUNTIF('Detailed Attendance'!ES5:ES5, "P")+COUNTIF('Detailed Attendance'!GC5:GC5, "P")+COUNTIF('Detailed Attendance'!GG5:GG5, "P")</f>
        <v/>
      </c>
      <c r="N3" s="46">
        <f>COUNTIF('Detailed Attendance'!D5:D5, "A")+COUNTIF('Detailed Attendance'!T5:T5, "A")+COUNTIF('Detailed Attendance'!AN5:AN5, "A")+COUNTIF('Detailed Attendance'!AR5:AR5, "A")+COUNTIF('Detailed Attendance'!BH5:BH5, "A")+COUNTIF('Detailed Attendance'!CB5:CB5, "A")+COUNTIF('Detailed Attendance'!CF5:CF5, "A")+COUNTIF('Detailed Attendance'!CY5:CY5, "A")+COUNTIF('Detailed Attendance'!DC5:DC5, "A")+COUNTIF('Detailed Attendance'!DV5:DV5, "A")+COUNTIF('Detailed Attendance'!DZ5:DZ5, "A")+COUNTIF('Detailed Attendance'!ES5:ES5, "A")+COUNTIF('Detailed Attendance'!GC5:GC5, "A")+COUNTIF('Detailed Attendance'!GG5:GG5, "A")</f>
        <v/>
      </c>
      <c r="O3" s="72">
        <f>IF((M3+N3)=0, "", M3/(M3+N3))</f>
        <v/>
      </c>
      <c r="P3" s="46">
        <f>COUNTIF('Detailed Attendance'!M5:M5, "P")+COUNTIF('Detailed Attendance'!U5:U5, "P")+COUNTIF('Detailed Attendance'!AG5:AG5, "P")+COUNTIF('Detailed Attendance'!AO5:AO5, "P")+COUNTIF('Detailed Attendance'!BA5:BA5, "P")+COUNTIF('Detailed Attendance'!BI5:BI5, "P")+COUNTIF('Detailed Attendance'!BU5:BU5, "P")+COUNTIF('Detailed Attendance'!CC5:CC5, "P")+COUNTIF('Detailed Attendance'!CR5:CR5, "P")+COUNTIF('Detailed Attendance'!CZ5:CZ5, "P")+COUNTIF('Detailed Attendance'!DO5:DO5, "P")+COUNTIF('Detailed Attendance'!DW5:DW5, "P")+COUNTIF('Detailed Attendance'!EL5:EL5, "P")+COUNTIF('Detailed Attendance'!ET5:ET5, "P")+COUNTIF('Detailed Attendance'!FF5:FF5, "P")+COUNTIF('Detailed Attendance'!FV5:FV5, "P")+COUNTIF('Detailed Attendance'!GD5:GD5, "P")</f>
        <v/>
      </c>
      <c r="Q3" s="46">
        <f>COUNTIF('Detailed Attendance'!M5:M5, "A")+COUNTIF('Detailed Attendance'!U5:U5, "A")+COUNTIF('Detailed Attendance'!AG5:AG5, "A")+COUNTIF('Detailed Attendance'!AO5:AO5, "A")+COUNTIF('Detailed Attendance'!BA5:BA5, "A")+COUNTIF('Detailed Attendance'!BI5:BI5, "A")+COUNTIF('Detailed Attendance'!BU5:BU5, "A")+COUNTIF('Detailed Attendance'!CC5:CC5, "A")+COUNTIF('Detailed Attendance'!CR5:CR5, "A")+COUNTIF('Detailed Attendance'!CZ5:CZ5, "A")+COUNTIF('Detailed Attendance'!DO5:DO5, "A")+COUNTIF('Detailed Attendance'!DW5:DW5, "A")+COUNTIF('Detailed Attendance'!EL5:EL5, "A")+COUNTIF('Detailed Attendance'!ET5:ET5, "A")+COUNTIF('Detailed Attendance'!FF5:FF5, "A")+COUNTIF('Detailed Attendance'!FV5:FV5, "A")+COUNTIF('Detailed Attendance'!GD5:GD5, "A")</f>
        <v/>
      </c>
      <c r="R3" s="72">
        <f>IF((P3+Q3)=0, "", P3/(P3+Q3))</f>
        <v/>
      </c>
      <c r="S3" s="46">
        <f>COUNTIF('Detailed Attendance'!CH5:CH5, "P")+COUNTIF('Detailed Attendance'!DE5:DE5, "P")+COUNTIF('Detailed Attendance'!EB5:EB5, "P")+COUNTIF('Detailed Attendance'!GI5:GI5, "P")</f>
        <v/>
      </c>
      <c r="T3" s="46">
        <f>COUNTIF('Detailed Attendance'!CH5:CH5, "A")+COUNTIF('Detailed Attendance'!DE5:DE5, "A")+COUNTIF('Detailed Attendance'!EB5:EB5, "A")+COUNTIF('Detailed Attendance'!GI5:GI5, "A")</f>
        <v/>
      </c>
      <c r="U3" s="73">
        <f>IF((S3+T3)=0, "", S3/(S3+T3))</f>
        <v/>
      </c>
      <c r="V3" s="46">
        <f>COUNTIF('Detailed Attendance'!V5:V5, "P")+COUNTIF('Detailed Attendance'!AP5:AP5, "P")+COUNTIF('Detailed Attendance'!BJ5:BJ5, "P")+COUNTIF('Detailed Attendance'!CD5:CD5, "P")+COUNTIF('Detailed Attendance'!DA5:DA5, "P")+COUNTIF('Detailed Attendance'!DX5:DX5, "P")+COUNTIF('Detailed Attendance'!EU5:EU5, "P")+COUNTIF('Detailed Attendance'!GE5:GE5, "P")</f>
        <v/>
      </c>
      <c r="W3" s="46">
        <f>COUNTIF('Detailed Attendance'!V5:V5, "A")+COUNTIF('Detailed Attendance'!AP5:AP5, "A")+COUNTIF('Detailed Attendance'!BJ5:BJ5, "A")+COUNTIF('Detailed Attendance'!CD5:CD5, "A")+COUNTIF('Detailed Attendance'!DA5:DA5, "A")+COUNTIF('Detailed Attendance'!DX5:DX5, "A")+COUNTIF('Detailed Attendance'!EU5:EU5, "A")+COUNTIF('Detailed Attendance'!GE5:GE5, "A")</f>
        <v/>
      </c>
      <c r="X3" s="73">
        <f>IF((V3+W3)=0, "", V3/(V3+W3))</f>
        <v/>
      </c>
      <c r="Y3" s="46">
        <f>COUNTIF('Detailed Attendance'!E5:E5, "P")+COUNTIF('Detailed Attendance'!Y5:Y5, "P")+COUNTIF('Detailed Attendance'!AS5:AS5, "P")+COUNTIF('Detailed Attendance'!BM5:BM5, "P")+COUNTIF('Detailed Attendance'!CJ5:CJ5, "P")+COUNTIF('Detailed Attendance'!DG5:DG5, "P")+COUNTIF('Detailed Attendance'!ED5:ED5, "P")+COUNTIF('Detailed Attendance'!EX5:EX5, "P")+COUNTIF('Detailed Attendance'!FN5:FN5, "P")</f>
        <v/>
      </c>
      <c r="Z3" s="46">
        <f>COUNTIF('Detailed Attendance'!E5:E5, "A")+COUNTIF('Detailed Attendance'!Y5:Y5, "A")+COUNTIF('Detailed Attendance'!AS5:AS5, "A")+COUNTIF('Detailed Attendance'!BM5:BM5, "A")+COUNTIF('Detailed Attendance'!CJ5:CJ5, "A")+COUNTIF('Detailed Attendance'!DG5:DG5, "A")+COUNTIF('Detailed Attendance'!ED5:ED5, "A")+COUNTIF('Detailed Attendance'!EX5:EX5, "A")+COUNTIF('Detailed Attendance'!FN5:FN5, "A")</f>
        <v/>
      </c>
      <c r="AA3" s="73">
        <f>IF((Y3+Z3)=0, "", Y3/(Y3+Z3))</f>
        <v/>
      </c>
      <c r="AB3" s="46">
        <f>S3+V3+Y3</f>
        <v/>
      </c>
      <c r="AC3" s="46">
        <f>T3+W3+Z3</f>
        <v/>
      </c>
      <c r="AD3" s="73">
        <f>IF((AB3+AC3)=0, "", AB3/(AB3+AC3))</f>
        <v/>
      </c>
      <c r="AE3" s="46" t="inlineStr">
        <is>
          <t>Batch 1</t>
        </is>
      </c>
    </row>
    <row r="4" ht="14.25" customHeight="1" s="34">
      <c r="A4" s="46" t="n">
        <v>3</v>
      </c>
      <c r="B4" s="46" t="inlineStr">
        <is>
          <t>325106410003</t>
        </is>
      </c>
      <c r="C4" s="46" t="inlineStr">
        <is>
          <t>RISHITHA AKUMARTHI</t>
        </is>
      </c>
      <c r="D4" s="46">
        <f>COUNTIF('Detailed Attendance'!R6:R6, "P")+COUNTIF('Detailed Attendance'!X6:X6, "P")+COUNTIF('Detailed Attendance'!AL6:AL6, "P")+COUNTIF('Detailed Attendance'!BF6:BF6, "P")+COUNTIF('Detailed Attendance'!BL6:BL6, "P")+COUNTIF('Detailed Attendance'!BZ6:BZ6, "P")+COUNTIF('Detailed Attendance'!CI6:CI6, "P")+COUNTIF('Detailed Attendance'!CW6:CW6, "P")+COUNTIF('Detailed Attendance'!DF6:DF6, "P")+COUNTIF('Detailed Attendance'!DT6:DT6, "P")+COUNTIF('Detailed Attendance'!EC6:EC6, "P")+COUNTIF('Detailed Attendance'!EQ6:EQ6, "P")+COUNTIF('Detailed Attendance'!EW6:EW6, "P")+COUNTIF('Detailed Attendance'!FK6:FK6, "P")+COUNTIF('Detailed Attendance'!FM6:FM6, "P")+COUNTIF('Detailed Attendance'!GA6:GA6, "P")</f>
        <v/>
      </c>
      <c r="E4" s="46">
        <f>COUNTIF('Detailed Attendance'!R6:R6, "A")+COUNTIF('Detailed Attendance'!X6:X6, "A")+COUNTIF('Detailed Attendance'!AL6:AL6, "A")+COUNTIF('Detailed Attendance'!BF6:BF6, "A")+COUNTIF('Detailed Attendance'!BL6:BL6, "A")+COUNTIF('Detailed Attendance'!BZ6:BZ6, "A")+COUNTIF('Detailed Attendance'!CI6:CI6, "A")+COUNTIF('Detailed Attendance'!CW6:CW6, "A")+COUNTIF('Detailed Attendance'!DF6:DF6, "A")+COUNTIF('Detailed Attendance'!DT6:DT6, "A")+COUNTIF('Detailed Attendance'!EC6:EC6, "A")+COUNTIF('Detailed Attendance'!EQ6:EQ6, "A")+COUNTIF('Detailed Attendance'!EW6:EW6, "A")+COUNTIF('Detailed Attendance'!FK6:FK6, "A")+COUNTIF('Detailed Attendance'!FM6:FM6, "A")+COUNTIF('Detailed Attendance'!GA6:GA6, "A")</f>
        <v/>
      </c>
      <c r="F4" s="72">
        <f>IF((D4+E4)=0, "", D4/(D4+E4))</f>
        <v/>
      </c>
      <c r="G4" s="46">
        <f>COUNTIF('Detailed Attendance'!I6:I6, "P")+COUNTIF('Detailed Attendance'!Q6:Q6, "P")+COUNTIF('Detailed Attendance'!AC6:AC6, "P")+COUNTIF('Detailed Attendance'!AK6:AK6, "P")+COUNTIF('Detailed Attendance'!AW6:AW6, "P")+COUNTIF('Detailed Attendance'!BE6:BE6, "P")+COUNTIF('Detailed Attendance'!BQ6:BQ6, "P")+COUNTIF('Detailed Attendance'!BY6:BY6, "P")+COUNTIF('Detailed Attendance'!CN6:CN6, "P")+COUNTIF('Detailed Attendance'!CV6:CV6, "P")+COUNTIF('Detailed Attendance'!DK6:DK6, "P")+COUNTIF('Detailed Attendance'!DS6:DS6, "P")+COUNTIF('Detailed Attendance'!EH6:EH6, "P")+COUNTIF('Detailed Attendance'!EP6:EP6, "P")+COUNTIF('Detailed Attendance'!FB6:FB6, "P")+COUNTIF('Detailed Attendance'!FJ6:FJ6, "P")+COUNTIF('Detailed Attendance'!FR6:FR6, "P")+COUNTIF('Detailed Attendance'!FZ6:FZ6, "P")</f>
        <v/>
      </c>
      <c r="H4" s="46">
        <f>COUNTIF('Detailed Attendance'!I6:I6, "A")+COUNTIF('Detailed Attendance'!Q6:Q6, "A")+COUNTIF('Detailed Attendance'!AC6:AC6, "A")+COUNTIF('Detailed Attendance'!AK6:AK6, "A")+COUNTIF('Detailed Attendance'!AW6:AW6, "A")+COUNTIF('Detailed Attendance'!BE6:BE6, "A")+COUNTIF('Detailed Attendance'!BQ6:BQ6, "A")+COUNTIF('Detailed Attendance'!BY6:BY6, "A")+COUNTIF('Detailed Attendance'!CN6:CN6, "A")+COUNTIF('Detailed Attendance'!CV6:CV6, "A")+COUNTIF('Detailed Attendance'!DK6:DK6, "A")+COUNTIF('Detailed Attendance'!DS6:DS6, "A")+COUNTIF('Detailed Attendance'!EH6:EH6, "A")+COUNTIF('Detailed Attendance'!EP6:EP6, "A")+COUNTIF('Detailed Attendance'!FB6:FB6, "A")+COUNTIF('Detailed Attendance'!FJ6:FJ6, "A")+COUNTIF('Detailed Attendance'!FR6:FR6, "A")+COUNTIF('Detailed Attendance'!FZ6:FZ6, "A")</f>
        <v/>
      </c>
      <c r="I4" s="72">
        <f>IF((G4+H4)=0, "", G4/(G4+H4))</f>
        <v/>
      </c>
      <c r="J4" s="46">
        <f>COUNTIF('Detailed Attendance'!L6:L6, "P")+COUNTIF('Detailed Attendance'!P6:P6, "P")+COUNTIF('Detailed Attendance'!AF6:AF6, "P")+COUNTIF('Detailed Attendance'!AJ6:AJ6, "P")+COUNTIF('Detailed Attendance'!AZ6:AZ6, "P")+COUNTIF('Detailed Attendance'!BD6:BD6, "P")+COUNTIF('Detailed Attendance'!BT6:BT6, "P")+COUNTIF('Detailed Attendance'!BX6:BX6, "P")+COUNTIF('Detailed Attendance'!CQ6:CQ6, "P")+COUNTIF('Detailed Attendance'!CU6:CU6, "P")+COUNTIF('Detailed Attendance'!DN6:DN6, "P")+COUNTIF('Detailed Attendance'!DR6:DR6, "P")+COUNTIF('Detailed Attendance'!EK6:EK6, "P")+COUNTIF('Detailed Attendance'!EO6:EO6, "P")+COUNTIF('Detailed Attendance'!FE6:FE6, "P")+COUNTIF('Detailed Attendance'!FI6:FI6, "P")+COUNTIF('Detailed Attendance'!FU6:FU6, "P")+COUNTIF('Detailed Attendance'!FY6:FY6, "P")</f>
        <v/>
      </c>
      <c r="K4" s="46">
        <f>COUNTIF('Detailed Attendance'!L6:L6, "A")+COUNTIF('Detailed Attendance'!P6:P6, "A")+COUNTIF('Detailed Attendance'!AF6:AF6, "A")+COUNTIF('Detailed Attendance'!AJ6:AJ6, "A")+COUNTIF('Detailed Attendance'!AZ6:AZ6, "A")+COUNTIF('Detailed Attendance'!BD6:BD6, "A")+COUNTIF('Detailed Attendance'!BT6:BT6, "A")+COUNTIF('Detailed Attendance'!BX6:BX6, "A")+COUNTIF('Detailed Attendance'!CQ6:CQ6, "A")+COUNTIF('Detailed Attendance'!CU6:CU6, "A")+COUNTIF('Detailed Attendance'!DN6:DN6, "A")+COUNTIF('Detailed Attendance'!DR6:DR6, "A")+COUNTIF('Detailed Attendance'!EK6:EK6, "A")+COUNTIF('Detailed Attendance'!EO6:EO6, "A")+COUNTIF('Detailed Attendance'!FE6:FE6, "A")+COUNTIF('Detailed Attendance'!FI6:FI6, "A")+COUNTIF('Detailed Attendance'!FU6:FU6, "A")+COUNTIF('Detailed Attendance'!FY6:FY6, "A")</f>
        <v/>
      </c>
      <c r="L4" s="72">
        <f>IF((J4+K4)=0, "", J4/(J4+K4))</f>
        <v/>
      </c>
      <c r="M4" s="46">
        <f>COUNTIF('Detailed Attendance'!D6:D6, "P")+COUNTIF('Detailed Attendance'!T6:T6, "P")+COUNTIF('Detailed Attendance'!AN6:AN6, "P")+COUNTIF('Detailed Attendance'!AR6:AR6, "P")+COUNTIF('Detailed Attendance'!BH6:BH6, "P")+COUNTIF('Detailed Attendance'!CB6:CB6, "P")+COUNTIF('Detailed Attendance'!CF6:CF6, "P")+COUNTIF('Detailed Attendance'!CY6:CY6, "P")+COUNTIF('Detailed Attendance'!DC6:DC6, "P")+COUNTIF('Detailed Attendance'!DV6:DV6, "P")+COUNTIF('Detailed Attendance'!DZ6:DZ6, "P")+COUNTIF('Detailed Attendance'!ES6:ES6, "P")+COUNTIF('Detailed Attendance'!GC6:GC6, "P")+COUNTIF('Detailed Attendance'!GG6:GG6, "P")</f>
        <v/>
      </c>
      <c r="N4" s="46">
        <f>COUNTIF('Detailed Attendance'!D6:D6, "A")+COUNTIF('Detailed Attendance'!T6:T6, "A")+COUNTIF('Detailed Attendance'!AN6:AN6, "A")+COUNTIF('Detailed Attendance'!AR6:AR6, "A")+COUNTIF('Detailed Attendance'!BH6:BH6, "A")+COUNTIF('Detailed Attendance'!CB6:CB6, "A")+COUNTIF('Detailed Attendance'!CF6:CF6, "A")+COUNTIF('Detailed Attendance'!CY6:CY6, "A")+COUNTIF('Detailed Attendance'!DC6:DC6, "A")+COUNTIF('Detailed Attendance'!DV6:DV6, "A")+COUNTIF('Detailed Attendance'!DZ6:DZ6, "A")+COUNTIF('Detailed Attendance'!ES6:ES6, "A")+COUNTIF('Detailed Attendance'!GC6:GC6, "A")+COUNTIF('Detailed Attendance'!GG6:GG6, "A")</f>
        <v/>
      </c>
      <c r="O4" s="72">
        <f>IF((M4+N4)=0, "", M4/(M4+N4))</f>
        <v/>
      </c>
      <c r="P4" s="46">
        <f>COUNTIF('Detailed Attendance'!M6:M6, "P")+COUNTIF('Detailed Attendance'!U6:U6, "P")+COUNTIF('Detailed Attendance'!AG6:AG6, "P")+COUNTIF('Detailed Attendance'!AO6:AO6, "P")+COUNTIF('Detailed Attendance'!BA6:BA6, "P")+COUNTIF('Detailed Attendance'!BI6:BI6, "P")+COUNTIF('Detailed Attendance'!BU6:BU6, "P")+COUNTIF('Detailed Attendance'!CC6:CC6, "P")+COUNTIF('Detailed Attendance'!CR6:CR6, "P")+COUNTIF('Detailed Attendance'!CZ6:CZ6, "P")+COUNTIF('Detailed Attendance'!DO6:DO6, "P")+COUNTIF('Detailed Attendance'!DW6:DW6, "P")+COUNTIF('Detailed Attendance'!EL6:EL6, "P")+COUNTIF('Detailed Attendance'!ET6:ET6, "P")+COUNTIF('Detailed Attendance'!FF6:FF6, "P")+COUNTIF('Detailed Attendance'!FV6:FV6, "P")+COUNTIF('Detailed Attendance'!GD6:GD6, "P")</f>
        <v/>
      </c>
      <c r="Q4" s="46">
        <f>COUNTIF('Detailed Attendance'!M6:M6, "A")+COUNTIF('Detailed Attendance'!U6:U6, "A")+COUNTIF('Detailed Attendance'!AG6:AG6, "A")+COUNTIF('Detailed Attendance'!AO6:AO6, "A")+COUNTIF('Detailed Attendance'!BA6:BA6, "A")+COUNTIF('Detailed Attendance'!BI6:BI6, "A")+COUNTIF('Detailed Attendance'!BU6:BU6, "A")+COUNTIF('Detailed Attendance'!CC6:CC6, "A")+COUNTIF('Detailed Attendance'!CR6:CR6, "A")+COUNTIF('Detailed Attendance'!CZ6:CZ6, "A")+COUNTIF('Detailed Attendance'!DO6:DO6, "A")+COUNTIF('Detailed Attendance'!DW6:DW6, "A")+COUNTIF('Detailed Attendance'!EL6:EL6, "A")+COUNTIF('Detailed Attendance'!ET6:ET6, "A")+COUNTIF('Detailed Attendance'!FF6:FF6, "A")+COUNTIF('Detailed Attendance'!FV6:FV6, "A")+COUNTIF('Detailed Attendance'!GD6:GD6, "A")</f>
        <v/>
      </c>
      <c r="R4" s="72">
        <f>IF((P4+Q4)=0, "", P4/(P4+Q4))</f>
        <v/>
      </c>
      <c r="S4" s="46">
        <f>COUNTIF('Detailed Attendance'!CH6:CH6, "P")+COUNTIF('Detailed Attendance'!DE6:DE6, "P")+COUNTIF('Detailed Attendance'!EB6:EB6, "P")+COUNTIF('Detailed Attendance'!GI6:GI6, "P")</f>
        <v/>
      </c>
      <c r="T4" s="46">
        <f>COUNTIF('Detailed Attendance'!CH6:CH6, "A")+COUNTIF('Detailed Attendance'!DE6:DE6, "A")+COUNTIF('Detailed Attendance'!EB6:EB6, "A")+COUNTIF('Detailed Attendance'!GI6:GI6, "A")</f>
        <v/>
      </c>
      <c r="U4" s="73">
        <f>IF((S4+T4)=0, "", S4/(S4+T4))</f>
        <v/>
      </c>
      <c r="V4" s="46">
        <f>COUNTIF('Detailed Attendance'!V6:V6, "P")+COUNTIF('Detailed Attendance'!AP6:AP6, "P")+COUNTIF('Detailed Attendance'!BJ6:BJ6, "P")+COUNTIF('Detailed Attendance'!CD6:CD6, "P")+COUNTIF('Detailed Attendance'!DA6:DA6, "P")+COUNTIF('Detailed Attendance'!DX6:DX6, "P")+COUNTIF('Detailed Attendance'!EU6:EU6, "P")+COUNTIF('Detailed Attendance'!GE6:GE6, "P")</f>
        <v/>
      </c>
      <c r="W4" s="46">
        <f>COUNTIF('Detailed Attendance'!V6:V6, "A")+COUNTIF('Detailed Attendance'!AP6:AP6, "A")+COUNTIF('Detailed Attendance'!BJ6:BJ6, "A")+COUNTIF('Detailed Attendance'!CD6:CD6, "A")+COUNTIF('Detailed Attendance'!DA6:DA6, "A")+COUNTIF('Detailed Attendance'!DX6:DX6, "A")+COUNTIF('Detailed Attendance'!EU6:EU6, "A")+COUNTIF('Detailed Attendance'!GE6:GE6, "A")</f>
        <v/>
      </c>
      <c r="X4" s="73">
        <f>IF((V4+W4)=0, "", V4/(V4+W4))</f>
        <v/>
      </c>
      <c r="Y4" s="46">
        <f>COUNTIF('Detailed Attendance'!E6:E6, "P")+COUNTIF('Detailed Attendance'!Y6:Y6, "P")+COUNTIF('Detailed Attendance'!AS6:AS6, "P")+COUNTIF('Detailed Attendance'!BM6:BM6, "P")+COUNTIF('Detailed Attendance'!CJ6:CJ6, "P")+COUNTIF('Detailed Attendance'!DG6:DG6, "P")+COUNTIF('Detailed Attendance'!ED6:ED6, "P")+COUNTIF('Detailed Attendance'!EX6:EX6, "P")+COUNTIF('Detailed Attendance'!FN6:FN6, "P")</f>
        <v/>
      </c>
      <c r="Z4" s="46">
        <f>COUNTIF('Detailed Attendance'!E6:E6, "A")+COUNTIF('Detailed Attendance'!Y6:Y6, "A")+COUNTIF('Detailed Attendance'!AS6:AS6, "A")+COUNTIF('Detailed Attendance'!BM6:BM6, "A")+COUNTIF('Detailed Attendance'!CJ6:CJ6, "A")+COUNTIF('Detailed Attendance'!DG6:DG6, "A")+COUNTIF('Detailed Attendance'!ED6:ED6, "A")+COUNTIF('Detailed Attendance'!EX6:EX6, "A")+COUNTIF('Detailed Attendance'!FN6:FN6, "A")</f>
        <v/>
      </c>
      <c r="AA4" s="73">
        <f>IF((Y4+Z4)=0, "", Y4/(Y4+Z4))</f>
        <v/>
      </c>
      <c r="AB4" s="46">
        <f>S4+V4+Y4</f>
        <v/>
      </c>
      <c r="AC4" s="46">
        <f>T4+W4+Z4</f>
        <v/>
      </c>
      <c r="AD4" s="73">
        <f>IF((AB4+AC4)=0, "", AB4/(AB4+AC4))</f>
        <v/>
      </c>
      <c r="AE4" s="46" t="inlineStr">
        <is>
          <t>Batch 1</t>
        </is>
      </c>
    </row>
    <row r="5" ht="14.25" customHeight="1" s="34">
      <c r="A5" s="46" t="n">
        <v>4</v>
      </c>
      <c r="B5" s="46" t="inlineStr">
        <is>
          <t>325106410004</t>
        </is>
      </c>
      <c r="C5" s="46" t="inlineStr">
        <is>
          <t>SIREESHA BADANA</t>
        </is>
      </c>
      <c r="D5" s="46">
        <f>COUNTIF('Detailed Attendance'!R7:R7, "P")+COUNTIF('Detailed Attendance'!X7:X7, "P")+COUNTIF('Detailed Attendance'!AL7:AL7, "P")+COUNTIF('Detailed Attendance'!BF7:BF7, "P")+COUNTIF('Detailed Attendance'!BL7:BL7, "P")+COUNTIF('Detailed Attendance'!BZ7:BZ7, "P")+COUNTIF('Detailed Attendance'!CI7:CI7, "P")+COUNTIF('Detailed Attendance'!CW7:CW7, "P")+COUNTIF('Detailed Attendance'!DF7:DF7, "P")+COUNTIF('Detailed Attendance'!DT7:DT7, "P")+COUNTIF('Detailed Attendance'!EC7:EC7, "P")+COUNTIF('Detailed Attendance'!EQ7:EQ7, "P")+COUNTIF('Detailed Attendance'!EW7:EW7, "P")+COUNTIF('Detailed Attendance'!FK7:FK7, "P")+COUNTIF('Detailed Attendance'!FM7:FM7, "P")+COUNTIF('Detailed Attendance'!GA7:GA7, "P")</f>
        <v/>
      </c>
      <c r="E5" s="46">
        <f>COUNTIF('Detailed Attendance'!R7:R7, "A")+COUNTIF('Detailed Attendance'!X7:X7, "A")+COUNTIF('Detailed Attendance'!AL7:AL7, "A")+COUNTIF('Detailed Attendance'!BF7:BF7, "A")+COUNTIF('Detailed Attendance'!BL7:BL7, "A")+COUNTIF('Detailed Attendance'!BZ7:BZ7, "A")+COUNTIF('Detailed Attendance'!CI7:CI7, "A")+COUNTIF('Detailed Attendance'!CW7:CW7, "A")+COUNTIF('Detailed Attendance'!DF7:DF7, "A")+COUNTIF('Detailed Attendance'!DT7:DT7, "A")+COUNTIF('Detailed Attendance'!EC7:EC7, "A")+COUNTIF('Detailed Attendance'!EQ7:EQ7, "A")+COUNTIF('Detailed Attendance'!EW7:EW7, "A")+COUNTIF('Detailed Attendance'!FK7:FK7, "A")+COUNTIF('Detailed Attendance'!FM7:FM7, "A")+COUNTIF('Detailed Attendance'!GA7:GA7, "A")</f>
        <v/>
      </c>
      <c r="F5" s="72">
        <f>IF((D5+E5)=0, "", D5/(D5+E5))</f>
        <v/>
      </c>
      <c r="G5" s="46">
        <f>COUNTIF('Detailed Attendance'!I7:I7, "P")+COUNTIF('Detailed Attendance'!Q7:Q7, "P")+COUNTIF('Detailed Attendance'!AC7:AC7, "P")+COUNTIF('Detailed Attendance'!AK7:AK7, "P")+COUNTIF('Detailed Attendance'!AW7:AW7, "P")+COUNTIF('Detailed Attendance'!BE7:BE7, "P")+COUNTIF('Detailed Attendance'!BQ7:BQ7, "P")+COUNTIF('Detailed Attendance'!BY7:BY7, "P")+COUNTIF('Detailed Attendance'!CN7:CN7, "P")+COUNTIF('Detailed Attendance'!CV7:CV7, "P")+COUNTIF('Detailed Attendance'!DK7:DK7, "P")+COUNTIF('Detailed Attendance'!DS7:DS7, "P")+COUNTIF('Detailed Attendance'!EH7:EH7, "P")+COUNTIF('Detailed Attendance'!EP7:EP7, "P")+COUNTIF('Detailed Attendance'!FB7:FB7, "P")+COUNTIF('Detailed Attendance'!FJ7:FJ7, "P")+COUNTIF('Detailed Attendance'!FR7:FR7, "P")+COUNTIF('Detailed Attendance'!FZ7:FZ7, "P")</f>
        <v/>
      </c>
      <c r="H5" s="46">
        <f>COUNTIF('Detailed Attendance'!I7:I7, "A")+COUNTIF('Detailed Attendance'!Q7:Q7, "A")+COUNTIF('Detailed Attendance'!AC7:AC7, "A")+COUNTIF('Detailed Attendance'!AK7:AK7, "A")+COUNTIF('Detailed Attendance'!AW7:AW7, "A")+COUNTIF('Detailed Attendance'!BE7:BE7, "A")+COUNTIF('Detailed Attendance'!BQ7:BQ7, "A")+COUNTIF('Detailed Attendance'!BY7:BY7, "A")+COUNTIF('Detailed Attendance'!CN7:CN7, "A")+COUNTIF('Detailed Attendance'!CV7:CV7, "A")+COUNTIF('Detailed Attendance'!DK7:DK7, "A")+COUNTIF('Detailed Attendance'!DS7:DS7, "A")+COUNTIF('Detailed Attendance'!EH7:EH7, "A")+COUNTIF('Detailed Attendance'!EP7:EP7, "A")+COUNTIF('Detailed Attendance'!FB7:FB7, "A")+COUNTIF('Detailed Attendance'!FJ7:FJ7, "A")+COUNTIF('Detailed Attendance'!FR7:FR7, "A")+COUNTIF('Detailed Attendance'!FZ7:FZ7, "A")</f>
        <v/>
      </c>
      <c r="I5" s="72">
        <f>IF((G5+H5)=0, "", G5/(G5+H5))</f>
        <v/>
      </c>
      <c r="J5" s="46">
        <f>COUNTIF('Detailed Attendance'!L7:L7, "P")+COUNTIF('Detailed Attendance'!P7:P7, "P")+COUNTIF('Detailed Attendance'!AF7:AF7, "P")+COUNTIF('Detailed Attendance'!AJ7:AJ7, "P")+COUNTIF('Detailed Attendance'!AZ7:AZ7, "P")+COUNTIF('Detailed Attendance'!BD7:BD7, "P")+COUNTIF('Detailed Attendance'!BT7:BT7, "P")+COUNTIF('Detailed Attendance'!BX7:BX7, "P")+COUNTIF('Detailed Attendance'!CQ7:CQ7, "P")+COUNTIF('Detailed Attendance'!CU7:CU7, "P")+COUNTIF('Detailed Attendance'!DN7:DN7, "P")+COUNTIF('Detailed Attendance'!DR7:DR7, "P")+COUNTIF('Detailed Attendance'!EK7:EK7, "P")+COUNTIF('Detailed Attendance'!EO7:EO7, "P")+COUNTIF('Detailed Attendance'!FE7:FE7, "P")+COUNTIF('Detailed Attendance'!FI7:FI7, "P")+COUNTIF('Detailed Attendance'!FU7:FU7, "P")+COUNTIF('Detailed Attendance'!FY7:FY7, "P")</f>
        <v/>
      </c>
      <c r="K5" s="46">
        <f>COUNTIF('Detailed Attendance'!L7:L7, "A")+COUNTIF('Detailed Attendance'!P7:P7, "A")+COUNTIF('Detailed Attendance'!AF7:AF7, "A")+COUNTIF('Detailed Attendance'!AJ7:AJ7, "A")+COUNTIF('Detailed Attendance'!AZ7:AZ7, "A")+COUNTIF('Detailed Attendance'!BD7:BD7, "A")+COUNTIF('Detailed Attendance'!BT7:BT7, "A")+COUNTIF('Detailed Attendance'!BX7:BX7, "A")+COUNTIF('Detailed Attendance'!CQ7:CQ7, "A")+COUNTIF('Detailed Attendance'!CU7:CU7, "A")+COUNTIF('Detailed Attendance'!DN7:DN7, "A")+COUNTIF('Detailed Attendance'!DR7:DR7, "A")+COUNTIF('Detailed Attendance'!EK7:EK7, "A")+COUNTIF('Detailed Attendance'!EO7:EO7, "A")+COUNTIF('Detailed Attendance'!FE7:FE7, "A")+COUNTIF('Detailed Attendance'!FI7:FI7, "A")+COUNTIF('Detailed Attendance'!FU7:FU7, "A")+COUNTIF('Detailed Attendance'!FY7:FY7, "A")</f>
        <v/>
      </c>
      <c r="L5" s="72">
        <f>IF((J5+K5)=0, "", J5/(J5+K5))</f>
        <v/>
      </c>
      <c r="M5" s="46">
        <f>COUNTIF('Detailed Attendance'!D7:D7, "P")+COUNTIF('Detailed Attendance'!T7:T7, "P")+COUNTIF('Detailed Attendance'!AN7:AN7, "P")+COUNTIF('Detailed Attendance'!AR7:AR7, "P")+COUNTIF('Detailed Attendance'!BH7:BH7, "P")+COUNTIF('Detailed Attendance'!CB7:CB7, "P")+COUNTIF('Detailed Attendance'!CF7:CF7, "P")+COUNTIF('Detailed Attendance'!CY7:CY7, "P")+COUNTIF('Detailed Attendance'!DC7:DC7, "P")+COUNTIF('Detailed Attendance'!DV7:DV7, "P")+COUNTIF('Detailed Attendance'!DZ7:DZ7, "P")+COUNTIF('Detailed Attendance'!ES7:ES7, "P")+COUNTIF('Detailed Attendance'!GC7:GC7, "P")+COUNTIF('Detailed Attendance'!GG7:GG7, "P")</f>
        <v/>
      </c>
      <c r="N5" s="46">
        <f>COUNTIF('Detailed Attendance'!D7:D7, "A")+COUNTIF('Detailed Attendance'!T7:T7, "A")+COUNTIF('Detailed Attendance'!AN7:AN7, "A")+COUNTIF('Detailed Attendance'!AR7:AR7, "A")+COUNTIF('Detailed Attendance'!BH7:BH7, "A")+COUNTIF('Detailed Attendance'!CB7:CB7, "A")+COUNTIF('Detailed Attendance'!CF7:CF7, "A")+COUNTIF('Detailed Attendance'!CY7:CY7, "A")+COUNTIF('Detailed Attendance'!DC7:DC7, "A")+COUNTIF('Detailed Attendance'!DV7:DV7, "A")+COUNTIF('Detailed Attendance'!DZ7:DZ7, "A")+COUNTIF('Detailed Attendance'!ES7:ES7, "A")+COUNTIF('Detailed Attendance'!GC7:GC7, "A")+COUNTIF('Detailed Attendance'!GG7:GG7, "A")</f>
        <v/>
      </c>
      <c r="O5" s="72">
        <f>IF((M5+N5)=0, "", M5/(M5+N5))</f>
        <v/>
      </c>
      <c r="P5" s="46">
        <f>COUNTIF('Detailed Attendance'!M7:M7, "P")+COUNTIF('Detailed Attendance'!U7:U7, "P")+COUNTIF('Detailed Attendance'!AG7:AG7, "P")+COUNTIF('Detailed Attendance'!AO7:AO7, "P")+COUNTIF('Detailed Attendance'!BA7:BA7, "P")+COUNTIF('Detailed Attendance'!BI7:BI7, "P")+COUNTIF('Detailed Attendance'!BU7:BU7, "P")+COUNTIF('Detailed Attendance'!CC7:CC7, "P")+COUNTIF('Detailed Attendance'!CR7:CR7, "P")+COUNTIF('Detailed Attendance'!CZ7:CZ7, "P")+COUNTIF('Detailed Attendance'!DO7:DO7, "P")+COUNTIF('Detailed Attendance'!DW7:DW7, "P")+COUNTIF('Detailed Attendance'!EL7:EL7, "P")+COUNTIF('Detailed Attendance'!ET7:ET7, "P")+COUNTIF('Detailed Attendance'!FF7:FF7, "P")+COUNTIF('Detailed Attendance'!FV7:FV7, "P")+COUNTIF('Detailed Attendance'!GD7:GD7, "P")</f>
        <v/>
      </c>
      <c r="Q5" s="46">
        <f>COUNTIF('Detailed Attendance'!M7:M7, "A")+COUNTIF('Detailed Attendance'!U7:U7, "A")+COUNTIF('Detailed Attendance'!AG7:AG7, "A")+COUNTIF('Detailed Attendance'!AO7:AO7, "A")+COUNTIF('Detailed Attendance'!BA7:BA7, "A")+COUNTIF('Detailed Attendance'!BI7:BI7, "A")+COUNTIF('Detailed Attendance'!BU7:BU7, "A")+COUNTIF('Detailed Attendance'!CC7:CC7, "A")+COUNTIF('Detailed Attendance'!CR7:CR7, "A")+COUNTIF('Detailed Attendance'!CZ7:CZ7, "A")+COUNTIF('Detailed Attendance'!DO7:DO7, "A")+COUNTIF('Detailed Attendance'!DW7:DW7, "A")+COUNTIF('Detailed Attendance'!EL7:EL7, "A")+COUNTIF('Detailed Attendance'!ET7:ET7, "A")+COUNTIF('Detailed Attendance'!FF7:FF7, "A")+COUNTIF('Detailed Attendance'!FV7:FV7, "A")+COUNTIF('Detailed Attendance'!GD7:GD7, "A")</f>
        <v/>
      </c>
      <c r="R5" s="72">
        <f>IF((P5+Q5)=0, "", P5/(P5+Q5))</f>
        <v/>
      </c>
      <c r="S5" s="46">
        <f>COUNTIF('Detailed Attendance'!CH7:CH7, "P")+COUNTIF('Detailed Attendance'!DE7:DE7, "P")+COUNTIF('Detailed Attendance'!EB7:EB7, "P")+COUNTIF('Detailed Attendance'!GI7:GI7, "P")</f>
        <v/>
      </c>
      <c r="T5" s="46">
        <f>COUNTIF('Detailed Attendance'!CH7:CH7, "A")+COUNTIF('Detailed Attendance'!DE7:DE7, "A")+COUNTIF('Detailed Attendance'!EB7:EB7, "A")+COUNTIF('Detailed Attendance'!GI7:GI7, "A")</f>
        <v/>
      </c>
      <c r="U5" s="73">
        <f>IF((S5+T5)=0, "", S5/(S5+T5))</f>
        <v/>
      </c>
      <c r="V5" s="46">
        <f>COUNTIF('Detailed Attendance'!V7:V7, "P")+COUNTIF('Detailed Attendance'!AP7:AP7, "P")+COUNTIF('Detailed Attendance'!BJ7:BJ7, "P")+COUNTIF('Detailed Attendance'!CD7:CD7, "P")+COUNTIF('Detailed Attendance'!DA7:DA7, "P")+COUNTIF('Detailed Attendance'!DX7:DX7, "P")+COUNTIF('Detailed Attendance'!EU7:EU7, "P")+COUNTIF('Detailed Attendance'!GE7:GE7, "P")</f>
        <v/>
      </c>
      <c r="W5" s="46">
        <f>COUNTIF('Detailed Attendance'!V7:V7, "A")+COUNTIF('Detailed Attendance'!AP7:AP7, "A")+COUNTIF('Detailed Attendance'!BJ7:BJ7, "A")+COUNTIF('Detailed Attendance'!CD7:CD7, "A")+COUNTIF('Detailed Attendance'!DA7:DA7, "A")+COUNTIF('Detailed Attendance'!DX7:DX7, "A")+COUNTIF('Detailed Attendance'!EU7:EU7, "A")+COUNTIF('Detailed Attendance'!GE7:GE7, "A")</f>
        <v/>
      </c>
      <c r="X5" s="73">
        <f>IF((V5+W5)=0, "", V5/(V5+W5))</f>
        <v/>
      </c>
      <c r="Y5" s="46">
        <f>COUNTIF('Detailed Attendance'!E7:E7, "P")+COUNTIF('Detailed Attendance'!Y7:Y7, "P")+COUNTIF('Detailed Attendance'!AS7:AS7, "P")+COUNTIF('Detailed Attendance'!BM7:BM7, "P")+COUNTIF('Detailed Attendance'!CJ7:CJ7, "P")+COUNTIF('Detailed Attendance'!DG7:DG7, "P")+COUNTIF('Detailed Attendance'!ED7:ED7, "P")+COUNTIF('Detailed Attendance'!EX7:EX7, "P")+COUNTIF('Detailed Attendance'!FN7:FN7, "P")</f>
        <v/>
      </c>
      <c r="Z5" s="46">
        <f>COUNTIF('Detailed Attendance'!E7:E7, "A")+COUNTIF('Detailed Attendance'!Y7:Y7, "A")+COUNTIF('Detailed Attendance'!AS7:AS7, "A")+COUNTIF('Detailed Attendance'!BM7:BM7, "A")+COUNTIF('Detailed Attendance'!CJ7:CJ7, "A")+COUNTIF('Detailed Attendance'!DG7:DG7, "A")+COUNTIF('Detailed Attendance'!ED7:ED7, "A")+COUNTIF('Detailed Attendance'!EX7:EX7, "A")+COUNTIF('Detailed Attendance'!FN7:FN7, "A")</f>
        <v/>
      </c>
      <c r="AA5" s="73">
        <f>IF((Y5+Z5)=0, "", Y5/(Y5+Z5))</f>
        <v/>
      </c>
      <c r="AB5" s="46">
        <f>S5+V5+Y5</f>
        <v/>
      </c>
      <c r="AC5" s="46">
        <f>T5+W5+Z5</f>
        <v/>
      </c>
      <c r="AD5" s="73">
        <f>IF((AB5+AC5)=0, "", AB5/(AB5+AC5))</f>
        <v/>
      </c>
      <c r="AE5" s="46" t="inlineStr">
        <is>
          <t>Batch 1</t>
        </is>
      </c>
    </row>
    <row r="6" ht="14.25" customHeight="1" s="34">
      <c r="A6" s="46" t="n">
        <v>5</v>
      </c>
      <c r="B6" s="46" t="inlineStr">
        <is>
          <t>325106410005</t>
        </is>
      </c>
      <c r="C6" s="46" t="inlineStr">
        <is>
          <t>LAKSHMANA KUMAR BATHULA</t>
        </is>
      </c>
      <c r="D6" s="46">
        <f>COUNTIF('Detailed Attendance'!R8:R8, "P")+COUNTIF('Detailed Attendance'!X8:X8, "P")+COUNTIF('Detailed Attendance'!AL8:AL8, "P")+COUNTIF('Detailed Attendance'!BF8:BF8, "P")+COUNTIF('Detailed Attendance'!BL8:BL8, "P")+COUNTIF('Detailed Attendance'!BZ8:BZ8, "P")+COUNTIF('Detailed Attendance'!CI8:CI8, "P")+COUNTIF('Detailed Attendance'!CW8:CW8, "P")+COUNTIF('Detailed Attendance'!DF8:DF8, "P")+COUNTIF('Detailed Attendance'!DT8:DT8, "P")+COUNTIF('Detailed Attendance'!EC8:EC8, "P")+COUNTIF('Detailed Attendance'!EQ8:EQ8, "P")+COUNTIF('Detailed Attendance'!EW8:EW8, "P")+COUNTIF('Detailed Attendance'!FK8:FK8, "P")+COUNTIF('Detailed Attendance'!FM8:FM8, "P")+COUNTIF('Detailed Attendance'!GA8:GA8, "P")</f>
        <v/>
      </c>
      <c r="E6" s="46">
        <f>COUNTIF('Detailed Attendance'!R8:R8, "A")+COUNTIF('Detailed Attendance'!X8:X8, "A")+COUNTIF('Detailed Attendance'!AL8:AL8, "A")+COUNTIF('Detailed Attendance'!BF8:BF8, "A")+COUNTIF('Detailed Attendance'!BL8:BL8, "A")+COUNTIF('Detailed Attendance'!BZ8:BZ8, "A")+COUNTIF('Detailed Attendance'!CI8:CI8, "A")+COUNTIF('Detailed Attendance'!CW8:CW8, "A")+COUNTIF('Detailed Attendance'!DF8:DF8, "A")+COUNTIF('Detailed Attendance'!DT8:DT8, "A")+COUNTIF('Detailed Attendance'!EC8:EC8, "A")+COUNTIF('Detailed Attendance'!EQ8:EQ8, "A")+COUNTIF('Detailed Attendance'!EW8:EW8, "A")+COUNTIF('Detailed Attendance'!FK8:FK8, "A")+COUNTIF('Detailed Attendance'!FM8:FM8, "A")+COUNTIF('Detailed Attendance'!GA8:GA8, "A")</f>
        <v/>
      </c>
      <c r="F6" s="72">
        <f>IF((D6+E6)=0, "", D6/(D6+E6))</f>
        <v/>
      </c>
      <c r="G6" s="46">
        <f>COUNTIF('Detailed Attendance'!I8:I8, "P")+COUNTIF('Detailed Attendance'!Q8:Q8, "P")+COUNTIF('Detailed Attendance'!AC8:AC8, "P")+COUNTIF('Detailed Attendance'!AK8:AK8, "P")+COUNTIF('Detailed Attendance'!AW8:AW8, "P")+COUNTIF('Detailed Attendance'!BE8:BE8, "P")+COUNTIF('Detailed Attendance'!BQ8:BQ8, "P")+COUNTIF('Detailed Attendance'!BY8:BY8, "P")+COUNTIF('Detailed Attendance'!CN8:CN8, "P")+COUNTIF('Detailed Attendance'!CV8:CV8, "P")+COUNTIF('Detailed Attendance'!DK8:DK8, "P")+COUNTIF('Detailed Attendance'!DS8:DS8, "P")+COUNTIF('Detailed Attendance'!EH8:EH8, "P")+COUNTIF('Detailed Attendance'!EP8:EP8, "P")+COUNTIF('Detailed Attendance'!FB8:FB8, "P")+COUNTIF('Detailed Attendance'!FJ8:FJ8, "P")+COUNTIF('Detailed Attendance'!FR8:FR8, "P")+COUNTIF('Detailed Attendance'!FZ8:FZ8, "P")</f>
        <v/>
      </c>
      <c r="H6" s="46">
        <f>COUNTIF('Detailed Attendance'!I8:I8, "A")+COUNTIF('Detailed Attendance'!Q8:Q8, "A")+COUNTIF('Detailed Attendance'!AC8:AC8, "A")+COUNTIF('Detailed Attendance'!AK8:AK8, "A")+COUNTIF('Detailed Attendance'!AW8:AW8, "A")+COUNTIF('Detailed Attendance'!BE8:BE8, "A")+COUNTIF('Detailed Attendance'!BQ8:BQ8, "A")+COUNTIF('Detailed Attendance'!BY8:BY8, "A")+COUNTIF('Detailed Attendance'!CN8:CN8, "A")+COUNTIF('Detailed Attendance'!CV8:CV8, "A")+COUNTIF('Detailed Attendance'!DK8:DK8, "A")+COUNTIF('Detailed Attendance'!DS8:DS8, "A")+COUNTIF('Detailed Attendance'!EH8:EH8, "A")+COUNTIF('Detailed Attendance'!EP8:EP8, "A")+COUNTIF('Detailed Attendance'!FB8:FB8, "A")+COUNTIF('Detailed Attendance'!FJ8:FJ8, "A")+COUNTIF('Detailed Attendance'!FR8:FR8, "A")+COUNTIF('Detailed Attendance'!FZ8:FZ8, "A")</f>
        <v/>
      </c>
      <c r="I6" s="72">
        <f>IF((G6+H6)=0, "", G6/(G6+H6))</f>
        <v/>
      </c>
      <c r="J6" s="46">
        <f>COUNTIF('Detailed Attendance'!L8:L8, "P")+COUNTIF('Detailed Attendance'!P8:P8, "P")+COUNTIF('Detailed Attendance'!AF8:AF8, "P")+COUNTIF('Detailed Attendance'!AJ8:AJ8, "P")+COUNTIF('Detailed Attendance'!AZ8:AZ8, "P")+COUNTIF('Detailed Attendance'!BD8:BD8, "P")+COUNTIF('Detailed Attendance'!BT8:BT8, "P")+COUNTIF('Detailed Attendance'!BX8:BX8, "P")+COUNTIF('Detailed Attendance'!CQ8:CQ8, "P")+COUNTIF('Detailed Attendance'!CU8:CU8, "P")+COUNTIF('Detailed Attendance'!DN8:DN8, "P")+COUNTIF('Detailed Attendance'!DR8:DR8, "P")+COUNTIF('Detailed Attendance'!EK8:EK8, "P")+COUNTIF('Detailed Attendance'!EO8:EO8, "P")+COUNTIF('Detailed Attendance'!FE8:FE8, "P")+COUNTIF('Detailed Attendance'!FI8:FI8, "P")+COUNTIF('Detailed Attendance'!FU8:FU8, "P")+COUNTIF('Detailed Attendance'!FY8:FY8, "P")</f>
        <v/>
      </c>
      <c r="K6" s="46">
        <f>COUNTIF('Detailed Attendance'!L8:L8, "A")+COUNTIF('Detailed Attendance'!P8:P8, "A")+COUNTIF('Detailed Attendance'!AF8:AF8, "A")+COUNTIF('Detailed Attendance'!AJ8:AJ8, "A")+COUNTIF('Detailed Attendance'!AZ8:AZ8, "A")+COUNTIF('Detailed Attendance'!BD8:BD8, "A")+COUNTIF('Detailed Attendance'!BT8:BT8, "A")+COUNTIF('Detailed Attendance'!BX8:BX8, "A")+COUNTIF('Detailed Attendance'!CQ8:CQ8, "A")+COUNTIF('Detailed Attendance'!CU8:CU8, "A")+COUNTIF('Detailed Attendance'!DN8:DN8, "A")+COUNTIF('Detailed Attendance'!DR8:DR8, "A")+COUNTIF('Detailed Attendance'!EK8:EK8, "A")+COUNTIF('Detailed Attendance'!EO8:EO8, "A")+COUNTIF('Detailed Attendance'!FE8:FE8, "A")+COUNTIF('Detailed Attendance'!FI8:FI8, "A")+COUNTIF('Detailed Attendance'!FU8:FU8, "A")+COUNTIF('Detailed Attendance'!FY8:FY8, "A")</f>
        <v/>
      </c>
      <c r="L6" s="72">
        <f>IF((J6+K6)=0, "", J6/(J6+K6))</f>
        <v/>
      </c>
      <c r="M6" s="46">
        <f>COUNTIF('Detailed Attendance'!D8:D8, "P")+COUNTIF('Detailed Attendance'!T8:T8, "P")+COUNTIF('Detailed Attendance'!AN8:AN8, "P")+COUNTIF('Detailed Attendance'!AR8:AR8, "P")+COUNTIF('Detailed Attendance'!BH8:BH8, "P")+COUNTIF('Detailed Attendance'!CB8:CB8, "P")+COUNTIF('Detailed Attendance'!CF8:CF8, "P")+COUNTIF('Detailed Attendance'!CY8:CY8, "P")+COUNTIF('Detailed Attendance'!DC8:DC8, "P")+COUNTIF('Detailed Attendance'!DV8:DV8, "P")+COUNTIF('Detailed Attendance'!DZ8:DZ8, "P")+COUNTIF('Detailed Attendance'!ES8:ES8, "P")+COUNTIF('Detailed Attendance'!GC8:GC8, "P")+COUNTIF('Detailed Attendance'!GG8:GG8, "P")</f>
        <v/>
      </c>
      <c r="N6" s="46">
        <f>COUNTIF('Detailed Attendance'!D8:D8, "A")+COUNTIF('Detailed Attendance'!T8:T8, "A")+COUNTIF('Detailed Attendance'!AN8:AN8, "A")+COUNTIF('Detailed Attendance'!AR8:AR8, "A")+COUNTIF('Detailed Attendance'!BH8:BH8, "A")+COUNTIF('Detailed Attendance'!CB8:CB8, "A")+COUNTIF('Detailed Attendance'!CF8:CF8, "A")+COUNTIF('Detailed Attendance'!CY8:CY8, "A")+COUNTIF('Detailed Attendance'!DC8:DC8, "A")+COUNTIF('Detailed Attendance'!DV8:DV8, "A")+COUNTIF('Detailed Attendance'!DZ8:DZ8, "A")+COUNTIF('Detailed Attendance'!ES8:ES8, "A")+COUNTIF('Detailed Attendance'!GC8:GC8, "A")+COUNTIF('Detailed Attendance'!GG8:GG8, "A")</f>
        <v/>
      </c>
      <c r="O6" s="72">
        <f>IF((M6+N6)=0, "", M6/(M6+N6))</f>
        <v/>
      </c>
      <c r="P6" s="46">
        <f>COUNTIF('Detailed Attendance'!M8:M8, "P")+COUNTIF('Detailed Attendance'!U8:U8, "P")+COUNTIF('Detailed Attendance'!AG8:AG8, "P")+COUNTIF('Detailed Attendance'!AO8:AO8, "P")+COUNTIF('Detailed Attendance'!BA8:BA8, "P")+COUNTIF('Detailed Attendance'!BI8:BI8, "P")+COUNTIF('Detailed Attendance'!BU8:BU8, "P")+COUNTIF('Detailed Attendance'!CC8:CC8, "P")+COUNTIF('Detailed Attendance'!CR8:CR8, "P")+COUNTIF('Detailed Attendance'!CZ8:CZ8, "P")+COUNTIF('Detailed Attendance'!DO8:DO8, "P")+COUNTIF('Detailed Attendance'!DW8:DW8, "P")+COUNTIF('Detailed Attendance'!EL8:EL8, "P")+COUNTIF('Detailed Attendance'!ET8:ET8, "P")+COUNTIF('Detailed Attendance'!FF8:FF8, "P")+COUNTIF('Detailed Attendance'!FV8:FV8, "P")+COUNTIF('Detailed Attendance'!GD8:GD8, "P")</f>
        <v/>
      </c>
      <c r="Q6" s="46">
        <f>COUNTIF('Detailed Attendance'!M8:M8, "A")+COUNTIF('Detailed Attendance'!U8:U8, "A")+COUNTIF('Detailed Attendance'!AG8:AG8, "A")+COUNTIF('Detailed Attendance'!AO8:AO8, "A")+COUNTIF('Detailed Attendance'!BA8:BA8, "A")+COUNTIF('Detailed Attendance'!BI8:BI8, "A")+COUNTIF('Detailed Attendance'!BU8:BU8, "A")+COUNTIF('Detailed Attendance'!CC8:CC8, "A")+COUNTIF('Detailed Attendance'!CR8:CR8, "A")+COUNTIF('Detailed Attendance'!CZ8:CZ8, "A")+COUNTIF('Detailed Attendance'!DO8:DO8, "A")+COUNTIF('Detailed Attendance'!DW8:DW8, "A")+COUNTIF('Detailed Attendance'!EL8:EL8, "A")+COUNTIF('Detailed Attendance'!ET8:ET8, "A")+COUNTIF('Detailed Attendance'!FF8:FF8, "A")+COUNTIF('Detailed Attendance'!FV8:FV8, "A")+COUNTIF('Detailed Attendance'!GD8:GD8, "A")</f>
        <v/>
      </c>
      <c r="R6" s="72">
        <f>IF((P6+Q6)=0, "", P6/(P6+Q6))</f>
        <v/>
      </c>
      <c r="S6" s="46">
        <f>COUNTIF('Detailed Attendance'!CH8:CH8, "P")+COUNTIF('Detailed Attendance'!DE8:DE8, "P")+COUNTIF('Detailed Attendance'!EB8:EB8, "P")+COUNTIF('Detailed Attendance'!GI8:GI8, "P")</f>
        <v/>
      </c>
      <c r="T6" s="46">
        <f>COUNTIF('Detailed Attendance'!CH8:CH8, "A")+COUNTIF('Detailed Attendance'!DE8:DE8, "A")+COUNTIF('Detailed Attendance'!EB8:EB8, "A")+COUNTIF('Detailed Attendance'!GI8:GI8, "A")</f>
        <v/>
      </c>
      <c r="U6" s="73">
        <f>IF((S6+T6)=0, "", S6/(S6+T6))</f>
        <v/>
      </c>
      <c r="V6" s="46">
        <f>COUNTIF('Detailed Attendance'!V8:V8, "P")+COUNTIF('Detailed Attendance'!AP8:AP8, "P")+COUNTIF('Detailed Attendance'!BJ8:BJ8, "P")+COUNTIF('Detailed Attendance'!CD8:CD8, "P")+COUNTIF('Detailed Attendance'!DA8:DA8, "P")+COUNTIF('Detailed Attendance'!DX8:DX8, "P")+COUNTIF('Detailed Attendance'!EU8:EU8, "P")+COUNTIF('Detailed Attendance'!GE8:GE8, "P")</f>
        <v/>
      </c>
      <c r="W6" s="46">
        <f>COUNTIF('Detailed Attendance'!V8:V8, "A")+COUNTIF('Detailed Attendance'!AP8:AP8, "A")+COUNTIF('Detailed Attendance'!BJ8:BJ8, "A")+COUNTIF('Detailed Attendance'!CD8:CD8, "A")+COUNTIF('Detailed Attendance'!DA8:DA8, "A")+COUNTIF('Detailed Attendance'!DX8:DX8, "A")+COUNTIF('Detailed Attendance'!EU8:EU8, "A")+COUNTIF('Detailed Attendance'!GE8:GE8, "A")</f>
        <v/>
      </c>
      <c r="X6" s="73">
        <f>IF((V6+W6)=0, "", V6/(V6+W6))</f>
        <v/>
      </c>
      <c r="Y6" s="46">
        <f>COUNTIF('Detailed Attendance'!E8:E8, "P")+COUNTIF('Detailed Attendance'!Y8:Y8, "P")+COUNTIF('Detailed Attendance'!AS8:AS8, "P")+COUNTIF('Detailed Attendance'!BM8:BM8, "P")+COUNTIF('Detailed Attendance'!CJ8:CJ8, "P")+COUNTIF('Detailed Attendance'!DG8:DG8, "P")+COUNTIF('Detailed Attendance'!ED8:ED8, "P")+COUNTIF('Detailed Attendance'!EX8:EX8, "P")+COUNTIF('Detailed Attendance'!FN8:FN8, "P")</f>
        <v/>
      </c>
      <c r="Z6" s="46">
        <f>COUNTIF('Detailed Attendance'!E8:E8, "A")+COUNTIF('Detailed Attendance'!Y8:Y8, "A")+COUNTIF('Detailed Attendance'!AS8:AS8, "A")+COUNTIF('Detailed Attendance'!BM8:BM8, "A")+COUNTIF('Detailed Attendance'!CJ8:CJ8, "A")+COUNTIF('Detailed Attendance'!DG8:DG8, "A")+COUNTIF('Detailed Attendance'!ED8:ED8, "A")+COUNTIF('Detailed Attendance'!EX8:EX8, "A")+COUNTIF('Detailed Attendance'!FN8:FN8, "A")</f>
        <v/>
      </c>
      <c r="AA6" s="73">
        <f>IF((Y6+Z6)=0, "", Y6/(Y6+Z6))</f>
        <v/>
      </c>
      <c r="AB6" s="46">
        <f>S6+V6+Y6</f>
        <v/>
      </c>
      <c r="AC6" s="46">
        <f>T6+W6+Z6</f>
        <v/>
      </c>
      <c r="AD6" s="73">
        <f>IF((AB6+AC6)=0, "", AB6/(AB6+AC6))</f>
        <v/>
      </c>
      <c r="AE6" s="46" t="inlineStr">
        <is>
          <t>Batch 1</t>
        </is>
      </c>
    </row>
    <row r="7" ht="14.25" customHeight="1" s="34">
      <c r="A7" s="46" t="n">
        <v>6</v>
      </c>
      <c r="B7" s="46" t="inlineStr">
        <is>
          <t>325106410006</t>
        </is>
      </c>
      <c r="C7" s="46" t="inlineStr">
        <is>
          <t>PADMA KUMARI CHIKKALA</t>
        </is>
      </c>
      <c r="D7" s="46">
        <f>COUNTIF('Detailed Attendance'!R9:R9, "P")+COUNTIF('Detailed Attendance'!X9:X9, "P")+COUNTIF('Detailed Attendance'!AL9:AL9, "P")+COUNTIF('Detailed Attendance'!BF9:BF9, "P")+COUNTIF('Detailed Attendance'!BL9:BL9, "P")+COUNTIF('Detailed Attendance'!BZ9:BZ9, "P")+COUNTIF('Detailed Attendance'!CI9:CI9, "P")+COUNTIF('Detailed Attendance'!CW9:CW9, "P")+COUNTIF('Detailed Attendance'!DF9:DF9, "P")+COUNTIF('Detailed Attendance'!DT9:DT9, "P")+COUNTIF('Detailed Attendance'!EC9:EC9, "P")+COUNTIF('Detailed Attendance'!EQ9:EQ9, "P")+COUNTIF('Detailed Attendance'!EW9:EW9, "P")+COUNTIF('Detailed Attendance'!FK9:FK9, "P")+COUNTIF('Detailed Attendance'!FM9:FM9, "P")+COUNTIF('Detailed Attendance'!GA9:GA9, "P")</f>
        <v/>
      </c>
      <c r="E7" s="46">
        <f>COUNTIF('Detailed Attendance'!R9:R9, "A")+COUNTIF('Detailed Attendance'!X9:X9, "A")+COUNTIF('Detailed Attendance'!AL9:AL9, "A")+COUNTIF('Detailed Attendance'!BF9:BF9, "A")+COUNTIF('Detailed Attendance'!BL9:BL9, "A")+COUNTIF('Detailed Attendance'!BZ9:BZ9, "A")+COUNTIF('Detailed Attendance'!CI9:CI9, "A")+COUNTIF('Detailed Attendance'!CW9:CW9, "A")+COUNTIF('Detailed Attendance'!DF9:DF9, "A")+COUNTIF('Detailed Attendance'!DT9:DT9, "A")+COUNTIF('Detailed Attendance'!EC9:EC9, "A")+COUNTIF('Detailed Attendance'!EQ9:EQ9, "A")+COUNTIF('Detailed Attendance'!EW9:EW9, "A")+COUNTIF('Detailed Attendance'!FK9:FK9, "A")+COUNTIF('Detailed Attendance'!FM9:FM9, "A")+COUNTIF('Detailed Attendance'!GA9:GA9, "A")</f>
        <v/>
      </c>
      <c r="F7" s="72">
        <f>IF((D7+E7)=0, "", D7/(D7+E7))</f>
        <v/>
      </c>
      <c r="G7" s="46">
        <f>COUNTIF('Detailed Attendance'!I9:I9, "P")+COUNTIF('Detailed Attendance'!Q9:Q9, "P")+COUNTIF('Detailed Attendance'!AC9:AC9, "P")+COUNTIF('Detailed Attendance'!AK9:AK9, "P")+COUNTIF('Detailed Attendance'!AW9:AW9, "P")+COUNTIF('Detailed Attendance'!BE9:BE9, "P")+COUNTIF('Detailed Attendance'!BQ9:BQ9, "P")+COUNTIF('Detailed Attendance'!BY9:BY9, "P")+COUNTIF('Detailed Attendance'!CN9:CN9, "P")+COUNTIF('Detailed Attendance'!CV9:CV9, "P")+COUNTIF('Detailed Attendance'!DK9:DK9, "P")+COUNTIF('Detailed Attendance'!DS9:DS9, "P")+COUNTIF('Detailed Attendance'!EH9:EH9, "P")+COUNTIF('Detailed Attendance'!EP9:EP9, "P")+COUNTIF('Detailed Attendance'!FB9:FB9, "P")+COUNTIF('Detailed Attendance'!FJ9:FJ9, "P")+COUNTIF('Detailed Attendance'!FR9:FR9, "P")+COUNTIF('Detailed Attendance'!FZ9:FZ9, "P")</f>
        <v/>
      </c>
      <c r="H7" s="46">
        <f>COUNTIF('Detailed Attendance'!I9:I9, "A")+COUNTIF('Detailed Attendance'!Q9:Q9, "A")+COUNTIF('Detailed Attendance'!AC9:AC9, "A")+COUNTIF('Detailed Attendance'!AK9:AK9, "A")+COUNTIF('Detailed Attendance'!AW9:AW9, "A")+COUNTIF('Detailed Attendance'!BE9:BE9, "A")+COUNTIF('Detailed Attendance'!BQ9:BQ9, "A")+COUNTIF('Detailed Attendance'!BY9:BY9, "A")+COUNTIF('Detailed Attendance'!CN9:CN9, "A")+COUNTIF('Detailed Attendance'!CV9:CV9, "A")+COUNTIF('Detailed Attendance'!DK9:DK9, "A")+COUNTIF('Detailed Attendance'!DS9:DS9, "A")+COUNTIF('Detailed Attendance'!EH9:EH9, "A")+COUNTIF('Detailed Attendance'!EP9:EP9, "A")+COUNTIF('Detailed Attendance'!FB9:FB9, "A")+COUNTIF('Detailed Attendance'!FJ9:FJ9, "A")+COUNTIF('Detailed Attendance'!FR9:FR9, "A")+COUNTIF('Detailed Attendance'!FZ9:FZ9, "A")</f>
        <v/>
      </c>
      <c r="I7" s="72">
        <f>IF((G7+H7)=0, "", G7/(G7+H7))</f>
        <v/>
      </c>
      <c r="J7" s="46">
        <f>COUNTIF('Detailed Attendance'!L9:L9, "P")+COUNTIF('Detailed Attendance'!P9:P9, "P")+COUNTIF('Detailed Attendance'!AF9:AF9, "P")+COUNTIF('Detailed Attendance'!AJ9:AJ9, "P")+COUNTIF('Detailed Attendance'!AZ9:AZ9, "P")+COUNTIF('Detailed Attendance'!BD9:BD9, "P")+COUNTIF('Detailed Attendance'!BT9:BT9, "P")+COUNTIF('Detailed Attendance'!BX9:BX9, "P")+COUNTIF('Detailed Attendance'!CQ9:CQ9, "P")+COUNTIF('Detailed Attendance'!CU9:CU9, "P")+COUNTIF('Detailed Attendance'!DN9:DN9, "P")+COUNTIF('Detailed Attendance'!DR9:DR9, "P")+COUNTIF('Detailed Attendance'!EK9:EK9, "P")+COUNTIF('Detailed Attendance'!EO9:EO9, "P")+COUNTIF('Detailed Attendance'!FE9:FE9, "P")+COUNTIF('Detailed Attendance'!FI9:FI9, "P")+COUNTIF('Detailed Attendance'!FU9:FU9, "P")+COUNTIF('Detailed Attendance'!FY9:FY9, "P")</f>
        <v/>
      </c>
      <c r="K7" s="46">
        <f>COUNTIF('Detailed Attendance'!L9:L9, "A")+COUNTIF('Detailed Attendance'!P9:P9, "A")+COUNTIF('Detailed Attendance'!AF9:AF9, "A")+COUNTIF('Detailed Attendance'!AJ9:AJ9, "A")+COUNTIF('Detailed Attendance'!AZ9:AZ9, "A")+COUNTIF('Detailed Attendance'!BD9:BD9, "A")+COUNTIF('Detailed Attendance'!BT9:BT9, "A")+COUNTIF('Detailed Attendance'!BX9:BX9, "A")+COUNTIF('Detailed Attendance'!CQ9:CQ9, "A")+COUNTIF('Detailed Attendance'!CU9:CU9, "A")+COUNTIF('Detailed Attendance'!DN9:DN9, "A")+COUNTIF('Detailed Attendance'!DR9:DR9, "A")+COUNTIF('Detailed Attendance'!EK9:EK9, "A")+COUNTIF('Detailed Attendance'!EO9:EO9, "A")+COUNTIF('Detailed Attendance'!FE9:FE9, "A")+COUNTIF('Detailed Attendance'!FI9:FI9, "A")+COUNTIF('Detailed Attendance'!FU9:FU9, "A")+COUNTIF('Detailed Attendance'!FY9:FY9, "A")</f>
        <v/>
      </c>
      <c r="L7" s="72">
        <f>IF((J7+K7)=0, "", J7/(J7+K7))</f>
        <v/>
      </c>
      <c r="M7" s="46">
        <f>COUNTIF('Detailed Attendance'!D9:D9, "P")+COUNTIF('Detailed Attendance'!T9:T9, "P")+COUNTIF('Detailed Attendance'!AN9:AN9, "P")+COUNTIF('Detailed Attendance'!AR9:AR9, "P")+COUNTIF('Detailed Attendance'!BH9:BH9, "P")+COUNTIF('Detailed Attendance'!CB9:CB9, "P")+COUNTIF('Detailed Attendance'!CF9:CF9, "P")+COUNTIF('Detailed Attendance'!CY9:CY9, "P")+COUNTIF('Detailed Attendance'!DC9:DC9, "P")+COUNTIF('Detailed Attendance'!DV9:DV9, "P")+COUNTIF('Detailed Attendance'!DZ9:DZ9, "P")+COUNTIF('Detailed Attendance'!ES9:ES9, "P")+COUNTIF('Detailed Attendance'!GC9:GC9, "P")+COUNTIF('Detailed Attendance'!GG9:GG9, "P")</f>
        <v/>
      </c>
      <c r="N7" s="46">
        <f>COUNTIF('Detailed Attendance'!D9:D9, "A")+COUNTIF('Detailed Attendance'!T9:T9, "A")+COUNTIF('Detailed Attendance'!AN9:AN9, "A")+COUNTIF('Detailed Attendance'!AR9:AR9, "A")+COUNTIF('Detailed Attendance'!BH9:BH9, "A")+COUNTIF('Detailed Attendance'!CB9:CB9, "A")+COUNTIF('Detailed Attendance'!CF9:CF9, "A")+COUNTIF('Detailed Attendance'!CY9:CY9, "A")+COUNTIF('Detailed Attendance'!DC9:DC9, "A")+COUNTIF('Detailed Attendance'!DV9:DV9, "A")+COUNTIF('Detailed Attendance'!DZ9:DZ9, "A")+COUNTIF('Detailed Attendance'!ES9:ES9, "A")+COUNTIF('Detailed Attendance'!GC9:GC9, "A")+COUNTIF('Detailed Attendance'!GG9:GG9, "A")</f>
        <v/>
      </c>
      <c r="O7" s="72">
        <f>IF((M7+N7)=0, "", M7/(M7+N7))</f>
        <v/>
      </c>
      <c r="P7" s="46">
        <f>COUNTIF('Detailed Attendance'!M9:M9, "P")+COUNTIF('Detailed Attendance'!U9:U9, "P")+COUNTIF('Detailed Attendance'!AG9:AG9, "P")+COUNTIF('Detailed Attendance'!AO9:AO9, "P")+COUNTIF('Detailed Attendance'!BA9:BA9, "P")+COUNTIF('Detailed Attendance'!BI9:BI9, "P")+COUNTIF('Detailed Attendance'!BU9:BU9, "P")+COUNTIF('Detailed Attendance'!CC9:CC9, "P")+COUNTIF('Detailed Attendance'!CR9:CR9, "P")+COUNTIF('Detailed Attendance'!CZ9:CZ9, "P")+COUNTIF('Detailed Attendance'!DO9:DO9, "P")+COUNTIF('Detailed Attendance'!DW9:DW9, "P")+COUNTIF('Detailed Attendance'!EL9:EL9, "P")+COUNTIF('Detailed Attendance'!ET9:ET9, "P")+COUNTIF('Detailed Attendance'!FF9:FF9, "P")+COUNTIF('Detailed Attendance'!FV9:FV9, "P")+COUNTIF('Detailed Attendance'!GD9:GD9, "P")</f>
        <v/>
      </c>
      <c r="Q7" s="46">
        <f>COUNTIF('Detailed Attendance'!M9:M9, "A")+COUNTIF('Detailed Attendance'!U9:U9, "A")+COUNTIF('Detailed Attendance'!AG9:AG9, "A")+COUNTIF('Detailed Attendance'!AO9:AO9, "A")+COUNTIF('Detailed Attendance'!BA9:BA9, "A")+COUNTIF('Detailed Attendance'!BI9:BI9, "A")+COUNTIF('Detailed Attendance'!BU9:BU9, "A")+COUNTIF('Detailed Attendance'!CC9:CC9, "A")+COUNTIF('Detailed Attendance'!CR9:CR9, "A")+COUNTIF('Detailed Attendance'!CZ9:CZ9, "A")+COUNTIF('Detailed Attendance'!DO9:DO9, "A")+COUNTIF('Detailed Attendance'!DW9:DW9, "A")+COUNTIF('Detailed Attendance'!EL9:EL9, "A")+COUNTIF('Detailed Attendance'!ET9:ET9, "A")+COUNTIF('Detailed Attendance'!FF9:FF9, "A")+COUNTIF('Detailed Attendance'!FV9:FV9, "A")+COUNTIF('Detailed Attendance'!GD9:GD9, "A")</f>
        <v/>
      </c>
      <c r="R7" s="72">
        <f>IF((P7+Q7)=0, "", P7/(P7+Q7))</f>
        <v/>
      </c>
      <c r="S7" s="46">
        <f>COUNTIF('Detailed Attendance'!CH9:CH9, "P")+COUNTIF('Detailed Attendance'!DE9:DE9, "P")+COUNTIF('Detailed Attendance'!EB9:EB9, "P")+COUNTIF('Detailed Attendance'!GI9:GI9, "P")</f>
        <v/>
      </c>
      <c r="T7" s="46">
        <f>COUNTIF('Detailed Attendance'!CH9:CH9, "A")+COUNTIF('Detailed Attendance'!DE9:DE9, "A")+COUNTIF('Detailed Attendance'!EB9:EB9, "A")+COUNTIF('Detailed Attendance'!GI9:GI9, "A")</f>
        <v/>
      </c>
      <c r="U7" s="73">
        <f>IF((S7+T7)=0, "", S7/(S7+T7))</f>
        <v/>
      </c>
      <c r="V7" s="46">
        <f>COUNTIF('Detailed Attendance'!V9:V9, "P")+COUNTIF('Detailed Attendance'!AP9:AP9, "P")+COUNTIF('Detailed Attendance'!BJ9:BJ9, "P")+COUNTIF('Detailed Attendance'!CD9:CD9, "P")+COUNTIF('Detailed Attendance'!DA9:DA9, "P")+COUNTIF('Detailed Attendance'!DX9:DX9, "P")+COUNTIF('Detailed Attendance'!EU9:EU9, "P")+COUNTIF('Detailed Attendance'!GE9:GE9, "P")</f>
        <v/>
      </c>
      <c r="W7" s="46">
        <f>COUNTIF('Detailed Attendance'!V9:V9, "A")+COUNTIF('Detailed Attendance'!AP9:AP9, "A")+COUNTIF('Detailed Attendance'!BJ9:BJ9, "A")+COUNTIF('Detailed Attendance'!CD9:CD9, "A")+COUNTIF('Detailed Attendance'!DA9:DA9, "A")+COUNTIF('Detailed Attendance'!DX9:DX9, "A")+COUNTIF('Detailed Attendance'!EU9:EU9, "A")+COUNTIF('Detailed Attendance'!GE9:GE9, "A")</f>
        <v/>
      </c>
      <c r="X7" s="73">
        <f>IF((V7+W7)=0, "", V7/(V7+W7))</f>
        <v/>
      </c>
      <c r="Y7" s="46">
        <f>COUNTIF('Detailed Attendance'!E9:E9, "P")+COUNTIF('Detailed Attendance'!Y9:Y9, "P")+COUNTIF('Detailed Attendance'!AS9:AS9, "P")+COUNTIF('Detailed Attendance'!BM9:BM9, "P")+COUNTIF('Detailed Attendance'!CJ9:CJ9, "P")+COUNTIF('Detailed Attendance'!DG9:DG9, "P")+COUNTIF('Detailed Attendance'!ED9:ED9, "P")+COUNTIF('Detailed Attendance'!EX9:EX9, "P")+COUNTIF('Detailed Attendance'!FN9:FN9, "P")</f>
        <v/>
      </c>
      <c r="Z7" s="46">
        <f>COUNTIF('Detailed Attendance'!E9:E9, "A")+COUNTIF('Detailed Attendance'!Y9:Y9, "A")+COUNTIF('Detailed Attendance'!AS9:AS9, "A")+COUNTIF('Detailed Attendance'!BM9:BM9, "A")+COUNTIF('Detailed Attendance'!CJ9:CJ9, "A")+COUNTIF('Detailed Attendance'!DG9:DG9, "A")+COUNTIF('Detailed Attendance'!ED9:ED9, "A")+COUNTIF('Detailed Attendance'!EX9:EX9, "A")+COUNTIF('Detailed Attendance'!FN9:FN9, "A")</f>
        <v/>
      </c>
      <c r="AA7" s="73">
        <f>IF((Y7+Z7)=0, "", Y7/(Y7+Z7))</f>
        <v/>
      </c>
      <c r="AB7" s="46">
        <f>S7+V7+Y7</f>
        <v/>
      </c>
      <c r="AC7" s="46">
        <f>T7+W7+Z7</f>
        <v/>
      </c>
      <c r="AD7" s="73">
        <f>IF((AB7+AC7)=0, "", AB7/(AB7+AC7))</f>
        <v/>
      </c>
      <c r="AE7" s="46" t="inlineStr">
        <is>
          <t>Batch 1</t>
        </is>
      </c>
    </row>
    <row r="8" ht="14.25" customHeight="1" s="34">
      <c r="A8" s="46" t="n">
        <v>7</v>
      </c>
      <c r="B8" s="46" t="inlineStr">
        <is>
          <t>325106410007</t>
        </is>
      </c>
      <c r="C8" s="46" t="inlineStr">
        <is>
          <t>RAKESH CHOPPA</t>
        </is>
      </c>
      <c r="D8" s="46">
        <f>COUNTIF('Detailed Attendance'!R10:R10, "P")+COUNTIF('Detailed Attendance'!X10:X10, "P")+COUNTIF('Detailed Attendance'!AL10:AL10, "P")+COUNTIF('Detailed Attendance'!BF10:BF10, "P")+COUNTIF('Detailed Attendance'!BL10:BL10, "P")+COUNTIF('Detailed Attendance'!BZ10:BZ10, "P")+COUNTIF('Detailed Attendance'!CI10:CI10, "P")+COUNTIF('Detailed Attendance'!CW10:CW10, "P")+COUNTIF('Detailed Attendance'!DF10:DF10, "P")+COUNTIF('Detailed Attendance'!DT10:DT10, "P")+COUNTIF('Detailed Attendance'!EC10:EC10, "P")+COUNTIF('Detailed Attendance'!EQ10:EQ10, "P")+COUNTIF('Detailed Attendance'!EW10:EW10, "P")+COUNTIF('Detailed Attendance'!FK10:FK10, "P")+COUNTIF('Detailed Attendance'!FM10:FM10, "P")+COUNTIF('Detailed Attendance'!GA10:GA10, "P")</f>
        <v/>
      </c>
      <c r="E8" s="46">
        <f>COUNTIF('Detailed Attendance'!R10:R10, "A")+COUNTIF('Detailed Attendance'!X10:X10, "A")+COUNTIF('Detailed Attendance'!AL10:AL10, "A")+COUNTIF('Detailed Attendance'!BF10:BF10, "A")+COUNTIF('Detailed Attendance'!BL10:BL10, "A")+COUNTIF('Detailed Attendance'!BZ10:BZ10, "A")+COUNTIF('Detailed Attendance'!CI10:CI10, "A")+COUNTIF('Detailed Attendance'!CW10:CW10, "A")+COUNTIF('Detailed Attendance'!DF10:DF10, "A")+COUNTIF('Detailed Attendance'!DT10:DT10, "A")+COUNTIF('Detailed Attendance'!EC10:EC10, "A")+COUNTIF('Detailed Attendance'!EQ10:EQ10, "A")+COUNTIF('Detailed Attendance'!EW10:EW10, "A")+COUNTIF('Detailed Attendance'!FK10:FK10, "A")+COUNTIF('Detailed Attendance'!FM10:FM10, "A")+COUNTIF('Detailed Attendance'!GA10:GA10, "A")</f>
        <v/>
      </c>
      <c r="F8" s="72">
        <f>IF((D8+E8)=0, "", D8/(D8+E8))</f>
        <v/>
      </c>
      <c r="G8" s="46">
        <f>COUNTIF('Detailed Attendance'!I10:I10, "P")+COUNTIF('Detailed Attendance'!Q10:Q10, "P")+COUNTIF('Detailed Attendance'!AC10:AC10, "P")+COUNTIF('Detailed Attendance'!AK10:AK10, "P")+COUNTIF('Detailed Attendance'!AW10:AW10, "P")+COUNTIF('Detailed Attendance'!BE10:BE10, "P")+COUNTIF('Detailed Attendance'!BQ10:BQ10, "P")+COUNTIF('Detailed Attendance'!BY10:BY10, "P")+COUNTIF('Detailed Attendance'!CN10:CN10, "P")+COUNTIF('Detailed Attendance'!CV10:CV10, "P")+COUNTIF('Detailed Attendance'!DK10:DK10, "P")+COUNTIF('Detailed Attendance'!DS10:DS10, "P")+COUNTIF('Detailed Attendance'!EH10:EH10, "P")+COUNTIF('Detailed Attendance'!EP10:EP10, "P")+COUNTIF('Detailed Attendance'!FB10:FB10, "P")+COUNTIF('Detailed Attendance'!FJ10:FJ10, "P")+COUNTIF('Detailed Attendance'!FR10:FR10, "P")+COUNTIF('Detailed Attendance'!FZ10:FZ10, "P")</f>
        <v/>
      </c>
      <c r="H8" s="46">
        <f>COUNTIF('Detailed Attendance'!I10:I10, "A")+COUNTIF('Detailed Attendance'!Q10:Q10, "A")+COUNTIF('Detailed Attendance'!AC10:AC10, "A")+COUNTIF('Detailed Attendance'!AK10:AK10, "A")+COUNTIF('Detailed Attendance'!AW10:AW10, "A")+COUNTIF('Detailed Attendance'!BE10:BE10, "A")+COUNTIF('Detailed Attendance'!BQ10:BQ10, "A")+COUNTIF('Detailed Attendance'!BY10:BY10, "A")+COUNTIF('Detailed Attendance'!CN10:CN10, "A")+COUNTIF('Detailed Attendance'!CV10:CV10, "A")+COUNTIF('Detailed Attendance'!DK10:DK10, "A")+COUNTIF('Detailed Attendance'!DS10:DS10, "A")+COUNTIF('Detailed Attendance'!EH10:EH10, "A")+COUNTIF('Detailed Attendance'!EP10:EP10, "A")+COUNTIF('Detailed Attendance'!FB10:FB10, "A")+COUNTIF('Detailed Attendance'!FJ10:FJ10, "A")+COUNTIF('Detailed Attendance'!FR10:FR10, "A")+COUNTIF('Detailed Attendance'!FZ10:FZ10, "A")</f>
        <v/>
      </c>
      <c r="I8" s="72">
        <f>IF((G8+H8)=0, "", G8/(G8+H8))</f>
        <v/>
      </c>
      <c r="J8" s="46">
        <f>COUNTIF('Detailed Attendance'!L10:L10, "P")+COUNTIF('Detailed Attendance'!P10:P10, "P")+COUNTIF('Detailed Attendance'!AF10:AF10, "P")+COUNTIF('Detailed Attendance'!AJ10:AJ10, "P")+COUNTIF('Detailed Attendance'!AZ10:AZ10, "P")+COUNTIF('Detailed Attendance'!BD10:BD10, "P")+COUNTIF('Detailed Attendance'!BT10:BT10, "P")+COUNTIF('Detailed Attendance'!BX10:BX10, "P")+COUNTIF('Detailed Attendance'!CQ10:CQ10, "P")+COUNTIF('Detailed Attendance'!CU10:CU10, "P")+COUNTIF('Detailed Attendance'!DN10:DN10, "P")+COUNTIF('Detailed Attendance'!DR10:DR10, "P")+COUNTIF('Detailed Attendance'!EK10:EK10, "P")+COUNTIF('Detailed Attendance'!EO10:EO10, "P")+COUNTIF('Detailed Attendance'!FE10:FE10, "P")+COUNTIF('Detailed Attendance'!FI10:FI10, "P")+COUNTIF('Detailed Attendance'!FU10:FU10, "P")+COUNTIF('Detailed Attendance'!FY10:FY10, "P")</f>
        <v/>
      </c>
      <c r="K8" s="46">
        <f>COUNTIF('Detailed Attendance'!L10:L10, "A")+COUNTIF('Detailed Attendance'!P10:P10, "A")+COUNTIF('Detailed Attendance'!AF10:AF10, "A")+COUNTIF('Detailed Attendance'!AJ10:AJ10, "A")+COUNTIF('Detailed Attendance'!AZ10:AZ10, "A")+COUNTIF('Detailed Attendance'!BD10:BD10, "A")+COUNTIF('Detailed Attendance'!BT10:BT10, "A")+COUNTIF('Detailed Attendance'!BX10:BX10, "A")+COUNTIF('Detailed Attendance'!CQ10:CQ10, "A")+COUNTIF('Detailed Attendance'!CU10:CU10, "A")+COUNTIF('Detailed Attendance'!DN10:DN10, "A")+COUNTIF('Detailed Attendance'!DR10:DR10, "A")+COUNTIF('Detailed Attendance'!EK10:EK10, "A")+COUNTIF('Detailed Attendance'!EO10:EO10, "A")+COUNTIF('Detailed Attendance'!FE10:FE10, "A")+COUNTIF('Detailed Attendance'!FI10:FI10, "A")+COUNTIF('Detailed Attendance'!FU10:FU10, "A")+COUNTIF('Detailed Attendance'!FY10:FY10, "A")</f>
        <v/>
      </c>
      <c r="L8" s="72">
        <f>IF((J8+K8)=0, "", J8/(J8+K8))</f>
        <v/>
      </c>
      <c r="M8" s="46">
        <f>COUNTIF('Detailed Attendance'!D10:D10, "P")+COUNTIF('Detailed Attendance'!T10:T10, "P")+COUNTIF('Detailed Attendance'!AN10:AN10, "P")+COUNTIF('Detailed Attendance'!AR10:AR10, "P")+COUNTIF('Detailed Attendance'!BH10:BH10, "P")+COUNTIF('Detailed Attendance'!CB10:CB10, "P")+COUNTIF('Detailed Attendance'!CF10:CF10, "P")+COUNTIF('Detailed Attendance'!CY10:CY10, "P")+COUNTIF('Detailed Attendance'!DC10:DC10, "P")+COUNTIF('Detailed Attendance'!DV10:DV10, "P")+COUNTIF('Detailed Attendance'!DZ10:DZ10, "P")+COUNTIF('Detailed Attendance'!ES10:ES10, "P")+COUNTIF('Detailed Attendance'!GC10:GC10, "P")+COUNTIF('Detailed Attendance'!GG10:GG10, "P")</f>
        <v/>
      </c>
      <c r="N8" s="46">
        <f>COUNTIF('Detailed Attendance'!D10:D10, "A")+COUNTIF('Detailed Attendance'!T10:T10, "A")+COUNTIF('Detailed Attendance'!AN10:AN10, "A")+COUNTIF('Detailed Attendance'!AR10:AR10, "A")+COUNTIF('Detailed Attendance'!BH10:BH10, "A")+COUNTIF('Detailed Attendance'!CB10:CB10, "A")+COUNTIF('Detailed Attendance'!CF10:CF10, "A")+COUNTIF('Detailed Attendance'!CY10:CY10, "A")+COUNTIF('Detailed Attendance'!DC10:DC10, "A")+COUNTIF('Detailed Attendance'!DV10:DV10, "A")+COUNTIF('Detailed Attendance'!DZ10:DZ10, "A")+COUNTIF('Detailed Attendance'!ES10:ES10, "A")+COUNTIF('Detailed Attendance'!GC10:GC10, "A")+COUNTIF('Detailed Attendance'!GG10:GG10, "A")</f>
        <v/>
      </c>
      <c r="O8" s="72">
        <f>IF((M8+N8)=0, "", M8/(M8+N8))</f>
        <v/>
      </c>
      <c r="P8" s="46">
        <f>COUNTIF('Detailed Attendance'!M10:M10, "P")+COUNTIF('Detailed Attendance'!U10:U10, "P")+COUNTIF('Detailed Attendance'!AG10:AG10, "P")+COUNTIF('Detailed Attendance'!AO10:AO10, "P")+COUNTIF('Detailed Attendance'!BA10:BA10, "P")+COUNTIF('Detailed Attendance'!BI10:BI10, "P")+COUNTIF('Detailed Attendance'!BU10:BU10, "P")+COUNTIF('Detailed Attendance'!CC10:CC10, "P")+COUNTIF('Detailed Attendance'!CR10:CR10, "P")+COUNTIF('Detailed Attendance'!CZ10:CZ10, "P")+COUNTIF('Detailed Attendance'!DO10:DO10, "P")+COUNTIF('Detailed Attendance'!DW10:DW10, "P")+COUNTIF('Detailed Attendance'!EL10:EL10, "P")+COUNTIF('Detailed Attendance'!ET10:ET10, "P")+COUNTIF('Detailed Attendance'!FF10:FF10, "P")+COUNTIF('Detailed Attendance'!FV10:FV10, "P")+COUNTIF('Detailed Attendance'!GD10:GD10, "P")</f>
        <v/>
      </c>
      <c r="Q8" s="46">
        <f>COUNTIF('Detailed Attendance'!M10:M10, "A")+COUNTIF('Detailed Attendance'!U10:U10, "A")+COUNTIF('Detailed Attendance'!AG10:AG10, "A")+COUNTIF('Detailed Attendance'!AO10:AO10, "A")+COUNTIF('Detailed Attendance'!BA10:BA10, "A")+COUNTIF('Detailed Attendance'!BI10:BI10, "A")+COUNTIF('Detailed Attendance'!BU10:BU10, "A")+COUNTIF('Detailed Attendance'!CC10:CC10, "A")+COUNTIF('Detailed Attendance'!CR10:CR10, "A")+COUNTIF('Detailed Attendance'!CZ10:CZ10, "A")+COUNTIF('Detailed Attendance'!DO10:DO10, "A")+COUNTIF('Detailed Attendance'!DW10:DW10, "A")+COUNTIF('Detailed Attendance'!EL10:EL10, "A")+COUNTIF('Detailed Attendance'!ET10:ET10, "A")+COUNTIF('Detailed Attendance'!FF10:FF10, "A")+COUNTIF('Detailed Attendance'!FV10:FV10, "A")+COUNTIF('Detailed Attendance'!GD10:GD10, "A")</f>
        <v/>
      </c>
      <c r="R8" s="72">
        <f>IF((P8+Q8)=0, "", P8/(P8+Q8))</f>
        <v/>
      </c>
      <c r="S8" s="46">
        <f>COUNTIF('Detailed Attendance'!CH10:CH10, "P")+COUNTIF('Detailed Attendance'!DE10:DE10, "P")+COUNTIF('Detailed Attendance'!EB10:EB10, "P")+COUNTIF('Detailed Attendance'!GI10:GI10, "P")</f>
        <v/>
      </c>
      <c r="T8" s="46">
        <f>COUNTIF('Detailed Attendance'!CH10:CH10, "A")+COUNTIF('Detailed Attendance'!DE10:DE10, "A")+COUNTIF('Detailed Attendance'!EB10:EB10, "A")+COUNTIF('Detailed Attendance'!GI10:GI10, "A")</f>
        <v/>
      </c>
      <c r="U8" s="73">
        <f>IF((S8+T8)=0, "", S8/(S8+T8))</f>
        <v/>
      </c>
      <c r="V8" s="46">
        <f>COUNTIF('Detailed Attendance'!V10:V10, "P")+COUNTIF('Detailed Attendance'!AP10:AP10, "P")+COUNTIF('Detailed Attendance'!BJ10:BJ10, "P")+COUNTIF('Detailed Attendance'!CD10:CD10, "P")+COUNTIF('Detailed Attendance'!DA10:DA10, "P")+COUNTIF('Detailed Attendance'!DX10:DX10, "P")+COUNTIF('Detailed Attendance'!EU10:EU10, "P")+COUNTIF('Detailed Attendance'!GE10:GE10, "P")</f>
        <v/>
      </c>
      <c r="W8" s="46">
        <f>COUNTIF('Detailed Attendance'!V10:V10, "A")+COUNTIF('Detailed Attendance'!AP10:AP10, "A")+COUNTIF('Detailed Attendance'!BJ10:BJ10, "A")+COUNTIF('Detailed Attendance'!CD10:CD10, "A")+COUNTIF('Detailed Attendance'!DA10:DA10, "A")+COUNTIF('Detailed Attendance'!DX10:DX10, "A")+COUNTIF('Detailed Attendance'!EU10:EU10, "A")+COUNTIF('Detailed Attendance'!GE10:GE10, "A")</f>
        <v/>
      </c>
      <c r="X8" s="73">
        <f>IF((V8+W8)=0, "", V8/(V8+W8))</f>
        <v/>
      </c>
      <c r="Y8" s="46">
        <f>COUNTIF('Detailed Attendance'!E10:E10, "P")+COUNTIF('Detailed Attendance'!Y10:Y10, "P")+COUNTIF('Detailed Attendance'!AS10:AS10, "P")+COUNTIF('Detailed Attendance'!BM10:BM10, "P")+COUNTIF('Detailed Attendance'!CJ10:CJ10, "P")+COUNTIF('Detailed Attendance'!DG10:DG10, "P")+COUNTIF('Detailed Attendance'!ED10:ED10, "P")+COUNTIF('Detailed Attendance'!EX10:EX10, "P")+COUNTIF('Detailed Attendance'!FN10:FN10, "P")</f>
        <v/>
      </c>
      <c r="Z8" s="46">
        <f>COUNTIF('Detailed Attendance'!E10:E10, "A")+COUNTIF('Detailed Attendance'!Y10:Y10, "A")+COUNTIF('Detailed Attendance'!AS10:AS10, "A")+COUNTIF('Detailed Attendance'!BM10:BM10, "A")+COUNTIF('Detailed Attendance'!CJ10:CJ10, "A")+COUNTIF('Detailed Attendance'!DG10:DG10, "A")+COUNTIF('Detailed Attendance'!ED10:ED10, "A")+COUNTIF('Detailed Attendance'!EX10:EX10, "A")+COUNTIF('Detailed Attendance'!FN10:FN10, "A")</f>
        <v/>
      </c>
      <c r="AA8" s="73">
        <f>IF((Y8+Z8)=0, "", Y8/(Y8+Z8))</f>
        <v/>
      </c>
      <c r="AB8" s="46">
        <f>S8+V8+Y8</f>
        <v/>
      </c>
      <c r="AC8" s="46">
        <f>T8+W8+Z8</f>
        <v/>
      </c>
      <c r="AD8" s="73">
        <f>IF((AB8+AC8)=0, "", AB8/(AB8+AC8))</f>
        <v/>
      </c>
      <c r="AE8" s="46" t="inlineStr">
        <is>
          <t>Batch 1</t>
        </is>
      </c>
    </row>
    <row r="9" ht="14.25" customHeight="1" s="34">
      <c r="A9" s="46" t="n">
        <v>8</v>
      </c>
      <c r="B9" s="46" t="inlineStr">
        <is>
          <t>325106410008</t>
        </is>
      </c>
      <c r="C9" s="46" t="inlineStr">
        <is>
          <t>SUBHASH DHULIPUDI</t>
        </is>
      </c>
      <c r="D9" s="46">
        <f>COUNTIF('Detailed Attendance'!R11:R11, "P")+COUNTIF('Detailed Attendance'!X11:X11, "P")+COUNTIF('Detailed Attendance'!AL11:AL11, "P")+COUNTIF('Detailed Attendance'!BF11:BF11, "P")+COUNTIF('Detailed Attendance'!BL11:BL11, "P")+COUNTIF('Detailed Attendance'!BZ11:BZ11, "P")+COUNTIF('Detailed Attendance'!CI11:CI11, "P")+COUNTIF('Detailed Attendance'!CW11:CW11, "P")+COUNTIF('Detailed Attendance'!DF11:DF11, "P")+COUNTIF('Detailed Attendance'!DT11:DT11, "P")+COUNTIF('Detailed Attendance'!EC11:EC11, "P")+COUNTIF('Detailed Attendance'!EQ11:EQ11, "P")+COUNTIF('Detailed Attendance'!EW11:EW11, "P")+COUNTIF('Detailed Attendance'!FK11:FK11, "P")+COUNTIF('Detailed Attendance'!FM11:FM11, "P")+COUNTIF('Detailed Attendance'!GA11:GA11, "P")</f>
        <v/>
      </c>
      <c r="E9" s="46">
        <f>COUNTIF('Detailed Attendance'!R11:R11, "A")+COUNTIF('Detailed Attendance'!X11:X11, "A")+COUNTIF('Detailed Attendance'!AL11:AL11, "A")+COUNTIF('Detailed Attendance'!BF11:BF11, "A")+COUNTIF('Detailed Attendance'!BL11:BL11, "A")+COUNTIF('Detailed Attendance'!BZ11:BZ11, "A")+COUNTIF('Detailed Attendance'!CI11:CI11, "A")+COUNTIF('Detailed Attendance'!CW11:CW11, "A")+COUNTIF('Detailed Attendance'!DF11:DF11, "A")+COUNTIF('Detailed Attendance'!DT11:DT11, "A")+COUNTIF('Detailed Attendance'!EC11:EC11, "A")+COUNTIF('Detailed Attendance'!EQ11:EQ11, "A")+COUNTIF('Detailed Attendance'!EW11:EW11, "A")+COUNTIF('Detailed Attendance'!FK11:FK11, "A")+COUNTIF('Detailed Attendance'!FM11:FM11, "A")+COUNTIF('Detailed Attendance'!GA11:GA11, "A")</f>
        <v/>
      </c>
      <c r="F9" s="72">
        <f>IF((D9+E9)=0, "", D9/(D9+E9))</f>
        <v/>
      </c>
      <c r="G9" s="46">
        <f>COUNTIF('Detailed Attendance'!I11:I11, "P")+COUNTIF('Detailed Attendance'!Q11:Q11, "P")+COUNTIF('Detailed Attendance'!AC11:AC11, "P")+COUNTIF('Detailed Attendance'!AK11:AK11, "P")+COUNTIF('Detailed Attendance'!AW11:AW11, "P")+COUNTIF('Detailed Attendance'!BE11:BE11, "P")+COUNTIF('Detailed Attendance'!BQ11:BQ11, "P")+COUNTIF('Detailed Attendance'!BY11:BY11, "P")+COUNTIF('Detailed Attendance'!CN11:CN11, "P")+COUNTIF('Detailed Attendance'!CV11:CV11, "P")+COUNTIF('Detailed Attendance'!DK11:DK11, "P")+COUNTIF('Detailed Attendance'!DS11:DS11, "P")+COUNTIF('Detailed Attendance'!EH11:EH11, "P")+COUNTIF('Detailed Attendance'!EP11:EP11, "P")+COUNTIF('Detailed Attendance'!FB11:FB11, "P")+COUNTIF('Detailed Attendance'!FJ11:FJ11, "P")+COUNTIF('Detailed Attendance'!FR11:FR11, "P")+COUNTIF('Detailed Attendance'!FZ11:FZ11, "P")</f>
        <v/>
      </c>
      <c r="H9" s="46">
        <f>COUNTIF('Detailed Attendance'!I11:I11, "A")+COUNTIF('Detailed Attendance'!Q11:Q11, "A")+COUNTIF('Detailed Attendance'!AC11:AC11, "A")+COUNTIF('Detailed Attendance'!AK11:AK11, "A")+COUNTIF('Detailed Attendance'!AW11:AW11, "A")+COUNTIF('Detailed Attendance'!BE11:BE11, "A")+COUNTIF('Detailed Attendance'!BQ11:BQ11, "A")+COUNTIF('Detailed Attendance'!BY11:BY11, "A")+COUNTIF('Detailed Attendance'!CN11:CN11, "A")+COUNTIF('Detailed Attendance'!CV11:CV11, "A")+COUNTIF('Detailed Attendance'!DK11:DK11, "A")+COUNTIF('Detailed Attendance'!DS11:DS11, "A")+COUNTIF('Detailed Attendance'!EH11:EH11, "A")+COUNTIF('Detailed Attendance'!EP11:EP11, "A")+COUNTIF('Detailed Attendance'!FB11:FB11, "A")+COUNTIF('Detailed Attendance'!FJ11:FJ11, "A")+COUNTIF('Detailed Attendance'!FR11:FR11, "A")+COUNTIF('Detailed Attendance'!FZ11:FZ11, "A")</f>
        <v/>
      </c>
      <c r="I9" s="72">
        <f>IF((G9+H9)=0, "", G9/(G9+H9))</f>
        <v/>
      </c>
      <c r="J9" s="46">
        <f>COUNTIF('Detailed Attendance'!L11:L11, "P")+COUNTIF('Detailed Attendance'!P11:P11, "P")+COUNTIF('Detailed Attendance'!AF11:AF11, "P")+COUNTIF('Detailed Attendance'!AJ11:AJ11, "P")+COUNTIF('Detailed Attendance'!AZ11:AZ11, "P")+COUNTIF('Detailed Attendance'!BD11:BD11, "P")+COUNTIF('Detailed Attendance'!BT11:BT11, "P")+COUNTIF('Detailed Attendance'!BX11:BX11, "P")+COUNTIF('Detailed Attendance'!CQ11:CQ11, "P")+COUNTIF('Detailed Attendance'!CU11:CU11, "P")+COUNTIF('Detailed Attendance'!DN11:DN11, "P")+COUNTIF('Detailed Attendance'!DR11:DR11, "P")+COUNTIF('Detailed Attendance'!EK11:EK11, "P")+COUNTIF('Detailed Attendance'!EO11:EO11, "P")+COUNTIF('Detailed Attendance'!FE11:FE11, "P")+COUNTIF('Detailed Attendance'!FI11:FI11, "P")+COUNTIF('Detailed Attendance'!FU11:FU11, "P")+COUNTIF('Detailed Attendance'!FY11:FY11, "P")</f>
        <v/>
      </c>
      <c r="K9" s="46">
        <f>COUNTIF('Detailed Attendance'!L11:L11, "A")+COUNTIF('Detailed Attendance'!P11:P11, "A")+COUNTIF('Detailed Attendance'!AF11:AF11, "A")+COUNTIF('Detailed Attendance'!AJ11:AJ11, "A")+COUNTIF('Detailed Attendance'!AZ11:AZ11, "A")+COUNTIF('Detailed Attendance'!BD11:BD11, "A")+COUNTIF('Detailed Attendance'!BT11:BT11, "A")+COUNTIF('Detailed Attendance'!BX11:BX11, "A")+COUNTIF('Detailed Attendance'!CQ11:CQ11, "A")+COUNTIF('Detailed Attendance'!CU11:CU11, "A")+COUNTIF('Detailed Attendance'!DN11:DN11, "A")+COUNTIF('Detailed Attendance'!DR11:DR11, "A")+COUNTIF('Detailed Attendance'!EK11:EK11, "A")+COUNTIF('Detailed Attendance'!EO11:EO11, "A")+COUNTIF('Detailed Attendance'!FE11:FE11, "A")+COUNTIF('Detailed Attendance'!FI11:FI11, "A")+COUNTIF('Detailed Attendance'!FU11:FU11, "A")+COUNTIF('Detailed Attendance'!FY11:FY11, "A")</f>
        <v/>
      </c>
      <c r="L9" s="72">
        <f>IF((J9+K9)=0, "", J9/(J9+K9))</f>
        <v/>
      </c>
      <c r="M9" s="46">
        <f>COUNTIF('Detailed Attendance'!D11:D11, "P")+COUNTIF('Detailed Attendance'!T11:T11, "P")+COUNTIF('Detailed Attendance'!AN11:AN11, "P")+COUNTIF('Detailed Attendance'!AR11:AR11, "P")+COUNTIF('Detailed Attendance'!BH11:BH11, "P")+COUNTIF('Detailed Attendance'!CB11:CB11, "P")+COUNTIF('Detailed Attendance'!CF11:CF11, "P")+COUNTIF('Detailed Attendance'!CY11:CY11, "P")+COUNTIF('Detailed Attendance'!DC11:DC11, "P")+COUNTIF('Detailed Attendance'!DV11:DV11, "P")+COUNTIF('Detailed Attendance'!DZ11:DZ11, "P")+COUNTIF('Detailed Attendance'!ES11:ES11, "P")+COUNTIF('Detailed Attendance'!GC11:GC11, "P")+COUNTIF('Detailed Attendance'!GG11:GG11, "P")</f>
        <v/>
      </c>
      <c r="N9" s="46">
        <f>COUNTIF('Detailed Attendance'!D11:D11, "A")+COUNTIF('Detailed Attendance'!T11:T11, "A")+COUNTIF('Detailed Attendance'!AN11:AN11, "A")+COUNTIF('Detailed Attendance'!AR11:AR11, "A")+COUNTIF('Detailed Attendance'!BH11:BH11, "A")+COUNTIF('Detailed Attendance'!CB11:CB11, "A")+COUNTIF('Detailed Attendance'!CF11:CF11, "A")+COUNTIF('Detailed Attendance'!CY11:CY11, "A")+COUNTIF('Detailed Attendance'!DC11:DC11, "A")+COUNTIF('Detailed Attendance'!DV11:DV11, "A")+COUNTIF('Detailed Attendance'!DZ11:DZ11, "A")+COUNTIF('Detailed Attendance'!ES11:ES11, "A")+COUNTIF('Detailed Attendance'!GC11:GC11, "A")+COUNTIF('Detailed Attendance'!GG11:GG11, "A")</f>
        <v/>
      </c>
      <c r="O9" s="72">
        <f>IF((M9+N9)=0, "", M9/(M9+N9))</f>
        <v/>
      </c>
      <c r="P9" s="46">
        <f>COUNTIF('Detailed Attendance'!M11:M11, "P")+COUNTIF('Detailed Attendance'!U11:U11, "P")+COUNTIF('Detailed Attendance'!AG11:AG11, "P")+COUNTIF('Detailed Attendance'!AO11:AO11, "P")+COUNTIF('Detailed Attendance'!BA11:BA11, "P")+COUNTIF('Detailed Attendance'!BI11:BI11, "P")+COUNTIF('Detailed Attendance'!BU11:BU11, "P")+COUNTIF('Detailed Attendance'!CC11:CC11, "P")+COUNTIF('Detailed Attendance'!CR11:CR11, "P")+COUNTIF('Detailed Attendance'!CZ11:CZ11, "P")+COUNTIF('Detailed Attendance'!DO11:DO11, "P")+COUNTIF('Detailed Attendance'!DW11:DW11, "P")+COUNTIF('Detailed Attendance'!EL11:EL11, "P")+COUNTIF('Detailed Attendance'!ET11:ET11, "P")+COUNTIF('Detailed Attendance'!FF11:FF11, "P")+COUNTIF('Detailed Attendance'!FV11:FV11, "P")+COUNTIF('Detailed Attendance'!GD11:GD11, "P")</f>
        <v/>
      </c>
      <c r="Q9" s="46">
        <f>COUNTIF('Detailed Attendance'!M11:M11, "A")+COUNTIF('Detailed Attendance'!U11:U11, "A")+COUNTIF('Detailed Attendance'!AG11:AG11, "A")+COUNTIF('Detailed Attendance'!AO11:AO11, "A")+COUNTIF('Detailed Attendance'!BA11:BA11, "A")+COUNTIF('Detailed Attendance'!BI11:BI11, "A")+COUNTIF('Detailed Attendance'!BU11:BU11, "A")+COUNTIF('Detailed Attendance'!CC11:CC11, "A")+COUNTIF('Detailed Attendance'!CR11:CR11, "A")+COUNTIF('Detailed Attendance'!CZ11:CZ11, "A")+COUNTIF('Detailed Attendance'!DO11:DO11, "A")+COUNTIF('Detailed Attendance'!DW11:DW11, "A")+COUNTIF('Detailed Attendance'!EL11:EL11, "A")+COUNTIF('Detailed Attendance'!ET11:ET11, "A")+COUNTIF('Detailed Attendance'!FF11:FF11, "A")+COUNTIF('Detailed Attendance'!FV11:FV11, "A")+COUNTIF('Detailed Attendance'!GD11:GD11, "A")</f>
        <v/>
      </c>
      <c r="R9" s="72">
        <f>IF((P9+Q9)=0, "", P9/(P9+Q9))</f>
        <v/>
      </c>
      <c r="S9" s="46">
        <f>COUNTIF('Detailed Attendance'!CH11:CH11, "P")+COUNTIF('Detailed Attendance'!DE11:DE11, "P")+COUNTIF('Detailed Attendance'!EB11:EB11, "P")+COUNTIF('Detailed Attendance'!GI11:GI11, "P")</f>
        <v/>
      </c>
      <c r="T9" s="46">
        <f>COUNTIF('Detailed Attendance'!CH11:CH11, "A")+COUNTIF('Detailed Attendance'!DE11:DE11, "A")+COUNTIF('Detailed Attendance'!EB11:EB11, "A")+COUNTIF('Detailed Attendance'!GI11:GI11, "A")</f>
        <v/>
      </c>
      <c r="U9" s="73">
        <f>IF((S9+T9)=0, "", S9/(S9+T9))</f>
        <v/>
      </c>
      <c r="V9" s="46">
        <f>COUNTIF('Detailed Attendance'!V11:V11, "P")+COUNTIF('Detailed Attendance'!AP11:AP11, "P")+COUNTIF('Detailed Attendance'!BJ11:BJ11, "P")+COUNTIF('Detailed Attendance'!CD11:CD11, "P")+COUNTIF('Detailed Attendance'!DA11:DA11, "P")+COUNTIF('Detailed Attendance'!DX11:DX11, "P")+COUNTIF('Detailed Attendance'!EU11:EU11, "P")+COUNTIF('Detailed Attendance'!GE11:GE11, "P")</f>
        <v/>
      </c>
      <c r="W9" s="46">
        <f>COUNTIF('Detailed Attendance'!V11:V11, "A")+COUNTIF('Detailed Attendance'!AP11:AP11, "A")+COUNTIF('Detailed Attendance'!BJ11:BJ11, "A")+COUNTIF('Detailed Attendance'!CD11:CD11, "A")+COUNTIF('Detailed Attendance'!DA11:DA11, "A")+COUNTIF('Detailed Attendance'!DX11:DX11, "A")+COUNTIF('Detailed Attendance'!EU11:EU11, "A")+COUNTIF('Detailed Attendance'!GE11:GE11, "A")</f>
        <v/>
      </c>
      <c r="X9" s="73">
        <f>IF((V9+W9)=0, "", V9/(V9+W9))</f>
        <v/>
      </c>
      <c r="Y9" s="46">
        <f>COUNTIF('Detailed Attendance'!E11:E11, "P")+COUNTIF('Detailed Attendance'!Y11:Y11, "P")+COUNTIF('Detailed Attendance'!AS11:AS11, "P")+COUNTIF('Detailed Attendance'!BM11:BM11, "P")+COUNTIF('Detailed Attendance'!CJ11:CJ11, "P")+COUNTIF('Detailed Attendance'!DG11:DG11, "P")+COUNTIF('Detailed Attendance'!ED11:ED11, "P")+COUNTIF('Detailed Attendance'!EX11:EX11, "P")+COUNTIF('Detailed Attendance'!FN11:FN11, "P")</f>
        <v/>
      </c>
      <c r="Z9" s="46">
        <f>COUNTIF('Detailed Attendance'!E11:E11, "A")+COUNTIF('Detailed Attendance'!Y11:Y11, "A")+COUNTIF('Detailed Attendance'!AS11:AS11, "A")+COUNTIF('Detailed Attendance'!BM11:BM11, "A")+COUNTIF('Detailed Attendance'!CJ11:CJ11, "A")+COUNTIF('Detailed Attendance'!DG11:DG11, "A")+COUNTIF('Detailed Attendance'!ED11:ED11, "A")+COUNTIF('Detailed Attendance'!EX11:EX11, "A")+COUNTIF('Detailed Attendance'!FN11:FN11, "A")</f>
        <v/>
      </c>
      <c r="AA9" s="73">
        <f>IF((Y9+Z9)=0, "", Y9/(Y9+Z9))</f>
        <v/>
      </c>
      <c r="AB9" s="46">
        <f>S9+V9+Y9</f>
        <v/>
      </c>
      <c r="AC9" s="46">
        <f>T9+W9+Z9</f>
        <v/>
      </c>
      <c r="AD9" s="73">
        <f>IF((AB9+AC9)=0, "", AB9/(AB9+AC9))</f>
        <v/>
      </c>
      <c r="AE9" s="46" t="inlineStr">
        <is>
          <t>Batch 1</t>
        </is>
      </c>
    </row>
    <row r="10" ht="14.25" customHeight="1" s="34">
      <c r="A10" s="46" t="n">
        <v>9</v>
      </c>
      <c r="B10" s="46" t="inlineStr">
        <is>
          <t>325106410009</t>
        </is>
      </c>
      <c r="C10" s="46" t="inlineStr">
        <is>
          <t>SRAVANI DUMMU</t>
        </is>
      </c>
      <c r="D10" s="46">
        <f>COUNTIF('Detailed Attendance'!R12:R12, "P")+COUNTIF('Detailed Attendance'!X12:X12, "P")+COUNTIF('Detailed Attendance'!AL12:AL12, "P")+COUNTIF('Detailed Attendance'!BF12:BF12, "P")+COUNTIF('Detailed Attendance'!BL12:BL12, "P")+COUNTIF('Detailed Attendance'!BZ12:BZ12, "P")+COUNTIF('Detailed Attendance'!CI12:CI12, "P")+COUNTIF('Detailed Attendance'!CW12:CW12, "P")+COUNTIF('Detailed Attendance'!DF12:DF12, "P")+COUNTIF('Detailed Attendance'!DT12:DT12, "P")+COUNTIF('Detailed Attendance'!EC12:EC12, "P")+COUNTIF('Detailed Attendance'!EQ12:EQ12, "P")+COUNTIF('Detailed Attendance'!EW12:EW12, "P")+COUNTIF('Detailed Attendance'!FK12:FK12, "P")+COUNTIF('Detailed Attendance'!FM12:FM12, "P")+COUNTIF('Detailed Attendance'!GA12:GA12, "P")</f>
        <v/>
      </c>
      <c r="E10" s="46">
        <f>COUNTIF('Detailed Attendance'!R12:R12, "A")+COUNTIF('Detailed Attendance'!X12:X12, "A")+COUNTIF('Detailed Attendance'!AL12:AL12, "A")+COUNTIF('Detailed Attendance'!BF12:BF12, "A")+COUNTIF('Detailed Attendance'!BL12:BL12, "A")+COUNTIF('Detailed Attendance'!BZ12:BZ12, "A")+COUNTIF('Detailed Attendance'!CI12:CI12, "A")+COUNTIF('Detailed Attendance'!CW12:CW12, "A")+COUNTIF('Detailed Attendance'!DF12:DF12, "A")+COUNTIF('Detailed Attendance'!DT12:DT12, "A")+COUNTIF('Detailed Attendance'!EC12:EC12, "A")+COUNTIF('Detailed Attendance'!EQ12:EQ12, "A")+COUNTIF('Detailed Attendance'!EW12:EW12, "A")+COUNTIF('Detailed Attendance'!FK12:FK12, "A")+COUNTIF('Detailed Attendance'!FM12:FM12, "A")+COUNTIF('Detailed Attendance'!GA12:GA12, "A")</f>
        <v/>
      </c>
      <c r="F10" s="72">
        <f>IF((D10+E10)=0, "", D10/(D10+E10))</f>
        <v/>
      </c>
      <c r="G10" s="46">
        <f>COUNTIF('Detailed Attendance'!I12:I12, "P")+COUNTIF('Detailed Attendance'!Q12:Q12, "P")+COUNTIF('Detailed Attendance'!AC12:AC12, "P")+COUNTIF('Detailed Attendance'!AK12:AK12, "P")+COUNTIF('Detailed Attendance'!AW12:AW12, "P")+COUNTIF('Detailed Attendance'!BE12:BE12, "P")+COUNTIF('Detailed Attendance'!BQ12:BQ12, "P")+COUNTIF('Detailed Attendance'!BY12:BY12, "P")+COUNTIF('Detailed Attendance'!CN12:CN12, "P")+COUNTIF('Detailed Attendance'!CV12:CV12, "P")+COUNTIF('Detailed Attendance'!DK12:DK12, "P")+COUNTIF('Detailed Attendance'!DS12:DS12, "P")+COUNTIF('Detailed Attendance'!EH12:EH12, "P")+COUNTIF('Detailed Attendance'!EP12:EP12, "P")+COUNTIF('Detailed Attendance'!FB12:FB12, "P")+COUNTIF('Detailed Attendance'!FJ12:FJ12, "P")+COUNTIF('Detailed Attendance'!FR12:FR12, "P")+COUNTIF('Detailed Attendance'!FZ12:FZ12, "P")</f>
        <v/>
      </c>
      <c r="H10" s="46">
        <f>COUNTIF('Detailed Attendance'!I12:I12, "A")+COUNTIF('Detailed Attendance'!Q12:Q12, "A")+COUNTIF('Detailed Attendance'!AC12:AC12, "A")+COUNTIF('Detailed Attendance'!AK12:AK12, "A")+COUNTIF('Detailed Attendance'!AW12:AW12, "A")+COUNTIF('Detailed Attendance'!BE12:BE12, "A")+COUNTIF('Detailed Attendance'!BQ12:BQ12, "A")+COUNTIF('Detailed Attendance'!BY12:BY12, "A")+COUNTIF('Detailed Attendance'!CN12:CN12, "A")+COUNTIF('Detailed Attendance'!CV12:CV12, "A")+COUNTIF('Detailed Attendance'!DK12:DK12, "A")+COUNTIF('Detailed Attendance'!DS12:DS12, "A")+COUNTIF('Detailed Attendance'!EH12:EH12, "A")+COUNTIF('Detailed Attendance'!EP12:EP12, "A")+COUNTIF('Detailed Attendance'!FB12:FB12, "A")+COUNTIF('Detailed Attendance'!FJ12:FJ12, "A")+COUNTIF('Detailed Attendance'!FR12:FR12, "A")+COUNTIF('Detailed Attendance'!FZ12:FZ12, "A")</f>
        <v/>
      </c>
      <c r="I10" s="72">
        <f>IF((G10+H10)=0, "", G10/(G10+H10))</f>
        <v/>
      </c>
      <c r="J10" s="46">
        <f>COUNTIF('Detailed Attendance'!L12:L12, "P")+COUNTIF('Detailed Attendance'!P12:P12, "P")+COUNTIF('Detailed Attendance'!AF12:AF12, "P")+COUNTIF('Detailed Attendance'!AJ12:AJ12, "P")+COUNTIF('Detailed Attendance'!AZ12:AZ12, "P")+COUNTIF('Detailed Attendance'!BD12:BD12, "P")+COUNTIF('Detailed Attendance'!BT12:BT12, "P")+COUNTIF('Detailed Attendance'!BX12:BX12, "P")+COUNTIF('Detailed Attendance'!CQ12:CQ12, "P")+COUNTIF('Detailed Attendance'!CU12:CU12, "P")+COUNTIF('Detailed Attendance'!DN12:DN12, "P")+COUNTIF('Detailed Attendance'!DR12:DR12, "P")+COUNTIF('Detailed Attendance'!EK12:EK12, "P")+COUNTIF('Detailed Attendance'!EO12:EO12, "P")+COUNTIF('Detailed Attendance'!FE12:FE12, "P")+COUNTIF('Detailed Attendance'!FI12:FI12, "P")+COUNTIF('Detailed Attendance'!FU12:FU12, "P")+COUNTIF('Detailed Attendance'!FY12:FY12, "P")</f>
        <v/>
      </c>
      <c r="K10" s="46">
        <f>COUNTIF('Detailed Attendance'!L12:L12, "A")+COUNTIF('Detailed Attendance'!P12:P12, "A")+COUNTIF('Detailed Attendance'!AF12:AF12, "A")+COUNTIF('Detailed Attendance'!AJ12:AJ12, "A")+COUNTIF('Detailed Attendance'!AZ12:AZ12, "A")+COUNTIF('Detailed Attendance'!BD12:BD12, "A")+COUNTIF('Detailed Attendance'!BT12:BT12, "A")+COUNTIF('Detailed Attendance'!BX12:BX12, "A")+COUNTIF('Detailed Attendance'!CQ12:CQ12, "A")+COUNTIF('Detailed Attendance'!CU12:CU12, "A")+COUNTIF('Detailed Attendance'!DN12:DN12, "A")+COUNTIF('Detailed Attendance'!DR12:DR12, "A")+COUNTIF('Detailed Attendance'!EK12:EK12, "A")+COUNTIF('Detailed Attendance'!EO12:EO12, "A")+COUNTIF('Detailed Attendance'!FE12:FE12, "A")+COUNTIF('Detailed Attendance'!FI12:FI12, "A")+COUNTIF('Detailed Attendance'!FU12:FU12, "A")+COUNTIF('Detailed Attendance'!FY12:FY12, "A")</f>
        <v/>
      </c>
      <c r="L10" s="72">
        <f>IF((J10+K10)=0, "", J10/(J10+K10))</f>
        <v/>
      </c>
      <c r="M10" s="46">
        <f>COUNTIF('Detailed Attendance'!D12:D12, "P")+COUNTIF('Detailed Attendance'!T12:T12, "P")+COUNTIF('Detailed Attendance'!AN12:AN12, "P")+COUNTIF('Detailed Attendance'!AR12:AR12, "P")+COUNTIF('Detailed Attendance'!BH12:BH12, "P")+COUNTIF('Detailed Attendance'!CB12:CB12, "P")+COUNTIF('Detailed Attendance'!CF12:CF12, "P")+COUNTIF('Detailed Attendance'!CY12:CY12, "P")+COUNTIF('Detailed Attendance'!DC12:DC12, "P")+COUNTIF('Detailed Attendance'!DV12:DV12, "P")+COUNTIF('Detailed Attendance'!DZ12:DZ12, "P")+COUNTIF('Detailed Attendance'!ES12:ES12, "P")+COUNTIF('Detailed Attendance'!GC12:GC12, "P")+COUNTIF('Detailed Attendance'!GG12:GG12, "P")</f>
        <v/>
      </c>
      <c r="N10" s="46">
        <f>COUNTIF('Detailed Attendance'!D12:D12, "A")+COUNTIF('Detailed Attendance'!T12:T12, "A")+COUNTIF('Detailed Attendance'!AN12:AN12, "A")+COUNTIF('Detailed Attendance'!AR12:AR12, "A")+COUNTIF('Detailed Attendance'!BH12:BH12, "A")+COUNTIF('Detailed Attendance'!CB12:CB12, "A")+COUNTIF('Detailed Attendance'!CF12:CF12, "A")+COUNTIF('Detailed Attendance'!CY12:CY12, "A")+COUNTIF('Detailed Attendance'!DC12:DC12, "A")+COUNTIF('Detailed Attendance'!DV12:DV12, "A")+COUNTIF('Detailed Attendance'!DZ12:DZ12, "A")+COUNTIF('Detailed Attendance'!ES12:ES12, "A")+COUNTIF('Detailed Attendance'!GC12:GC12, "A")+COUNTIF('Detailed Attendance'!GG12:GG12, "A")</f>
        <v/>
      </c>
      <c r="O10" s="72">
        <f>IF((M10+N10)=0, "", M10/(M10+N10))</f>
        <v/>
      </c>
      <c r="P10" s="46">
        <f>COUNTIF('Detailed Attendance'!M12:M12, "P")+COUNTIF('Detailed Attendance'!U12:U12, "P")+COUNTIF('Detailed Attendance'!AG12:AG12, "P")+COUNTIF('Detailed Attendance'!AO12:AO12, "P")+COUNTIF('Detailed Attendance'!BA12:BA12, "P")+COUNTIF('Detailed Attendance'!BI12:BI12, "P")+COUNTIF('Detailed Attendance'!BU12:BU12, "P")+COUNTIF('Detailed Attendance'!CC12:CC12, "P")+COUNTIF('Detailed Attendance'!CR12:CR12, "P")+COUNTIF('Detailed Attendance'!CZ12:CZ12, "P")+COUNTIF('Detailed Attendance'!DO12:DO12, "P")+COUNTIF('Detailed Attendance'!DW12:DW12, "P")+COUNTIF('Detailed Attendance'!EL12:EL12, "P")+COUNTIF('Detailed Attendance'!ET12:ET12, "P")+COUNTIF('Detailed Attendance'!FF12:FF12, "P")+COUNTIF('Detailed Attendance'!FV12:FV12, "P")+COUNTIF('Detailed Attendance'!GD12:GD12, "P")</f>
        <v/>
      </c>
      <c r="Q10" s="46">
        <f>COUNTIF('Detailed Attendance'!M12:M12, "A")+COUNTIF('Detailed Attendance'!U12:U12, "A")+COUNTIF('Detailed Attendance'!AG12:AG12, "A")+COUNTIF('Detailed Attendance'!AO12:AO12, "A")+COUNTIF('Detailed Attendance'!BA12:BA12, "A")+COUNTIF('Detailed Attendance'!BI12:BI12, "A")+COUNTIF('Detailed Attendance'!BU12:BU12, "A")+COUNTIF('Detailed Attendance'!CC12:CC12, "A")+COUNTIF('Detailed Attendance'!CR12:CR12, "A")+COUNTIF('Detailed Attendance'!CZ12:CZ12, "A")+COUNTIF('Detailed Attendance'!DO12:DO12, "A")+COUNTIF('Detailed Attendance'!DW12:DW12, "A")+COUNTIF('Detailed Attendance'!EL12:EL12, "A")+COUNTIF('Detailed Attendance'!ET12:ET12, "A")+COUNTIF('Detailed Attendance'!FF12:FF12, "A")+COUNTIF('Detailed Attendance'!FV12:FV12, "A")+COUNTIF('Detailed Attendance'!GD12:GD12, "A")</f>
        <v/>
      </c>
      <c r="R10" s="72">
        <f>IF((P10+Q10)=0, "", P10/(P10+Q10))</f>
        <v/>
      </c>
      <c r="S10" s="46">
        <f>COUNTIF('Detailed Attendance'!CH12:CH12, "P")+COUNTIF('Detailed Attendance'!DE12:DE12, "P")+COUNTIF('Detailed Attendance'!EB12:EB12, "P")+COUNTIF('Detailed Attendance'!GI12:GI12, "P")</f>
        <v/>
      </c>
      <c r="T10" s="46">
        <f>COUNTIF('Detailed Attendance'!CH12:CH12, "A")+COUNTIF('Detailed Attendance'!DE12:DE12, "A")+COUNTIF('Detailed Attendance'!EB12:EB12, "A")+COUNTIF('Detailed Attendance'!GI12:GI12, "A")</f>
        <v/>
      </c>
      <c r="U10" s="73">
        <f>IF((S10+T10)=0, "", S10/(S10+T10))</f>
        <v/>
      </c>
      <c r="V10" s="46">
        <f>COUNTIF('Detailed Attendance'!V12:V12, "P")+COUNTIF('Detailed Attendance'!AP12:AP12, "P")+COUNTIF('Detailed Attendance'!BJ12:BJ12, "P")+COUNTIF('Detailed Attendance'!CD12:CD12, "P")+COUNTIF('Detailed Attendance'!DA12:DA12, "P")+COUNTIF('Detailed Attendance'!DX12:DX12, "P")+COUNTIF('Detailed Attendance'!EU12:EU12, "P")+COUNTIF('Detailed Attendance'!GE12:GE12, "P")</f>
        <v/>
      </c>
      <c r="W10" s="46">
        <f>COUNTIF('Detailed Attendance'!V12:V12, "A")+COUNTIF('Detailed Attendance'!AP12:AP12, "A")+COUNTIF('Detailed Attendance'!BJ12:BJ12, "A")+COUNTIF('Detailed Attendance'!CD12:CD12, "A")+COUNTIF('Detailed Attendance'!DA12:DA12, "A")+COUNTIF('Detailed Attendance'!DX12:DX12, "A")+COUNTIF('Detailed Attendance'!EU12:EU12, "A")+COUNTIF('Detailed Attendance'!GE12:GE12, "A")</f>
        <v/>
      </c>
      <c r="X10" s="73">
        <f>IF((V10+W10)=0, "", V10/(V10+W10))</f>
        <v/>
      </c>
      <c r="Y10" s="46">
        <f>COUNTIF('Detailed Attendance'!E12:E12, "P")+COUNTIF('Detailed Attendance'!Y12:Y12, "P")+COUNTIF('Detailed Attendance'!AS12:AS12, "P")+COUNTIF('Detailed Attendance'!BM12:BM12, "P")+COUNTIF('Detailed Attendance'!CJ12:CJ12, "P")+COUNTIF('Detailed Attendance'!DG12:DG12, "P")+COUNTIF('Detailed Attendance'!ED12:ED12, "P")+COUNTIF('Detailed Attendance'!EX12:EX12, "P")+COUNTIF('Detailed Attendance'!FN12:FN12, "P")</f>
        <v/>
      </c>
      <c r="Z10" s="46">
        <f>COUNTIF('Detailed Attendance'!E12:E12, "A")+COUNTIF('Detailed Attendance'!Y12:Y12, "A")+COUNTIF('Detailed Attendance'!AS12:AS12, "A")+COUNTIF('Detailed Attendance'!BM12:BM12, "A")+COUNTIF('Detailed Attendance'!CJ12:CJ12, "A")+COUNTIF('Detailed Attendance'!DG12:DG12, "A")+COUNTIF('Detailed Attendance'!ED12:ED12, "A")+COUNTIF('Detailed Attendance'!EX12:EX12, "A")+COUNTIF('Detailed Attendance'!FN12:FN12, "A")</f>
        <v/>
      </c>
      <c r="AA10" s="73">
        <f>IF((Y10+Z10)=0, "", Y10/(Y10+Z10))</f>
        <v/>
      </c>
      <c r="AB10" s="46">
        <f>S10+V10+Y10</f>
        <v/>
      </c>
      <c r="AC10" s="46">
        <f>T10+W10+Z10</f>
        <v/>
      </c>
      <c r="AD10" s="73">
        <f>IF((AB10+AC10)=0, "", AB10/(AB10+AC10))</f>
        <v/>
      </c>
      <c r="AE10" s="46" t="inlineStr">
        <is>
          <t>Batch 1</t>
        </is>
      </c>
    </row>
    <row r="11" ht="14.25" customHeight="1" s="34">
      <c r="A11" s="46" t="n">
        <v>10</v>
      </c>
      <c r="B11" s="46" t="inlineStr">
        <is>
          <t>325106410010</t>
        </is>
      </c>
      <c r="C11" s="46" t="inlineStr">
        <is>
          <t>EESHAAN URLAM</t>
        </is>
      </c>
      <c r="D11" s="46">
        <f>COUNTIF('Detailed Attendance'!R13:R13, "P")+COUNTIF('Detailed Attendance'!X13:X13, "P")+COUNTIF('Detailed Attendance'!AL13:AL13, "P")+COUNTIF('Detailed Attendance'!BF13:BF13, "P")+COUNTIF('Detailed Attendance'!BL13:BL13, "P")+COUNTIF('Detailed Attendance'!BZ13:BZ13, "P")+COUNTIF('Detailed Attendance'!CI13:CI13, "P")+COUNTIF('Detailed Attendance'!CW13:CW13, "P")+COUNTIF('Detailed Attendance'!DF13:DF13, "P")+COUNTIF('Detailed Attendance'!DT13:DT13, "P")+COUNTIF('Detailed Attendance'!EC13:EC13, "P")+COUNTIF('Detailed Attendance'!EQ13:EQ13, "P")+COUNTIF('Detailed Attendance'!EW13:EW13, "P")+COUNTIF('Detailed Attendance'!FK13:FK13, "P")+COUNTIF('Detailed Attendance'!FM13:FM13, "P")+COUNTIF('Detailed Attendance'!GA13:GA13, "P")</f>
        <v/>
      </c>
      <c r="E11" s="46">
        <f>COUNTIF('Detailed Attendance'!R13:R13, "A")+COUNTIF('Detailed Attendance'!X13:X13, "A")+COUNTIF('Detailed Attendance'!AL13:AL13, "A")+COUNTIF('Detailed Attendance'!BF13:BF13, "A")+COUNTIF('Detailed Attendance'!BL13:BL13, "A")+COUNTIF('Detailed Attendance'!BZ13:BZ13, "A")+COUNTIF('Detailed Attendance'!CI13:CI13, "A")+COUNTIF('Detailed Attendance'!CW13:CW13, "A")+COUNTIF('Detailed Attendance'!DF13:DF13, "A")+COUNTIF('Detailed Attendance'!DT13:DT13, "A")+COUNTIF('Detailed Attendance'!EC13:EC13, "A")+COUNTIF('Detailed Attendance'!EQ13:EQ13, "A")+COUNTIF('Detailed Attendance'!EW13:EW13, "A")+COUNTIF('Detailed Attendance'!FK13:FK13, "A")+COUNTIF('Detailed Attendance'!FM13:FM13, "A")+COUNTIF('Detailed Attendance'!GA13:GA13, "A")</f>
        <v/>
      </c>
      <c r="F11" s="72">
        <f>IF((D11+E11)=0, "", D11/(D11+E11))</f>
        <v/>
      </c>
      <c r="G11" s="46">
        <f>COUNTIF('Detailed Attendance'!I13:I13, "P")+COUNTIF('Detailed Attendance'!Q13:Q13, "P")+COUNTIF('Detailed Attendance'!AC13:AC13, "P")+COUNTIF('Detailed Attendance'!AK13:AK13, "P")+COUNTIF('Detailed Attendance'!AW13:AW13, "P")+COUNTIF('Detailed Attendance'!BE13:BE13, "P")+COUNTIF('Detailed Attendance'!BQ13:BQ13, "P")+COUNTIF('Detailed Attendance'!BY13:BY13, "P")+COUNTIF('Detailed Attendance'!CN13:CN13, "P")+COUNTIF('Detailed Attendance'!CV13:CV13, "P")+COUNTIF('Detailed Attendance'!DK13:DK13, "P")+COUNTIF('Detailed Attendance'!DS13:DS13, "P")+COUNTIF('Detailed Attendance'!EH13:EH13, "P")+COUNTIF('Detailed Attendance'!EP13:EP13, "P")+COUNTIF('Detailed Attendance'!FB13:FB13, "P")+COUNTIF('Detailed Attendance'!FJ13:FJ13, "P")+COUNTIF('Detailed Attendance'!FR13:FR13, "P")+COUNTIF('Detailed Attendance'!FZ13:FZ13, "P")</f>
        <v/>
      </c>
      <c r="H11" s="46">
        <f>COUNTIF('Detailed Attendance'!I13:I13, "A")+COUNTIF('Detailed Attendance'!Q13:Q13, "A")+COUNTIF('Detailed Attendance'!AC13:AC13, "A")+COUNTIF('Detailed Attendance'!AK13:AK13, "A")+COUNTIF('Detailed Attendance'!AW13:AW13, "A")+COUNTIF('Detailed Attendance'!BE13:BE13, "A")+COUNTIF('Detailed Attendance'!BQ13:BQ13, "A")+COUNTIF('Detailed Attendance'!BY13:BY13, "A")+COUNTIF('Detailed Attendance'!CN13:CN13, "A")+COUNTIF('Detailed Attendance'!CV13:CV13, "A")+COUNTIF('Detailed Attendance'!DK13:DK13, "A")+COUNTIF('Detailed Attendance'!DS13:DS13, "A")+COUNTIF('Detailed Attendance'!EH13:EH13, "A")+COUNTIF('Detailed Attendance'!EP13:EP13, "A")+COUNTIF('Detailed Attendance'!FB13:FB13, "A")+COUNTIF('Detailed Attendance'!FJ13:FJ13, "A")+COUNTIF('Detailed Attendance'!FR13:FR13, "A")+COUNTIF('Detailed Attendance'!FZ13:FZ13, "A")</f>
        <v/>
      </c>
      <c r="I11" s="72">
        <f>IF((G11+H11)=0, "", G11/(G11+H11))</f>
        <v/>
      </c>
      <c r="J11" s="46">
        <f>COUNTIF('Detailed Attendance'!L13:L13, "P")+COUNTIF('Detailed Attendance'!P13:P13, "P")+COUNTIF('Detailed Attendance'!AF13:AF13, "P")+COUNTIF('Detailed Attendance'!AJ13:AJ13, "P")+COUNTIF('Detailed Attendance'!AZ13:AZ13, "P")+COUNTIF('Detailed Attendance'!BD13:BD13, "P")+COUNTIF('Detailed Attendance'!BT13:BT13, "P")+COUNTIF('Detailed Attendance'!BX13:BX13, "P")+COUNTIF('Detailed Attendance'!CQ13:CQ13, "P")+COUNTIF('Detailed Attendance'!CU13:CU13, "P")+COUNTIF('Detailed Attendance'!DN13:DN13, "P")+COUNTIF('Detailed Attendance'!DR13:DR13, "P")+COUNTIF('Detailed Attendance'!EK13:EK13, "P")+COUNTIF('Detailed Attendance'!EO13:EO13, "P")+COUNTIF('Detailed Attendance'!FE13:FE13, "P")+COUNTIF('Detailed Attendance'!FI13:FI13, "P")+COUNTIF('Detailed Attendance'!FU13:FU13, "P")+COUNTIF('Detailed Attendance'!FY13:FY13, "P")</f>
        <v/>
      </c>
      <c r="K11" s="46">
        <f>COUNTIF('Detailed Attendance'!L13:L13, "A")+COUNTIF('Detailed Attendance'!P13:P13, "A")+COUNTIF('Detailed Attendance'!AF13:AF13, "A")+COUNTIF('Detailed Attendance'!AJ13:AJ13, "A")+COUNTIF('Detailed Attendance'!AZ13:AZ13, "A")+COUNTIF('Detailed Attendance'!BD13:BD13, "A")+COUNTIF('Detailed Attendance'!BT13:BT13, "A")+COUNTIF('Detailed Attendance'!BX13:BX13, "A")+COUNTIF('Detailed Attendance'!CQ13:CQ13, "A")+COUNTIF('Detailed Attendance'!CU13:CU13, "A")+COUNTIF('Detailed Attendance'!DN13:DN13, "A")+COUNTIF('Detailed Attendance'!DR13:DR13, "A")+COUNTIF('Detailed Attendance'!EK13:EK13, "A")+COUNTIF('Detailed Attendance'!EO13:EO13, "A")+COUNTIF('Detailed Attendance'!FE13:FE13, "A")+COUNTIF('Detailed Attendance'!FI13:FI13, "A")+COUNTIF('Detailed Attendance'!FU13:FU13, "A")+COUNTIF('Detailed Attendance'!FY13:FY13, "A")</f>
        <v/>
      </c>
      <c r="L11" s="72">
        <f>IF((J11+K11)=0, "", J11/(J11+K11))</f>
        <v/>
      </c>
      <c r="M11" s="46">
        <f>COUNTIF('Detailed Attendance'!D13:D13, "P")+COUNTIF('Detailed Attendance'!T13:T13, "P")+COUNTIF('Detailed Attendance'!AN13:AN13, "P")+COUNTIF('Detailed Attendance'!AR13:AR13, "P")+COUNTIF('Detailed Attendance'!BH13:BH13, "P")+COUNTIF('Detailed Attendance'!CB13:CB13, "P")+COUNTIF('Detailed Attendance'!CF13:CF13, "P")+COUNTIF('Detailed Attendance'!CY13:CY13, "P")+COUNTIF('Detailed Attendance'!DC13:DC13, "P")+COUNTIF('Detailed Attendance'!DV13:DV13, "P")+COUNTIF('Detailed Attendance'!DZ13:DZ13, "P")+COUNTIF('Detailed Attendance'!ES13:ES13, "P")+COUNTIF('Detailed Attendance'!GC13:GC13, "P")+COUNTIF('Detailed Attendance'!GG13:GG13, "P")</f>
        <v/>
      </c>
      <c r="N11" s="46">
        <f>COUNTIF('Detailed Attendance'!D13:D13, "A")+COUNTIF('Detailed Attendance'!T13:T13, "A")+COUNTIF('Detailed Attendance'!AN13:AN13, "A")+COUNTIF('Detailed Attendance'!AR13:AR13, "A")+COUNTIF('Detailed Attendance'!BH13:BH13, "A")+COUNTIF('Detailed Attendance'!CB13:CB13, "A")+COUNTIF('Detailed Attendance'!CF13:CF13, "A")+COUNTIF('Detailed Attendance'!CY13:CY13, "A")+COUNTIF('Detailed Attendance'!DC13:DC13, "A")+COUNTIF('Detailed Attendance'!DV13:DV13, "A")+COUNTIF('Detailed Attendance'!DZ13:DZ13, "A")+COUNTIF('Detailed Attendance'!ES13:ES13, "A")+COUNTIF('Detailed Attendance'!GC13:GC13, "A")+COUNTIF('Detailed Attendance'!GG13:GG13, "A")</f>
        <v/>
      </c>
      <c r="O11" s="72">
        <f>IF((M11+N11)=0, "", M11/(M11+N11))</f>
        <v/>
      </c>
      <c r="P11" s="46">
        <f>COUNTIF('Detailed Attendance'!M13:M13, "P")+COUNTIF('Detailed Attendance'!U13:U13, "P")+COUNTIF('Detailed Attendance'!AG13:AG13, "P")+COUNTIF('Detailed Attendance'!AO13:AO13, "P")+COUNTIF('Detailed Attendance'!BA13:BA13, "P")+COUNTIF('Detailed Attendance'!BI13:BI13, "P")+COUNTIF('Detailed Attendance'!BU13:BU13, "P")+COUNTIF('Detailed Attendance'!CC13:CC13, "P")+COUNTIF('Detailed Attendance'!CR13:CR13, "P")+COUNTIF('Detailed Attendance'!CZ13:CZ13, "P")+COUNTIF('Detailed Attendance'!DO13:DO13, "P")+COUNTIF('Detailed Attendance'!DW13:DW13, "P")+COUNTIF('Detailed Attendance'!EL13:EL13, "P")+COUNTIF('Detailed Attendance'!ET13:ET13, "P")+COUNTIF('Detailed Attendance'!FF13:FF13, "P")+COUNTIF('Detailed Attendance'!FV13:FV13, "P")+COUNTIF('Detailed Attendance'!GD13:GD13, "P")</f>
        <v/>
      </c>
      <c r="Q11" s="46">
        <f>COUNTIF('Detailed Attendance'!M13:M13, "A")+COUNTIF('Detailed Attendance'!U13:U13, "A")+COUNTIF('Detailed Attendance'!AG13:AG13, "A")+COUNTIF('Detailed Attendance'!AO13:AO13, "A")+COUNTIF('Detailed Attendance'!BA13:BA13, "A")+COUNTIF('Detailed Attendance'!BI13:BI13, "A")+COUNTIF('Detailed Attendance'!BU13:BU13, "A")+COUNTIF('Detailed Attendance'!CC13:CC13, "A")+COUNTIF('Detailed Attendance'!CR13:CR13, "A")+COUNTIF('Detailed Attendance'!CZ13:CZ13, "A")+COUNTIF('Detailed Attendance'!DO13:DO13, "A")+COUNTIF('Detailed Attendance'!DW13:DW13, "A")+COUNTIF('Detailed Attendance'!EL13:EL13, "A")+COUNTIF('Detailed Attendance'!ET13:ET13, "A")+COUNTIF('Detailed Attendance'!FF13:FF13, "A")+COUNTIF('Detailed Attendance'!FV13:FV13, "A")+COUNTIF('Detailed Attendance'!GD13:GD13, "A")</f>
        <v/>
      </c>
      <c r="R11" s="72">
        <f>IF((P11+Q11)=0, "", P11/(P11+Q11))</f>
        <v/>
      </c>
      <c r="S11" s="46">
        <f>COUNTIF('Detailed Attendance'!CH13:CH13, "P")+COUNTIF('Detailed Attendance'!DE13:DE13, "P")+COUNTIF('Detailed Attendance'!EB13:EB13, "P")+COUNTIF('Detailed Attendance'!GI13:GI13, "P")</f>
        <v/>
      </c>
      <c r="T11" s="46">
        <f>COUNTIF('Detailed Attendance'!CH13:CH13, "A")+COUNTIF('Detailed Attendance'!DE13:DE13, "A")+COUNTIF('Detailed Attendance'!EB13:EB13, "A")+COUNTIF('Detailed Attendance'!GI13:GI13, "A")</f>
        <v/>
      </c>
      <c r="U11" s="73">
        <f>IF((S11+T11)=0, "", S11/(S11+T11))</f>
        <v/>
      </c>
      <c r="V11" s="46">
        <f>COUNTIF('Detailed Attendance'!V13:V13, "P")+COUNTIF('Detailed Attendance'!AP13:AP13, "P")+COUNTIF('Detailed Attendance'!BJ13:BJ13, "P")+COUNTIF('Detailed Attendance'!CD13:CD13, "P")+COUNTIF('Detailed Attendance'!DA13:DA13, "P")+COUNTIF('Detailed Attendance'!DX13:DX13, "P")+COUNTIF('Detailed Attendance'!EU13:EU13, "P")+COUNTIF('Detailed Attendance'!GE13:GE13, "P")</f>
        <v/>
      </c>
      <c r="W11" s="46">
        <f>COUNTIF('Detailed Attendance'!V13:V13, "A")+COUNTIF('Detailed Attendance'!AP13:AP13, "A")+COUNTIF('Detailed Attendance'!BJ13:BJ13, "A")+COUNTIF('Detailed Attendance'!CD13:CD13, "A")+COUNTIF('Detailed Attendance'!DA13:DA13, "A")+COUNTIF('Detailed Attendance'!DX13:DX13, "A")+COUNTIF('Detailed Attendance'!EU13:EU13, "A")+COUNTIF('Detailed Attendance'!GE13:GE13, "A")</f>
        <v/>
      </c>
      <c r="X11" s="73">
        <f>IF((V11+W11)=0, "", V11/(V11+W11))</f>
        <v/>
      </c>
      <c r="Y11" s="46">
        <f>COUNTIF('Detailed Attendance'!E13:E13, "P")+COUNTIF('Detailed Attendance'!Y13:Y13, "P")+COUNTIF('Detailed Attendance'!AS13:AS13, "P")+COUNTIF('Detailed Attendance'!BM13:BM13, "P")+COUNTIF('Detailed Attendance'!CJ13:CJ13, "P")+COUNTIF('Detailed Attendance'!DG13:DG13, "P")+COUNTIF('Detailed Attendance'!ED13:ED13, "P")+COUNTIF('Detailed Attendance'!EX13:EX13, "P")+COUNTIF('Detailed Attendance'!FN13:FN13, "P")</f>
        <v/>
      </c>
      <c r="Z11" s="46">
        <f>COUNTIF('Detailed Attendance'!E13:E13, "A")+COUNTIF('Detailed Attendance'!Y13:Y13, "A")+COUNTIF('Detailed Attendance'!AS13:AS13, "A")+COUNTIF('Detailed Attendance'!BM13:BM13, "A")+COUNTIF('Detailed Attendance'!CJ13:CJ13, "A")+COUNTIF('Detailed Attendance'!DG13:DG13, "A")+COUNTIF('Detailed Attendance'!ED13:ED13, "A")+COUNTIF('Detailed Attendance'!EX13:EX13, "A")+COUNTIF('Detailed Attendance'!FN13:FN13, "A")</f>
        <v/>
      </c>
      <c r="AA11" s="73">
        <f>IF((Y11+Z11)=0, "", Y11/(Y11+Z11))</f>
        <v/>
      </c>
      <c r="AB11" s="46">
        <f>S11+V11+Y11</f>
        <v/>
      </c>
      <c r="AC11" s="46">
        <f>T11+W11+Z11</f>
        <v/>
      </c>
      <c r="AD11" s="73">
        <f>IF((AB11+AC11)=0, "", AB11/(AB11+AC11))</f>
        <v/>
      </c>
      <c r="AE11" s="46" t="inlineStr">
        <is>
          <t>Batch 1</t>
        </is>
      </c>
    </row>
    <row r="12" ht="14.25" customHeight="1" s="34">
      <c r="A12" s="46" t="n">
        <v>11</v>
      </c>
      <c r="B12" s="46" t="inlineStr">
        <is>
          <t>325106410011</t>
        </is>
      </c>
      <c r="C12" s="46" t="inlineStr">
        <is>
          <t>KAILASH REDDY GADI</t>
        </is>
      </c>
      <c r="D12" s="46">
        <f>COUNTIF('Detailed Attendance'!R14:R14, "P")+COUNTIF('Detailed Attendance'!X14:X14, "P")+COUNTIF('Detailed Attendance'!AL14:AL14, "P")+COUNTIF('Detailed Attendance'!BF14:BF14, "P")+COUNTIF('Detailed Attendance'!BL14:BL14, "P")+COUNTIF('Detailed Attendance'!BZ14:BZ14, "P")+COUNTIF('Detailed Attendance'!CI14:CI14, "P")+COUNTIF('Detailed Attendance'!CW14:CW14, "P")+COUNTIF('Detailed Attendance'!DF14:DF14, "P")+COUNTIF('Detailed Attendance'!DT14:DT14, "P")+COUNTIF('Detailed Attendance'!EC14:EC14, "P")+COUNTIF('Detailed Attendance'!EQ14:EQ14, "P")+COUNTIF('Detailed Attendance'!EW14:EW14, "P")+COUNTIF('Detailed Attendance'!FK14:FK14, "P")+COUNTIF('Detailed Attendance'!FM14:FM14, "P")+COUNTIF('Detailed Attendance'!GA14:GA14, "P")</f>
        <v/>
      </c>
      <c r="E12" s="46">
        <f>COUNTIF('Detailed Attendance'!R14:R14, "A")+COUNTIF('Detailed Attendance'!X14:X14, "A")+COUNTIF('Detailed Attendance'!AL14:AL14, "A")+COUNTIF('Detailed Attendance'!BF14:BF14, "A")+COUNTIF('Detailed Attendance'!BL14:BL14, "A")+COUNTIF('Detailed Attendance'!BZ14:BZ14, "A")+COUNTIF('Detailed Attendance'!CI14:CI14, "A")+COUNTIF('Detailed Attendance'!CW14:CW14, "A")+COUNTIF('Detailed Attendance'!DF14:DF14, "A")+COUNTIF('Detailed Attendance'!DT14:DT14, "A")+COUNTIF('Detailed Attendance'!EC14:EC14, "A")+COUNTIF('Detailed Attendance'!EQ14:EQ14, "A")+COUNTIF('Detailed Attendance'!EW14:EW14, "A")+COUNTIF('Detailed Attendance'!FK14:FK14, "A")+COUNTIF('Detailed Attendance'!FM14:FM14, "A")+COUNTIF('Detailed Attendance'!GA14:GA14, "A")</f>
        <v/>
      </c>
      <c r="F12" s="72">
        <f>IF((D12+E12)=0, "", D12/(D12+E12))</f>
        <v/>
      </c>
      <c r="G12" s="46">
        <f>COUNTIF('Detailed Attendance'!I14:I14, "P")+COUNTIF('Detailed Attendance'!Q14:Q14, "P")+COUNTIF('Detailed Attendance'!AC14:AC14, "P")+COUNTIF('Detailed Attendance'!AK14:AK14, "P")+COUNTIF('Detailed Attendance'!AW14:AW14, "P")+COUNTIF('Detailed Attendance'!BE14:BE14, "P")+COUNTIF('Detailed Attendance'!BQ14:BQ14, "P")+COUNTIF('Detailed Attendance'!BY14:BY14, "P")+COUNTIF('Detailed Attendance'!CN14:CN14, "P")+COUNTIF('Detailed Attendance'!CV14:CV14, "P")+COUNTIF('Detailed Attendance'!DK14:DK14, "P")+COUNTIF('Detailed Attendance'!DS14:DS14, "P")+COUNTIF('Detailed Attendance'!EH14:EH14, "P")+COUNTIF('Detailed Attendance'!EP14:EP14, "P")+COUNTIF('Detailed Attendance'!FB14:FB14, "P")+COUNTIF('Detailed Attendance'!FJ14:FJ14, "P")+COUNTIF('Detailed Attendance'!FR14:FR14, "P")+COUNTIF('Detailed Attendance'!FZ14:FZ14, "P")</f>
        <v/>
      </c>
      <c r="H12" s="46">
        <f>COUNTIF('Detailed Attendance'!I14:I14, "A")+COUNTIF('Detailed Attendance'!Q14:Q14, "A")+COUNTIF('Detailed Attendance'!AC14:AC14, "A")+COUNTIF('Detailed Attendance'!AK14:AK14, "A")+COUNTIF('Detailed Attendance'!AW14:AW14, "A")+COUNTIF('Detailed Attendance'!BE14:BE14, "A")+COUNTIF('Detailed Attendance'!BQ14:BQ14, "A")+COUNTIF('Detailed Attendance'!BY14:BY14, "A")+COUNTIF('Detailed Attendance'!CN14:CN14, "A")+COUNTIF('Detailed Attendance'!CV14:CV14, "A")+COUNTIF('Detailed Attendance'!DK14:DK14, "A")+COUNTIF('Detailed Attendance'!DS14:DS14, "A")+COUNTIF('Detailed Attendance'!EH14:EH14, "A")+COUNTIF('Detailed Attendance'!EP14:EP14, "A")+COUNTIF('Detailed Attendance'!FB14:FB14, "A")+COUNTIF('Detailed Attendance'!FJ14:FJ14, "A")+COUNTIF('Detailed Attendance'!FR14:FR14, "A")+COUNTIF('Detailed Attendance'!FZ14:FZ14, "A")</f>
        <v/>
      </c>
      <c r="I12" s="72">
        <f>IF((G12+H12)=0, "", G12/(G12+H12))</f>
        <v/>
      </c>
      <c r="J12" s="46">
        <f>COUNTIF('Detailed Attendance'!L14:L14, "P")+COUNTIF('Detailed Attendance'!P14:P14, "P")+COUNTIF('Detailed Attendance'!AF14:AF14, "P")+COUNTIF('Detailed Attendance'!AJ14:AJ14, "P")+COUNTIF('Detailed Attendance'!AZ14:AZ14, "P")+COUNTIF('Detailed Attendance'!BD14:BD14, "P")+COUNTIF('Detailed Attendance'!BT14:BT14, "P")+COUNTIF('Detailed Attendance'!BX14:BX14, "P")+COUNTIF('Detailed Attendance'!CQ14:CQ14, "P")+COUNTIF('Detailed Attendance'!CU14:CU14, "P")+COUNTIF('Detailed Attendance'!DN14:DN14, "P")+COUNTIF('Detailed Attendance'!DR14:DR14, "P")+COUNTIF('Detailed Attendance'!EK14:EK14, "P")+COUNTIF('Detailed Attendance'!EO14:EO14, "P")+COUNTIF('Detailed Attendance'!FE14:FE14, "P")+COUNTIF('Detailed Attendance'!FI14:FI14, "P")+COUNTIF('Detailed Attendance'!FU14:FU14, "P")+COUNTIF('Detailed Attendance'!FY14:FY14, "P")</f>
        <v/>
      </c>
      <c r="K12" s="46">
        <f>COUNTIF('Detailed Attendance'!L14:L14, "A")+COUNTIF('Detailed Attendance'!P14:P14, "A")+COUNTIF('Detailed Attendance'!AF14:AF14, "A")+COUNTIF('Detailed Attendance'!AJ14:AJ14, "A")+COUNTIF('Detailed Attendance'!AZ14:AZ14, "A")+COUNTIF('Detailed Attendance'!BD14:BD14, "A")+COUNTIF('Detailed Attendance'!BT14:BT14, "A")+COUNTIF('Detailed Attendance'!BX14:BX14, "A")+COUNTIF('Detailed Attendance'!CQ14:CQ14, "A")+COUNTIF('Detailed Attendance'!CU14:CU14, "A")+COUNTIF('Detailed Attendance'!DN14:DN14, "A")+COUNTIF('Detailed Attendance'!DR14:DR14, "A")+COUNTIF('Detailed Attendance'!EK14:EK14, "A")+COUNTIF('Detailed Attendance'!EO14:EO14, "A")+COUNTIF('Detailed Attendance'!FE14:FE14, "A")+COUNTIF('Detailed Attendance'!FI14:FI14, "A")+COUNTIF('Detailed Attendance'!FU14:FU14, "A")+COUNTIF('Detailed Attendance'!FY14:FY14, "A")</f>
        <v/>
      </c>
      <c r="L12" s="72">
        <f>IF((J12+K12)=0, "", J12/(J12+K12))</f>
        <v/>
      </c>
      <c r="M12" s="46">
        <f>COUNTIF('Detailed Attendance'!D14:D14, "P")+COUNTIF('Detailed Attendance'!T14:T14, "P")+COUNTIF('Detailed Attendance'!AN14:AN14, "P")+COUNTIF('Detailed Attendance'!AR14:AR14, "P")+COUNTIF('Detailed Attendance'!BH14:BH14, "P")+COUNTIF('Detailed Attendance'!CB14:CB14, "P")+COUNTIF('Detailed Attendance'!CF14:CF14, "P")+COUNTIF('Detailed Attendance'!CY14:CY14, "P")+COUNTIF('Detailed Attendance'!DC14:DC14, "P")+COUNTIF('Detailed Attendance'!DV14:DV14, "P")+COUNTIF('Detailed Attendance'!DZ14:DZ14, "P")+COUNTIF('Detailed Attendance'!ES14:ES14, "P")+COUNTIF('Detailed Attendance'!GC14:GC14, "P")+COUNTIF('Detailed Attendance'!GG14:GG14, "P")</f>
        <v/>
      </c>
      <c r="N12" s="46">
        <f>COUNTIF('Detailed Attendance'!D14:D14, "A")+COUNTIF('Detailed Attendance'!T14:T14, "A")+COUNTIF('Detailed Attendance'!AN14:AN14, "A")+COUNTIF('Detailed Attendance'!AR14:AR14, "A")+COUNTIF('Detailed Attendance'!BH14:BH14, "A")+COUNTIF('Detailed Attendance'!CB14:CB14, "A")+COUNTIF('Detailed Attendance'!CF14:CF14, "A")+COUNTIF('Detailed Attendance'!CY14:CY14, "A")+COUNTIF('Detailed Attendance'!DC14:DC14, "A")+COUNTIF('Detailed Attendance'!DV14:DV14, "A")+COUNTIF('Detailed Attendance'!DZ14:DZ14, "A")+COUNTIF('Detailed Attendance'!ES14:ES14, "A")+COUNTIF('Detailed Attendance'!GC14:GC14, "A")+COUNTIF('Detailed Attendance'!GG14:GG14, "A")</f>
        <v/>
      </c>
      <c r="O12" s="72">
        <f>IF((M12+N12)=0, "", M12/(M12+N12))</f>
        <v/>
      </c>
      <c r="P12" s="46">
        <f>COUNTIF('Detailed Attendance'!M14:M14, "P")+COUNTIF('Detailed Attendance'!U14:U14, "P")+COUNTIF('Detailed Attendance'!AG14:AG14, "P")+COUNTIF('Detailed Attendance'!AO14:AO14, "P")+COUNTIF('Detailed Attendance'!BA14:BA14, "P")+COUNTIF('Detailed Attendance'!BI14:BI14, "P")+COUNTIF('Detailed Attendance'!BU14:BU14, "P")+COUNTIF('Detailed Attendance'!CC14:CC14, "P")+COUNTIF('Detailed Attendance'!CR14:CR14, "P")+COUNTIF('Detailed Attendance'!CZ14:CZ14, "P")+COUNTIF('Detailed Attendance'!DO14:DO14, "P")+COUNTIF('Detailed Attendance'!DW14:DW14, "P")+COUNTIF('Detailed Attendance'!EL14:EL14, "P")+COUNTIF('Detailed Attendance'!ET14:ET14, "P")+COUNTIF('Detailed Attendance'!FF14:FF14, "P")+COUNTIF('Detailed Attendance'!FV14:FV14, "P")+COUNTIF('Detailed Attendance'!GD14:GD14, "P")</f>
        <v/>
      </c>
      <c r="Q12" s="46">
        <f>COUNTIF('Detailed Attendance'!M14:M14, "A")+COUNTIF('Detailed Attendance'!U14:U14, "A")+COUNTIF('Detailed Attendance'!AG14:AG14, "A")+COUNTIF('Detailed Attendance'!AO14:AO14, "A")+COUNTIF('Detailed Attendance'!BA14:BA14, "A")+COUNTIF('Detailed Attendance'!BI14:BI14, "A")+COUNTIF('Detailed Attendance'!BU14:BU14, "A")+COUNTIF('Detailed Attendance'!CC14:CC14, "A")+COUNTIF('Detailed Attendance'!CR14:CR14, "A")+COUNTIF('Detailed Attendance'!CZ14:CZ14, "A")+COUNTIF('Detailed Attendance'!DO14:DO14, "A")+COUNTIF('Detailed Attendance'!DW14:DW14, "A")+COUNTIF('Detailed Attendance'!EL14:EL14, "A")+COUNTIF('Detailed Attendance'!ET14:ET14, "A")+COUNTIF('Detailed Attendance'!FF14:FF14, "A")+COUNTIF('Detailed Attendance'!FV14:FV14, "A")+COUNTIF('Detailed Attendance'!GD14:GD14, "A")</f>
        <v/>
      </c>
      <c r="R12" s="72">
        <f>IF((P12+Q12)=0, "", P12/(P12+Q12))</f>
        <v/>
      </c>
      <c r="S12" s="46">
        <f>COUNTIF('Detailed Attendance'!CH14:CH14, "P")+COUNTIF('Detailed Attendance'!DE14:DE14, "P")+COUNTIF('Detailed Attendance'!EB14:EB14, "P")+COUNTIF('Detailed Attendance'!GI14:GI14, "P")</f>
        <v/>
      </c>
      <c r="T12" s="46">
        <f>COUNTIF('Detailed Attendance'!CH14:CH14, "A")+COUNTIF('Detailed Attendance'!DE14:DE14, "A")+COUNTIF('Detailed Attendance'!EB14:EB14, "A")+COUNTIF('Detailed Attendance'!GI14:GI14, "A")</f>
        <v/>
      </c>
      <c r="U12" s="73">
        <f>IF((S12+T12)=0, "", S12/(S12+T12))</f>
        <v/>
      </c>
      <c r="V12" s="46">
        <f>COUNTIF('Detailed Attendance'!V14:V14, "P")+COUNTIF('Detailed Attendance'!AP14:AP14, "P")+COUNTIF('Detailed Attendance'!BJ14:BJ14, "P")+COUNTIF('Detailed Attendance'!CD14:CD14, "P")+COUNTIF('Detailed Attendance'!DA14:DA14, "P")+COUNTIF('Detailed Attendance'!DX14:DX14, "P")+COUNTIF('Detailed Attendance'!EU14:EU14, "P")+COUNTIF('Detailed Attendance'!GE14:GE14, "P")</f>
        <v/>
      </c>
      <c r="W12" s="46">
        <f>COUNTIF('Detailed Attendance'!V14:V14, "A")+COUNTIF('Detailed Attendance'!AP14:AP14, "A")+COUNTIF('Detailed Attendance'!BJ14:BJ14, "A")+COUNTIF('Detailed Attendance'!CD14:CD14, "A")+COUNTIF('Detailed Attendance'!DA14:DA14, "A")+COUNTIF('Detailed Attendance'!DX14:DX14, "A")+COUNTIF('Detailed Attendance'!EU14:EU14, "A")+COUNTIF('Detailed Attendance'!GE14:GE14, "A")</f>
        <v/>
      </c>
      <c r="X12" s="73">
        <f>IF((V12+W12)=0, "", V12/(V12+W12))</f>
        <v/>
      </c>
      <c r="Y12" s="46">
        <f>COUNTIF('Detailed Attendance'!E14:E14, "P")+COUNTIF('Detailed Attendance'!Y14:Y14, "P")+COUNTIF('Detailed Attendance'!AS14:AS14, "P")+COUNTIF('Detailed Attendance'!BM14:BM14, "P")+COUNTIF('Detailed Attendance'!CJ14:CJ14, "P")+COUNTIF('Detailed Attendance'!DG14:DG14, "P")+COUNTIF('Detailed Attendance'!ED14:ED14, "P")+COUNTIF('Detailed Attendance'!EX14:EX14, "P")+COUNTIF('Detailed Attendance'!FN14:FN14, "P")</f>
        <v/>
      </c>
      <c r="Z12" s="46">
        <f>COUNTIF('Detailed Attendance'!E14:E14, "A")+COUNTIF('Detailed Attendance'!Y14:Y14, "A")+COUNTIF('Detailed Attendance'!AS14:AS14, "A")+COUNTIF('Detailed Attendance'!BM14:BM14, "A")+COUNTIF('Detailed Attendance'!CJ14:CJ14, "A")+COUNTIF('Detailed Attendance'!DG14:DG14, "A")+COUNTIF('Detailed Attendance'!ED14:ED14, "A")+COUNTIF('Detailed Attendance'!EX14:EX14, "A")+COUNTIF('Detailed Attendance'!FN14:FN14, "A")</f>
        <v/>
      </c>
      <c r="AA12" s="73">
        <f>IF((Y12+Z12)=0, "", Y12/(Y12+Z12))</f>
        <v/>
      </c>
      <c r="AB12" s="46">
        <f>S12+V12+Y12</f>
        <v/>
      </c>
      <c r="AC12" s="46">
        <f>T12+W12+Z12</f>
        <v/>
      </c>
      <c r="AD12" s="73">
        <f>IF((AB12+AC12)=0, "", AB12/(AB12+AC12))</f>
        <v/>
      </c>
      <c r="AE12" s="46" t="inlineStr">
        <is>
          <t>Batch 1</t>
        </is>
      </c>
    </row>
    <row r="13" ht="14.25" customHeight="1" s="34">
      <c r="A13" s="46" t="n">
        <v>12</v>
      </c>
      <c r="B13" s="46" t="inlineStr">
        <is>
          <t>325106410012</t>
        </is>
      </c>
      <c r="C13" s="46" t="inlineStr">
        <is>
          <t>DEEPIKA GANTA</t>
        </is>
      </c>
      <c r="D13" s="46">
        <f>COUNTIF('Detailed Attendance'!R15:R15, "P")+COUNTIF('Detailed Attendance'!X15:X15, "P")+COUNTIF('Detailed Attendance'!AL15:AL15, "P")+COUNTIF('Detailed Attendance'!BF15:BF15, "P")+COUNTIF('Detailed Attendance'!BL15:BL15, "P")+COUNTIF('Detailed Attendance'!BZ15:BZ15, "P")+COUNTIF('Detailed Attendance'!CI15:CI15, "P")+COUNTIF('Detailed Attendance'!CW15:CW15, "P")+COUNTIF('Detailed Attendance'!DF15:DF15, "P")+COUNTIF('Detailed Attendance'!DT15:DT15, "P")+COUNTIF('Detailed Attendance'!EC15:EC15, "P")+COUNTIF('Detailed Attendance'!EQ15:EQ15, "P")+COUNTIF('Detailed Attendance'!EW15:EW15, "P")+COUNTIF('Detailed Attendance'!FK15:FK15, "P")+COUNTIF('Detailed Attendance'!FM15:FM15, "P")+COUNTIF('Detailed Attendance'!GA15:GA15, "P")</f>
        <v/>
      </c>
      <c r="E13" s="46">
        <f>COUNTIF('Detailed Attendance'!R15:R15, "A")+COUNTIF('Detailed Attendance'!X15:X15, "A")+COUNTIF('Detailed Attendance'!AL15:AL15, "A")+COUNTIF('Detailed Attendance'!BF15:BF15, "A")+COUNTIF('Detailed Attendance'!BL15:BL15, "A")+COUNTIF('Detailed Attendance'!BZ15:BZ15, "A")+COUNTIF('Detailed Attendance'!CI15:CI15, "A")+COUNTIF('Detailed Attendance'!CW15:CW15, "A")+COUNTIF('Detailed Attendance'!DF15:DF15, "A")+COUNTIF('Detailed Attendance'!DT15:DT15, "A")+COUNTIF('Detailed Attendance'!EC15:EC15, "A")+COUNTIF('Detailed Attendance'!EQ15:EQ15, "A")+COUNTIF('Detailed Attendance'!EW15:EW15, "A")+COUNTIF('Detailed Attendance'!FK15:FK15, "A")+COUNTIF('Detailed Attendance'!FM15:FM15, "A")+COUNTIF('Detailed Attendance'!GA15:GA15, "A")</f>
        <v/>
      </c>
      <c r="F13" s="72">
        <f>IF((D13+E13)=0, "", D13/(D13+E13))</f>
        <v/>
      </c>
      <c r="G13" s="46">
        <f>COUNTIF('Detailed Attendance'!I15:I15, "P")+COUNTIF('Detailed Attendance'!Q15:Q15, "P")+COUNTIF('Detailed Attendance'!AC15:AC15, "P")+COUNTIF('Detailed Attendance'!AK15:AK15, "P")+COUNTIF('Detailed Attendance'!AW15:AW15, "P")+COUNTIF('Detailed Attendance'!BE15:BE15, "P")+COUNTIF('Detailed Attendance'!BQ15:BQ15, "P")+COUNTIF('Detailed Attendance'!BY15:BY15, "P")+COUNTIF('Detailed Attendance'!CN15:CN15, "P")+COUNTIF('Detailed Attendance'!CV15:CV15, "P")+COUNTIF('Detailed Attendance'!DK15:DK15, "P")+COUNTIF('Detailed Attendance'!DS15:DS15, "P")+COUNTIF('Detailed Attendance'!EH15:EH15, "P")+COUNTIF('Detailed Attendance'!EP15:EP15, "P")+COUNTIF('Detailed Attendance'!FB15:FB15, "P")+COUNTIF('Detailed Attendance'!FJ15:FJ15, "P")+COUNTIF('Detailed Attendance'!FR15:FR15, "P")+COUNTIF('Detailed Attendance'!FZ15:FZ15, "P")</f>
        <v/>
      </c>
      <c r="H13" s="46">
        <f>COUNTIF('Detailed Attendance'!I15:I15, "A")+COUNTIF('Detailed Attendance'!Q15:Q15, "A")+COUNTIF('Detailed Attendance'!AC15:AC15, "A")+COUNTIF('Detailed Attendance'!AK15:AK15, "A")+COUNTIF('Detailed Attendance'!AW15:AW15, "A")+COUNTIF('Detailed Attendance'!BE15:BE15, "A")+COUNTIF('Detailed Attendance'!BQ15:BQ15, "A")+COUNTIF('Detailed Attendance'!BY15:BY15, "A")+COUNTIF('Detailed Attendance'!CN15:CN15, "A")+COUNTIF('Detailed Attendance'!CV15:CV15, "A")+COUNTIF('Detailed Attendance'!DK15:DK15, "A")+COUNTIF('Detailed Attendance'!DS15:DS15, "A")+COUNTIF('Detailed Attendance'!EH15:EH15, "A")+COUNTIF('Detailed Attendance'!EP15:EP15, "A")+COUNTIF('Detailed Attendance'!FB15:FB15, "A")+COUNTIF('Detailed Attendance'!FJ15:FJ15, "A")+COUNTIF('Detailed Attendance'!FR15:FR15, "A")+COUNTIF('Detailed Attendance'!FZ15:FZ15, "A")</f>
        <v/>
      </c>
      <c r="I13" s="72">
        <f>IF((G13+H13)=0, "", G13/(G13+H13))</f>
        <v/>
      </c>
      <c r="J13" s="46">
        <f>COUNTIF('Detailed Attendance'!L15:L15, "P")+COUNTIF('Detailed Attendance'!P15:P15, "P")+COUNTIF('Detailed Attendance'!AF15:AF15, "P")+COUNTIF('Detailed Attendance'!AJ15:AJ15, "P")+COUNTIF('Detailed Attendance'!AZ15:AZ15, "P")+COUNTIF('Detailed Attendance'!BD15:BD15, "P")+COUNTIF('Detailed Attendance'!BT15:BT15, "P")+COUNTIF('Detailed Attendance'!BX15:BX15, "P")+COUNTIF('Detailed Attendance'!CQ15:CQ15, "P")+COUNTIF('Detailed Attendance'!CU15:CU15, "P")+COUNTIF('Detailed Attendance'!DN15:DN15, "P")+COUNTIF('Detailed Attendance'!DR15:DR15, "P")+COUNTIF('Detailed Attendance'!EK15:EK15, "P")+COUNTIF('Detailed Attendance'!EO15:EO15, "P")+COUNTIF('Detailed Attendance'!FE15:FE15, "P")+COUNTIF('Detailed Attendance'!FI15:FI15, "P")+COUNTIF('Detailed Attendance'!FU15:FU15, "P")+COUNTIF('Detailed Attendance'!FY15:FY15, "P")</f>
        <v/>
      </c>
      <c r="K13" s="46">
        <f>COUNTIF('Detailed Attendance'!L15:L15, "A")+COUNTIF('Detailed Attendance'!P15:P15, "A")+COUNTIF('Detailed Attendance'!AF15:AF15, "A")+COUNTIF('Detailed Attendance'!AJ15:AJ15, "A")+COUNTIF('Detailed Attendance'!AZ15:AZ15, "A")+COUNTIF('Detailed Attendance'!BD15:BD15, "A")+COUNTIF('Detailed Attendance'!BT15:BT15, "A")+COUNTIF('Detailed Attendance'!BX15:BX15, "A")+COUNTIF('Detailed Attendance'!CQ15:CQ15, "A")+COUNTIF('Detailed Attendance'!CU15:CU15, "A")+COUNTIF('Detailed Attendance'!DN15:DN15, "A")+COUNTIF('Detailed Attendance'!DR15:DR15, "A")+COUNTIF('Detailed Attendance'!EK15:EK15, "A")+COUNTIF('Detailed Attendance'!EO15:EO15, "A")+COUNTIF('Detailed Attendance'!FE15:FE15, "A")+COUNTIF('Detailed Attendance'!FI15:FI15, "A")+COUNTIF('Detailed Attendance'!FU15:FU15, "A")+COUNTIF('Detailed Attendance'!FY15:FY15, "A")</f>
        <v/>
      </c>
      <c r="L13" s="72">
        <f>IF((J13+K13)=0, "", J13/(J13+K13))</f>
        <v/>
      </c>
      <c r="M13" s="46">
        <f>COUNTIF('Detailed Attendance'!D15:D15, "P")+COUNTIF('Detailed Attendance'!T15:T15, "P")+COUNTIF('Detailed Attendance'!AN15:AN15, "P")+COUNTIF('Detailed Attendance'!AR15:AR15, "P")+COUNTIF('Detailed Attendance'!BH15:BH15, "P")+COUNTIF('Detailed Attendance'!CB15:CB15, "P")+COUNTIF('Detailed Attendance'!CF15:CF15, "P")+COUNTIF('Detailed Attendance'!CY15:CY15, "P")+COUNTIF('Detailed Attendance'!DC15:DC15, "P")+COUNTIF('Detailed Attendance'!DV15:DV15, "P")+COUNTIF('Detailed Attendance'!DZ15:DZ15, "P")+COUNTIF('Detailed Attendance'!ES15:ES15, "P")+COUNTIF('Detailed Attendance'!GC15:GC15, "P")+COUNTIF('Detailed Attendance'!GG15:GG15, "P")</f>
        <v/>
      </c>
      <c r="N13" s="46">
        <f>COUNTIF('Detailed Attendance'!D15:D15, "A")+COUNTIF('Detailed Attendance'!T15:T15, "A")+COUNTIF('Detailed Attendance'!AN15:AN15, "A")+COUNTIF('Detailed Attendance'!AR15:AR15, "A")+COUNTIF('Detailed Attendance'!BH15:BH15, "A")+COUNTIF('Detailed Attendance'!CB15:CB15, "A")+COUNTIF('Detailed Attendance'!CF15:CF15, "A")+COUNTIF('Detailed Attendance'!CY15:CY15, "A")+COUNTIF('Detailed Attendance'!DC15:DC15, "A")+COUNTIF('Detailed Attendance'!DV15:DV15, "A")+COUNTIF('Detailed Attendance'!DZ15:DZ15, "A")+COUNTIF('Detailed Attendance'!ES15:ES15, "A")+COUNTIF('Detailed Attendance'!GC15:GC15, "A")+COUNTIF('Detailed Attendance'!GG15:GG15, "A")</f>
        <v/>
      </c>
      <c r="O13" s="72">
        <f>IF((M13+N13)=0, "", M13/(M13+N13))</f>
        <v/>
      </c>
      <c r="P13" s="46">
        <f>COUNTIF('Detailed Attendance'!M15:M15, "P")+COUNTIF('Detailed Attendance'!U15:U15, "P")+COUNTIF('Detailed Attendance'!AG15:AG15, "P")+COUNTIF('Detailed Attendance'!AO15:AO15, "P")+COUNTIF('Detailed Attendance'!BA15:BA15, "P")+COUNTIF('Detailed Attendance'!BI15:BI15, "P")+COUNTIF('Detailed Attendance'!BU15:BU15, "P")+COUNTIF('Detailed Attendance'!CC15:CC15, "P")+COUNTIF('Detailed Attendance'!CR15:CR15, "P")+COUNTIF('Detailed Attendance'!CZ15:CZ15, "P")+COUNTIF('Detailed Attendance'!DO15:DO15, "P")+COUNTIF('Detailed Attendance'!DW15:DW15, "P")+COUNTIF('Detailed Attendance'!EL15:EL15, "P")+COUNTIF('Detailed Attendance'!ET15:ET15, "P")+COUNTIF('Detailed Attendance'!FF15:FF15, "P")+COUNTIF('Detailed Attendance'!FV15:FV15, "P")+COUNTIF('Detailed Attendance'!GD15:GD15, "P")</f>
        <v/>
      </c>
      <c r="Q13" s="46">
        <f>COUNTIF('Detailed Attendance'!M15:M15, "A")+COUNTIF('Detailed Attendance'!U15:U15, "A")+COUNTIF('Detailed Attendance'!AG15:AG15, "A")+COUNTIF('Detailed Attendance'!AO15:AO15, "A")+COUNTIF('Detailed Attendance'!BA15:BA15, "A")+COUNTIF('Detailed Attendance'!BI15:BI15, "A")+COUNTIF('Detailed Attendance'!BU15:BU15, "A")+COUNTIF('Detailed Attendance'!CC15:CC15, "A")+COUNTIF('Detailed Attendance'!CR15:CR15, "A")+COUNTIF('Detailed Attendance'!CZ15:CZ15, "A")+COUNTIF('Detailed Attendance'!DO15:DO15, "A")+COUNTIF('Detailed Attendance'!DW15:DW15, "A")+COUNTIF('Detailed Attendance'!EL15:EL15, "A")+COUNTIF('Detailed Attendance'!ET15:ET15, "A")+COUNTIF('Detailed Attendance'!FF15:FF15, "A")+COUNTIF('Detailed Attendance'!FV15:FV15, "A")+COUNTIF('Detailed Attendance'!GD15:GD15, "A")</f>
        <v/>
      </c>
      <c r="R13" s="72">
        <f>IF((P13+Q13)=0, "", P13/(P13+Q13))</f>
        <v/>
      </c>
      <c r="S13" s="46">
        <f>COUNTIF('Detailed Attendance'!CH15:CH15, "P")+COUNTIF('Detailed Attendance'!DE15:DE15, "P")+COUNTIF('Detailed Attendance'!EB15:EB15, "P")+COUNTIF('Detailed Attendance'!GI15:GI15, "P")</f>
        <v/>
      </c>
      <c r="T13" s="46">
        <f>COUNTIF('Detailed Attendance'!CH15:CH15, "A")+COUNTIF('Detailed Attendance'!DE15:DE15, "A")+COUNTIF('Detailed Attendance'!EB15:EB15, "A")+COUNTIF('Detailed Attendance'!GI15:GI15, "A")</f>
        <v/>
      </c>
      <c r="U13" s="73">
        <f>IF((S13+T13)=0, "", S13/(S13+T13))</f>
        <v/>
      </c>
      <c r="V13" s="46">
        <f>COUNTIF('Detailed Attendance'!V15:V15, "P")+COUNTIF('Detailed Attendance'!AP15:AP15, "P")+COUNTIF('Detailed Attendance'!BJ15:BJ15, "P")+COUNTIF('Detailed Attendance'!CD15:CD15, "P")+COUNTIF('Detailed Attendance'!DA15:DA15, "P")+COUNTIF('Detailed Attendance'!DX15:DX15, "P")+COUNTIF('Detailed Attendance'!EU15:EU15, "P")+COUNTIF('Detailed Attendance'!GE15:GE15, "P")</f>
        <v/>
      </c>
      <c r="W13" s="46">
        <f>COUNTIF('Detailed Attendance'!V15:V15, "A")+COUNTIF('Detailed Attendance'!AP15:AP15, "A")+COUNTIF('Detailed Attendance'!BJ15:BJ15, "A")+COUNTIF('Detailed Attendance'!CD15:CD15, "A")+COUNTIF('Detailed Attendance'!DA15:DA15, "A")+COUNTIF('Detailed Attendance'!DX15:DX15, "A")+COUNTIF('Detailed Attendance'!EU15:EU15, "A")+COUNTIF('Detailed Attendance'!GE15:GE15, "A")</f>
        <v/>
      </c>
      <c r="X13" s="73">
        <f>IF((V13+W13)=0, "", V13/(V13+W13))</f>
        <v/>
      </c>
      <c r="Y13" s="46">
        <f>COUNTIF('Detailed Attendance'!E15:E15, "P")+COUNTIF('Detailed Attendance'!Y15:Y15, "P")+COUNTIF('Detailed Attendance'!AS15:AS15, "P")+COUNTIF('Detailed Attendance'!BM15:BM15, "P")+COUNTIF('Detailed Attendance'!CJ15:CJ15, "P")+COUNTIF('Detailed Attendance'!DG15:DG15, "P")+COUNTIF('Detailed Attendance'!ED15:ED15, "P")+COUNTIF('Detailed Attendance'!EX15:EX15, "P")+COUNTIF('Detailed Attendance'!FN15:FN15, "P")</f>
        <v/>
      </c>
      <c r="Z13" s="46">
        <f>COUNTIF('Detailed Attendance'!E15:E15, "A")+COUNTIF('Detailed Attendance'!Y15:Y15, "A")+COUNTIF('Detailed Attendance'!AS15:AS15, "A")+COUNTIF('Detailed Attendance'!BM15:BM15, "A")+COUNTIF('Detailed Attendance'!CJ15:CJ15, "A")+COUNTIF('Detailed Attendance'!DG15:DG15, "A")+COUNTIF('Detailed Attendance'!ED15:ED15, "A")+COUNTIF('Detailed Attendance'!EX15:EX15, "A")+COUNTIF('Detailed Attendance'!FN15:FN15, "A")</f>
        <v/>
      </c>
      <c r="AA13" s="73">
        <f>IF((Y13+Z13)=0, "", Y13/(Y13+Z13))</f>
        <v/>
      </c>
      <c r="AB13" s="46">
        <f>S13+V13+Y13</f>
        <v/>
      </c>
      <c r="AC13" s="46">
        <f>T13+W13+Z13</f>
        <v/>
      </c>
      <c r="AD13" s="73">
        <f>IF((AB13+AC13)=0, "", AB13/(AB13+AC13))</f>
        <v/>
      </c>
      <c r="AE13" s="46" t="inlineStr">
        <is>
          <t>Batch 1</t>
        </is>
      </c>
    </row>
    <row r="14" ht="14.25" customHeight="1" s="34">
      <c r="A14" s="46" t="n">
        <v>13</v>
      </c>
      <c r="B14" s="46" t="inlineStr">
        <is>
          <t>325106410013</t>
        </is>
      </c>
      <c r="C14" s="46" t="inlineStr">
        <is>
          <t>HIMAVANTHKUMAR GUTTA</t>
        </is>
      </c>
      <c r="D14" s="46">
        <f>COUNTIF('Detailed Attendance'!R16:R16, "P")+COUNTIF('Detailed Attendance'!X16:X16, "P")+COUNTIF('Detailed Attendance'!AL16:AL16, "P")+COUNTIF('Detailed Attendance'!BF16:BF16, "P")+COUNTIF('Detailed Attendance'!BL16:BL16, "P")+COUNTIF('Detailed Attendance'!BZ16:BZ16, "P")+COUNTIF('Detailed Attendance'!CI16:CI16, "P")+COUNTIF('Detailed Attendance'!CW16:CW16, "P")+COUNTIF('Detailed Attendance'!DF16:DF16, "P")+COUNTIF('Detailed Attendance'!DT16:DT16, "P")+COUNTIF('Detailed Attendance'!EC16:EC16, "P")+COUNTIF('Detailed Attendance'!EQ16:EQ16, "P")+COUNTIF('Detailed Attendance'!EW16:EW16, "P")+COUNTIF('Detailed Attendance'!FK16:FK16, "P")+COUNTIF('Detailed Attendance'!FM16:FM16, "P")+COUNTIF('Detailed Attendance'!GA16:GA16, "P")</f>
        <v/>
      </c>
      <c r="E14" s="46">
        <f>COUNTIF('Detailed Attendance'!R16:R16, "A")+COUNTIF('Detailed Attendance'!X16:X16, "A")+COUNTIF('Detailed Attendance'!AL16:AL16, "A")+COUNTIF('Detailed Attendance'!BF16:BF16, "A")+COUNTIF('Detailed Attendance'!BL16:BL16, "A")+COUNTIF('Detailed Attendance'!BZ16:BZ16, "A")+COUNTIF('Detailed Attendance'!CI16:CI16, "A")+COUNTIF('Detailed Attendance'!CW16:CW16, "A")+COUNTIF('Detailed Attendance'!DF16:DF16, "A")+COUNTIF('Detailed Attendance'!DT16:DT16, "A")+COUNTIF('Detailed Attendance'!EC16:EC16, "A")+COUNTIF('Detailed Attendance'!EQ16:EQ16, "A")+COUNTIF('Detailed Attendance'!EW16:EW16, "A")+COUNTIF('Detailed Attendance'!FK16:FK16, "A")+COUNTIF('Detailed Attendance'!FM16:FM16, "A")+COUNTIF('Detailed Attendance'!GA16:GA16, "A")</f>
        <v/>
      </c>
      <c r="F14" s="72">
        <f>IF((D14+E14)=0, "", D14/(D14+E14))</f>
        <v/>
      </c>
      <c r="G14" s="46">
        <f>COUNTIF('Detailed Attendance'!I16:I16, "P")+COUNTIF('Detailed Attendance'!Q16:Q16, "P")+COUNTIF('Detailed Attendance'!AC16:AC16, "P")+COUNTIF('Detailed Attendance'!AK16:AK16, "P")+COUNTIF('Detailed Attendance'!AW16:AW16, "P")+COUNTIF('Detailed Attendance'!BE16:BE16, "P")+COUNTIF('Detailed Attendance'!BQ16:BQ16, "P")+COUNTIF('Detailed Attendance'!BY16:BY16, "P")+COUNTIF('Detailed Attendance'!CN16:CN16, "P")+COUNTIF('Detailed Attendance'!CV16:CV16, "P")+COUNTIF('Detailed Attendance'!DK16:DK16, "P")+COUNTIF('Detailed Attendance'!DS16:DS16, "P")+COUNTIF('Detailed Attendance'!EH16:EH16, "P")+COUNTIF('Detailed Attendance'!EP16:EP16, "P")+COUNTIF('Detailed Attendance'!FB16:FB16, "P")+COUNTIF('Detailed Attendance'!FJ16:FJ16, "P")+COUNTIF('Detailed Attendance'!FR16:FR16, "P")+COUNTIF('Detailed Attendance'!FZ16:FZ16, "P")</f>
        <v/>
      </c>
      <c r="H14" s="46">
        <f>COUNTIF('Detailed Attendance'!I16:I16, "A")+COUNTIF('Detailed Attendance'!Q16:Q16, "A")+COUNTIF('Detailed Attendance'!AC16:AC16, "A")+COUNTIF('Detailed Attendance'!AK16:AK16, "A")+COUNTIF('Detailed Attendance'!AW16:AW16, "A")+COUNTIF('Detailed Attendance'!BE16:BE16, "A")+COUNTIF('Detailed Attendance'!BQ16:BQ16, "A")+COUNTIF('Detailed Attendance'!BY16:BY16, "A")+COUNTIF('Detailed Attendance'!CN16:CN16, "A")+COUNTIF('Detailed Attendance'!CV16:CV16, "A")+COUNTIF('Detailed Attendance'!DK16:DK16, "A")+COUNTIF('Detailed Attendance'!DS16:DS16, "A")+COUNTIF('Detailed Attendance'!EH16:EH16, "A")+COUNTIF('Detailed Attendance'!EP16:EP16, "A")+COUNTIF('Detailed Attendance'!FB16:FB16, "A")+COUNTIF('Detailed Attendance'!FJ16:FJ16, "A")+COUNTIF('Detailed Attendance'!FR16:FR16, "A")+COUNTIF('Detailed Attendance'!FZ16:FZ16, "A")</f>
        <v/>
      </c>
      <c r="I14" s="72">
        <f>IF((G14+H14)=0, "", G14/(G14+H14))</f>
        <v/>
      </c>
      <c r="J14" s="46">
        <f>COUNTIF('Detailed Attendance'!L16:L16, "P")+COUNTIF('Detailed Attendance'!P16:P16, "P")+COUNTIF('Detailed Attendance'!AF16:AF16, "P")+COUNTIF('Detailed Attendance'!AJ16:AJ16, "P")+COUNTIF('Detailed Attendance'!AZ16:AZ16, "P")+COUNTIF('Detailed Attendance'!BD16:BD16, "P")+COUNTIF('Detailed Attendance'!BT16:BT16, "P")+COUNTIF('Detailed Attendance'!BX16:BX16, "P")+COUNTIF('Detailed Attendance'!CQ16:CQ16, "P")+COUNTIF('Detailed Attendance'!CU16:CU16, "P")+COUNTIF('Detailed Attendance'!DN16:DN16, "P")+COUNTIF('Detailed Attendance'!DR16:DR16, "P")+COUNTIF('Detailed Attendance'!EK16:EK16, "P")+COUNTIF('Detailed Attendance'!EO16:EO16, "P")+COUNTIF('Detailed Attendance'!FE16:FE16, "P")+COUNTIF('Detailed Attendance'!FI16:FI16, "P")+COUNTIF('Detailed Attendance'!FU16:FU16, "P")+COUNTIF('Detailed Attendance'!FY16:FY16, "P")</f>
        <v/>
      </c>
      <c r="K14" s="46">
        <f>COUNTIF('Detailed Attendance'!L16:L16, "A")+COUNTIF('Detailed Attendance'!P16:P16, "A")+COUNTIF('Detailed Attendance'!AF16:AF16, "A")+COUNTIF('Detailed Attendance'!AJ16:AJ16, "A")+COUNTIF('Detailed Attendance'!AZ16:AZ16, "A")+COUNTIF('Detailed Attendance'!BD16:BD16, "A")+COUNTIF('Detailed Attendance'!BT16:BT16, "A")+COUNTIF('Detailed Attendance'!BX16:BX16, "A")+COUNTIF('Detailed Attendance'!CQ16:CQ16, "A")+COUNTIF('Detailed Attendance'!CU16:CU16, "A")+COUNTIF('Detailed Attendance'!DN16:DN16, "A")+COUNTIF('Detailed Attendance'!DR16:DR16, "A")+COUNTIF('Detailed Attendance'!EK16:EK16, "A")+COUNTIF('Detailed Attendance'!EO16:EO16, "A")+COUNTIF('Detailed Attendance'!FE16:FE16, "A")+COUNTIF('Detailed Attendance'!FI16:FI16, "A")+COUNTIF('Detailed Attendance'!FU16:FU16, "A")+COUNTIF('Detailed Attendance'!FY16:FY16, "A")</f>
        <v/>
      </c>
      <c r="L14" s="72">
        <f>IF((J14+K14)=0, "", J14/(J14+K14))</f>
        <v/>
      </c>
      <c r="M14" s="46">
        <f>COUNTIF('Detailed Attendance'!D16:D16, "P")+COUNTIF('Detailed Attendance'!T16:T16, "P")+COUNTIF('Detailed Attendance'!AN16:AN16, "P")+COUNTIF('Detailed Attendance'!AR16:AR16, "P")+COUNTIF('Detailed Attendance'!BH16:BH16, "P")+COUNTIF('Detailed Attendance'!CB16:CB16, "P")+COUNTIF('Detailed Attendance'!CF16:CF16, "P")+COUNTIF('Detailed Attendance'!CY16:CY16, "P")+COUNTIF('Detailed Attendance'!DC16:DC16, "P")+COUNTIF('Detailed Attendance'!DV16:DV16, "P")+COUNTIF('Detailed Attendance'!DZ16:DZ16, "P")+COUNTIF('Detailed Attendance'!ES16:ES16, "P")+COUNTIF('Detailed Attendance'!GC16:GC16, "P")+COUNTIF('Detailed Attendance'!GG16:GG16, "P")</f>
        <v/>
      </c>
      <c r="N14" s="46">
        <f>COUNTIF('Detailed Attendance'!D16:D16, "A")+COUNTIF('Detailed Attendance'!T16:T16, "A")+COUNTIF('Detailed Attendance'!AN16:AN16, "A")+COUNTIF('Detailed Attendance'!AR16:AR16, "A")+COUNTIF('Detailed Attendance'!BH16:BH16, "A")+COUNTIF('Detailed Attendance'!CB16:CB16, "A")+COUNTIF('Detailed Attendance'!CF16:CF16, "A")+COUNTIF('Detailed Attendance'!CY16:CY16, "A")+COUNTIF('Detailed Attendance'!DC16:DC16, "A")+COUNTIF('Detailed Attendance'!DV16:DV16, "A")+COUNTIF('Detailed Attendance'!DZ16:DZ16, "A")+COUNTIF('Detailed Attendance'!ES16:ES16, "A")+COUNTIF('Detailed Attendance'!GC16:GC16, "A")+COUNTIF('Detailed Attendance'!GG16:GG16, "A")</f>
        <v/>
      </c>
      <c r="O14" s="72">
        <f>IF((M14+N14)=0, "", M14/(M14+N14))</f>
        <v/>
      </c>
      <c r="P14" s="46">
        <f>COUNTIF('Detailed Attendance'!M16:M16, "P")+COUNTIF('Detailed Attendance'!U16:U16, "P")+COUNTIF('Detailed Attendance'!AG16:AG16, "P")+COUNTIF('Detailed Attendance'!AO16:AO16, "P")+COUNTIF('Detailed Attendance'!BA16:BA16, "P")+COUNTIF('Detailed Attendance'!BI16:BI16, "P")+COUNTIF('Detailed Attendance'!BU16:BU16, "P")+COUNTIF('Detailed Attendance'!CC16:CC16, "P")+COUNTIF('Detailed Attendance'!CR16:CR16, "P")+COUNTIF('Detailed Attendance'!CZ16:CZ16, "P")+COUNTIF('Detailed Attendance'!DO16:DO16, "P")+COUNTIF('Detailed Attendance'!DW16:DW16, "P")+COUNTIF('Detailed Attendance'!EL16:EL16, "P")+COUNTIF('Detailed Attendance'!ET16:ET16, "P")+COUNTIF('Detailed Attendance'!FF16:FF16, "P")+COUNTIF('Detailed Attendance'!FV16:FV16, "P")+COUNTIF('Detailed Attendance'!GD16:GD16, "P")</f>
        <v/>
      </c>
      <c r="Q14" s="46">
        <f>COUNTIF('Detailed Attendance'!M16:M16, "A")+COUNTIF('Detailed Attendance'!U16:U16, "A")+COUNTIF('Detailed Attendance'!AG16:AG16, "A")+COUNTIF('Detailed Attendance'!AO16:AO16, "A")+COUNTIF('Detailed Attendance'!BA16:BA16, "A")+COUNTIF('Detailed Attendance'!BI16:BI16, "A")+COUNTIF('Detailed Attendance'!BU16:BU16, "A")+COUNTIF('Detailed Attendance'!CC16:CC16, "A")+COUNTIF('Detailed Attendance'!CR16:CR16, "A")+COUNTIF('Detailed Attendance'!CZ16:CZ16, "A")+COUNTIF('Detailed Attendance'!DO16:DO16, "A")+COUNTIF('Detailed Attendance'!DW16:DW16, "A")+COUNTIF('Detailed Attendance'!EL16:EL16, "A")+COUNTIF('Detailed Attendance'!ET16:ET16, "A")+COUNTIF('Detailed Attendance'!FF16:FF16, "A")+COUNTIF('Detailed Attendance'!FV16:FV16, "A")+COUNTIF('Detailed Attendance'!GD16:GD16, "A")</f>
        <v/>
      </c>
      <c r="R14" s="72">
        <f>IF((P14+Q14)=0, "", P14/(P14+Q14))</f>
        <v/>
      </c>
      <c r="S14" s="46">
        <f>COUNTIF('Detailed Attendance'!CH16:CH16, "P")+COUNTIF('Detailed Attendance'!DE16:DE16, "P")+COUNTIF('Detailed Attendance'!EB16:EB16, "P")+COUNTIF('Detailed Attendance'!GI16:GI16, "P")</f>
        <v/>
      </c>
      <c r="T14" s="46">
        <f>COUNTIF('Detailed Attendance'!CH16:CH16, "A")+COUNTIF('Detailed Attendance'!DE16:DE16, "A")+COUNTIF('Detailed Attendance'!EB16:EB16, "A")+COUNTIF('Detailed Attendance'!GI16:GI16, "A")</f>
        <v/>
      </c>
      <c r="U14" s="73">
        <f>IF((S14+T14)=0, "", S14/(S14+T14))</f>
        <v/>
      </c>
      <c r="V14" s="46">
        <f>COUNTIF('Detailed Attendance'!V16:V16, "P")+COUNTIF('Detailed Attendance'!AP16:AP16, "P")+COUNTIF('Detailed Attendance'!BJ16:BJ16, "P")+COUNTIF('Detailed Attendance'!CD16:CD16, "P")+COUNTIF('Detailed Attendance'!DA16:DA16, "P")+COUNTIF('Detailed Attendance'!DX16:DX16, "P")+COUNTIF('Detailed Attendance'!EU16:EU16, "P")+COUNTIF('Detailed Attendance'!GE16:GE16, "P")</f>
        <v/>
      </c>
      <c r="W14" s="46">
        <f>COUNTIF('Detailed Attendance'!V16:V16, "A")+COUNTIF('Detailed Attendance'!AP16:AP16, "A")+COUNTIF('Detailed Attendance'!BJ16:BJ16, "A")+COUNTIF('Detailed Attendance'!CD16:CD16, "A")+COUNTIF('Detailed Attendance'!DA16:DA16, "A")+COUNTIF('Detailed Attendance'!DX16:DX16, "A")+COUNTIF('Detailed Attendance'!EU16:EU16, "A")+COUNTIF('Detailed Attendance'!GE16:GE16, "A")</f>
        <v/>
      </c>
      <c r="X14" s="73">
        <f>IF((V14+W14)=0, "", V14/(V14+W14))</f>
        <v/>
      </c>
      <c r="Y14" s="46">
        <f>COUNTIF('Detailed Attendance'!E16:E16, "P")+COUNTIF('Detailed Attendance'!Y16:Y16, "P")+COUNTIF('Detailed Attendance'!AS16:AS16, "P")+COUNTIF('Detailed Attendance'!BM16:BM16, "P")+COUNTIF('Detailed Attendance'!CJ16:CJ16, "P")+COUNTIF('Detailed Attendance'!DG16:DG16, "P")+COUNTIF('Detailed Attendance'!ED16:ED16, "P")+COUNTIF('Detailed Attendance'!EX16:EX16, "P")+COUNTIF('Detailed Attendance'!FN16:FN16, "P")</f>
        <v/>
      </c>
      <c r="Z14" s="46">
        <f>COUNTIF('Detailed Attendance'!E16:E16, "A")+COUNTIF('Detailed Attendance'!Y16:Y16, "A")+COUNTIF('Detailed Attendance'!AS16:AS16, "A")+COUNTIF('Detailed Attendance'!BM16:BM16, "A")+COUNTIF('Detailed Attendance'!CJ16:CJ16, "A")+COUNTIF('Detailed Attendance'!DG16:DG16, "A")+COUNTIF('Detailed Attendance'!ED16:ED16, "A")+COUNTIF('Detailed Attendance'!EX16:EX16, "A")+COUNTIF('Detailed Attendance'!FN16:FN16, "A")</f>
        <v/>
      </c>
      <c r="AA14" s="73">
        <f>IF((Y14+Z14)=0, "", Y14/(Y14+Z14))</f>
        <v/>
      </c>
      <c r="AB14" s="46">
        <f>S14+V14+Y14</f>
        <v/>
      </c>
      <c r="AC14" s="46">
        <f>T14+W14+Z14</f>
        <v/>
      </c>
      <c r="AD14" s="73">
        <f>IF((AB14+AC14)=0, "", AB14/(AB14+AC14))</f>
        <v/>
      </c>
      <c r="AE14" s="46" t="inlineStr">
        <is>
          <t>Batch 1</t>
        </is>
      </c>
    </row>
    <row r="15" ht="14.25" customHeight="1" s="34">
      <c r="A15" s="46" t="n">
        <v>14</v>
      </c>
      <c r="B15" s="46" t="inlineStr">
        <is>
          <t>325106410014</t>
        </is>
      </c>
      <c r="C15" s="46" t="inlineStr">
        <is>
          <t>SNEHITHA REDDY JEERU</t>
        </is>
      </c>
      <c r="D15" s="46">
        <f>COUNTIF('Detailed Attendance'!R17:R17, "P")+COUNTIF('Detailed Attendance'!X17:X17, "P")+COUNTIF('Detailed Attendance'!AL17:AL17, "P")+COUNTIF('Detailed Attendance'!BF17:BF17, "P")+COUNTIF('Detailed Attendance'!BL17:BL17, "P")+COUNTIF('Detailed Attendance'!BZ17:BZ17, "P")+COUNTIF('Detailed Attendance'!CI17:CI17, "P")+COUNTIF('Detailed Attendance'!CW17:CW17, "P")+COUNTIF('Detailed Attendance'!DF17:DF17, "P")+COUNTIF('Detailed Attendance'!DT17:DT17, "P")+COUNTIF('Detailed Attendance'!EC17:EC17, "P")+COUNTIF('Detailed Attendance'!EQ17:EQ17, "P")+COUNTIF('Detailed Attendance'!EW17:EW17, "P")+COUNTIF('Detailed Attendance'!FK17:FK17, "P")+COUNTIF('Detailed Attendance'!FM17:FM17, "P")+COUNTIF('Detailed Attendance'!GA17:GA17, "P")</f>
        <v/>
      </c>
      <c r="E15" s="46">
        <f>COUNTIF('Detailed Attendance'!R17:R17, "A")+COUNTIF('Detailed Attendance'!X17:X17, "A")+COUNTIF('Detailed Attendance'!AL17:AL17, "A")+COUNTIF('Detailed Attendance'!BF17:BF17, "A")+COUNTIF('Detailed Attendance'!BL17:BL17, "A")+COUNTIF('Detailed Attendance'!BZ17:BZ17, "A")+COUNTIF('Detailed Attendance'!CI17:CI17, "A")+COUNTIF('Detailed Attendance'!CW17:CW17, "A")+COUNTIF('Detailed Attendance'!DF17:DF17, "A")+COUNTIF('Detailed Attendance'!DT17:DT17, "A")+COUNTIF('Detailed Attendance'!EC17:EC17, "A")+COUNTIF('Detailed Attendance'!EQ17:EQ17, "A")+COUNTIF('Detailed Attendance'!EW17:EW17, "A")+COUNTIF('Detailed Attendance'!FK17:FK17, "A")+COUNTIF('Detailed Attendance'!FM17:FM17, "A")+COUNTIF('Detailed Attendance'!GA17:GA17, "A")</f>
        <v/>
      </c>
      <c r="F15" s="72">
        <f>IF((D15+E15)=0, "", D15/(D15+E15))</f>
        <v/>
      </c>
      <c r="G15" s="46">
        <f>COUNTIF('Detailed Attendance'!I17:I17, "P")+COUNTIF('Detailed Attendance'!Q17:Q17, "P")+COUNTIF('Detailed Attendance'!AC17:AC17, "P")+COUNTIF('Detailed Attendance'!AK17:AK17, "P")+COUNTIF('Detailed Attendance'!AW17:AW17, "P")+COUNTIF('Detailed Attendance'!BE17:BE17, "P")+COUNTIF('Detailed Attendance'!BQ17:BQ17, "P")+COUNTIF('Detailed Attendance'!BY17:BY17, "P")+COUNTIF('Detailed Attendance'!CN17:CN17, "P")+COUNTIF('Detailed Attendance'!CV17:CV17, "P")+COUNTIF('Detailed Attendance'!DK17:DK17, "P")+COUNTIF('Detailed Attendance'!DS17:DS17, "P")+COUNTIF('Detailed Attendance'!EH17:EH17, "P")+COUNTIF('Detailed Attendance'!EP17:EP17, "P")+COUNTIF('Detailed Attendance'!FB17:FB17, "P")+COUNTIF('Detailed Attendance'!FJ17:FJ17, "P")+COUNTIF('Detailed Attendance'!FR17:FR17, "P")+COUNTIF('Detailed Attendance'!FZ17:FZ17, "P")</f>
        <v/>
      </c>
      <c r="H15" s="46">
        <f>COUNTIF('Detailed Attendance'!I17:I17, "A")+COUNTIF('Detailed Attendance'!Q17:Q17, "A")+COUNTIF('Detailed Attendance'!AC17:AC17, "A")+COUNTIF('Detailed Attendance'!AK17:AK17, "A")+COUNTIF('Detailed Attendance'!AW17:AW17, "A")+COUNTIF('Detailed Attendance'!BE17:BE17, "A")+COUNTIF('Detailed Attendance'!BQ17:BQ17, "A")+COUNTIF('Detailed Attendance'!BY17:BY17, "A")+COUNTIF('Detailed Attendance'!CN17:CN17, "A")+COUNTIF('Detailed Attendance'!CV17:CV17, "A")+COUNTIF('Detailed Attendance'!DK17:DK17, "A")+COUNTIF('Detailed Attendance'!DS17:DS17, "A")+COUNTIF('Detailed Attendance'!EH17:EH17, "A")+COUNTIF('Detailed Attendance'!EP17:EP17, "A")+COUNTIF('Detailed Attendance'!FB17:FB17, "A")+COUNTIF('Detailed Attendance'!FJ17:FJ17, "A")+COUNTIF('Detailed Attendance'!FR17:FR17, "A")+COUNTIF('Detailed Attendance'!FZ17:FZ17, "A")</f>
        <v/>
      </c>
      <c r="I15" s="72">
        <f>IF((G15+H15)=0, "", G15/(G15+H15))</f>
        <v/>
      </c>
      <c r="J15" s="46">
        <f>COUNTIF('Detailed Attendance'!L17:L17, "P")+COUNTIF('Detailed Attendance'!P17:P17, "P")+COUNTIF('Detailed Attendance'!AF17:AF17, "P")+COUNTIF('Detailed Attendance'!AJ17:AJ17, "P")+COUNTIF('Detailed Attendance'!AZ17:AZ17, "P")+COUNTIF('Detailed Attendance'!BD17:BD17, "P")+COUNTIF('Detailed Attendance'!BT17:BT17, "P")+COUNTIF('Detailed Attendance'!BX17:BX17, "P")+COUNTIF('Detailed Attendance'!CQ17:CQ17, "P")+COUNTIF('Detailed Attendance'!CU17:CU17, "P")+COUNTIF('Detailed Attendance'!DN17:DN17, "P")+COUNTIF('Detailed Attendance'!DR17:DR17, "P")+COUNTIF('Detailed Attendance'!EK17:EK17, "P")+COUNTIF('Detailed Attendance'!EO17:EO17, "P")+COUNTIF('Detailed Attendance'!FE17:FE17, "P")+COUNTIF('Detailed Attendance'!FI17:FI17, "P")+COUNTIF('Detailed Attendance'!FU17:FU17, "P")+COUNTIF('Detailed Attendance'!FY17:FY17, "P")</f>
        <v/>
      </c>
      <c r="K15" s="46">
        <f>COUNTIF('Detailed Attendance'!L17:L17, "A")+COUNTIF('Detailed Attendance'!P17:P17, "A")+COUNTIF('Detailed Attendance'!AF17:AF17, "A")+COUNTIF('Detailed Attendance'!AJ17:AJ17, "A")+COUNTIF('Detailed Attendance'!AZ17:AZ17, "A")+COUNTIF('Detailed Attendance'!BD17:BD17, "A")+COUNTIF('Detailed Attendance'!BT17:BT17, "A")+COUNTIF('Detailed Attendance'!BX17:BX17, "A")+COUNTIF('Detailed Attendance'!CQ17:CQ17, "A")+COUNTIF('Detailed Attendance'!CU17:CU17, "A")+COUNTIF('Detailed Attendance'!DN17:DN17, "A")+COUNTIF('Detailed Attendance'!DR17:DR17, "A")+COUNTIF('Detailed Attendance'!EK17:EK17, "A")+COUNTIF('Detailed Attendance'!EO17:EO17, "A")+COUNTIF('Detailed Attendance'!FE17:FE17, "A")+COUNTIF('Detailed Attendance'!FI17:FI17, "A")+COUNTIF('Detailed Attendance'!FU17:FU17, "A")+COUNTIF('Detailed Attendance'!FY17:FY17, "A")</f>
        <v/>
      </c>
      <c r="L15" s="72">
        <f>IF((J15+K15)=0, "", J15/(J15+K15))</f>
        <v/>
      </c>
      <c r="M15" s="46">
        <f>COUNTIF('Detailed Attendance'!D17:D17, "P")+COUNTIF('Detailed Attendance'!T17:T17, "P")+COUNTIF('Detailed Attendance'!AN17:AN17, "P")+COUNTIF('Detailed Attendance'!AR17:AR17, "P")+COUNTIF('Detailed Attendance'!BH17:BH17, "P")+COUNTIF('Detailed Attendance'!CB17:CB17, "P")+COUNTIF('Detailed Attendance'!CF17:CF17, "P")+COUNTIF('Detailed Attendance'!CY17:CY17, "P")+COUNTIF('Detailed Attendance'!DC17:DC17, "P")+COUNTIF('Detailed Attendance'!DV17:DV17, "P")+COUNTIF('Detailed Attendance'!DZ17:DZ17, "P")+COUNTIF('Detailed Attendance'!ES17:ES17, "P")+COUNTIF('Detailed Attendance'!GC17:GC17, "P")+COUNTIF('Detailed Attendance'!GG17:GG17, "P")</f>
        <v/>
      </c>
      <c r="N15" s="46">
        <f>COUNTIF('Detailed Attendance'!D17:D17, "A")+COUNTIF('Detailed Attendance'!T17:T17, "A")+COUNTIF('Detailed Attendance'!AN17:AN17, "A")+COUNTIF('Detailed Attendance'!AR17:AR17, "A")+COUNTIF('Detailed Attendance'!BH17:BH17, "A")+COUNTIF('Detailed Attendance'!CB17:CB17, "A")+COUNTIF('Detailed Attendance'!CF17:CF17, "A")+COUNTIF('Detailed Attendance'!CY17:CY17, "A")+COUNTIF('Detailed Attendance'!DC17:DC17, "A")+COUNTIF('Detailed Attendance'!DV17:DV17, "A")+COUNTIF('Detailed Attendance'!DZ17:DZ17, "A")+COUNTIF('Detailed Attendance'!ES17:ES17, "A")+COUNTIF('Detailed Attendance'!GC17:GC17, "A")+COUNTIF('Detailed Attendance'!GG17:GG17, "A")</f>
        <v/>
      </c>
      <c r="O15" s="72">
        <f>IF((M15+N15)=0, "", M15/(M15+N15))</f>
        <v/>
      </c>
      <c r="P15" s="46">
        <f>COUNTIF('Detailed Attendance'!M17:M17, "P")+COUNTIF('Detailed Attendance'!U17:U17, "P")+COUNTIF('Detailed Attendance'!AG17:AG17, "P")+COUNTIF('Detailed Attendance'!AO17:AO17, "P")+COUNTIF('Detailed Attendance'!BA17:BA17, "P")+COUNTIF('Detailed Attendance'!BI17:BI17, "P")+COUNTIF('Detailed Attendance'!BU17:BU17, "P")+COUNTIF('Detailed Attendance'!CC17:CC17, "P")+COUNTIF('Detailed Attendance'!CR17:CR17, "P")+COUNTIF('Detailed Attendance'!CZ17:CZ17, "P")+COUNTIF('Detailed Attendance'!DO17:DO17, "P")+COUNTIF('Detailed Attendance'!DW17:DW17, "P")+COUNTIF('Detailed Attendance'!EL17:EL17, "P")+COUNTIF('Detailed Attendance'!ET17:ET17, "P")+COUNTIF('Detailed Attendance'!FF17:FF17, "P")+COUNTIF('Detailed Attendance'!FV17:FV17, "P")+COUNTIF('Detailed Attendance'!GD17:GD17, "P")</f>
        <v/>
      </c>
      <c r="Q15" s="46">
        <f>COUNTIF('Detailed Attendance'!M17:M17, "A")+COUNTIF('Detailed Attendance'!U17:U17, "A")+COUNTIF('Detailed Attendance'!AG17:AG17, "A")+COUNTIF('Detailed Attendance'!AO17:AO17, "A")+COUNTIF('Detailed Attendance'!BA17:BA17, "A")+COUNTIF('Detailed Attendance'!BI17:BI17, "A")+COUNTIF('Detailed Attendance'!BU17:BU17, "A")+COUNTIF('Detailed Attendance'!CC17:CC17, "A")+COUNTIF('Detailed Attendance'!CR17:CR17, "A")+COUNTIF('Detailed Attendance'!CZ17:CZ17, "A")+COUNTIF('Detailed Attendance'!DO17:DO17, "A")+COUNTIF('Detailed Attendance'!DW17:DW17, "A")+COUNTIF('Detailed Attendance'!EL17:EL17, "A")+COUNTIF('Detailed Attendance'!ET17:ET17, "A")+COUNTIF('Detailed Attendance'!FF17:FF17, "A")+COUNTIF('Detailed Attendance'!FV17:FV17, "A")+COUNTIF('Detailed Attendance'!GD17:GD17, "A")</f>
        <v/>
      </c>
      <c r="R15" s="72">
        <f>IF((P15+Q15)=0, "", P15/(P15+Q15))</f>
        <v/>
      </c>
      <c r="S15" s="46">
        <f>COUNTIF('Detailed Attendance'!CH17:CH17, "P")+COUNTIF('Detailed Attendance'!DE17:DE17, "P")+COUNTIF('Detailed Attendance'!EB17:EB17, "P")+COUNTIF('Detailed Attendance'!GI17:GI17, "P")</f>
        <v/>
      </c>
      <c r="T15" s="46">
        <f>COUNTIF('Detailed Attendance'!CH17:CH17, "A")+COUNTIF('Detailed Attendance'!DE17:DE17, "A")+COUNTIF('Detailed Attendance'!EB17:EB17, "A")+COUNTIF('Detailed Attendance'!GI17:GI17, "A")</f>
        <v/>
      </c>
      <c r="U15" s="73">
        <f>IF((S15+T15)=0, "", S15/(S15+T15))</f>
        <v/>
      </c>
      <c r="V15" s="46">
        <f>COUNTIF('Detailed Attendance'!V17:V17, "P")+COUNTIF('Detailed Attendance'!AP17:AP17, "P")+COUNTIF('Detailed Attendance'!BJ17:BJ17, "P")+COUNTIF('Detailed Attendance'!CD17:CD17, "P")+COUNTIF('Detailed Attendance'!DA17:DA17, "P")+COUNTIF('Detailed Attendance'!DX17:DX17, "P")+COUNTIF('Detailed Attendance'!EU17:EU17, "P")+COUNTIF('Detailed Attendance'!GE17:GE17, "P")</f>
        <v/>
      </c>
      <c r="W15" s="46">
        <f>COUNTIF('Detailed Attendance'!V17:V17, "A")+COUNTIF('Detailed Attendance'!AP17:AP17, "A")+COUNTIF('Detailed Attendance'!BJ17:BJ17, "A")+COUNTIF('Detailed Attendance'!CD17:CD17, "A")+COUNTIF('Detailed Attendance'!DA17:DA17, "A")+COUNTIF('Detailed Attendance'!DX17:DX17, "A")+COUNTIF('Detailed Attendance'!EU17:EU17, "A")+COUNTIF('Detailed Attendance'!GE17:GE17, "A")</f>
        <v/>
      </c>
      <c r="X15" s="73">
        <f>IF((V15+W15)=0, "", V15/(V15+W15))</f>
        <v/>
      </c>
      <c r="Y15" s="46">
        <f>COUNTIF('Detailed Attendance'!E17:E17, "P")+COUNTIF('Detailed Attendance'!Y17:Y17, "P")+COUNTIF('Detailed Attendance'!AS17:AS17, "P")+COUNTIF('Detailed Attendance'!BM17:BM17, "P")+COUNTIF('Detailed Attendance'!CJ17:CJ17, "P")+COUNTIF('Detailed Attendance'!DG17:DG17, "P")+COUNTIF('Detailed Attendance'!ED17:ED17, "P")+COUNTIF('Detailed Attendance'!EX17:EX17, "P")+COUNTIF('Detailed Attendance'!FN17:FN17, "P")</f>
        <v/>
      </c>
      <c r="Z15" s="46">
        <f>COUNTIF('Detailed Attendance'!E17:E17, "A")+COUNTIF('Detailed Attendance'!Y17:Y17, "A")+COUNTIF('Detailed Attendance'!AS17:AS17, "A")+COUNTIF('Detailed Attendance'!BM17:BM17, "A")+COUNTIF('Detailed Attendance'!CJ17:CJ17, "A")+COUNTIF('Detailed Attendance'!DG17:DG17, "A")+COUNTIF('Detailed Attendance'!ED17:ED17, "A")+COUNTIF('Detailed Attendance'!EX17:EX17, "A")+COUNTIF('Detailed Attendance'!FN17:FN17, "A")</f>
        <v/>
      </c>
      <c r="AA15" s="73">
        <f>IF((Y15+Z15)=0, "", Y15/(Y15+Z15))</f>
        <v/>
      </c>
      <c r="AB15" s="46">
        <f>S15+V15+Y15</f>
        <v/>
      </c>
      <c r="AC15" s="46">
        <f>T15+W15+Z15</f>
        <v/>
      </c>
      <c r="AD15" s="73">
        <f>IF((AB15+AC15)=0, "", AB15/(AB15+AC15))</f>
        <v/>
      </c>
      <c r="AE15" s="46" t="inlineStr">
        <is>
          <t>Batch 1</t>
        </is>
      </c>
    </row>
    <row r="16" ht="14.25" customHeight="1" s="34">
      <c r="A16" s="46" t="n">
        <v>15</v>
      </c>
      <c r="B16" s="46" t="inlineStr">
        <is>
          <t>325106410015</t>
        </is>
      </c>
      <c r="C16" s="46" t="inlineStr">
        <is>
          <t>NEERAJ KUMAR JUTTADA</t>
        </is>
      </c>
      <c r="D16" s="46">
        <f>COUNTIF('Detailed Attendance'!R18:R18, "P")+COUNTIF('Detailed Attendance'!X18:X18, "P")+COUNTIF('Detailed Attendance'!AL18:AL18, "P")+COUNTIF('Detailed Attendance'!BF18:BF18, "P")+COUNTIF('Detailed Attendance'!BL18:BL18, "P")+COUNTIF('Detailed Attendance'!BZ18:BZ18, "P")+COUNTIF('Detailed Attendance'!CI18:CI18, "P")+COUNTIF('Detailed Attendance'!CW18:CW18, "P")+COUNTIF('Detailed Attendance'!DF18:DF18, "P")+COUNTIF('Detailed Attendance'!DT18:DT18, "P")+COUNTIF('Detailed Attendance'!EC18:EC18, "P")+COUNTIF('Detailed Attendance'!EQ18:EQ18, "P")+COUNTIF('Detailed Attendance'!EW18:EW18, "P")+COUNTIF('Detailed Attendance'!FK18:FK18, "P")+COUNTIF('Detailed Attendance'!FM18:FM18, "P")+COUNTIF('Detailed Attendance'!GA18:GA18, "P")</f>
        <v/>
      </c>
      <c r="E16" s="46">
        <f>COUNTIF('Detailed Attendance'!R18:R18, "A")+COUNTIF('Detailed Attendance'!X18:X18, "A")+COUNTIF('Detailed Attendance'!AL18:AL18, "A")+COUNTIF('Detailed Attendance'!BF18:BF18, "A")+COUNTIF('Detailed Attendance'!BL18:BL18, "A")+COUNTIF('Detailed Attendance'!BZ18:BZ18, "A")+COUNTIF('Detailed Attendance'!CI18:CI18, "A")+COUNTIF('Detailed Attendance'!CW18:CW18, "A")+COUNTIF('Detailed Attendance'!DF18:DF18, "A")+COUNTIF('Detailed Attendance'!DT18:DT18, "A")+COUNTIF('Detailed Attendance'!EC18:EC18, "A")+COUNTIF('Detailed Attendance'!EQ18:EQ18, "A")+COUNTIF('Detailed Attendance'!EW18:EW18, "A")+COUNTIF('Detailed Attendance'!FK18:FK18, "A")+COUNTIF('Detailed Attendance'!FM18:FM18, "A")+COUNTIF('Detailed Attendance'!GA18:GA18, "A")</f>
        <v/>
      </c>
      <c r="F16" s="72">
        <f>IF((D16+E16)=0, "", D16/(D16+E16))</f>
        <v/>
      </c>
      <c r="G16" s="46">
        <f>COUNTIF('Detailed Attendance'!I18:I18, "P")+COUNTIF('Detailed Attendance'!Q18:Q18, "P")+COUNTIF('Detailed Attendance'!AC18:AC18, "P")+COUNTIF('Detailed Attendance'!AK18:AK18, "P")+COUNTIF('Detailed Attendance'!AW18:AW18, "P")+COUNTIF('Detailed Attendance'!BE18:BE18, "P")+COUNTIF('Detailed Attendance'!BQ18:BQ18, "P")+COUNTIF('Detailed Attendance'!BY18:BY18, "P")+COUNTIF('Detailed Attendance'!CN18:CN18, "P")+COUNTIF('Detailed Attendance'!CV18:CV18, "P")+COUNTIF('Detailed Attendance'!DK18:DK18, "P")+COUNTIF('Detailed Attendance'!DS18:DS18, "P")+COUNTIF('Detailed Attendance'!EH18:EH18, "P")+COUNTIF('Detailed Attendance'!EP18:EP18, "P")+COUNTIF('Detailed Attendance'!FB18:FB18, "P")+COUNTIF('Detailed Attendance'!FJ18:FJ18, "P")+COUNTIF('Detailed Attendance'!FR18:FR18, "P")+COUNTIF('Detailed Attendance'!FZ18:FZ18, "P")</f>
        <v/>
      </c>
      <c r="H16" s="46">
        <f>COUNTIF('Detailed Attendance'!I18:I18, "A")+COUNTIF('Detailed Attendance'!Q18:Q18, "A")+COUNTIF('Detailed Attendance'!AC18:AC18, "A")+COUNTIF('Detailed Attendance'!AK18:AK18, "A")+COUNTIF('Detailed Attendance'!AW18:AW18, "A")+COUNTIF('Detailed Attendance'!BE18:BE18, "A")+COUNTIF('Detailed Attendance'!BQ18:BQ18, "A")+COUNTIF('Detailed Attendance'!BY18:BY18, "A")+COUNTIF('Detailed Attendance'!CN18:CN18, "A")+COUNTIF('Detailed Attendance'!CV18:CV18, "A")+COUNTIF('Detailed Attendance'!DK18:DK18, "A")+COUNTIF('Detailed Attendance'!DS18:DS18, "A")+COUNTIF('Detailed Attendance'!EH18:EH18, "A")+COUNTIF('Detailed Attendance'!EP18:EP18, "A")+COUNTIF('Detailed Attendance'!FB18:FB18, "A")+COUNTIF('Detailed Attendance'!FJ18:FJ18, "A")+COUNTIF('Detailed Attendance'!FR18:FR18, "A")+COUNTIF('Detailed Attendance'!FZ18:FZ18, "A")</f>
        <v/>
      </c>
      <c r="I16" s="72">
        <f>IF((G16+H16)=0, "", G16/(G16+H16))</f>
        <v/>
      </c>
      <c r="J16" s="46">
        <f>COUNTIF('Detailed Attendance'!L18:L18, "P")+COUNTIF('Detailed Attendance'!P18:P18, "P")+COUNTIF('Detailed Attendance'!AF18:AF18, "P")+COUNTIF('Detailed Attendance'!AJ18:AJ18, "P")+COUNTIF('Detailed Attendance'!AZ18:AZ18, "P")+COUNTIF('Detailed Attendance'!BD18:BD18, "P")+COUNTIF('Detailed Attendance'!BT18:BT18, "P")+COUNTIF('Detailed Attendance'!BX18:BX18, "P")+COUNTIF('Detailed Attendance'!CQ18:CQ18, "P")+COUNTIF('Detailed Attendance'!CU18:CU18, "P")+COUNTIF('Detailed Attendance'!DN18:DN18, "P")+COUNTIF('Detailed Attendance'!DR18:DR18, "P")+COUNTIF('Detailed Attendance'!EK18:EK18, "P")+COUNTIF('Detailed Attendance'!EO18:EO18, "P")+COUNTIF('Detailed Attendance'!FE18:FE18, "P")+COUNTIF('Detailed Attendance'!FI18:FI18, "P")+COUNTIF('Detailed Attendance'!FU18:FU18, "P")+COUNTIF('Detailed Attendance'!FY18:FY18, "P")</f>
        <v/>
      </c>
      <c r="K16" s="46">
        <f>COUNTIF('Detailed Attendance'!L18:L18, "A")+COUNTIF('Detailed Attendance'!P18:P18, "A")+COUNTIF('Detailed Attendance'!AF18:AF18, "A")+COUNTIF('Detailed Attendance'!AJ18:AJ18, "A")+COUNTIF('Detailed Attendance'!AZ18:AZ18, "A")+COUNTIF('Detailed Attendance'!BD18:BD18, "A")+COUNTIF('Detailed Attendance'!BT18:BT18, "A")+COUNTIF('Detailed Attendance'!BX18:BX18, "A")+COUNTIF('Detailed Attendance'!CQ18:CQ18, "A")+COUNTIF('Detailed Attendance'!CU18:CU18, "A")+COUNTIF('Detailed Attendance'!DN18:DN18, "A")+COUNTIF('Detailed Attendance'!DR18:DR18, "A")+COUNTIF('Detailed Attendance'!EK18:EK18, "A")+COUNTIF('Detailed Attendance'!EO18:EO18, "A")+COUNTIF('Detailed Attendance'!FE18:FE18, "A")+COUNTIF('Detailed Attendance'!FI18:FI18, "A")+COUNTIF('Detailed Attendance'!FU18:FU18, "A")+COUNTIF('Detailed Attendance'!FY18:FY18, "A")</f>
        <v/>
      </c>
      <c r="L16" s="72">
        <f>IF((J16+K16)=0, "", J16/(J16+K16))</f>
        <v/>
      </c>
      <c r="M16" s="46">
        <f>COUNTIF('Detailed Attendance'!D18:D18, "P")+COUNTIF('Detailed Attendance'!T18:T18, "P")+COUNTIF('Detailed Attendance'!AN18:AN18, "P")+COUNTIF('Detailed Attendance'!AR18:AR18, "P")+COUNTIF('Detailed Attendance'!BH18:BH18, "P")+COUNTIF('Detailed Attendance'!CB18:CB18, "P")+COUNTIF('Detailed Attendance'!CF18:CF18, "P")+COUNTIF('Detailed Attendance'!CY18:CY18, "P")+COUNTIF('Detailed Attendance'!DC18:DC18, "P")+COUNTIF('Detailed Attendance'!DV18:DV18, "P")+COUNTIF('Detailed Attendance'!DZ18:DZ18, "P")+COUNTIF('Detailed Attendance'!ES18:ES18, "P")+COUNTIF('Detailed Attendance'!GC18:GC18, "P")+COUNTIF('Detailed Attendance'!GG18:GG18, "P")</f>
        <v/>
      </c>
      <c r="N16" s="46">
        <f>COUNTIF('Detailed Attendance'!D18:D18, "A")+COUNTIF('Detailed Attendance'!T18:T18, "A")+COUNTIF('Detailed Attendance'!AN18:AN18, "A")+COUNTIF('Detailed Attendance'!AR18:AR18, "A")+COUNTIF('Detailed Attendance'!BH18:BH18, "A")+COUNTIF('Detailed Attendance'!CB18:CB18, "A")+COUNTIF('Detailed Attendance'!CF18:CF18, "A")+COUNTIF('Detailed Attendance'!CY18:CY18, "A")+COUNTIF('Detailed Attendance'!DC18:DC18, "A")+COUNTIF('Detailed Attendance'!DV18:DV18, "A")+COUNTIF('Detailed Attendance'!DZ18:DZ18, "A")+COUNTIF('Detailed Attendance'!ES18:ES18, "A")+COUNTIF('Detailed Attendance'!GC18:GC18, "A")+COUNTIF('Detailed Attendance'!GG18:GG18, "A")</f>
        <v/>
      </c>
      <c r="O16" s="72">
        <f>IF((M16+N16)=0, "", M16/(M16+N16))</f>
        <v/>
      </c>
      <c r="P16" s="46">
        <f>COUNTIF('Detailed Attendance'!M18:M18, "P")+COUNTIF('Detailed Attendance'!U18:U18, "P")+COUNTIF('Detailed Attendance'!AG18:AG18, "P")+COUNTIF('Detailed Attendance'!AO18:AO18, "P")+COUNTIF('Detailed Attendance'!BA18:BA18, "P")+COUNTIF('Detailed Attendance'!BI18:BI18, "P")+COUNTIF('Detailed Attendance'!BU18:BU18, "P")+COUNTIF('Detailed Attendance'!CC18:CC18, "P")+COUNTIF('Detailed Attendance'!CR18:CR18, "P")+COUNTIF('Detailed Attendance'!CZ18:CZ18, "P")+COUNTIF('Detailed Attendance'!DO18:DO18, "P")+COUNTIF('Detailed Attendance'!DW18:DW18, "P")+COUNTIF('Detailed Attendance'!EL18:EL18, "P")+COUNTIF('Detailed Attendance'!ET18:ET18, "P")+COUNTIF('Detailed Attendance'!FF18:FF18, "P")+COUNTIF('Detailed Attendance'!FV18:FV18, "P")+COUNTIF('Detailed Attendance'!GD18:GD18, "P")</f>
        <v/>
      </c>
      <c r="Q16" s="46">
        <f>COUNTIF('Detailed Attendance'!M18:M18, "A")+COUNTIF('Detailed Attendance'!U18:U18, "A")+COUNTIF('Detailed Attendance'!AG18:AG18, "A")+COUNTIF('Detailed Attendance'!AO18:AO18, "A")+COUNTIF('Detailed Attendance'!BA18:BA18, "A")+COUNTIF('Detailed Attendance'!BI18:BI18, "A")+COUNTIF('Detailed Attendance'!BU18:BU18, "A")+COUNTIF('Detailed Attendance'!CC18:CC18, "A")+COUNTIF('Detailed Attendance'!CR18:CR18, "A")+COUNTIF('Detailed Attendance'!CZ18:CZ18, "A")+COUNTIF('Detailed Attendance'!DO18:DO18, "A")+COUNTIF('Detailed Attendance'!DW18:DW18, "A")+COUNTIF('Detailed Attendance'!EL18:EL18, "A")+COUNTIF('Detailed Attendance'!ET18:ET18, "A")+COUNTIF('Detailed Attendance'!FF18:FF18, "A")+COUNTIF('Detailed Attendance'!FV18:FV18, "A")+COUNTIF('Detailed Attendance'!GD18:GD18, "A")</f>
        <v/>
      </c>
      <c r="R16" s="72">
        <f>IF((P16+Q16)=0, "", P16/(P16+Q16))</f>
        <v/>
      </c>
      <c r="S16" s="46">
        <f>COUNTIF('Detailed Attendance'!CH18:CH18, "P")+COUNTIF('Detailed Attendance'!DE18:DE18, "P")+COUNTIF('Detailed Attendance'!EB18:EB18, "P")+COUNTIF('Detailed Attendance'!GI18:GI18, "P")</f>
        <v/>
      </c>
      <c r="T16" s="46">
        <f>COUNTIF('Detailed Attendance'!CH18:CH18, "A")+COUNTIF('Detailed Attendance'!DE18:DE18, "A")+COUNTIF('Detailed Attendance'!EB18:EB18, "A")+COUNTIF('Detailed Attendance'!GI18:GI18, "A")</f>
        <v/>
      </c>
      <c r="U16" s="73">
        <f>IF((S16+T16)=0, "", S16/(S16+T16))</f>
        <v/>
      </c>
      <c r="V16" s="46">
        <f>COUNTIF('Detailed Attendance'!V18:V18, "P")+COUNTIF('Detailed Attendance'!AP18:AP18, "P")+COUNTIF('Detailed Attendance'!BJ18:BJ18, "P")+COUNTIF('Detailed Attendance'!CD18:CD18, "P")+COUNTIF('Detailed Attendance'!DA18:DA18, "P")+COUNTIF('Detailed Attendance'!DX18:DX18, "P")+COUNTIF('Detailed Attendance'!EU18:EU18, "P")+COUNTIF('Detailed Attendance'!GE18:GE18, "P")</f>
        <v/>
      </c>
      <c r="W16" s="46">
        <f>COUNTIF('Detailed Attendance'!V18:V18, "A")+COUNTIF('Detailed Attendance'!AP18:AP18, "A")+COUNTIF('Detailed Attendance'!BJ18:BJ18, "A")+COUNTIF('Detailed Attendance'!CD18:CD18, "A")+COUNTIF('Detailed Attendance'!DA18:DA18, "A")+COUNTIF('Detailed Attendance'!DX18:DX18, "A")+COUNTIF('Detailed Attendance'!EU18:EU18, "A")+COUNTIF('Detailed Attendance'!GE18:GE18, "A")</f>
        <v/>
      </c>
      <c r="X16" s="73">
        <f>IF((V16+W16)=0, "", V16/(V16+W16))</f>
        <v/>
      </c>
      <c r="Y16" s="46">
        <f>COUNTIF('Detailed Attendance'!E18:E18, "P")+COUNTIF('Detailed Attendance'!Y18:Y18, "P")+COUNTIF('Detailed Attendance'!AS18:AS18, "P")+COUNTIF('Detailed Attendance'!BM18:BM18, "P")+COUNTIF('Detailed Attendance'!CJ18:CJ18, "P")+COUNTIF('Detailed Attendance'!DG18:DG18, "P")+COUNTIF('Detailed Attendance'!ED18:ED18, "P")+COUNTIF('Detailed Attendance'!EX18:EX18, "P")+COUNTIF('Detailed Attendance'!FN18:FN18, "P")</f>
        <v/>
      </c>
      <c r="Z16" s="46">
        <f>COUNTIF('Detailed Attendance'!E18:E18, "A")+COUNTIF('Detailed Attendance'!Y18:Y18, "A")+COUNTIF('Detailed Attendance'!AS18:AS18, "A")+COUNTIF('Detailed Attendance'!BM18:BM18, "A")+COUNTIF('Detailed Attendance'!CJ18:CJ18, "A")+COUNTIF('Detailed Attendance'!DG18:DG18, "A")+COUNTIF('Detailed Attendance'!ED18:ED18, "A")+COUNTIF('Detailed Attendance'!EX18:EX18, "A")+COUNTIF('Detailed Attendance'!FN18:FN18, "A")</f>
        <v/>
      </c>
      <c r="AA16" s="73">
        <f>IF((Y16+Z16)=0, "", Y16/(Y16+Z16))</f>
        <v/>
      </c>
      <c r="AB16" s="46">
        <f>S16+V16+Y16</f>
        <v/>
      </c>
      <c r="AC16" s="46">
        <f>T16+W16+Z16</f>
        <v/>
      </c>
      <c r="AD16" s="73">
        <f>IF((AB16+AC16)=0, "", AB16/(AB16+AC16))</f>
        <v/>
      </c>
      <c r="AE16" s="46" t="inlineStr">
        <is>
          <t>Batch 1</t>
        </is>
      </c>
    </row>
    <row r="17" ht="14.25" customHeight="1" s="34">
      <c r="A17" s="46" t="n">
        <v>16</v>
      </c>
      <c r="B17" s="46" t="inlineStr">
        <is>
          <t>325106410016</t>
        </is>
      </c>
      <c r="C17" s="46" t="inlineStr">
        <is>
          <t>CHANDRIKA KADALI</t>
        </is>
      </c>
      <c r="D17" s="46">
        <f>COUNTIF('Detailed Attendance'!R19:R19, "P")+COUNTIF('Detailed Attendance'!X19:X19, "P")+COUNTIF('Detailed Attendance'!AL19:AL19, "P")+COUNTIF('Detailed Attendance'!BF19:BF19, "P")+COUNTIF('Detailed Attendance'!BL19:BL19, "P")+COUNTIF('Detailed Attendance'!BZ19:BZ19, "P")+COUNTIF('Detailed Attendance'!CI19:CI19, "P")+COUNTIF('Detailed Attendance'!CW19:CW19, "P")+COUNTIF('Detailed Attendance'!DF19:DF19, "P")+COUNTIF('Detailed Attendance'!DT19:DT19, "P")+COUNTIF('Detailed Attendance'!EC19:EC19, "P")+COUNTIF('Detailed Attendance'!EQ19:EQ19, "P")+COUNTIF('Detailed Attendance'!EW19:EW19, "P")+COUNTIF('Detailed Attendance'!FK19:FK19, "P")+COUNTIF('Detailed Attendance'!FM19:FM19, "P")+COUNTIF('Detailed Attendance'!GA19:GA19, "P")</f>
        <v/>
      </c>
      <c r="E17" s="46">
        <f>COUNTIF('Detailed Attendance'!R19:R19, "A")+COUNTIF('Detailed Attendance'!X19:X19, "A")+COUNTIF('Detailed Attendance'!AL19:AL19, "A")+COUNTIF('Detailed Attendance'!BF19:BF19, "A")+COUNTIF('Detailed Attendance'!BL19:BL19, "A")+COUNTIF('Detailed Attendance'!BZ19:BZ19, "A")+COUNTIF('Detailed Attendance'!CI19:CI19, "A")+COUNTIF('Detailed Attendance'!CW19:CW19, "A")+COUNTIF('Detailed Attendance'!DF19:DF19, "A")+COUNTIF('Detailed Attendance'!DT19:DT19, "A")+COUNTIF('Detailed Attendance'!EC19:EC19, "A")+COUNTIF('Detailed Attendance'!EQ19:EQ19, "A")+COUNTIF('Detailed Attendance'!EW19:EW19, "A")+COUNTIF('Detailed Attendance'!FK19:FK19, "A")+COUNTIF('Detailed Attendance'!FM19:FM19, "A")+COUNTIF('Detailed Attendance'!GA19:GA19, "A")</f>
        <v/>
      </c>
      <c r="F17" s="72">
        <f>IF((D17+E17)=0, "", D17/(D17+E17))</f>
        <v/>
      </c>
      <c r="G17" s="46">
        <f>COUNTIF('Detailed Attendance'!I19:I19, "P")+COUNTIF('Detailed Attendance'!Q19:Q19, "P")+COUNTIF('Detailed Attendance'!AC19:AC19, "P")+COUNTIF('Detailed Attendance'!AK19:AK19, "P")+COUNTIF('Detailed Attendance'!AW19:AW19, "P")+COUNTIF('Detailed Attendance'!BE19:BE19, "P")+COUNTIF('Detailed Attendance'!BQ19:BQ19, "P")+COUNTIF('Detailed Attendance'!BY19:BY19, "P")+COUNTIF('Detailed Attendance'!CN19:CN19, "P")+COUNTIF('Detailed Attendance'!CV19:CV19, "P")+COUNTIF('Detailed Attendance'!DK19:DK19, "P")+COUNTIF('Detailed Attendance'!DS19:DS19, "P")+COUNTIF('Detailed Attendance'!EH19:EH19, "P")+COUNTIF('Detailed Attendance'!EP19:EP19, "P")+COUNTIF('Detailed Attendance'!FB19:FB19, "P")+COUNTIF('Detailed Attendance'!FJ19:FJ19, "P")+COUNTIF('Detailed Attendance'!FR19:FR19, "P")+COUNTIF('Detailed Attendance'!FZ19:FZ19, "P")</f>
        <v/>
      </c>
      <c r="H17" s="46">
        <f>COUNTIF('Detailed Attendance'!I19:I19, "A")+COUNTIF('Detailed Attendance'!Q19:Q19, "A")+COUNTIF('Detailed Attendance'!AC19:AC19, "A")+COUNTIF('Detailed Attendance'!AK19:AK19, "A")+COUNTIF('Detailed Attendance'!AW19:AW19, "A")+COUNTIF('Detailed Attendance'!BE19:BE19, "A")+COUNTIF('Detailed Attendance'!BQ19:BQ19, "A")+COUNTIF('Detailed Attendance'!BY19:BY19, "A")+COUNTIF('Detailed Attendance'!CN19:CN19, "A")+COUNTIF('Detailed Attendance'!CV19:CV19, "A")+COUNTIF('Detailed Attendance'!DK19:DK19, "A")+COUNTIF('Detailed Attendance'!DS19:DS19, "A")+COUNTIF('Detailed Attendance'!EH19:EH19, "A")+COUNTIF('Detailed Attendance'!EP19:EP19, "A")+COUNTIF('Detailed Attendance'!FB19:FB19, "A")+COUNTIF('Detailed Attendance'!FJ19:FJ19, "A")+COUNTIF('Detailed Attendance'!FR19:FR19, "A")+COUNTIF('Detailed Attendance'!FZ19:FZ19, "A")</f>
        <v/>
      </c>
      <c r="I17" s="72">
        <f>IF((G17+H17)=0, "", G17/(G17+H17))</f>
        <v/>
      </c>
      <c r="J17" s="46">
        <f>COUNTIF('Detailed Attendance'!L19:L19, "P")+COUNTIF('Detailed Attendance'!P19:P19, "P")+COUNTIF('Detailed Attendance'!AF19:AF19, "P")+COUNTIF('Detailed Attendance'!AJ19:AJ19, "P")+COUNTIF('Detailed Attendance'!AZ19:AZ19, "P")+COUNTIF('Detailed Attendance'!BD19:BD19, "P")+COUNTIF('Detailed Attendance'!BT19:BT19, "P")+COUNTIF('Detailed Attendance'!BX19:BX19, "P")+COUNTIF('Detailed Attendance'!CQ19:CQ19, "P")+COUNTIF('Detailed Attendance'!CU19:CU19, "P")+COUNTIF('Detailed Attendance'!DN19:DN19, "P")+COUNTIF('Detailed Attendance'!DR19:DR19, "P")+COUNTIF('Detailed Attendance'!EK19:EK19, "P")+COUNTIF('Detailed Attendance'!EO19:EO19, "P")+COUNTIF('Detailed Attendance'!FE19:FE19, "P")+COUNTIF('Detailed Attendance'!FI19:FI19, "P")+COUNTIF('Detailed Attendance'!FU19:FU19, "P")+COUNTIF('Detailed Attendance'!FY19:FY19, "P")</f>
        <v/>
      </c>
      <c r="K17" s="46">
        <f>COUNTIF('Detailed Attendance'!L19:L19, "A")+COUNTIF('Detailed Attendance'!P19:P19, "A")+COUNTIF('Detailed Attendance'!AF19:AF19, "A")+COUNTIF('Detailed Attendance'!AJ19:AJ19, "A")+COUNTIF('Detailed Attendance'!AZ19:AZ19, "A")+COUNTIF('Detailed Attendance'!BD19:BD19, "A")+COUNTIF('Detailed Attendance'!BT19:BT19, "A")+COUNTIF('Detailed Attendance'!BX19:BX19, "A")+COUNTIF('Detailed Attendance'!CQ19:CQ19, "A")+COUNTIF('Detailed Attendance'!CU19:CU19, "A")+COUNTIF('Detailed Attendance'!DN19:DN19, "A")+COUNTIF('Detailed Attendance'!DR19:DR19, "A")+COUNTIF('Detailed Attendance'!EK19:EK19, "A")+COUNTIF('Detailed Attendance'!EO19:EO19, "A")+COUNTIF('Detailed Attendance'!FE19:FE19, "A")+COUNTIF('Detailed Attendance'!FI19:FI19, "A")+COUNTIF('Detailed Attendance'!FU19:FU19, "A")+COUNTIF('Detailed Attendance'!FY19:FY19, "A")</f>
        <v/>
      </c>
      <c r="L17" s="72">
        <f>IF((J17+K17)=0, "", J17/(J17+K17))</f>
        <v/>
      </c>
      <c r="M17" s="46">
        <f>COUNTIF('Detailed Attendance'!D19:D19, "P")+COUNTIF('Detailed Attendance'!T19:T19, "P")+COUNTIF('Detailed Attendance'!AN19:AN19, "P")+COUNTIF('Detailed Attendance'!AR19:AR19, "P")+COUNTIF('Detailed Attendance'!BH19:BH19, "P")+COUNTIF('Detailed Attendance'!CB19:CB19, "P")+COUNTIF('Detailed Attendance'!CF19:CF19, "P")+COUNTIF('Detailed Attendance'!CY19:CY19, "P")+COUNTIF('Detailed Attendance'!DC19:DC19, "P")+COUNTIF('Detailed Attendance'!DV19:DV19, "P")+COUNTIF('Detailed Attendance'!DZ19:DZ19, "P")+COUNTIF('Detailed Attendance'!ES19:ES19, "P")+COUNTIF('Detailed Attendance'!GC19:GC19, "P")+COUNTIF('Detailed Attendance'!GG19:GG19, "P")</f>
        <v/>
      </c>
      <c r="N17" s="46">
        <f>COUNTIF('Detailed Attendance'!D19:D19, "A")+COUNTIF('Detailed Attendance'!T19:T19, "A")+COUNTIF('Detailed Attendance'!AN19:AN19, "A")+COUNTIF('Detailed Attendance'!AR19:AR19, "A")+COUNTIF('Detailed Attendance'!BH19:BH19, "A")+COUNTIF('Detailed Attendance'!CB19:CB19, "A")+COUNTIF('Detailed Attendance'!CF19:CF19, "A")+COUNTIF('Detailed Attendance'!CY19:CY19, "A")+COUNTIF('Detailed Attendance'!DC19:DC19, "A")+COUNTIF('Detailed Attendance'!DV19:DV19, "A")+COUNTIF('Detailed Attendance'!DZ19:DZ19, "A")+COUNTIF('Detailed Attendance'!ES19:ES19, "A")+COUNTIF('Detailed Attendance'!GC19:GC19, "A")+COUNTIF('Detailed Attendance'!GG19:GG19, "A")</f>
        <v/>
      </c>
      <c r="O17" s="72">
        <f>IF((M17+N17)=0, "", M17/(M17+N17))</f>
        <v/>
      </c>
      <c r="P17" s="46">
        <f>COUNTIF('Detailed Attendance'!M19:M19, "P")+COUNTIF('Detailed Attendance'!U19:U19, "P")+COUNTIF('Detailed Attendance'!AG19:AG19, "P")+COUNTIF('Detailed Attendance'!AO19:AO19, "P")+COUNTIF('Detailed Attendance'!BA19:BA19, "P")+COUNTIF('Detailed Attendance'!BI19:BI19, "P")+COUNTIF('Detailed Attendance'!BU19:BU19, "P")+COUNTIF('Detailed Attendance'!CC17:CC17, "P")+COUNTIF('Detailed Attendance'!CR19:CR19, "P")+COUNTIF('Detailed Attendance'!CZ19:CZ19, "P")+COUNTIF('Detailed Attendance'!DO19:DO19, "P")+COUNTIF('Detailed Attendance'!DW19:DW19, "P")+COUNTIF('Detailed Attendance'!EL19:EL19, "P")+COUNTIF('Detailed Attendance'!ET19:ET19, "P")+COUNTIF('Detailed Attendance'!FF19:FF19, "P")+COUNTIF('Detailed Attendance'!FV19:FV19, "P")+COUNTIF('Detailed Attendance'!GD19:GD19, "P")</f>
        <v/>
      </c>
      <c r="Q17" s="46">
        <f>COUNTIF('Detailed Attendance'!M19:M19, "A")+COUNTIF('Detailed Attendance'!U19:U19, "A")+COUNTIF('Detailed Attendance'!AG19:AG19, "A")+COUNTIF('Detailed Attendance'!AO19:AO19, "A")+COUNTIF('Detailed Attendance'!BA19:BA19, "A")+COUNTIF('Detailed Attendance'!BI19:BI19, "A")+COUNTIF('Detailed Attendance'!BU19:BU19, "A")+COUNTIF('Detailed Attendance'!CC17:CC17, "A")+COUNTIF('Detailed Attendance'!CR19:CR19, "A")+COUNTIF('Detailed Attendance'!CZ19:CZ19, "A")+COUNTIF('Detailed Attendance'!DO19:DO19, "A")+COUNTIF('Detailed Attendance'!DW19:DW19, "A")+COUNTIF('Detailed Attendance'!EL19:EL19, "A")+COUNTIF('Detailed Attendance'!ET19:ET19, "A")+COUNTIF('Detailed Attendance'!FF19:FF19, "A")+COUNTIF('Detailed Attendance'!FV19:FV19, "A")+COUNTIF('Detailed Attendance'!GD19:GD19, "A")</f>
        <v/>
      </c>
      <c r="R17" s="72">
        <f>IF((P17+Q17)=0, "", P17/(P17+Q17))</f>
        <v/>
      </c>
      <c r="S17" s="46">
        <f>COUNTIF('Detailed Attendance'!CH19:CH19, "P")+COUNTIF('Detailed Attendance'!DE19:DE19, "P")+COUNTIF('Detailed Attendance'!EB19:EB19, "P")+COUNTIF('Detailed Attendance'!GI19:GI19, "P")</f>
        <v/>
      </c>
      <c r="T17" s="46">
        <f>COUNTIF('Detailed Attendance'!CH19:CH19, "A")+COUNTIF('Detailed Attendance'!DE19:DE19, "A")+COUNTIF('Detailed Attendance'!EB19:EB19, "A")+COUNTIF('Detailed Attendance'!GI19:GI19, "A")</f>
        <v/>
      </c>
      <c r="U17" s="73">
        <f>IF((S17+T17)=0, "", S17/(S17+T17))</f>
        <v/>
      </c>
      <c r="V17" s="46">
        <f>COUNTIF('Detailed Attendance'!V19:V19, "P")+COUNTIF('Detailed Attendance'!AP19:AP19, "P")+COUNTIF('Detailed Attendance'!BJ19:BJ19, "P")+COUNTIF('Detailed Attendance'!CD19:CD19, "P")+COUNTIF('Detailed Attendance'!DA19:DA19, "P")+COUNTIF('Detailed Attendance'!DX19:DX19, "P")+COUNTIF('Detailed Attendance'!EU19:EU19, "P")+COUNTIF('Detailed Attendance'!GE19:GE19, "P")</f>
        <v/>
      </c>
      <c r="W17" s="46">
        <f>COUNTIF('Detailed Attendance'!V19:V19, "A")+COUNTIF('Detailed Attendance'!AP19:AP19, "A")+COUNTIF('Detailed Attendance'!BJ19:BJ19, "A")+COUNTIF('Detailed Attendance'!CD19:CD19, "A")+COUNTIF('Detailed Attendance'!DA19:DA19, "A")+COUNTIF('Detailed Attendance'!DX19:DX19, "A")+COUNTIF('Detailed Attendance'!EU19:EU19, "A")+COUNTIF('Detailed Attendance'!GE19:GE19, "A")</f>
        <v/>
      </c>
      <c r="X17" s="73">
        <f>IF((V17+W17)=0, "", V17/(V17+W17))</f>
        <v/>
      </c>
      <c r="Y17" s="46">
        <f>COUNTIF('Detailed Attendance'!E19:E19, "P")+COUNTIF('Detailed Attendance'!Y19:Y19, "P")+COUNTIF('Detailed Attendance'!AS19:AS19, "P")+COUNTIF('Detailed Attendance'!BM19:BM19, "P")+COUNTIF('Detailed Attendance'!CJ19:CJ19, "P")+COUNTIF('Detailed Attendance'!DG19:DG19, "P")+COUNTIF('Detailed Attendance'!ED19:ED19, "P")+COUNTIF('Detailed Attendance'!EX19:EX19, "P")+COUNTIF('Detailed Attendance'!FN19:FN19, "P")</f>
        <v/>
      </c>
      <c r="Z17" s="46">
        <f>COUNTIF('Detailed Attendance'!E19:E19, "A")+COUNTIF('Detailed Attendance'!Y19:Y19, "A")+COUNTIF('Detailed Attendance'!AS19:AS19, "A")+COUNTIF('Detailed Attendance'!BM19:BM19, "A")+COUNTIF('Detailed Attendance'!CJ19:CJ19, "A")+COUNTIF('Detailed Attendance'!DG19:DG19, "A")+COUNTIF('Detailed Attendance'!ED19:ED19, "A")+COUNTIF('Detailed Attendance'!EX19:EX19, "A")+COUNTIF('Detailed Attendance'!FN19:FN19, "A")</f>
        <v/>
      </c>
      <c r="AA17" s="73">
        <f>IF((Y17+Z17)=0, "", Y17/(Y17+Z17))</f>
        <v/>
      </c>
      <c r="AB17" s="46">
        <f>S17+V17+Y17</f>
        <v/>
      </c>
      <c r="AC17" s="46">
        <f>T17+W17+Z17</f>
        <v/>
      </c>
      <c r="AD17" s="73">
        <f>IF((AB17+AC17)=0, "", AB17/(AB17+AC17))</f>
        <v/>
      </c>
      <c r="AE17" s="46" t="inlineStr">
        <is>
          <t>Batch 1</t>
        </is>
      </c>
    </row>
    <row r="18" ht="14.25" customHeight="1" s="34">
      <c r="A18" s="46" t="n">
        <v>17</v>
      </c>
      <c r="B18" s="46" t="inlineStr">
        <is>
          <t>325106410017</t>
        </is>
      </c>
      <c r="C18" s="46" t="inlineStr">
        <is>
          <t>GYANESHWARI KALLAPILLI</t>
        </is>
      </c>
      <c r="D18" s="46">
        <f>COUNTIF('Detailed Attendance'!R20:R20, "P")+COUNTIF('Detailed Attendance'!X20:X20, "P")+COUNTIF('Detailed Attendance'!AL20:AL20, "P")+COUNTIF('Detailed Attendance'!BF20:BF20, "P")+COUNTIF('Detailed Attendance'!BL20:BL20, "P")+COUNTIF('Detailed Attendance'!BZ20:BZ20, "P")+COUNTIF('Detailed Attendance'!CI20:CI20, "P")+COUNTIF('Detailed Attendance'!CW20:CW20, "P")+COUNTIF('Detailed Attendance'!DF20:DF20, "P")+COUNTIF('Detailed Attendance'!DT20:DT20, "P")+COUNTIF('Detailed Attendance'!EC20:EC20, "P")+COUNTIF('Detailed Attendance'!EQ20:EQ20, "P")+COUNTIF('Detailed Attendance'!EW20:EW20, "P")+COUNTIF('Detailed Attendance'!FK20:FK20, "P")+COUNTIF('Detailed Attendance'!FM20:FM20, "P")+COUNTIF('Detailed Attendance'!GA20:GA20, "P")</f>
        <v/>
      </c>
      <c r="E18" s="46">
        <f>COUNTIF('Detailed Attendance'!R20:R20, "A")+COUNTIF('Detailed Attendance'!X20:X20, "A")+COUNTIF('Detailed Attendance'!AL20:AL20, "A")+COUNTIF('Detailed Attendance'!BF20:BF20, "A")+COUNTIF('Detailed Attendance'!BL20:BL20, "A")+COUNTIF('Detailed Attendance'!BZ20:BZ20, "A")+COUNTIF('Detailed Attendance'!CI20:CI20, "A")+COUNTIF('Detailed Attendance'!CW20:CW20, "A")+COUNTIF('Detailed Attendance'!DF20:DF20, "A")+COUNTIF('Detailed Attendance'!DT20:DT20, "A")+COUNTIF('Detailed Attendance'!EC20:EC20, "A")+COUNTIF('Detailed Attendance'!EQ20:EQ20, "A")+COUNTIF('Detailed Attendance'!EW20:EW20, "A")+COUNTIF('Detailed Attendance'!FK20:FK20, "A")+COUNTIF('Detailed Attendance'!FM20:FM20, "A")+COUNTIF('Detailed Attendance'!GA20:GA20, "A")</f>
        <v/>
      </c>
      <c r="F18" s="72">
        <f>IF((D18+E18)=0, "", D18/(D18+E18))</f>
        <v/>
      </c>
      <c r="G18" s="46">
        <f>COUNTIF('Detailed Attendance'!I20:I20, "P")+COUNTIF('Detailed Attendance'!Q20:Q20, "P")+COUNTIF('Detailed Attendance'!AC20:AC20, "P")+COUNTIF('Detailed Attendance'!AK20:AK20, "P")+COUNTIF('Detailed Attendance'!AW20:AW20, "P")+COUNTIF('Detailed Attendance'!BE20:BE20, "P")+COUNTIF('Detailed Attendance'!BQ20:BQ20, "P")+COUNTIF('Detailed Attendance'!BY20:BY20, "P")+COUNTIF('Detailed Attendance'!CN20:CN20, "P")+COUNTIF('Detailed Attendance'!CV20:CV20, "P")+COUNTIF('Detailed Attendance'!DK20:DK20, "P")+COUNTIF('Detailed Attendance'!DS20:DS20, "P")+COUNTIF('Detailed Attendance'!EH20:EH20, "P")+COUNTIF('Detailed Attendance'!EP20:EP20, "P")+COUNTIF('Detailed Attendance'!FB20:FB20, "P")+COUNTIF('Detailed Attendance'!FJ20:FJ20, "P")+COUNTIF('Detailed Attendance'!FR20:FR20, "P")+COUNTIF('Detailed Attendance'!FZ20:FZ20, "P")</f>
        <v/>
      </c>
      <c r="H18" s="46">
        <f>COUNTIF('Detailed Attendance'!I20:I20, "A")+COUNTIF('Detailed Attendance'!Q20:Q20, "A")+COUNTIF('Detailed Attendance'!AC20:AC20, "A")+COUNTIF('Detailed Attendance'!AK20:AK20, "A")+COUNTIF('Detailed Attendance'!AW20:AW20, "A")+COUNTIF('Detailed Attendance'!BE20:BE20, "A")+COUNTIF('Detailed Attendance'!BQ20:BQ20, "A")+COUNTIF('Detailed Attendance'!BY20:BY20, "A")+COUNTIF('Detailed Attendance'!CN20:CN20, "A")+COUNTIF('Detailed Attendance'!CV20:CV20, "A")+COUNTIF('Detailed Attendance'!DK20:DK20, "A")+COUNTIF('Detailed Attendance'!DS20:DS20, "A")+COUNTIF('Detailed Attendance'!EH20:EH20, "A")+COUNTIF('Detailed Attendance'!EP20:EP20, "A")+COUNTIF('Detailed Attendance'!FB20:FB20, "A")+COUNTIF('Detailed Attendance'!FJ20:FJ20, "A")+COUNTIF('Detailed Attendance'!FR20:FR20, "A")+COUNTIF('Detailed Attendance'!FZ20:FZ20, "A")</f>
        <v/>
      </c>
      <c r="I18" s="72">
        <f>IF((G18+H18)=0, "", G18/(G18+H18))</f>
        <v/>
      </c>
      <c r="J18" s="46">
        <f>COUNTIF('Detailed Attendance'!L20:L20, "P")+COUNTIF('Detailed Attendance'!P20:P20, "P")+COUNTIF('Detailed Attendance'!AF20:AF20, "P")+COUNTIF('Detailed Attendance'!AJ20:AJ20, "P")+COUNTIF('Detailed Attendance'!AZ20:AZ20, "P")+COUNTIF('Detailed Attendance'!BD20:BD20, "P")+COUNTIF('Detailed Attendance'!BT20:BT20, "P")+COUNTIF('Detailed Attendance'!BX20:BX20, "P")+COUNTIF('Detailed Attendance'!CQ20:CQ20, "P")+COUNTIF('Detailed Attendance'!CU20:CU20, "P")+COUNTIF('Detailed Attendance'!DN20:DN20, "P")+COUNTIF('Detailed Attendance'!DR20:DR20, "P")+COUNTIF('Detailed Attendance'!EK20:EK20, "P")+COUNTIF('Detailed Attendance'!EO20:EO20, "P")+COUNTIF('Detailed Attendance'!FE20:FE20, "P")+COUNTIF('Detailed Attendance'!FI20:FI20, "P")+COUNTIF('Detailed Attendance'!FU20:FU20, "P")+COUNTIF('Detailed Attendance'!FY20:FY20, "P")</f>
        <v/>
      </c>
      <c r="K18" s="46">
        <f>COUNTIF('Detailed Attendance'!L20:L20, "A")+COUNTIF('Detailed Attendance'!P20:P20, "A")+COUNTIF('Detailed Attendance'!AF20:AF20, "A")+COUNTIF('Detailed Attendance'!AJ20:AJ20, "A")+COUNTIF('Detailed Attendance'!AZ20:AZ20, "A")+COUNTIF('Detailed Attendance'!BD20:BD20, "A")+COUNTIF('Detailed Attendance'!BT20:BT20, "A")+COUNTIF('Detailed Attendance'!BX20:BX20, "A")+COUNTIF('Detailed Attendance'!CQ20:CQ20, "A")+COUNTIF('Detailed Attendance'!CU20:CU20, "A")+COUNTIF('Detailed Attendance'!DN20:DN20, "A")+COUNTIF('Detailed Attendance'!DR20:DR20, "A")+COUNTIF('Detailed Attendance'!EK20:EK20, "A")+COUNTIF('Detailed Attendance'!EO20:EO20, "A")+COUNTIF('Detailed Attendance'!FE20:FE20, "A")+COUNTIF('Detailed Attendance'!FI20:FI20, "A")+COUNTIF('Detailed Attendance'!FU20:FU20, "A")+COUNTIF('Detailed Attendance'!FY20:FY20, "A")</f>
        <v/>
      </c>
      <c r="L18" s="72">
        <f>IF((J18+K18)=0, "", J18/(J18+K18))</f>
        <v/>
      </c>
      <c r="M18" s="46">
        <f>COUNTIF('Detailed Attendance'!D20:D20, "P")+COUNTIF('Detailed Attendance'!T20:T20, "P")+COUNTIF('Detailed Attendance'!AN20:AN20, "P")+COUNTIF('Detailed Attendance'!AR20:AR20, "P")+COUNTIF('Detailed Attendance'!BH20:BH20, "P")+COUNTIF('Detailed Attendance'!CB20:CB20, "P")+COUNTIF('Detailed Attendance'!CF20:CF20, "P")+COUNTIF('Detailed Attendance'!CY20:CY20, "P")+COUNTIF('Detailed Attendance'!DC20:DC20, "P")+COUNTIF('Detailed Attendance'!DV20:DV20, "P")+COUNTIF('Detailed Attendance'!DZ20:DZ20, "P")+COUNTIF('Detailed Attendance'!ES20:ES20, "P")+COUNTIF('Detailed Attendance'!GC20:GC20, "P")+COUNTIF('Detailed Attendance'!GG20:GG20, "P")</f>
        <v/>
      </c>
      <c r="N18" s="46">
        <f>COUNTIF('Detailed Attendance'!D20:D20, "A")+COUNTIF('Detailed Attendance'!T20:T20, "A")+COUNTIF('Detailed Attendance'!AN20:AN20, "A")+COUNTIF('Detailed Attendance'!AR20:AR20, "A")+COUNTIF('Detailed Attendance'!BH20:BH20, "A")+COUNTIF('Detailed Attendance'!CB20:CB20, "A")+COUNTIF('Detailed Attendance'!CF20:CF20, "A")+COUNTIF('Detailed Attendance'!CY20:CY20, "A")+COUNTIF('Detailed Attendance'!DC20:DC20, "A")+COUNTIF('Detailed Attendance'!DV20:DV20, "A")+COUNTIF('Detailed Attendance'!DZ20:DZ20, "A")+COUNTIF('Detailed Attendance'!ES20:ES20, "A")+COUNTIF('Detailed Attendance'!GC20:GC20, "A")+COUNTIF('Detailed Attendance'!GG20:GG20, "A")</f>
        <v/>
      </c>
      <c r="O18" s="72">
        <f>IF((M18+N18)=0, "", M18/(M18+N18))</f>
        <v/>
      </c>
      <c r="P18" s="46">
        <f>COUNTIF('Detailed Attendance'!M20:M20, "P")+COUNTIF('Detailed Attendance'!U20:U20, "P")+COUNTIF('Detailed Attendance'!AG20:AG20, "P")+COUNTIF('Detailed Attendance'!AO20:AO20, "P")+COUNTIF('Detailed Attendance'!BA20:BA20, "P")+COUNTIF('Detailed Attendance'!BI20:BI20, "P")+COUNTIF('Detailed Attendance'!BU20:BU20, "P")+COUNTIF('Detailed Attendance'!CC20:CC20, "P")+COUNTIF('Detailed Attendance'!CR20:CR20, "P")+COUNTIF('Detailed Attendance'!CZ20:CZ20, "P")+COUNTIF('Detailed Attendance'!DO20:DO20, "P")+COUNTIF('Detailed Attendance'!DW20:DW20, "P")+COUNTIF('Detailed Attendance'!EL20:EL20, "P")+COUNTIF('Detailed Attendance'!ET20:ET20, "P")+COUNTIF('Detailed Attendance'!FF20:FF20, "P")+COUNTIF('Detailed Attendance'!FV20:FV20, "P")+COUNTIF('Detailed Attendance'!GD20:GD20, "P")</f>
        <v/>
      </c>
      <c r="Q18" s="46">
        <f>COUNTIF('Detailed Attendance'!M20:M20, "A")+COUNTIF('Detailed Attendance'!U20:U20, "A")+COUNTIF('Detailed Attendance'!AG20:AG20, "A")+COUNTIF('Detailed Attendance'!AO20:AO20, "A")+COUNTIF('Detailed Attendance'!BA20:BA20, "A")+COUNTIF('Detailed Attendance'!BI20:BI20, "A")+COUNTIF('Detailed Attendance'!BU20:BU20, "A")+COUNTIF('Detailed Attendance'!CC20:CC20, "A")+COUNTIF('Detailed Attendance'!CR20:CR20, "A")+COUNTIF('Detailed Attendance'!CZ20:CZ20, "A")+COUNTIF('Detailed Attendance'!DO20:DO20, "A")+COUNTIF('Detailed Attendance'!DW20:DW20, "A")+COUNTIF('Detailed Attendance'!EL20:EL20, "A")+COUNTIF('Detailed Attendance'!ET20:ET20, "A")+COUNTIF('Detailed Attendance'!FF20:FF20, "A")+COUNTIF('Detailed Attendance'!FV20:FV20, "A")+COUNTIF('Detailed Attendance'!GD20:GD20, "A")</f>
        <v/>
      </c>
      <c r="R18" s="72">
        <f>IF((P18+Q18)=0, "", P18/(P18+Q18))</f>
        <v/>
      </c>
      <c r="S18" s="46">
        <f>COUNTIF('Detailed Attendance'!CH20:CH20, "P")+COUNTIF('Detailed Attendance'!DE20:DE20, "P")+COUNTIF('Detailed Attendance'!EB20:EB20, "P")+COUNTIF('Detailed Attendance'!GI20:GI20, "P")</f>
        <v/>
      </c>
      <c r="T18" s="46">
        <f>COUNTIF('Detailed Attendance'!CH20:CH20, "A")+COUNTIF('Detailed Attendance'!DE20:DE20, "A")+COUNTIF('Detailed Attendance'!EB20:EB20, "A")+COUNTIF('Detailed Attendance'!GI20:GI20, "A")</f>
        <v/>
      </c>
      <c r="U18" s="73">
        <f>IF((S18+T18)=0, "", S18/(S18+T18))</f>
        <v/>
      </c>
      <c r="V18" s="46">
        <f>COUNTIF('Detailed Attendance'!V20:V20, "P")+COUNTIF('Detailed Attendance'!AP20:AP20, "P")+COUNTIF('Detailed Attendance'!BJ20:BJ20, "P")+COUNTIF('Detailed Attendance'!CD20:CD20, "P")+COUNTIF('Detailed Attendance'!DA20:DA20, "P")+COUNTIF('Detailed Attendance'!DX20:DX20, "P")+COUNTIF('Detailed Attendance'!EU20:EU20, "P")+COUNTIF('Detailed Attendance'!GE20:GE20, "P")</f>
        <v/>
      </c>
      <c r="W18" s="46">
        <f>COUNTIF('Detailed Attendance'!V20:V20, "A")+COUNTIF('Detailed Attendance'!AP20:AP20, "A")+COUNTIF('Detailed Attendance'!BJ20:BJ20, "A")+COUNTIF('Detailed Attendance'!CD20:CD20, "A")+COUNTIF('Detailed Attendance'!DA20:DA20, "A")+COUNTIF('Detailed Attendance'!DX20:DX20, "A")+COUNTIF('Detailed Attendance'!EU20:EU20, "A")+COUNTIF('Detailed Attendance'!GE20:GE20, "A")</f>
        <v/>
      </c>
      <c r="X18" s="73">
        <f>IF((V18+W18)=0, "", V18/(V18+W18))</f>
        <v/>
      </c>
      <c r="Y18" s="46">
        <f>COUNTIF('Detailed Attendance'!E20:E20, "P")+COUNTIF('Detailed Attendance'!Y20:Y20, "P")+COUNTIF('Detailed Attendance'!AS20:AS20, "P")+COUNTIF('Detailed Attendance'!BM20:BM20, "P")+COUNTIF('Detailed Attendance'!CJ20:CJ20, "P")+COUNTIF('Detailed Attendance'!DG20:DG20, "P")+COUNTIF('Detailed Attendance'!ED20:ED20, "P")+COUNTIF('Detailed Attendance'!EX20:EX20, "P")+COUNTIF('Detailed Attendance'!FN20:FN20, "P")</f>
        <v/>
      </c>
      <c r="Z18" s="46">
        <f>COUNTIF('Detailed Attendance'!E20:E20, "A")+COUNTIF('Detailed Attendance'!Y20:Y20, "A")+COUNTIF('Detailed Attendance'!AS20:AS20, "A")+COUNTIF('Detailed Attendance'!BM20:BM20, "A")+COUNTIF('Detailed Attendance'!CJ20:CJ20, "A")+COUNTIF('Detailed Attendance'!DG20:DG20, "A")+COUNTIF('Detailed Attendance'!ED20:ED20, "A")+COUNTIF('Detailed Attendance'!EX20:EX20, "A")+COUNTIF('Detailed Attendance'!FN20:FN20, "A")</f>
        <v/>
      </c>
      <c r="AA18" s="73">
        <f>IF((Y18+Z18)=0, "", Y18/(Y18+Z18))</f>
        <v/>
      </c>
      <c r="AB18" s="46">
        <f>S18+V18+Y18</f>
        <v/>
      </c>
      <c r="AC18" s="46">
        <f>T18+W18+Z18</f>
        <v/>
      </c>
      <c r="AD18" s="73">
        <f>IF((AB18+AC18)=0, "", AB18/(AB18+AC18))</f>
        <v/>
      </c>
      <c r="AE18" s="46" t="inlineStr">
        <is>
          <t>Batch 1</t>
        </is>
      </c>
    </row>
    <row r="19" ht="14.25" customHeight="1" s="34">
      <c r="A19" s="46" t="n">
        <v>18</v>
      </c>
      <c r="B19" s="46" t="inlineStr">
        <is>
          <t>325106410018</t>
        </is>
      </c>
      <c r="C19" s="46" t="inlineStr">
        <is>
          <t>BHARGAV KRISHNA KANDREGULA</t>
        </is>
      </c>
      <c r="D19" s="46">
        <f>COUNTIF('Detailed Attendance'!R21:R21, "P")+COUNTIF('Detailed Attendance'!X21:X21, "P")+COUNTIF('Detailed Attendance'!AL21:AL21, "P")+COUNTIF('Detailed Attendance'!BF21:BF21, "P")+COUNTIF('Detailed Attendance'!BL21:BL21, "P")+COUNTIF('Detailed Attendance'!BZ21:BZ21, "P")+COUNTIF('Detailed Attendance'!CI21:CI21, "P")+COUNTIF('Detailed Attendance'!CW21:CW21, "P")+COUNTIF('Detailed Attendance'!DF21:DF21, "P")+COUNTIF('Detailed Attendance'!DT21:DT21, "P")+COUNTIF('Detailed Attendance'!EC21:EC21, "P")+COUNTIF('Detailed Attendance'!EQ21:EQ21, "P")+COUNTIF('Detailed Attendance'!EW21:EW21, "P")+COUNTIF('Detailed Attendance'!FK21:FK21, "P")+COUNTIF('Detailed Attendance'!FM21:FM21, "P")+COUNTIF('Detailed Attendance'!GA21:GA21, "P")</f>
        <v/>
      </c>
      <c r="E19" s="46">
        <f>COUNTIF('Detailed Attendance'!R21:R21, "A")+COUNTIF('Detailed Attendance'!X21:X21, "A")+COUNTIF('Detailed Attendance'!AL21:AL21, "A")+COUNTIF('Detailed Attendance'!BF21:BF21, "A")+COUNTIF('Detailed Attendance'!BL21:BL21, "A")+COUNTIF('Detailed Attendance'!BZ21:BZ21, "A")+COUNTIF('Detailed Attendance'!CI21:CI21, "A")+COUNTIF('Detailed Attendance'!CW21:CW21, "A")+COUNTIF('Detailed Attendance'!DF21:DF21, "A")+COUNTIF('Detailed Attendance'!DT21:DT21, "A")+COUNTIF('Detailed Attendance'!EC21:EC21, "A")+COUNTIF('Detailed Attendance'!EQ21:EQ21, "A")+COUNTIF('Detailed Attendance'!EW21:EW21, "A")+COUNTIF('Detailed Attendance'!FK21:FK21, "A")+COUNTIF('Detailed Attendance'!FM21:FM21, "A")+COUNTIF('Detailed Attendance'!GA21:GA21, "A")</f>
        <v/>
      </c>
      <c r="F19" s="72">
        <f>IF((D19+E19)=0, "", D19/(D19+E19))</f>
        <v/>
      </c>
      <c r="G19" s="46">
        <f>COUNTIF('Detailed Attendance'!I21:I21, "P")+COUNTIF('Detailed Attendance'!Q21:Q21, "P")+COUNTIF('Detailed Attendance'!AC21:AC21, "P")+COUNTIF('Detailed Attendance'!AK21:AK21, "P")+COUNTIF('Detailed Attendance'!AW21:AW21, "P")+COUNTIF('Detailed Attendance'!BE21:BE21, "P")+COUNTIF('Detailed Attendance'!BQ21:BQ21, "P")+COUNTIF('Detailed Attendance'!BY21:BY21, "P")+COUNTIF('Detailed Attendance'!CN21:CN21, "P")+COUNTIF('Detailed Attendance'!CV21:CV21, "P")+COUNTIF('Detailed Attendance'!DK21:DK21, "P")+COUNTIF('Detailed Attendance'!DS21:DS21, "P")+COUNTIF('Detailed Attendance'!EH21:EH21, "P")+COUNTIF('Detailed Attendance'!EP21:EP21, "P")+COUNTIF('Detailed Attendance'!FB21:FB21, "P")+COUNTIF('Detailed Attendance'!FJ21:FJ21, "P")+COUNTIF('Detailed Attendance'!FR21:FR21, "P")+COUNTIF('Detailed Attendance'!FZ21:FZ21, "P")</f>
        <v/>
      </c>
      <c r="H19" s="46">
        <f>COUNTIF('Detailed Attendance'!I21:I21, "A")+COUNTIF('Detailed Attendance'!Q21:Q21, "A")+COUNTIF('Detailed Attendance'!AC21:AC21, "A")+COUNTIF('Detailed Attendance'!AK21:AK21, "A")+COUNTIF('Detailed Attendance'!AW21:AW21, "A")+COUNTIF('Detailed Attendance'!BE21:BE21, "A")+COUNTIF('Detailed Attendance'!BQ21:BQ21, "A")+COUNTIF('Detailed Attendance'!BY21:BY21, "A")+COUNTIF('Detailed Attendance'!CN21:CN21, "A")+COUNTIF('Detailed Attendance'!CV21:CV21, "A")+COUNTIF('Detailed Attendance'!DK21:DK21, "A")+COUNTIF('Detailed Attendance'!DS21:DS21, "A")+COUNTIF('Detailed Attendance'!EH21:EH21, "A")+COUNTIF('Detailed Attendance'!EP21:EP21, "A")+COUNTIF('Detailed Attendance'!FB21:FB21, "A")+COUNTIF('Detailed Attendance'!FJ21:FJ21, "A")+COUNTIF('Detailed Attendance'!FR21:FR21, "A")+COUNTIF('Detailed Attendance'!FZ21:FZ21, "A")</f>
        <v/>
      </c>
      <c r="I19" s="72">
        <f>IF((G19+H19)=0, "", G19/(G19+H19))</f>
        <v/>
      </c>
      <c r="J19" s="46">
        <f>COUNTIF('Detailed Attendance'!L21:L21, "P")+COUNTIF('Detailed Attendance'!P21:P21, "P")+COUNTIF('Detailed Attendance'!AF21:AF21, "P")+COUNTIF('Detailed Attendance'!AJ21:AJ21, "P")+COUNTIF('Detailed Attendance'!AZ21:AZ21, "P")+COUNTIF('Detailed Attendance'!BD21:BD21, "P")+COUNTIF('Detailed Attendance'!BT21:BT21, "P")+COUNTIF('Detailed Attendance'!BX21:BX21, "P")+COUNTIF('Detailed Attendance'!CQ21:CQ21, "P")+COUNTIF('Detailed Attendance'!CU21:CU21, "P")+COUNTIF('Detailed Attendance'!DN21:DN21, "P")+COUNTIF('Detailed Attendance'!DR21:DR21, "P")+COUNTIF('Detailed Attendance'!EK21:EK21, "P")+COUNTIF('Detailed Attendance'!EO21:EO21, "P")+COUNTIF('Detailed Attendance'!FE21:FE21, "P")+COUNTIF('Detailed Attendance'!FI21:FI21, "P")+COUNTIF('Detailed Attendance'!FU21:FU21, "P")+COUNTIF('Detailed Attendance'!FY21:FY21, "P")</f>
        <v/>
      </c>
      <c r="K19" s="46">
        <f>COUNTIF('Detailed Attendance'!L21:L21, "A")+COUNTIF('Detailed Attendance'!P21:P21, "A")+COUNTIF('Detailed Attendance'!AF21:AF21, "A")+COUNTIF('Detailed Attendance'!AJ21:AJ21, "A")+COUNTIF('Detailed Attendance'!AZ21:AZ21, "A")+COUNTIF('Detailed Attendance'!BD21:BD21, "A")+COUNTIF('Detailed Attendance'!BT21:BT21, "A")+COUNTIF('Detailed Attendance'!BX21:BX21, "A")+COUNTIF('Detailed Attendance'!CQ21:CQ21, "A")+COUNTIF('Detailed Attendance'!CU21:CU21, "A")+COUNTIF('Detailed Attendance'!DN21:DN21, "A")+COUNTIF('Detailed Attendance'!DR21:DR21, "A")+COUNTIF('Detailed Attendance'!EK21:EK21, "A")+COUNTIF('Detailed Attendance'!EO21:EO21, "A")+COUNTIF('Detailed Attendance'!FE21:FE21, "A")+COUNTIF('Detailed Attendance'!FI21:FI21, "A")+COUNTIF('Detailed Attendance'!FU21:FU21, "A")+COUNTIF('Detailed Attendance'!FY21:FY21, "A")</f>
        <v/>
      </c>
      <c r="L19" s="72">
        <f>IF((J19+K19)=0, "", J19/(J19+K19))</f>
        <v/>
      </c>
      <c r="M19" s="46">
        <f>COUNTIF('Detailed Attendance'!D21:D21, "P")+COUNTIF('Detailed Attendance'!T21:T21, "P")+COUNTIF('Detailed Attendance'!AN21:AN21, "P")+COUNTIF('Detailed Attendance'!AR21:AR21, "P")+COUNTIF('Detailed Attendance'!BH21:BH21, "P")+COUNTIF('Detailed Attendance'!CB21:CB21, "P")+COUNTIF('Detailed Attendance'!CF21:CF21, "P")+COUNTIF('Detailed Attendance'!CY21:CY21, "P")+COUNTIF('Detailed Attendance'!DC21:DC21, "P")+COUNTIF('Detailed Attendance'!DV21:DV21, "P")+COUNTIF('Detailed Attendance'!DZ21:DZ21, "P")+COUNTIF('Detailed Attendance'!ES21:ES21, "P")+COUNTIF('Detailed Attendance'!GC21:GC21, "P")+COUNTIF('Detailed Attendance'!GG21:GG21, "P")</f>
        <v/>
      </c>
      <c r="N19" s="46">
        <f>COUNTIF('Detailed Attendance'!D21:D21, "A")+COUNTIF('Detailed Attendance'!T21:T21, "A")+COUNTIF('Detailed Attendance'!AN21:AN21, "A")+COUNTIF('Detailed Attendance'!AR21:AR21, "A")+COUNTIF('Detailed Attendance'!BH21:BH21, "A")+COUNTIF('Detailed Attendance'!CB21:CB21, "A")+COUNTIF('Detailed Attendance'!CF21:CF21, "A")+COUNTIF('Detailed Attendance'!CY21:CY21, "A")+COUNTIF('Detailed Attendance'!DC21:DC21, "A")+COUNTIF('Detailed Attendance'!DV21:DV21, "A")+COUNTIF('Detailed Attendance'!DZ21:DZ21, "A")+COUNTIF('Detailed Attendance'!ES21:ES21, "A")+COUNTIF('Detailed Attendance'!GC21:GC21, "A")+COUNTIF('Detailed Attendance'!GG21:GG21, "A")</f>
        <v/>
      </c>
      <c r="O19" s="72">
        <f>IF((M19+N19)=0, "", M19/(M19+N19))</f>
        <v/>
      </c>
      <c r="P19" s="46">
        <f>COUNTIF('Detailed Attendance'!M21:M21, "P")+COUNTIF('Detailed Attendance'!U21:U21, "P")+COUNTIF('Detailed Attendance'!AG21:AG21, "P")+COUNTIF('Detailed Attendance'!AO21:AO21, "P")+COUNTIF('Detailed Attendance'!BA21:BA21, "P")+COUNTIF('Detailed Attendance'!BI21:BI21, "P")+COUNTIF('Detailed Attendance'!BU21:BU21, "P")+COUNTIF('Detailed Attendance'!CC21:CC21, "P")+COUNTIF('Detailed Attendance'!CR21:CR21, "P")+COUNTIF('Detailed Attendance'!CZ21:CZ21, "P")+COUNTIF('Detailed Attendance'!DO21:DO21, "P")+COUNTIF('Detailed Attendance'!DW21:DW21, "P")+COUNTIF('Detailed Attendance'!EL21:EL21, "P")+COUNTIF('Detailed Attendance'!ET21:ET21, "P")+COUNTIF('Detailed Attendance'!FF21:FF21, "P")+COUNTIF('Detailed Attendance'!FV21:FV21, "P")+COUNTIF('Detailed Attendance'!GD21:GD21, "P")</f>
        <v/>
      </c>
      <c r="Q19" s="46">
        <f>COUNTIF('Detailed Attendance'!M21:M21, "A")+COUNTIF('Detailed Attendance'!U21:U21, "A")+COUNTIF('Detailed Attendance'!AG21:AG21, "A")+COUNTIF('Detailed Attendance'!AO21:AO21, "A")+COUNTIF('Detailed Attendance'!BA21:BA21, "A")+COUNTIF('Detailed Attendance'!BI21:BI21, "A")+COUNTIF('Detailed Attendance'!BU21:BU21, "A")+COUNTIF('Detailed Attendance'!CC21:CC21, "A")+COUNTIF('Detailed Attendance'!CR21:CR21, "A")+COUNTIF('Detailed Attendance'!CZ21:CZ21, "A")+COUNTIF('Detailed Attendance'!DO21:DO21, "A")+COUNTIF('Detailed Attendance'!DW21:DW21, "A")+COUNTIF('Detailed Attendance'!EL21:EL21, "A")+COUNTIF('Detailed Attendance'!ET21:ET21, "A")+COUNTIF('Detailed Attendance'!FF21:FF21, "A")+COUNTIF('Detailed Attendance'!FV21:FV21, "A")+COUNTIF('Detailed Attendance'!GD21:GD21, "A")</f>
        <v/>
      </c>
      <c r="R19" s="72">
        <f>IF((P19+Q19)=0, "", P19/(P19+Q19))</f>
        <v/>
      </c>
      <c r="S19" s="46">
        <f>COUNTIF('Detailed Attendance'!CH21:CH21, "P")+COUNTIF('Detailed Attendance'!DE21:DE21, "P")+COUNTIF('Detailed Attendance'!EB21:EB21, "P")+COUNTIF('Detailed Attendance'!GI21:GI21, "P")</f>
        <v/>
      </c>
      <c r="T19" s="46">
        <f>COUNTIF('Detailed Attendance'!CH21:CH21, "A")+COUNTIF('Detailed Attendance'!DE21:DE21, "A")+COUNTIF('Detailed Attendance'!EB21:EB21, "A")+COUNTIF('Detailed Attendance'!GI21:GI21, "A")</f>
        <v/>
      </c>
      <c r="U19" s="73">
        <f>IF((S19+T19)=0, "", S19/(S19+T19))</f>
        <v/>
      </c>
      <c r="V19" s="46">
        <f>COUNTIF('Detailed Attendance'!V21:V21, "P")+COUNTIF('Detailed Attendance'!AP21:AP21, "P")+COUNTIF('Detailed Attendance'!BJ21:BJ21, "P")+COUNTIF('Detailed Attendance'!CD21:CD21, "P")+COUNTIF('Detailed Attendance'!DA21:DA21, "P")+COUNTIF('Detailed Attendance'!DX21:DX21, "P")+COUNTIF('Detailed Attendance'!EU21:EU21, "P")+COUNTIF('Detailed Attendance'!GE21:GE21, "P")</f>
        <v/>
      </c>
      <c r="W19" s="46">
        <f>COUNTIF('Detailed Attendance'!V21:V21, "A")+COUNTIF('Detailed Attendance'!AP21:AP21, "A")+COUNTIF('Detailed Attendance'!BJ21:BJ21, "A")+COUNTIF('Detailed Attendance'!CD21:CD21, "A")+COUNTIF('Detailed Attendance'!DA21:DA21, "A")+COUNTIF('Detailed Attendance'!DX21:DX21, "A")+COUNTIF('Detailed Attendance'!EU21:EU21, "A")+COUNTIF('Detailed Attendance'!GE21:GE21, "A")</f>
        <v/>
      </c>
      <c r="X19" s="73">
        <f>IF((V19+W19)=0, "", V19/(V19+W19))</f>
        <v/>
      </c>
      <c r="Y19" s="46">
        <f>COUNTIF('Detailed Attendance'!E21:E21, "P")+COUNTIF('Detailed Attendance'!Y21:Y21, "P")+COUNTIF('Detailed Attendance'!AS21:AS21, "P")+COUNTIF('Detailed Attendance'!BM21:BM21, "P")+COUNTIF('Detailed Attendance'!CJ21:CJ21, "P")+COUNTIF('Detailed Attendance'!DG21:DG21, "P")+COUNTIF('Detailed Attendance'!ED21:ED21, "P")+COUNTIF('Detailed Attendance'!EX21:EX21, "P")+COUNTIF('Detailed Attendance'!FN21:FN21, "P")</f>
        <v/>
      </c>
      <c r="Z19" s="46">
        <f>COUNTIF('Detailed Attendance'!E21:E21, "A")+COUNTIF('Detailed Attendance'!Y21:Y21, "A")+COUNTIF('Detailed Attendance'!AS21:AS21, "A")+COUNTIF('Detailed Attendance'!BM21:BM21, "A")+COUNTIF('Detailed Attendance'!CJ21:CJ21, "A")+COUNTIF('Detailed Attendance'!DG21:DG21, "A")+COUNTIF('Detailed Attendance'!ED21:ED21, "A")+COUNTIF('Detailed Attendance'!EX21:EX21, "A")+COUNTIF('Detailed Attendance'!FN21:FN21, "A")</f>
        <v/>
      </c>
      <c r="AA19" s="73">
        <f>IF((Y19+Z19)=0, "", Y19/(Y19+Z19))</f>
        <v/>
      </c>
      <c r="AB19" s="46">
        <f>S19+V19+Y19</f>
        <v/>
      </c>
      <c r="AC19" s="46">
        <f>T19+W19+Z19</f>
        <v/>
      </c>
      <c r="AD19" s="73">
        <f>IF((AB19+AC19)=0, "", AB19/(AB19+AC19))</f>
        <v/>
      </c>
      <c r="AE19" s="46" t="inlineStr">
        <is>
          <t>Batch 1</t>
        </is>
      </c>
    </row>
    <row r="20" ht="14.25" customHeight="1" s="34">
      <c r="A20" s="46" t="n">
        <v>19</v>
      </c>
      <c r="B20" s="46" t="inlineStr">
        <is>
          <t>325106410019</t>
        </is>
      </c>
      <c r="C20" s="46" t="inlineStr">
        <is>
          <t>MUSTHAKHEEM KATTUBADI</t>
        </is>
      </c>
      <c r="D20" s="46">
        <f>COUNTIF('Detailed Attendance'!R22:R22, "P")+COUNTIF('Detailed Attendance'!X22:X22, "P")+COUNTIF('Detailed Attendance'!AL22:AL22, "P")+COUNTIF('Detailed Attendance'!BF22:BF22, "P")+COUNTIF('Detailed Attendance'!BL22:BL22, "P")+COUNTIF('Detailed Attendance'!BZ22:BZ22, "P")+COUNTIF('Detailed Attendance'!CI22:CI22, "P")+COUNTIF('Detailed Attendance'!CW22:CW22, "P")+COUNTIF('Detailed Attendance'!DF22:DF22, "P")+COUNTIF('Detailed Attendance'!DT22:DT22, "P")+COUNTIF('Detailed Attendance'!EC22:EC22, "P")+COUNTIF('Detailed Attendance'!EQ22:EQ22, "P")+COUNTIF('Detailed Attendance'!EW22:EW22, "P")+COUNTIF('Detailed Attendance'!FK22:FK22, "P")+COUNTIF('Detailed Attendance'!FM22:FM22, "P")+COUNTIF('Detailed Attendance'!GA22:GA22, "P")</f>
        <v/>
      </c>
      <c r="E20" s="46">
        <f>COUNTIF('Detailed Attendance'!R22:R22, "A")+COUNTIF('Detailed Attendance'!X22:X22, "A")+COUNTIF('Detailed Attendance'!AL22:AL22, "A")+COUNTIF('Detailed Attendance'!BF22:BF22, "A")+COUNTIF('Detailed Attendance'!BL22:BL22, "A")+COUNTIF('Detailed Attendance'!BZ22:BZ22, "A")+COUNTIF('Detailed Attendance'!CI22:CI22, "A")+COUNTIF('Detailed Attendance'!CW22:CW22, "A")+COUNTIF('Detailed Attendance'!DF22:DF22, "A")+COUNTIF('Detailed Attendance'!DT22:DT22, "A")+COUNTIF('Detailed Attendance'!EC22:EC22, "A")+COUNTIF('Detailed Attendance'!EQ22:EQ22, "A")+COUNTIF('Detailed Attendance'!EW22:EW22, "A")+COUNTIF('Detailed Attendance'!FK22:FK22, "A")+COUNTIF('Detailed Attendance'!FM22:FM22, "A")+COUNTIF('Detailed Attendance'!GA22:GA22, "A")</f>
        <v/>
      </c>
      <c r="F20" s="72">
        <f>IF((D20+E20)=0, "", D20/(D20+E20))</f>
        <v/>
      </c>
      <c r="G20" s="46">
        <f>COUNTIF('Detailed Attendance'!I22:I22, "P")+COUNTIF('Detailed Attendance'!Q22:Q22, "P")+COUNTIF('Detailed Attendance'!AC22:AC22, "P")+COUNTIF('Detailed Attendance'!AK22:AK22, "P")+COUNTIF('Detailed Attendance'!AW22:AW22, "P")+COUNTIF('Detailed Attendance'!BE22:BE22, "P")+COUNTIF('Detailed Attendance'!BQ22:BQ22, "P")+COUNTIF('Detailed Attendance'!BY22:BY22, "P")+COUNTIF('Detailed Attendance'!CN22:CN22, "P")+COUNTIF('Detailed Attendance'!CV22:CV22, "P")+COUNTIF('Detailed Attendance'!DK22:DK22, "P")+COUNTIF('Detailed Attendance'!DS22:DS22, "P")+COUNTIF('Detailed Attendance'!EH22:EH22, "P")+COUNTIF('Detailed Attendance'!EP22:EP22, "P")+COUNTIF('Detailed Attendance'!FB22:FB22, "P")+COUNTIF('Detailed Attendance'!FJ22:FJ22, "P")+COUNTIF('Detailed Attendance'!FR22:FR22, "P")+COUNTIF('Detailed Attendance'!FZ22:FZ22, "P")</f>
        <v/>
      </c>
      <c r="H20" s="46">
        <f>COUNTIF('Detailed Attendance'!I22:I22, "A")+COUNTIF('Detailed Attendance'!Q22:Q22, "A")+COUNTIF('Detailed Attendance'!AC22:AC22, "A")+COUNTIF('Detailed Attendance'!AK22:AK22, "A")+COUNTIF('Detailed Attendance'!AW22:AW22, "A")+COUNTIF('Detailed Attendance'!BE22:BE22, "A")+COUNTIF('Detailed Attendance'!BQ22:BQ22, "A")+COUNTIF('Detailed Attendance'!BY22:BY22, "A")+COUNTIF('Detailed Attendance'!CN22:CN22, "A")+COUNTIF('Detailed Attendance'!CV22:CV22, "A")+COUNTIF('Detailed Attendance'!DK22:DK22, "A")+COUNTIF('Detailed Attendance'!DS22:DS22, "A")+COUNTIF('Detailed Attendance'!EH22:EH22, "A")+COUNTIF('Detailed Attendance'!EP22:EP22, "A")+COUNTIF('Detailed Attendance'!FB22:FB22, "A")+COUNTIF('Detailed Attendance'!FJ22:FJ22, "A")+COUNTIF('Detailed Attendance'!FR22:FR22, "A")+COUNTIF('Detailed Attendance'!FZ22:FZ22, "A")</f>
        <v/>
      </c>
      <c r="I20" s="72">
        <f>IF((G20+H20)=0, "", G20/(G20+H20))</f>
        <v/>
      </c>
      <c r="J20" s="46">
        <f>COUNTIF('Detailed Attendance'!L22:L22, "P")+COUNTIF('Detailed Attendance'!P22:P22, "P")+COUNTIF('Detailed Attendance'!AF22:AF22, "P")+COUNTIF('Detailed Attendance'!AJ22:AJ22, "P")+COUNTIF('Detailed Attendance'!AZ22:AZ22, "P")+COUNTIF('Detailed Attendance'!BD22:BD22, "P")+COUNTIF('Detailed Attendance'!BT22:BT22, "P")+COUNTIF('Detailed Attendance'!BX22:BX22, "P")+COUNTIF('Detailed Attendance'!CQ22:CQ22, "P")+COUNTIF('Detailed Attendance'!CU22:CU22, "P")+COUNTIF('Detailed Attendance'!DN22:DN22, "P")+COUNTIF('Detailed Attendance'!DR22:DR22, "P")+COUNTIF('Detailed Attendance'!EK22:EK22, "P")+COUNTIF('Detailed Attendance'!EO22:EO22, "P")+COUNTIF('Detailed Attendance'!FE22:FE22, "P")+COUNTIF('Detailed Attendance'!FI22:FI22, "P")+COUNTIF('Detailed Attendance'!FU22:FU22, "P")+COUNTIF('Detailed Attendance'!FY22:FY22, "P")</f>
        <v/>
      </c>
      <c r="K20" s="46">
        <f>COUNTIF('Detailed Attendance'!L22:L22, "A")+COUNTIF('Detailed Attendance'!P22:P22, "A")+COUNTIF('Detailed Attendance'!AF22:AF22, "A")+COUNTIF('Detailed Attendance'!AJ22:AJ22, "A")+COUNTIF('Detailed Attendance'!AZ22:AZ22, "A")+COUNTIF('Detailed Attendance'!BD22:BD22, "A")+COUNTIF('Detailed Attendance'!BT22:BT22, "A")+COUNTIF('Detailed Attendance'!BX22:BX22, "A")+COUNTIF('Detailed Attendance'!CQ22:CQ22, "A")+COUNTIF('Detailed Attendance'!CU22:CU22, "A")+COUNTIF('Detailed Attendance'!DN22:DN22, "A")+COUNTIF('Detailed Attendance'!DR22:DR22, "A")+COUNTIF('Detailed Attendance'!EK22:EK22, "A")+COUNTIF('Detailed Attendance'!EO22:EO22, "A")+COUNTIF('Detailed Attendance'!FE22:FE22, "A")+COUNTIF('Detailed Attendance'!FI22:FI22, "A")+COUNTIF('Detailed Attendance'!FU22:FU22, "A")+COUNTIF('Detailed Attendance'!FY22:FY22, "A")</f>
        <v/>
      </c>
      <c r="L20" s="72">
        <f>IF((J20+K20)=0, "", J20/(J20+K20))</f>
        <v/>
      </c>
      <c r="M20" s="46">
        <f>COUNTIF('Detailed Attendance'!D22:D22, "P")+COUNTIF('Detailed Attendance'!T22:T22, "P")+COUNTIF('Detailed Attendance'!AN22:AN22, "P")+COUNTIF('Detailed Attendance'!AR22:AR22, "P")+COUNTIF('Detailed Attendance'!BH22:BH22, "P")+COUNTIF('Detailed Attendance'!CB22:CB22, "P")+COUNTIF('Detailed Attendance'!CF22:CF22, "P")+COUNTIF('Detailed Attendance'!CY22:CY22, "P")+COUNTIF('Detailed Attendance'!DC22:DC22, "P")+COUNTIF('Detailed Attendance'!DV22:DV22, "P")+COUNTIF('Detailed Attendance'!DZ22:DZ22, "P")+COUNTIF('Detailed Attendance'!ES22:ES22, "P")+COUNTIF('Detailed Attendance'!GC22:GC22, "P")+COUNTIF('Detailed Attendance'!GG22:GG22, "P")</f>
        <v/>
      </c>
      <c r="N20" s="46">
        <f>COUNTIF('Detailed Attendance'!D22:D22, "A")+COUNTIF('Detailed Attendance'!T22:T22, "A")+COUNTIF('Detailed Attendance'!AN22:AN22, "A")+COUNTIF('Detailed Attendance'!AR22:AR22, "A")+COUNTIF('Detailed Attendance'!BH22:BH22, "A")+COUNTIF('Detailed Attendance'!CB22:CB22, "A")+COUNTIF('Detailed Attendance'!CF22:CF22, "A")+COUNTIF('Detailed Attendance'!CY22:CY22, "A")+COUNTIF('Detailed Attendance'!DC22:DC22, "A")+COUNTIF('Detailed Attendance'!DV22:DV22, "A")+COUNTIF('Detailed Attendance'!DZ22:DZ22, "A")+COUNTIF('Detailed Attendance'!ES22:ES22, "A")+COUNTIF('Detailed Attendance'!GC22:GC22, "A")+COUNTIF('Detailed Attendance'!GG22:GG22, "A")</f>
        <v/>
      </c>
      <c r="O20" s="72">
        <f>IF((M20+N20)=0, "", M20/(M20+N20))</f>
        <v/>
      </c>
      <c r="P20" s="46">
        <f>COUNTIF('Detailed Attendance'!M22:M22, "P")+COUNTIF('Detailed Attendance'!U22:U22, "P")+COUNTIF('Detailed Attendance'!AG22:AG22, "P")+COUNTIF('Detailed Attendance'!AO22:AO22, "P")+COUNTIF('Detailed Attendance'!BA22:BA22, "P")+COUNTIF('Detailed Attendance'!BI22:BI22, "P")+COUNTIF('Detailed Attendance'!BU22:BU22, "P")+COUNTIF('Detailed Attendance'!CC22:CC22, "P")+COUNTIF('Detailed Attendance'!CR22:CR22, "P")+COUNTIF('Detailed Attendance'!CZ22:CZ22, "P")+COUNTIF('Detailed Attendance'!DO22:DO22, "P")+COUNTIF('Detailed Attendance'!DW22:DW22, "P")+COUNTIF('Detailed Attendance'!EL22:EL22, "P")+COUNTIF('Detailed Attendance'!ET22:ET22, "P")+COUNTIF('Detailed Attendance'!FF22:FF22, "P")+COUNTIF('Detailed Attendance'!FV22:FV22, "P")+COUNTIF('Detailed Attendance'!GD22:GD22, "P")</f>
        <v/>
      </c>
      <c r="Q20" s="46">
        <f>COUNTIF('Detailed Attendance'!M22:M22, "A")+COUNTIF('Detailed Attendance'!U22:U22, "A")+COUNTIF('Detailed Attendance'!AG22:AG22, "A")+COUNTIF('Detailed Attendance'!AO22:AO22, "A")+COUNTIF('Detailed Attendance'!BA22:BA22, "A")+COUNTIF('Detailed Attendance'!BI22:BI22, "A")+COUNTIF('Detailed Attendance'!BU22:BU22, "A")+COUNTIF('Detailed Attendance'!CC22:CC22, "A")+COUNTIF('Detailed Attendance'!CR22:CR22, "A")+COUNTIF('Detailed Attendance'!CZ22:CZ22, "A")+COUNTIF('Detailed Attendance'!DO22:DO22, "A")+COUNTIF('Detailed Attendance'!DW22:DW22, "A")+COUNTIF('Detailed Attendance'!EL22:EL22, "A")+COUNTIF('Detailed Attendance'!ET22:ET22, "A")+COUNTIF('Detailed Attendance'!FF22:FF22, "A")+COUNTIF('Detailed Attendance'!FV22:FV22, "A")+COUNTIF('Detailed Attendance'!GD22:GD22, "A")</f>
        <v/>
      </c>
      <c r="R20" s="72">
        <f>IF((P20+Q20)=0, "", P20/(P20+Q20))</f>
        <v/>
      </c>
      <c r="S20" s="46">
        <f>COUNTIF('Detailed Attendance'!CH22:CH22, "P")+COUNTIF('Detailed Attendance'!DE22:DE22, "P")+COUNTIF('Detailed Attendance'!EB22:EB22, "P")+COUNTIF('Detailed Attendance'!GI22:GI22, "P")</f>
        <v/>
      </c>
      <c r="T20" s="46">
        <f>COUNTIF('Detailed Attendance'!CH22:CH22, "A")+COUNTIF('Detailed Attendance'!DE22:DE22, "A")+COUNTIF('Detailed Attendance'!EB22:EB22, "A")+COUNTIF('Detailed Attendance'!GI22:GI22, "A")</f>
        <v/>
      </c>
      <c r="U20" s="73">
        <f>IF((S20+T20)=0, "", S20/(S20+T20))</f>
        <v/>
      </c>
      <c r="V20" s="46">
        <f>COUNTIF('Detailed Attendance'!V22:V22, "P")+COUNTIF('Detailed Attendance'!AP22:AP22, "P")+COUNTIF('Detailed Attendance'!BJ22:BJ22, "P")+COUNTIF('Detailed Attendance'!CD22:CD22, "P")+COUNTIF('Detailed Attendance'!DA22:DA22, "P")+COUNTIF('Detailed Attendance'!DX22:DX22, "P")+COUNTIF('Detailed Attendance'!EU22:EU22, "P")+COUNTIF('Detailed Attendance'!GE22:GE22, "P")</f>
        <v/>
      </c>
      <c r="W20" s="46">
        <f>COUNTIF('Detailed Attendance'!V22:V22, "A")+COUNTIF('Detailed Attendance'!AP22:AP22, "A")+COUNTIF('Detailed Attendance'!BJ22:BJ22, "A")+COUNTIF('Detailed Attendance'!CD22:CD22, "A")+COUNTIF('Detailed Attendance'!DA22:DA22, "A")+COUNTIF('Detailed Attendance'!DX22:DX22, "A")+COUNTIF('Detailed Attendance'!EU22:EU22, "A")+COUNTIF('Detailed Attendance'!GE22:GE22, "A")</f>
        <v/>
      </c>
      <c r="X20" s="73">
        <f>IF((V20+W20)=0, "", V20/(V20+W20))</f>
        <v/>
      </c>
      <c r="Y20" s="46">
        <f>COUNTIF('Detailed Attendance'!E22:E22, "P")+COUNTIF('Detailed Attendance'!Y22:Y22, "P")+COUNTIF('Detailed Attendance'!AS22:AS22, "P")+COUNTIF('Detailed Attendance'!BM22:BM22, "P")+COUNTIF('Detailed Attendance'!CJ22:CJ22, "P")+COUNTIF('Detailed Attendance'!DG22:DG22, "P")+COUNTIF('Detailed Attendance'!ED22:ED22, "P")+COUNTIF('Detailed Attendance'!EX22:EX22, "P")+COUNTIF('Detailed Attendance'!FN22:FN22, "P")</f>
        <v/>
      </c>
      <c r="Z20" s="46">
        <f>COUNTIF('Detailed Attendance'!E22:E22, "A")+COUNTIF('Detailed Attendance'!Y22:Y22, "A")+COUNTIF('Detailed Attendance'!AS22:AS22, "A")+COUNTIF('Detailed Attendance'!BM22:BM22, "A")+COUNTIF('Detailed Attendance'!CJ22:CJ22, "A")+COUNTIF('Detailed Attendance'!DG22:DG22, "A")+COUNTIF('Detailed Attendance'!ED22:ED22, "A")+COUNTIF('Detailed Attendance'!EX22:EX22, "A")+COUNTIF('Detailed Attendance'!FN22:FN22, "A")</f>
        <v/>
      </c>
      <c r="AA20" s="73">
        <f>IF((Y20+Z20)=0, "", Y20/(Y20+Z20))</f>
        <v/>
      </c>
      <c r="AB20" s="46">
        <f>S20+V20+Y20</f>
        <v/>
      </c>
      <c r="AC20" s="46">
        <f>T20+W20+Z20</f>
        <v/>
      </c>
      <c r="AD20" s="73">
        <f>IF((AB20+AC20)=0, "", AB20/(AB20+AC20))</f>
        <v/>
      </c>
      <c r="AE20" s="46" t="inlineStr">
        <is>
          <t>Batch 1</t>
        </is>
      </c>
    </row>
    <row r="21" ht="14.25" customHeight="1" s="34">
      <c r="A21" s="46" t="n">
        <v>20</v>
      </c>
      <c r="B21" s="46" t="inlineStr">
        <is>
          <t>325106410020</t>
        </is>
      </c>
      <c r="C21" s="46" t="inlineStr">
        <is>
          <t>HEMA VENKATA SAI RAM CHARAN KOMMURU</t>
        </is>
      </c>
      <c r="D21" s="46">
        <f>COUNTIF('Detailed Attendance'!R23:R23, "P")+COUNTIF('Detailed Attendance'!X23:X23, "P")+COUNTIF('Detailed Attendance'!AL23:AL23, "P")+COUNTIF('Detailed Attendance'!BF23:BF23, "P")+COUNTIF('Detailed Attendance'!BL23:BL23, "P")+COUNTIF('Detailed Attendance'!BZ23:BZ23, "P")+COUNTIF('Detailed Attendance'!CI23:CI23, "P")+COUNTIF('Detailed Attendance'!CW23:CW23, "P")+COUNTIF('Detailed Attendance'!DF23:DF23, "P")+COUNTIF('Detailed Attendance'!DT23:DT23, "P")+COUNTIF('Detailed Attendance'!EC23:EC23, "P")+COUNTIF('Detailed Attendance'!EQ23:EQ23, "P")+COUNTIF('Detailed Attendance'!EW23:EW23, "P")+COUNTIF('Detailed Attendance'!FK23:FK23, "P")+COUNTIF('Detailed Attendance'!FM23:FM23, "P")+COUNTIF('Detailed Attendance'!GA23:GA23, "P")</f>
        <v/>
      </c>
      <c r="E21" s="46">
        <f>COUNTIF('Detailed Attendance'!R23:R23, "A")+COUNTIF('Detailed Attendance'!X23:X23, "A")+COUNTIF('Detailed Attendance'!AL23:AL23, "A")+COUNTIF('Detailed Attendance'!BF23:BF23, "A")+COUNTIF('Detailed Attendance'!BL23:BL23, "A")+COUNTIF('Detailed Attendance'!BZ23:BZ23, "A")+COUNTIF('Detailed Attendance'!CI23:CI23, "A")+COUNTIF('Detailed Attendance'!CW23:CW23, "A")+COUNTIF('Detailed Attendance'!DF23:DF23, "A")+COUNTIF('Detailed Attendance'!DT23:DT23, "A")+COUNTIF('Detailed Attendance'!EC23:EC23, "A")+COUNTIF('Detailed Attendance'!EQ23:EQ23, "A")+COUNTIF('Detailed Attendance'!EW23:EW23, "A")+COUNTIF('Detailed Attendance'!FK23:FK23, "A")+COUNTIF('Detailed Attendance'!FM23:FM23, "A")+COUNTIF('Detailed Attendance'!GA23:GA23, "A")</f>
        <v/>
      </c>
      <c r="F21" s="72">
        <f>IF((D21+E21)=0, "", D21/(D21+E21))</f>
        <v/>
      </c>
      <c r="G21" s="46">
        <f>COUNTIF('Detailed Attendance'!I23:I23, "P")+COUNTIF('Detailed Attendance'!Q23:Q23, "P")+COUNTIF('Detailed Attendance'!AC23:AC23, "P")+COUNTIF('Detailed Attendance'!AK23:AK23, "P")+COUNTIF('Detailed Attendance'!AW23:AW23, "P")+COUNTIF('Detailed Attendance'!BE23:BE23, "P")+COUNTIF('Detailed Attendance'!BQ23:BQ23, "P")+COUNTIF('Detailed Attendance'!BY23:BY23, "P")+COUNTIF('Detailed Attendance'!CN23:CN23, "P")+COUNTIF('Detailed Attendance'!CV23:CV23, "P")+COUNTIF('Detailed Attendance'!DK23:DK23, "P")+COUNTIF('Detailed Attendance'!DS23:DS23, "P")+COUNTIF('Detailed Attendance'!EH23:EH23, "P")+COUNTIF('Detailed Attendance'!EP23:EP23, "P")+COUNTIF('Detailed Attendance'!FB23:FB23, "P")+COUNTIF('Detailed Attendance'!FJ23:FJ23, "P")+COUNTIF('Detailed Attendance'!FR23:FR23, "P")+COUNTIF('Detailed Attendance'!FZ23:FZ23, "P")</f>
        <v/>
      </c>
      <c r="H21" s="46">
        <f>COUNTIF('Detailed Attendance'!I23:I23, "A")+COUNTIF('Detailed Attendance'!Q23:Q23, "A")+COUNTIF('Detailed Attendance'!AC23:AC23, "A")+COUNTIF('Detailed Attendance'!AK23:AK23, "A")+COUNTIF('Detailed Attendance'!AW23:AW23, "A")+COUNTIF('Detailed Attendance'!BE23:BE23, "A")+COUNTIF('Detailed Attendance'!BQ23:BQ23, "A")+COUNTIF('Detailed Attendance'!BY23:BY23, "A")+COUNTIF('Detailed Attendance'!CN23:CN23, "A")+COUNTIF('Detailed Attendance'!CV23:CV23, "A")+COUNTIF('Detailed Attendance'!DK23:DK23, "A")+COUNTIF('Detailed Attendance'!DS23:DS23, "A")+COUNTIF('Detailed Attendance'!EH23:EH23, "A")+COUNTIF('Detailed Attendance'!EP23:EP23, "A")+COUNTIF('Detailed Attendance'!FB23:FB23, "A")+COUNTIF('Detailed Attendance'!FJ23:FJ23, "A")+COUNTIF('Detailed Attendance'!FR23:FR23, "A")+COUNTIF('Detailed Attendance'!FZ23:FZ23, "A")</f>
        <v/>
      </c>
      <c r="I21" s="72">
        <f>IF((G21+H21)=0, "", G21/(G21+H21))</f>
        <v/>
      </c>
      <c r="J21" s="46">
        <f>COUNTIF('Detailed Attendance'!L23:L23, "P")+COUNTIF('Detailed Attendance'!P23:P23, "P")+COUNTIF('Detailed Attendance'!AF23:AF23, "P")+COUNTIF('Detailed Attendance'!AJ23:AJ23, "P")+COUNTIF('Detailed Attendance'!AZ23:AZ23, "P")+COUNTIF('Detailed Attendance'!BD23:BD23, "P")+COUNTIF('Detailed Attendance'!BT23:BT23, "P")+COUNTIF('Detailed Attendance'!BX23:BX23, "P")+COUNTIF('Detailed Attendance'!CQ23:CQ23, "P")+COUNTIF('Detailed Attendance'!CU23:CU23, "P")+COUNTIF('Detailed Attendance'!DN23:DN23, "P")+COUNTIF('Detailed Attendance'!DR23:DR23, "P")+COUNTIF('Detailed Attendance'!EK23:EK23, "P")+COUNTIF('Detailed Attendance'!EO23:EO23, "P")+COUNTIF('Detailed Attendance'!FE23:FE23, "P")+COUNTIF('Detailed Attendance'!FI23:FI23, "P")+COUNTIF('Detailed Attendance'!FU23:FU23, "P")+COUNTIF('Detailed Attendance'!FY23:FY23, "P")</f>
        <v/>
      </c>
      <c r="K21" s="46">
        <f>COUNTIF('Detailed Attendance'!L23:L23, "A")+COUNTIF('Detailed Attendance'!P23:P23, "A")+COUNTIF('Detailed Attendance'!AF23:AF23, "A")+COUNTIF('Detailed Attendance'!AJ23:AJ23, "A")+COUNTIF('Detailed Attendance'!AZ23:AZ23, "A")+COUNTIF('Detailed Attendance'!BD23:BD23, "A")+COUNTIF('Detailed Attendance'!BT23:BT23, "A")+COUNTIF('Detailed Attendance'!BX23:BX23, "A")+COUNTIF('Detailed Attendance'!CQ23:CQ23, "A")+COUNTIF('Detailed Attendance'!CU23:CU23, "A")+COUNTIF('Detailed Attendance'!DN23:DN23, "A")+COUNTIF('Detailed Attendance'!DR23:DR23, "A")+COUNTIF('Detailed Attendance'!EK23:EK23, "A")+COUNTIF('Detailed Attendance'!EO23:EO23, "A")+COUNTIF('Detailed Attendance'!FE23:FE23, "A")+COUNTIF('Detailed Attendance'!FI23:FI23, "A")+COUNTIF('Detailed Attendance'!FU23:FU23, "A")+COUNTIF('Detailed Attendance'!FY23:FY23, "A")</f>
        <v/>
      </c>
      <c r="L21" s="72">
        <f>IF((J21+K21)=0, "", J21/(J21+K21))</f>
        <v/>
      </c>
      <c r="M21" s="46">
        <f>COUNTIF('Detailed Attendance'!D23:D23, "P")+COUNTIF('Detailed Attendance'!T23:T23, "P")+COUNTIF('Detailed Attendance'!AN23:AN23, "P")+COUNTIF('Detailed Attendance'!AR23:AR23, "P")+COUNTIF('Detailed Attendance'!BH23:BH23, "P")+COUNTIF('Detailed Attendance'!CB23:CB23, "P")+COUNTIF('Detailed Attendance'!CF23:CF23, "P")+COUNTIF('Detailed Attendance'!CY23:CY23, "P")+COUNTIF('Detailed Attendance'!DC23:DC23, "P")+COUNTIF('Detailed Attendance'!DV23:DV23, "P")+COUNTIF('Detailed Attendance'!DZ23:DZ23, "P")+COUNTIF('Detailed Attendance'!ES23:ES23, "P")+COUNTIF('Detailed Attendance'!GC23:GC23, "P")+COUNTIF('Detailed Attendance'!GG23:GG23, "P")</f>
        <v/>
      </c>
      <c r="N21" s="46">
        <f>COUNTIF('Detailed Attendance'!D23:D23, "A")+COUNTIF('Detailed Attendance'!T23:T23, "A")+COUNTIF('Detailed Attendance'!AN23:AN23, "A")+COUNTIF('Detailed Attendance'!AR23:AR23, "A")+COUNTIF('Detailed Attendance'!BH23:BH23, "A")+COUNTIF('Detailed Attendance'!CB23:CB23, "A")+COUNTIF('Detailed Attendance'!CF23:CF23, "A")+COUNTIF('Detailed Attendance'!CY23:CY23, "A")+COUNTIF('Detailed Attendance'!DC23:DC23, "A")+COUNTIF('Detailed Attendance'!DV23:DV23, "A")+COUNTIF('Detailed Attendance'!DZ23:DZ23, "A")+COUNTIF('Detailed Attendance'!ES23:ES23, "A")+COUNTIF('Detailed Attendance'!GC23:GC23, "A")+COUNTIF('Detailed Attendance'!GG23:GG23, "A")</f>
        <v/>
      </c>
      <c r="O21" s="72">
        <f>IF((M21+N21)=0, "", M21/(M21+N21))</f>
        <v/>
      </c>
      <c r="P21" s="46">
        <f>COUNTIF('Detailed Attendance'!M23:M23, "P")+COUNTIF('Detailed Attendance'!U23:U23, "P")+COUNTIF('Detailed Attendance'!AG23:AG23, "P")+COUNTIF('Detailed Attendance'!AO23:AO23, "P")+COUNTIF('Detailed Attendance'!BA23:BA23, "P")+COUNTIF('Detailed Attendance'!BI23:BI23, "P")+COUNTIF('Detailed Attendance'!BU23:BU23, "P")+COUNTIF('Detailed Attendance'!CC23:CC23, "P")+COUNTIF('Detailed Attendance'!CR23:CR23, "P")+COUNTIF('Detailed Attendance'!CZ23:CZ23, "P")+COUNTIF('Detailed Attendance'!DO23:DO23, "P")+COUNTIF('Detailed Attendance'!DW23:DW23, "P")+COUNTIF('Detailed Attendance'!EL23:EL23, "P")+COUNTIF('Detailed Attendance'!ET23:ET23, "P")+COUNTIF('Detailed Attendance'!FF23:FF23, "P")+COUNTIF('Detailed Attendance'!FV23:FV23, "P")+COUNTIF('Detailed Attendance'!GD23:GD23, "P")</f>
        <v/>
      </c>
      <c r="Q21" s="46">
        <f>COUNTIF('Detailed Attendance'!M23:M23, "A")+COUNTIF('Detailed Attendance'!U23:U23, "A")+COUNTIF('Detailed Attendance'!AG23:AG23, "A")+COUNTIF('Detailed Attendance'!AO23:AO23, "A")+COUNTIF('Detailed Attendance'!BA23:BA23, "A")+COUNTIF('Detailed Attendance'!BI23:BI23, "A")+COUNTIF('Detailed Attendance'!BU23:BU23, "A")+COUNTIF('Detailed Attendance'!CC23:CC23, "A")+COUNTIF('Detailed Attendance'!CR23:CR23, "A")+COUNTIF('Detailed Attendance'!CZ23:CZ23, "A")+COUNTIF('Detailed Attendance'!DO23:DO23, "A")+COUNTIF('Detailed Attendance'!DW23:DW23, "A")+COUNTIF('Detailed Attendance'!EL23:EL23, "A")+COUNTIF('Detailed Attendance'!ET23:ET23, "A")+COUNTIF('Detailed Attendance'!FF23:FF23, "A")+COUNTIF('Detailed Attendance'!FV23:FV23, "A")+COUNTIF('Detailed Attendance'!GD23:GD23, "A")</f>
        <v/>
      </c>
      <c r="R21" s="72">
        <f>IF((P21+Q21)=0, "", P21/(P21+Q21))</f>
        <v/>
      </c>
      <c r="S21" s="46">
        <f>COUNTIF('Detailed Attendance'!CH23:CH23, "P")+COUNTIF('Detailed Attendance'!DE23:DE23, "P")+COUNTIF('Detailed Attendance'!EB23:EB23, "P")+COUNTIF('Detailed Attendance'!GI23:GI23, "P")</f>
        <v/>
      </c>
      <c r="T21" s="46">
        <f>COUNTIF('Detailed Attendance'!CH23:CH23, "A")+COUNTIF('Detailed Attendance'!DE23:DE23, "A")+COUNTIF('Detailed Attendance'!EB23:EB23, "A")+COUNTIF('Detailed Attendance'!GI23:GI23, "A")</f>
        <v/>
      </c>
      <c r="U21" s="73">
        <f>IF((S21+T21)=0, "", S21/(S21+T21))</f>
        <v/>
      </c>
      <c r="V21" s="46">
        <f>COUNTIF('Detailed Attendance'!V23:V23, "P")+COUNTIF('Detailed Attendance'!AP23:AP23, "P")+COUNTIF('Detailed Attendance'!BJ23:BJ23, "P")+COUNTIF('Detailed Attendance'!CD23:CD23, "P")+COUNTIF('Detailed Attendance'!DA23:DA23, "P")+COUNTIF('Detailed Attendance'!DX23:DX23, "P")+COUNTIF('Detailed Attendance'!EU23:EU23, "P")+COUNTIF('Detailed Attendance'!GE23:GE23, "P")</f>
        <v/>
      </c>
      <c r="W21" s="46">
        <f>COUNTIF('Detailed Attendance'!V23:V23, "A")+COUNTIF('Detailed Attendance'!AP23:AP23, "A")+COUNTIF('Detailed Attendance'!BJ23:BJ23, "A")+COUNTIF('Detailed Attendance'!CD23:CD23, "A")+COUNTIF('Detailed Attendance'!DA23:DA23, "A")+COUNTIF('Detailed Attendance'!DX23:DX23, "A")+COUNTIF('Detailed Attendance'!EU23:EU23, "A")+COUNTIF('Detailed Attendance'!GE23:GE23, "A")</f>
        <v/>
      </c>
      <c r="X21" s="73">
        <f>IF((V21+W21)=0, "", V21/(V21+W21))</f>
        <v/>
      </c>
      <c r="Y21" s="46">
        <f>COUNTIF('Detailed Attendance'!E23:E23, "P")+COUNTIF('Detailed Attendance'!Y23:Y23, "P")+COUNTIF('Detailed Attendance'!AS23:AS23, "P")+COUNTIF('Detailed Attendance'!BM23:BM23, "P")+COUNTIF('Detailed Attendance'!CJ23:CJ23, "P")+COUNTIF('Detailed Attendance'!DG23:DG23, "P")+COUNTIF('Detailed Attendance'!ED23:ED23, "P")+COUNTIF('Detailed Attendance'!EX23:EX23, "P")+COUNTIF('Detailed Attendance'!FN23:FN23, "P")</f>
        <v/>
      </c>
      <c r="Z21" s="46">
        <f>COUNTIF('Detailed Attendance'!E23:E23, "A")+COUNTIF('Detailed Attendance'!Y23:Y23, "A")+COUNTIF('Detailed Attendance'!AS23:AS23, "A")+COUNTIF('Detailed Attendance'!BM23:BM23, "A")+COUNTIF('Detailed Attendance'!CJ23:CJ23, "A")+COUNTIF('Detailed Attendance'!DG23:DG23, "A")+COUNTIF('Detailed Attendance'!ED23:ED23, "A")+COUNTIF('Detailed Attendance'!EX23:EX23, "A")+COUNTIF('Detailed Attendance'!FN23:FN23, "A")</f>
        <v/>
      </c>
      <c r="AA21" s="73">
        <f>IF((Y21+Z21)=0, "", Y21/(Y21+Z21))</f>
        <v/>
      </c>
      <c r="AB21" s="46">
        <f>S21+V21+Y21</f>
        <v/>
      </c>
      <c r="AC21" s="46">
        <f>T21+W21+Z21</f>
        <v/>
      </c>
      <c r="AD21" s="73">
        <f>IF((AB21+AC21)=0, "", AB21/(AB21+AC21))</f>
        <v/>
      </c>
      <c r="AE21" s="46" t="inlineStr">
        <is>
          <t>Batch 1</t>
        </is>
      </c>
    </row>
    <row r="22" ht="14.25" customHeight="1" s="34">
      <c r="A22" s="46" t="n">
        <v>21</v>
      </c>
      <c r="B22" s="46" t="inlineStr">
        <is>
          <t>325106410021</t>
        </is>
      </c>
      <c r="C22" s="46" t="inlineStr">
        <is>
          <t>MUKESH VENKATA SURYA LOGISA</t>
        </is>
      </c>
      <c r="D22" s="46">
        <f>COUNTIF('Detailed Attendance'!R24:R24, "P")+COUNTIF('Detailed Attendance'!X24:X24, "P")+COUNTIF('Detailed Attendance'!AL24:AL24, "P")+COUNTIF('Detailed Attendance'!BF24:BF24, "P")+COUNTIF('Detailed Attendance'!BL24:BL24, "P")+COUNTIF('Detailed Attendance'!BZ24:BZ24, "P")+COUNTIF('Detailed Attendance'!CI24:CI24, "P")+COUNTIF('Detailed Attendance'!CW24:CW24, "P")+COUNTIF('Detailed Attendance'!DF24:DF24, "P")+COUNTIF('Detailed Attendance'!DT24:DT24, "P")+COUNTIF('Detailed Attendance'!EC24:EC24, "P")+COUNTIF('Detailed Attendance'!EQ24:EQ24, "P")+COUNTIF('Detailed Attendance'!EW24:EW24, "P")+COUNTIF('Detailed Attendance'!FK24:FK24, "P")+COUNTIF('Detailed Attendance'!FM24:FM24, "P")+COUNTIF('Detailed Attendance'!GA24:GA24, "P")</f>
        <v/>
      </c>
      <c r="E22" s="46">
        <f>COUNTIF('Detailed Attendance'!R24:R24, "A")+COUNTIF('Detailed Attendance'!X24:X24, "A")+COUNTIF('Detailed Attendance'!AL24:AL24, "A")+COUNTIF('Detailed Attendance'!BF24:BF24, "A")+COUNTIF('Detailed Attendance'!BL24:BL24, "A")+COUNTIF('Detailed Attendance'!BZ24:BZ24, "A")+COUNTIF('Detailed Attendance'!CI24:CI24, "A")+COUNTIF('Detailed Attendance'!CW24:CW24, "A")+COUNTIF('Detailed Attendance'!DF24:DF24, "A")+COUNTIF('Detailed Attendance'!DT24:DT24, "A")+COUNTIF('Detailed Attendance'!EC24:EC24, "A")+COUNTIF('Detailed Attendance'!EQ24:EQ24, "A")+COUNTIF('Detailed Attendance'!EW24:EW24, "A")+COUNTIF('Detailed Attendance'!FK24:FK24, "A")+COUNTIF('Detailed Attendance'!FM24:FM24, "A")+COUNTIF('Detailed Attendance'!GA24:GA24, "A")</f>
        <v/>
      </c>
      <c r="F22" s="72">
        <f>IF((D22+E22)=0, "", D22/(D22+E22))</f>
        <v/>
      </c>
      <c r="G22" s="46">
        <f>COUNTIF('Detailed Attendance'!I24:I24, "P")+COUNTIF('Detailed Attendance'!Q24:Q24, "P")+COUNTIF('Detailed Attendance'!AC24:AC24, "P")+COUNTIF('Detailed Attendance'!AK24:AK24, "P")+COUNTIF('Detailed Attendance'!AW24:AW24, "P")+COUNTIF('Detailed Attendance'!BE24:BE24, "P")+COUNTIF('Detailed Attendance'!BQ24:BQ24, "P")+COUNTIF('Detailed Attendance'!BY24:BY24, "P")+COUNTIF('Detailed Attendance'!CN24:CN24, "P")+COUNTIF('Detailed Attendance'!CV24:CV24, "P")+COUNTIF('Detailed Attendance'!DK24:DK24, "P")+COUNTIF('Detailed Attendance'!DS24:DS24, "P")+COUNTIF('Detailed Attendance'!EH24:EH24, "P")+COUNTIF('Detailed Attendance'!EP24:EP24, "P")+COUNTIF('Detailed Attendance'!FB24:FB24, "P")+COUNTIF('Detailed Attendance'!FJ24:FJ24, "P")+COUNTIF('Detailed Attendance'!FR24:FR24, "P")+COUNTIF('Detailed Attendance'!FZ24:FZ24, "P")</f>
        <v/>
      </c>
      <c r="H22" s="46">
        <f>COUNTIF('Detailed Attendance'!I24:I24, "A")+COUNTIF('Detailed Attendance'!Q24:Q24, "A")+COUNTIF('Detailed Attendance'!AC24:AC24, "A")+COUNTIF('Detailed Attendance'!AK24:AK24, "A")+COUNTIF('Detailed Attendance'!AW24:AW24, "A")+COUNTIF('Detailed Attendance'!BE24:BE24, "A")+COUNTIF('Detailed Attendance'!BQ24:BQ24, "A")+COUNTIF('Detailed Attendance'!BY24:BY24, "A")+COUNTIF('Detailed Attendance'!CN24:CN24, "A")+COUNTIF('Detailed Attendance'!CV24:CV24, "A")+COUNTIF('Detailed Attendance'!DK24:DK24, "A")+COUNTIF('Detailed Attendance'!DS24:DS24, "A")+COUNTIF('Detailed Attendance'!EH24:EH24, "A")+COUNTIF('Detailed Attendance'!EP24:EP24, "A")+COUNTIF('Detailed Attendance'!FB24:FB24, "A")+COUNTIF('Detailed Attendance'!FJ24:FJ24, "A")+COUNTIF('Detailed Attendance'!FR24:FR24, "A")+COUNTIF('Detailed Attendance'!FZ24:FZ24, "A")</f>
        <v/>
      </c>
      <c r="I22" s="72">
        <f>IF((G22+H22)=0, "", G22/(G22+H22))</f>
        <v/>
      </c>
      <c r="J22" s="46">
        <f>COUNTIF('Detailed Attendance'!L24:L24, "P")+COUNTIF('Detailed Attendance'!P24:P24, "P")+COUNTIF('Detailed Attendance'!AF24:AF24, "P")+COUNTIF('Detailed Attendance'!AJ24:AJ24, "P")+COUNTIF('Detailed Attendance'!AZ24:AZ24, "P")+COUNTIF('Detailed Attendance'!BD24:BD24, "P")+COUNTIF('Detailed Attendance'!BT24:BT24, "P")+COUNTIF('Detailed Attendance'!BX24:BX24, "P")+COUNTIF('Detailed Attendance'!CQ24:CQ24, "P")+COUNTIF('Detailed Attendance'!CU24:CU24, "P")+COUNTIF('Detailed Attendance'!DN24:DN24, "P")+COUNTIF('Detailed Attendance'!DR24:DR24, "P")+COUNTIF('Detailed Attendance'!EK24:EK24, "P")+COUNTIF('Detailed Attendance'!EO24:EO24, "P")+COUNTIF('Detailed Attendance'!FE24:FE24, "P")+COUNTIF('Detailed Attendance'!FI24:FI24, "P")+COUNTIF('Detailed Attendance'!FU24:FU24, "P")+COUNTIF('Detailed Attendance'!FY24:FY24, "P")</f>
        <v/>
      </c>
      <c r="K22" s="46">
        <f>COUNTIF('Detailed Attendance'!L24:L24, "A")+COUNTIF('Detailed Attendance'!P24:P24, "A")+COUNTIF('Detailed Attendance'!AF24:AF24, "A")+COUNTIF('Detailed Attendance'!AJ24:AJ24, "A")+COUNTIF('Detailed Attendance'!AZ24:AZ24, "A")+COUNTIF('Detailed Attendance'!BD24:BD24, "A")+COUNTIF('Detailed Attendance'!BT24:BT24, "A")+COUNTIF('Detailed Attendance'!BX24:BX24, "A")+COUNTIF('Detailed Attendance'!CQ24:CQ24, "A")+COUNTIF('Detailed Attendance'!CU24:CU24, "A")+COUNTIF('Detailed Attendance'!DN24:DN24, "A")+COUNTIF('Detailed Attendance'!DR24:DR24, "A")+COUNTIF('Detailed Attendance'!EK24:EK24, "A")+COUNTIF('Detailed Attendance'!EO24:EO24, "A")+COUNTIF('Detailed Attendance'!FE24:FE24, "A")+COUNTIF('Detailed Attendance'!FI24:FI24, "A")+COUNTIF('Detailed Attendance'!FU24:FU24, "A")+COUNTIF('Detailed Attendance'!FY24:FY24, "A")</f>
        <v/>
      </c>
      <c r="L22" s="72">
        <f>IF((J22+K22)=0, "", J22/(J22+K22))</f>
        <v/>
      </c>
      <c r="M22" s="46">
        <f>COUNTIF('Detailed Attendance'!D24:D24, "P")+COUNTIF('Detailed Attendance'!T24:T24, "P")+COUNTIF('Detailed Attendance'!AN24:AN24, "P")+COUNTIF('Detailed Attendance'!AR24:AR24, "P")+COUNTIF('Detailed Attendance'!BH24:BH24, "P")+COUNTIF('Detailed Attendance'!CB24:CB24, "P")+COUNTIF('Detailed Attendance'!CF24:CF24, "P")+COUNTIF('Detailed Attendance'!CY24:CY24, "P")+COUNTIF('Detailed Attendance'!DC24:DC24, "P")+COUNTIF('Detailed Attendance'!DV24:DV24, "P")+COUNTIF('Detailed Attendance'!DZ24:DZ24, "P")+COUNTIF('Detailed Attendance'!ES24:ES24, "P")+COUNTIF('Detailed Attendance'!GC24:GC24, "P")+COUNTIF('Detailed Attendance'!GG24:GG24, "P")</f>
        <v/>
      </c>
      <c r="N22" s="46">
        <f>COUNTIF('Detailed Attendance'!D24:D24, "A")+COUNTIF('Detailed Attendance'!T24:T24, "A")+COUNTIF('Detailed Attendance'!AN24:AN24, "A")+COUNTIF('Detailed Attendance'!AR24:AR24, "A")+COUNTIF('Detailed Attendance'!BH24:BH24, "A")+COUNTIF('Detailed Attendance'!CB24:CB24, "A")+COUNTIF('Detailed Attendance'!CF24:CF24, "A")+COUNTIF('Detailed Attendance'!CY24:CY24, "A")+COUNTIF('Detailed Attendance'!DC24:DC24, "A")+COUNTIF('Detailed Attendance'!DV24:DV24, "A")+COUNTIF('Detailed Attendance'!DZ24:DZ24, "A")+COUNTIF('Detailed Attendance'!ES24:ES24, "A")+COUNTIF('Detailed Attendance'!GC24:GC24, "A")+COUNTIF('Detailed Attendance'!GG24:GG24, "A")</f>
        <v/>
      </c>
      <c r="O22" s="72">
        <f>IF((M22+N22)=0, "", M22/(M22+N22))</f>
        <v/>
      </c>
      <c r="P22" s="46">
        <f>COUNTIF('Detailed Attendance'!M24:M24, "P")+COUNTIF('Detailed Attendance'!U24:U24, "P")+COUNTIF('Detailed Attendance'!AG24:AG24, "P")+COUNTIF('Detailed Attendance'!AO24:AO24, "P")+COUNTIF('Detailed Attendance'!BA24:BA24, "P")+COUNTIF('Detailed Attendance'!BI24:BI24, "P")+COUNTIF('Detailed Attendance'!BU24:BU24, "P")+COUNTIF('Detailed Attendance'!CC24:CC24, "P")+COUNTIF('Detailed Attendance'!CR24:CR24, "P")+COUNTIF('Detailed Attendance'!CZ24:CZ24, "P")+COUNTIF('Detailed Attendance'!DO24:DO24, "P")+COUNTIF('Detailed Attendance'!DW24:DW24, "P")+COUNTIF('Detailed Attendance'!EL24:EL24, "P")+COUNTIF('Detailed Attendance'!ET24:ET24, "P")+COUNTIF('Detailed Attendance'!FF24:FF24, "P")+COUNTIF('Detailed Attendance'!FV24:FV24, "P")+COUNTIF('Detailed Attendance'!GD24:GD24, "P")</f>
        <v/>
      </c>
      <c r="Q22" s="46">
        <f>COUNTIF('Detailed Attendance'!M24:M24, "A")+COUNTIF('Detailed Attendance'!U24:U24, "A")+COUNTIF('Detailed Attendance'!AG24:AG24, "A")+COUNTIF('Detailed Attendance'!AO24:AO24, "A")+COUNTIF('Detailed Attendance'!BA24:BA24, "A")+COUNTIF('Detailed Attendance'!BI24:BI24, "A")+COUNTIF('Detailed Attendance'!BU24:BU24, "A")+COUNTIF('Detailed Attendance'!CC24:CC24, "A")+COUNTIF('Detailed Attendance'!CR24:CR24, "A")+COUNTIF('Detailed Attendance'!CZ24:CZ24, "A")+COUNTIF('Detailed Attendance'!DO24:DO24, "A")+COUNTIF('Detailed Attendance'!DW24:DW24, "A")+COUNTIF('Detailed Attendance'!EL24:EL24, "A")+COUNTIF('Detailed Attendance'!ET24:ET24, "A")+COUNTIF('Detailed Attendance'!FF24:FF24, "A")+COUNTIF('Detailed Attendance'!FV24:FV24, "A")+COUNTIF('Detailed Attendance'!GD24:GD24, "A")</f>
        <v/>
      </c>
      <c r="R22" s="72">
        <f>IF((P22+Q22)=0, "", P22/(P22+Q22))</f>
        <v/>
      </c>
      <c r="S22" s="46">
        <f>COUNTIF('Detailed Attendance'!CH24:CH24, "P")+COUNTIF('Detailed Attendance'!DE24:DE24, "P")+COUNTIF('Detailed Attendance'!EB24:EB24, "P")+COUNTIF('Detailed Attendance'!GI24:GI24, "P")</f>
        <v/>
      </c>
      <c r="T22" s="46">
        <f>COUNTIF('Detailed Attendance'!CH24:CH24, "A")+COUNTIF('Detailed Attendance'!DE24:DE24, "A")+COUNTIF('Detailed Attendance'!EB24:EB24, "A")+COUNTIF('Detailed Attendance'!GI24:GI24, "A")</f>
        <v/>
      </c>
      <c r="U22" s="73">
        <f>IF((S22+T22)=0, "", S22/(S22+T22))</f>
        <v/>
      </c>
      <c r="V22" s="46">
        <f>COUNTIF('Detailed Attendance'!V24:V24, "P")+COUNTIF('Detailed Attendance'!AP24:AP24, "P")+COUNTIF('Detailed Attendance'!BJ24:BJ24, "P")+COUNTIF('Detailed Attendance'!CD24:CD24, "P")+COUNTIF('Detailed Attendance'!DA24:DA24, "P")+COUNTIF('Detailed Attendance'!DX24:DX24, "P")+COUNTIF('Detailed Attendance'!EU24:EU24, "P")+COUNTIF('Detailed Attendance'!GE24:GE24, "P")</f>
        <v/>
      </c>
      <c r="W22" s="46">
        <f>COUNTIF('Detailed Attendance'!V24:V24, "A")+COUNTIF('Detailed Attendance'!AP24:AP24, "A")+COUNTIF('Detailed Attendance'!BJ24:BJ24, "A")+COUNTIF('Detailed Attendance'!CD24:CD24, "A")+COUNTIF('Detailed Attendance'!DA24:DA24, "A")+COUNTIF('Detailed Attendance'!DX24:DX24, "A")+COUNTIF('Detailed Attendance'!EU24:EU24, "A")+COUNTIF('Detailed Attendance'!GE24:GE24, "A")</f>
        <v/>
      </c>
      <c r="X22" s="73">
        <f>IF((V22+W22)=0, "", V22/(V22+W22))</f>
        <v/>
      </c>
      <c r="Y22" s="46">
        <f>COUNTIF('Detailed Attendance'!E24:E24, "P")+COUNTIF('Detailed Attendance'!Y24:Y24, "P")+COUNTIF('Detailed Attendance'!AS24:AS24, "P")+COUNTIF('Detailed Attendance'!BM24:BM24, "P")+COUNTIF('Detailed Attendance'!CJ24:CJ24, "P")+COUNTIF('Detailed Attendance'!DG24:DG24, "P")+COUNTIF('Detailed Attendance'!ED24:ED24, "P")+COUNTIF('Detailed Attendance'!EX24:EX24, "P")+COUNTIF('Detailed Attendance'!FN24:FN24, "P")</f>
        <v/>
      </c>
      <c r="Z22" s="46">
        <f>COUNTIF('Detailed Attendance'!E24:E24, "A")+COUNTIF('Detailed Attendance'!Y24:Y24, "A")+COUNTIF('Detailed Attendance'!AS24:AS24, "A")+COUNTIF('Detailed Attendance'!BM24:BM24, "A")+COUNTIF('Detailed Attendance'!CJ24:CJ24, "A")+COUNTIF('Detailed Attendance'!DG24:DG24, "A")+COUNTIF('Detailed Attendance'!ED24:ED24, "A")+COUNTIF('Detailed Attendance'!EX24:EX24, "A")+COUNTIF('Detailed Attendance'!FN24:FN24, "A")</f>
        <v/>
      </c>
      <c r="AA22" s="73">
        <f>IF((Y22+Z22)=0, "", Y22/(Y22+Z22))</f>
        <v/>
      </c>
      <c r="AB22" s="46">
        <f>S22+V22+Y22</f>
        <v/>
      </c>
      <c r="AC22" s="46">
        <f>T22+W22+Z22</f>
        <v/>
      </c>
      <c r="AD22" s="73">
        <f>IF((AB22+AC22)=0, "", AB22/(AB22+AC22))</f>
        <v/>
      </c>
      <c r="AE22" s="46" t="inlineStr">
        <is>
          <t>Batch 1</t>
        </is>
      </c>
    </row>
    <row r="23" ht="14.25" customHeight="1" s="34">
      <c r="A23" s="46" t="n">
        <v>22</v>
      </c>
      <c r="B23" s="46" t="inlineStr">
        <is>
          <t>325106410022</t>
        </is>
      </c>
      <c r="C23" s="46" t="inlineStr">
        <is>
          <t>RAJESH MAJJI</t>
        </is>
      </c>
      <c r="D23" s="46">
        <f>COUNTIF('Detailed Attendance'!R25:R25, "P")+COUNTIF('Detailed Attendance'!X25:X25, "P")+COUNTIF('Detailed Attendance'!AL25:AL25, "P")+COUNTIF('Detailed Attendance'!BF25:BF25, "P")+COUNTIF('Detailed Attendance'!BL25:BL25, "P")+COUNTIF('Detailed Attendance'!BZ25:BZ25, "P")+COUNTIF('Detailed Attendance'!CI25:CI25, "P")+COUNTIF('Detailed Attendance'!CW25:CW25, "P")+COUNTIF('Detailed Attendance'!DF25:DF25, "P")+COUNTIF('Detailed Attendance'!DT25:DT25, "P")+COUNTIF('Detailed Attendance'!EC25:EC25, "P")+COUNTIF('Detailed Attendance'!EQ25:EQ25, "P")+COUNTIF('Detailed Attendance'!EW25:EW25, "P")+COUNTIF('Detailed Attendance'!FK25:FK25, "P")+COUNTIF('Detailed Attendance'!FM25:FM25, "P")+COUNTIF('Detailed Attendance'!GA25:GA25, "P")</f>
        <v/>
      </c>
      <c r="E23" s="46">
        <f>COUNTIF('Detailed Attendance'!R25:R25, "A")+COUNTIF('Detailed Attendance'!X25:X25, "A")+COUNTIF('Detailed Attendance'!AL25:AL25, "A")+COUNTIF('Detailed Attendance'!BF25:BF25, "A")+COUNTIF('Detailed Attendance'!BL25:BL25, "A")+COUNTIF('Detailed Attendance'!BZ25:BZ25, "A")+COUNTIF('Detailed Attendance'!CI25:CI25, "A")+COUNTIF('Detailed Attendance'!CW25:CW25, "A")+COUNTIF('Detailed Attendance'!DF25:DF25, "A")+COUNTIF('Detailed Attendance'!DT25:DT25, "A")+COUNTIF('Detailed Attendance'!EC25:EC25, "A")+COUNTIF('Detailed Attendance'!EQ25:EQ25, "A")+COUNTIF('Detailed Attendance'!EW25:EW25, "A")+COUNTIF('Detailed Attendance'!FK25:FK25, "A")+COUNTIF('Detailed Attendance'!FM25:FM25, "A")+COUNTIF('Detailed Attendance'!GA25:GA25, "A")</f>
        <v/>
      </c>
      <c r="F23" s="72">
        <f>IF((D23+E23)=0, "", D23/(D23+E23))</f>
        <v/>
      </c>
      <c r="G23" s="46">
        <f>COUNTIF('Detailed Attendance'!I25:I25, "P")+COUNTIF('Detailed Attendance'!Q25:Q25, "P")+COUNTIF('Detailed Attendance'!AC25:AC25, "P")+COUNTIF('Detailed Attendance'!AK25:AK25, "P")+COUNTIF('Detailed Attendance'!AW25:AW25, "P")+COUNTIF('Detailed Attendance'!BE25:BE25, "P")+COUNTIF('Detailed Attendance'!BQ25:BQ25, "P")+COUNTIF('Detailed Attendance'!BY25:BY25, "P")+COUNTIF('Detailed Attendance'!CN25:CN25, "P")+COUNTIF('Detailed Attendance'!CV25:CV25, "P")+COUNTIF('Detailed Attendance'!DK25:DK25, "P")+COUNTIF('Detailed Attendance'!DS25:DS25, "P")+COUNTIF('Detailed Attendance'!EH25:EH25, "P")+COUNTIF('Detailed Attendance'!EP25:EP25, "P")+COUNTIF('Detailed Attendance'!FB25:FB25, "P")+COUNTIF('Detailed Attendance'!FJ25:FJ25, "P")+COUNTIF('Detailed Attendance'!FR25:FR25, "P")+COUNTIF('Detailed Attendance'!FZ25:FZ25, "P")</f>
        <v/>
      </c>
      <c r="H23" s="46">
        <f>COUNTIF('Detailed Attendance'!I25:I25, "A")+COUNTIF('Detailed Attendance'!Q25:Q25, "A")+COUNTIF('Detailed Attendance'!AC25:AC25, "A")+COUNTIF('Detailed Attendance'!AK25:AK25, "A")+COUNTIF('Detailed Attendance'!AW25:AW25, "A")+COUNTIF('Detailed Attendance'!BE25:BE25, "A")+COUNTIF('Detailed Attendance'!BQ25:BQ25, "A")+COUNTIF('Detailed Attendance'!BY25:BY25, "A")+COUNTIF('Detailed Attendance'!CN25:CN25, "A")+COUNTIF('Detailed Attendance'!CV25:CV25, "A")+COUNTIF('Detailed Attendance'!DK25:DK25, "A")+COUNTIF('Detailed Attendance'!DS25:DS25, "A")+COUNTIF('Detailed Attendance'!EH25:EH25, "A")+COUNTIF('Detailed Attendance'!EP25:EP25, "A")+COUNTIF('Detailed Attendance'!FB25:FB25, "A")+COUNTIF('Detailed Attendance'!FJ25:FJ25, "A")+COUNTIF('Detailed Attendance'!FR25:FR25, "A")+COUNTIF('Detailed Attendance'!FZ25:FZ25, "A")</f>
        <v/>
      </c>
      <c r="I23" s="72">
        <f>IF((G23+H23)=0, "", G23/(G23+H23))</f>
        <v/>
      </c>
      <c r="J23" s="46">
        <f>COUNTIF('Detailed Attendance'!L25:L25, "P")+COUNTIF('Detailed Attendance'!P25:P25, "P")+COUNTIF('Detailed Attendance'!AF25:AF25, "P")+COUNTIF('Detailed Attendance'!AJ25:AJ25, "P")+COUNTIF('Detailed Attendance'!AZ25:AZ25, "P")+COUNTIF('Detailed Attendance'!BD25:BD25, "P")+COUNTIF('Detailed Attendance'!BT25:BT25, "P")+COUNTIF('Detailed Attendance'!BX25:BX25, "P")+COUNTIF('Detailed Attendance'!CQ25:CQ25, "P")+COUNTIF('Detailed Attendance'!CU25:CU25, "P")+COUNTIF('Detailed Attendance'!DN25:DN25, "P")+COUNTIF('Detailed Attendance'!DR25:DR25, "P")+COUNTIF('Detailed Attendance'!EK25:EK25, "P")+COUNTIF('Detailed Attendance'!EO25:EO25, "P")+COUNTIF('Detailed Attendance'!FE25:FE25, "P")+COUNTIF('Detailed Attendance'!FI25:FI25, "P")+COUNTIF('Detailed Attendance'!FU25:FU25, "P")+COUNTIF('Detailed Attendance'!FY25:FY25, "P")</f>
        <v/>
      </c>
      <c r="K23" s="46">
        <f>COUNTIF('Detailed Attendance'!L25:L25, "A")+COUNTIF('Detailed Attendance'!P25:P25, "A")+COUNTIF('Detailed Attendance'!AF25:AF25, "A")+COUNTIF('Detailed Attendance'!AJ25:AJ25, "A")+COUNTIF('Detailed Attendance'!AZ25:AZ25, "A")+COUNTIF('Detailed Attendance'!BD25:BD25, "A")+COUNTIF('Detailed Attendance'!BT25:BT25, "A")+COUNTIF('Detailed Attendance'!BX25:BX25, "A")+COUNTIF('Detailed Attendance'!CQ25:CQ25, "A")+COUNTIF('Detailed Attendance'!CU25:CU25, "A")+COUNTIF('Detailed Attendance'!DN25:DN25, "A")+COUNTIF('Detailed Attendance'!DR25:DR25, "A")+COUNTIF('Detailed Attendance'!EK25:EK25, "A")+COUNTIF('Detailed Attendance'!EO25:EO25, "A")+COUNTIF('Detailed Attendance'!FE25:FE25, "A")+COUNTIF('Detailed Attendance'!FI25:FI25, "A")+COUNTIF('Detailed Attendance'!FU25:FU25, "A")+COUNTIF('Detailed Attendance'!FY25:FY25, "A")</f>
        <v/>
      </c>
      <c r="L23" s="72">
        <f>IF((J23+K23)=0, "", J23/(J23+K23))</f>
        <v/>
      </c>
      <c r="M23" s="46">
        <f>COUNTIF('Detailed Attendance'!D25:D25, "P")+COUNTIF('Detailed Attendance'!T25:T25, "P")+COUNTIF('Detailed Attendance'!AN25:AN25, "P")+COUNTIF('Detailed Attendance'!AR25:AR25, "P")+COUNTIF('Detailed Attendance'!BH25:BH25, "P")+COUNTIF('Detailed Attendance'!CB25:CB25, "P")+COUNTIF('Detailed Attendance'!CF25:CF25, "P")+COUNTIF('Detailed Attendance'!CY25:CY25, "P")+COUNTIF('Detailed Attendance'!DC25:DC25, "P")+COUNTIF('Detailed Attendance'!DV25:DV25, "P")+COUNTIF('Detailed Attendance'!DZ25:DZ25, "P")+COUNTIF('Detailed Attendance'!ES25:ES25, "P")+COUNTIF('Detailed Attendance'!GC25:GC25, "P")+COUNTIF('Detailed Attendance'!GG25:GG25, "P")</f>
        <v/>
      </c>
      <c r="N23" s="46">
        <f>COUNTIF('Detailed Attendance'!D25:D25, "A")+COUNTIF('Detailed Attendance'!T25:T25, "A")+COUNTIF('Detailed Attendance'!AN25:AN25, "A")+COUNTIF('Detailed Attendance'!AR25:AR25, "A")+COUNTIF('Detailed Attendance'!BH25:BH25, "A")+COUNTIF('Detailed Attendance'!CB25:CB25, "A")+COUNTIF('Detailed Attendance'!CF25:CF25, "A")+COUNTIF('Detailed Attendance'!CY25:CY25, "A")+COUNTIF('Detailed Attendance'!DC25:DC25, "A")+COUNTIF('Detailed Attendance'!DV25:DV25, "A")+COUNTIF('Detailed Attendance'!DZ25:DZ25, "A")+COUNTIF('Detailed Attendance'!ES25:ES25, "A")+COUNTIF('Detailed Attendance'!GC25:GC25, "A")+COUNTIF('Detailed Attendance'!GG25:GG25, "A")</f>
        <v/>
      </c>
      <c r="O23" s="72">
        <f>IF((M23+N23)=0, "", M23/(M23+N23))</f>
        <v/>
      </c>
      <c r="P23" s="46">
        <f>COUNTIF('Detailed Attendance'!M25:M25, "P")+COUNTIF('Detailed Attendance'!U25:U25, "P")+COUNTIF('Detailed Attendance'!AG25:AG25, "P")+COUNTIF('Detailed Attendance'!AO25:AO25, "P")+COUNTIF('Detailed Attendance'!BA25:BA25, "P")+COUNTIF('Detailed Attendance'!BI25:BI25, "P")+COUNTIF('Detailed Attendance'!BU25:BU25, "P")+COUNTIF('Detailed Attendance'!CC25:CC25, "P")+COUNTIF('Detailed Attendance'!CR25:CR25, "P")+COUNTIF('Detailed Attendance'!CZ25:CZ25, "P")+COUNTIF('Detailed Attendance'!DO25:DO25, "P")+COUNTIF('Detailed Attendance'!DW25:DW25, "P")+COUNTIF('Detailed Attendance'!EL25:EL25, "P")+COUNTIF('Detailed Attendance'!ET25:ET25, "P")+COUNTIF('Detailed Attendance'!FF25:FF25, "P")+COUNTIF('Detailed Attendance'!FV25:FV25, "P")+COUNTIF('Detailed Attendance'!GD25:GD25, "P")</f>
        <v/>
      </c>
      <c r="Q23" s="46">
        <f>COUNTIF('Detailed Attendance'!M25:M25, "A")+COUNTIF('Detailed Attendance'!U25:U25, "A")+COUNTIF('Detailed Attendance'!AG25:AG25, "A")+COUNTIF('Detailed Attendance'!AO25:AO25, "A")+COUNTIF('Detailed Attendance'!BA25:BA25, "A")+COUNTIF('Detailed Attendance'!BI25:BI25, "A")+COUNTIF('Detailed Attendance'!BU25:BU25, "A")+COUNTIF('Detailed Attendance'!CC25:CC25, "A")+COUNTIF('Detailed Attendance'!CR25:CR25, "A")+COUNTIF('Detailed Attendance'!CZ25:CZ25, "A")+COUNTIF('Detailed Attendance'!DO25:DO25, "A")+COUNTIF('Detailed Attendance'!DW25:DW25, "A")+COUNTIF('Detailed Attendance'!EL25:EL25, "A")+COUNTIF('Detailed Attendance'!ET25:ET25, "A")+COUNTIF('Detailed Attendance'!FF25:FF25, "A")+COUNTIF('Detailed Attendance'!FV25:FV25, "A")+COUNTIF('Detailed Attendance'!GD25:GD25, "A")</f>
        <v/>
      </c>
      <c r="R23" s="72">
        <f>IF((P23+Q23)=0, "", P23/(P23+Q23))</f>
        <v/>
      </c>
      <c r="S23" s="46">
        <f>COUNTIF('Detailed Attendance'!CH25:CH25, "P")+COUNTIF('Detailed Attendance'!DE25:DE25, "P")+COUNTIF('Detailed Attendance'!EB25:EB25, "P")+COUNTIF('Detailed Attendance'!GI25:GI25, "P")</f>
        <v/>
      </c>
      <c r="T23" s="46">
        <f>COUNTIF('Detailed Attendance'!CH25:CH25, "A")+COUNTIF('Detailed Attendance'!DE25:DE25, "A")+COUNTIF('Detailed Attendance'!EB25:EB25, "A")+COUNTIF('Detailed Attendance'!GI25:GI25, "A")</f>
        <v/>
      </c>
      <c r="U23" s="73">
        <f>IF((S23+T23)=0, "", S23/(S23+T23))</f>
        <v/>
      </c>
      <c r="V23" s="46">
        <f>COUNTIF('Detailed Attendance'!V25:V25, "P")+COUNTIF('Detailed Attendance'!AP25:AP25, "P")+COUNTIF('Detailed Attendance'!BJ25:BJ25, "P")+COUNTIF('Detailed Attendance'!CD25:CD25, "P")+COUNTIF('Detailed Attendance'!DA25:DA25, "P")+COUNTIF('Detailed Attendance'!DX25:DX25, "P")+COUNTIF('Detailed Attendance'!EU25:EU25, "P")+COUNTIF('Detailed Attendance'!GE25:GE25, "P")</f>
        <v/>
      </c>
      <c r="W23" s="46">
        <f>COUNTIF('Detailed Attendance'!V25:V25, "A")+COUNTIF('Detailed Attendance'!AP25:AP25, "A")+COUNTIF('Detailed Attendance'!BJ25:BJ25, "A")+COUNTIF('Detailed Attendance'!CD25:CD25, "A")+COUNTIF('Detailed Attendance'!DA25:DA25, "A")+COUNTIF('Detailed Attendance'!DX25:DX25, "A")+COUNTIF('Detailed Attendance'!EU25:EU25, "A")+COUNTIF('Detailed Attendance'!GE25:GE25, "A")</f>
        <v/>
      </c>
      <c r="X23" s="73">
        <f>IF((V23+W23)=0, "", V23/(V23+W23))</f>
        <v/>
      </c>
      <c r="Y23" s="46">
        <f>COUNTIF('Detailed Attendance'!E25:E25, "P")+COUNTIF('Detailed Attendance'!Y25:Y25, "P")+COUNTIF('Detailed Attendance'!AS25:AS25, "P")+COUNTIF('Detailed Attendance'!BM25:BM25, "P")+COUNTIF('Detailed Attendance'!CJ25:CJ25, "P")+COUNTIF('Detailed Attendance'!DG25:DG25, "P")+COUNTIF('Detailed Attendance'!ED25:ED25, "P")+COUNTIF('Detailed Attendance'!EX25:EX25, "P")+COUNTIF('Detailed Attendance'!FN25:FN25, "P")</f>
        <v/>
      </c>
      <c r="Z23" s="46">
        <f>COUNTIF('Detailed Attendance'!E25:E25, "A")+COUNTIF('Detailed Attendance'!Y25:Y25, "A")+COUNTIF('Detailed Attendance'!AS25:AS25, "A")+COUNTIF('Detailed Attendance'!BM25:BM25, "A")+COUNTIF('Detailed Attendance'!CJ25:CJ25, "A")+COUNTIF('Detailed Attendance'!DG25:DG25, "A")+COUNTIF('Detailed Attendance'!ED25:ED25, "A")+COUNTIF('Detailed Attendance'!EX25:EX25, "A")+COUNTIF('Detailed Attendance'!FN25:FN25, "A")</f>
        <v/>
      </c>
      <c r="AA23" s="73">
        <f>IF((Y23+Z23)=0, "", Y23/(Y23+Z23))</f>
        <v/>
      </c>
      <c r="AB23" s="46">
        <f>S23+V23+Y23</f>
        <v/>
      </c>
      <c r="AC23" s="46">
        <f>T23+W23+Z23</f>
        <v/>
      </c>
      <c r="AD23" s="73">
        <f>IF((AB23+AC23)=0, "", AB23/(AB23+AC23))</f>
        <v/>
      </c>
      <c r="AE23" s="46" t="inlineStr">
        <is>
          <t>Batch 1</t>
        </is>
      </c>
    </row>
    <row r="24" ht="14.25" customHeight="1" s="34">
      <c r="A24" s="46" t="n">
        <v>23</v>
      </c>
      <c r="B24" s="46" t="inlineStr">
        <is>
          <t>325106410023</t>
        </is>
      </c>
      <c r="C24" s="46" t="inlineStr">
        <is>
          <t>SIVA SAI ANIRUDH MAMIDI</t>
        </is>
      </c>
      <c r="D24" s="46">
        <f>COUNTIF('Detailed Attendance'!R26:R26, "P")+COUNTIF('Detailed Attendance'!X26:X26, "P")+COUNTIF('Detailed Attendance'!AL26:AL26, "P")+COUNTIF('Detailed Attendance'!BF26:BF26, "P")+COUNTIF('Detailed Attendance'!BL26:BL26, "P")+COUNTIF('Detailed Attendance'!BZ26:BZ26, "P")+COUNTIF('Detailed Attendance'!CI26:CI26, "P")+COUNTIF('Detailed Attendance'!CW26:CW26, "P")+COUNTIF('Detailed Attendance'!DF26:DF26, "P")+COUNTIF('Detailed Attendance'!DT26:DT26, "P")+COUNTIF('Detailed Attendance'!EC26:EC26, "P")+COUNTIF('Detailed Attendance'!EQ26:EQ26, "P")+COUNTIF('Detailed Attendance'!EW26:EW26, "P")+COUNTIF('Detailed Attendance'!FK26:FK26, "P")+COUNTIF('Detailed Attendance'!FM26:FM26, "P")+COUNTIF('Detailed Attendance'!GA26:GA26, "P")</f>
        <v/>
      </c>
      <c r="E24" s="46">
        <f>COUNTIF('Detailed Attendance'!R26:R26, "A")+COUNTIF('Detailed Attendance'!X26:X26, "A")+COUNTIF('Detailed Attendance'!AL26:AL26, "A")+COUNTIF('Detailed Attendance'!BF26:BF26, "A")+COUNTIF('Detailed Attendance'!BL26:BL26, "A")+COUNTIF('Detailed Attendance'!BZ26:BZ26, "A")+COUNTIF('Detailed Attendance'!CI26:CI26, "A")+COUNTIF('Detailed Attendance'!CW26:CW26, "A")+COUNTIF('Detailed Attendance'!DF26:DF26, "A")+COUNTIF('Detailed Attendance'!DT26:DT26, "A")+COUNTIF('Detailed Attendance'!EC26:EC26, "A")+COUNTIF('Detailed Attendance'!EQ26:EQ26, "A")+COUNTIF('Detailed Attendance'!EW26:EW26, "A")+COUNTIF('Detailed Attendance'!FK26:FK26, "A")+COUNTIF('Detailed Attendance'!FM26:FM26, "A")+COUNTIF('Detailed Attendance'!GA26:GA26, "A")</f>
        <v/>
      </c>
      <c r="F24" s="72">
        <f>IF((D24+E24)=0, "", D24/(D24+E24))</f>
        <v/>
      </c>
      <c r="G24" s="46">
        <f>COUNTIF('Detailed Attendance'!I26:I26, "P")+COUNTIF('Detailed Attendance'!Q26:Q26, "P")+COUNTIF('Detailed Attendance'!AC26:AC26, "P")+COUNTIF('Detailed Attendance'!AK26:AK26, "P")+COUNTIF('Detailed Attendance'!AW26:AW26, "P")+COUNTIF('Detailed Attendance'!BE26:BE26, "P")+COUNTIF('Detailed Attendance'!BQ26:BQ26, "P")+COUNTIF('Detailed Attendance'!BY26:BY26, "P")+COUNTIF('Detailed Attendance'!CN26:CN26, "P")+COUNTIF('Detailed Attendance'!CV26:CV26, "P")+COUNTIF('Detailed Attendance'!DK26:DK26, "P")+COUNTIF('Detailed Attendance'!DS26:DS26, "P")+COUNTIF('Detailed Attendance'!EH26:EH26, "P")+COUNTIF('Detailed Attendance'!EP26:EP26, "P")+COUNTIF('Detailed Attendance'!FB26:FB26, "P")+COUNTIF('Detailed Attendance'!FJ26:FJ26, "P")+COUNTIF('Detailed Attendance'!FR26:FR26, "P")+COUNTIF('Detailed Attendance'!FZ26:FZ26, "P")</f>
        <v/>
      </c>
      <c r="H24" s="46">
        <f>COUNTIF('Detailed Attendance'!I26:I26, "A")+COUNTIF('Detailed Attendance'!Q26:Q26, "A")+COUNTIF('Detailed Attendance'!AC26:AC26, "A")+COUNTIF('Detailed Attendance'!AK26:AK26, "A")+COUNTIF('Detailed Attendance'!AW26:AW26, "A")+COUNTIF('Detailed Attendance'!BE26:BE26, "A")+COUNTIF('Detailed Attendance'!BQ26:BQ26, "A")+COUNTIF('Detailed Attendance'!BY26:BY26, "A")+COUNTIF('Detailed Attendance'!CN26:CN26, "A")+COUNTIF('Detailed Attendance'!CV26:CV26, "A")+COUNTIF('Detailed Attendance'!DK26:DK26, "A")+COUNTIF('Detailed Attendance'!DS26:DS26, "A")+COUNTIF('Detailed Attendance'!EH26:EH26, "A")+COUNTIF('Detailed Attendance'!EP26:EP26, "A")+COUNTIF('Detailed Attendance'!FB26:FB26, "A")+COUNTIF('Detailed Attendance'!FJ26:FJ26, "A")+COUNTIF('Detailed Attendance'!FR26:FR26, "A")+COUNTIF('Detailed Attendance'!FZ26:FZ26, "A")</f>
        <v/>
      </c>
      <c r="I24" s="72">
        <f>IF((G24+H24)=0, "", G24/(G24+H24))</f>
        <v/>
      </c>
      <c r="J24" s="46">
        <f>COUNTIF('Detailed Attendance'!L26:L26, "P")+COUNTIF('Detailed Attendance'!P26:P26, "P")+COUNTIF('Detailed Attendance'!AF26:AF26, "P")+COUNTIF('Detailed Attendance'!AJ26:AJ26, "P")+COUNTIF('Detailed Attendance'!AZ26:AZ26, "P")+COUNTIF('Detailed Attendance'!BD26:BD26, "P")+COUNTIF('Detailed Attendance'!BT26:BT26, "P")+COUNTIF('Detailed Attendance'!BX26:BX26, "P")+COUNTIF('Detailed Attendance'!CQ26:CQ26, "P")+COUNTIF('Detailed Attendance'!CU26:CU26, "P")+COUNTIF('Detailed Attendance'!DN26:DN26, "P")+COUNTIF('Detailed Attendance'!DR26:DR26, "P")+COUNTIF('Detailed Attendance'!EK26:EK26, "P")+COUNTIF('Detailed Attendance'!EO26:EO26, "P")+COUNTIF('Detailed Attendance'!FE26:FE26, "P")+COUNTIF('Detailed Attendance'!FI26:FI26, "P")+COUNTIF('Detailed Attendance'!FU26:FU26, "P")+COUNTIF('Detailed Attendance'!FY26:FY26, "P")</f>
        <v/>
      </c>
      <c r="K24" s="46">
        <f>COUNTIF('Detailed Attendance'!L26:L26, "A")+COUNTIF('Detailed Attendance'!P26:P26, "A")+COUNTIF('Detailed Attendance'!AF26:AF26, "A")+COUNTIF('Detailed Attendance'!AJ26:AJ26, "A")+COUNTIF('Detailed Attendance'!AZ26:AZ26, "A")+COUNTIF('Detailed Attendance'!BD26:BD26, "A")+COUNTIF('Detailed Attendance'!BT26:BT26, "A")+COUNTIF('Detailed Attendance'!BX26:BX26, "A")+COUNTIF('Detailed Attendance'!CQ26:CQ26, "A")+COUNTIF('Detailed Attendance'!CU26:CU26, "A")+COUNTIF('Detailed Attendance'!DN26:DN26, "A")+COUNTIF('Detailed Attendance'!DR26:DR26, "A")+COUNTIF('Detailed Attendance'!EK26:EK26, "A")+COUNTIF('Detailed Attendance'!EO26:EO26, "A")+COUNTIF('Detailed Attendance'!FE26:FE26, "A")+COUNTIF('Detailed Attendance'!FI26:FI26, "A")+COUNTIF('Detailed Attendance'!FU26:FU26, "A")+COUNTIF('Detailed Attendance'!FY26:FY26, "A")</f>
        <v/>
      </c>
      <c r="L24" s="72">
        <f>IF((J24+K24)=0, "", J24/(J24+K24))</f>
        <v/>
      </c>
      <c r="M24" s="46">
        <f>COUNTIF('Detailed Attendance'!D26:D26, "P")+COUNTIF('Detailed Attendance'!T26:T26, "P")+COUNTIF('Detailed Attendance'!AN26:AN26, "P")+COUNTIF('Detailed Attendance'!AR26:AR26, "P")+COUNTIF('Detailed Attendance'!BH26:BH26, "P")+COUNTIF('Detailed Attendance'!CB26:CB26, "P")+COUNTIF('Detailed Attendance'!CF26:CF26, "P")+COUNTIF('Detailed Attendance'!CY26:CY26, "P")+COUNTIF('Detailed Attendance'!DC26:DC26, "P")+COUNTIF('Detailed Attendance'!DV26:DV26, "P")+COUNTIF('Detailed Attendance'!DZ26:DZ26, "P")+COUNTIF('Detailed Attendance'!ES26:ES26, "P")+COUNTIF('Detailed Attendance'!GC26:GC26, "P")+COUNTIF('Detailed Attendance'!GG26:GG26, "P")</f>
        <v/>
      </c>
      <c r="N24" s="46">
        <f>COUNTIF('Detailed Attendance'!D26:D26, "A")+COUNTIF('Detailed Attendance'!T26:T26, "A")+COUNTIF('Detailed Attendance'!AN26:AN26, "A")+COUNTIF('Detailed Attendance'!AR26:AR26, "A")+COUNTIF('Detailed Attendance'!BH26:BH26, "A")+COUNTIF('Detailed Attendance'!CB26:CB26, "A")+COUNTIF('Detailed Attendance'!CF26:CF26, "A")+COUNTIF('Detailed Attendance'!CY26:CY26, "A")+COUNTIF('Detailed Attendance'!DC26:DC26, "A")+COUNTIF('Detailed Attendance'!DV26:DV26, "A")+COUNTIF('Detailed Attendance'!DZ26:DZ26, "A")+COUNTIF('Detailed Attendance'!ES26:ES26, "A")+COUNTIF('Detailed Attendance'!GC26:GC26, "A")+COUNTIF('Detailed Attendance'!GG26:GG26, "A")</f>
        <v/>
      </c>
      <c r="O24" s="72">
        <f>IF((M24+N24)=0, "", M24/(M24+N24))</f>
        <v/>
      </c>
      <c r="P24" s="46">
        <f>COUNTIF('Detailed Attendance'!M26:M26, "P")+COUNTIF('Detailed Attendance'!U26:U26, "P")+COUNTIF('Detailed Attendance'!AG26:AG26, "P")+COUNTIF('Detailed Attendance'!AO26:AO26, "P")+COUNTIF('Detailed Attendance'!BA26:BA26, "P")+COUNTIF('Detailed Attendance'!BI26:BI26, "P")+COUNTIF('Detailed Attendance'!BU26:BU26, "P")+COUNTIF('Detailed Attendance'!CC26:CC26, "P")+COUNTIF('Detailed Attendance'!CR26:CR26, "P")+COUNTIF('Detailed Attendance'!CZ26:CZ26, "P")+COUNTIF('Detailed Attendance'!DO26:DO26, "P")+COUNTIF('Detailed Attendance'!DW26:DW26, "P")+COUNTIF('Detailed Attendance'!EL26:EL26, "P")+COUNTIF('Detailed Attendance'!ET26:ET26, "P")+COUNTIF('Detailed Attendance'!FF26:FF26, "P")+COUNTIF('Detailed Attendance'!FV26:FV26, "P")+COUNTIF('Detailed Attendance'!GD26:GD26, "P")</f>
        <v/>
      </c>
      <c r="Q24" s="46">
        <f>COUNTIF('Detailed Attendance'!M26:M26, "A")+COUNTIF('Detailed Attendance'!U26:U26, "A")+COUNTIF('Detailed Attendance'!AG26:AG26, "A")+COUNTIF('Detailed Attendance'!AO26:AO26, "A")+COUNTIF('Detailed Attendance'!BA26:BA26, "A")+COUNTIF('Detailed Attendance'!BI26:BI26, "A")+COUNTIF('Detailed Attendance'!BU26:BU26, "A")+COUNTIF('Detailed Attendance'!CC26:CC26, "A")+COUNTIF('Detailed Attendance'!CR26:CR26, "A")+COUNTIF('Detailed Attendance'!CZ26:CZ26, "A")+COUNTIF('Detailed Attendance'!DO26:DO26, "A")+COUNTIF('Detailed Attendance'!DW26:DW26, "A")+COUNTIF('Detailed Attendance'!EL26:EL26, "A")+COUNTIF('Detailed Attendance'!ET26:ET26, "A")+COUNTIF('Detailed Attendance'!FF26:FF26, "A")+COUNTIF('Detailed Attendance'!FV26:FV26, "A")+COUNTIF('Detailed Attendance'!GD26:GD26, "A")</f>
        <v/>
      </c>
      <c r="R24" s="72">
        <f>IF((P24+Q24)=0, "", P24/(P24+Q24))</f>
        <v/>
      </c>
      <c r="S24" s="46">
        <f>COUNTIF('Detailed Attendance'!CH26:CH26, "P")+COUNTIF('Detailed Attendance'!DE26:DE26, "P")+COUNTIF('Detailed Attendance'!EB26:EB26, "P")+COUNTIF('Detailed Attendance'!GI26:GI26, "P")</f>
        <v/>
      </c>
      <c r="T24" s="46">
        <f>COUNTIF('Detailed Attendance'!CH26:CH26, "A")+COUNTIF('Detailed Attendance'!DE26:DE26, "A")+COUNTIF('Detailed Attendance'!EB26:EB26, "A")+COUNTIF('Detailed Attendance'!GI26:GI26, "A")</f>
        <v/>
      </c>
      <c r="U24" s="73">
        <f>IF((S24+T24)=0, "", S24/(S24+T24))</f>
        <v/>
      </c>
      <c r="V24" s="46">
        <f>COUNTIF('Detailed Attendance'!V26:V26, "P")+COUNTIF('Detailed Attendance'!AP26:AP26, "P")+COUNTIF('Detailed Attendance'!BJ26:BJ26, "P")+COUNTIF('Detailed Attendance'!CD26:CD26, "P")+COUNTIF('Detailed Attendance'!DA26:DA26, "P")+COUNTIF('Detailed Attendance'!DX26:DX26, "P")+COUNTIF('Detailed Attendance'!EU26:EU26, "P")+COUNTIF('Detailed Attendance'!GE26:GE26, "P")</f>
        <v/>
      </c>
      <c r="W24" s="46">
        <f>COUNTIF('Detailed Attendance'!V26:V26, "A")+COUNTIF('Detailed Attendance'!AP26:AP26, "A")+COUNTIF('Detailed Attendance'!BJ26:BJ26, "A")+COUNTIF('Detailed Attendance'!CD26:CD26, "A")+COUNTIF('Detailed Attendance'!DA26:DA26, "A")+COUNTIF('Detailed Attendance'!DX26:DX26, "A")+COUNTIF('Detailed Attendance'!EU26:EU26, "A")+COUNTIF('Detailed Attendance'!GE26:GE26, "A")</f>
        <v/>
      </c>
      <c r="X24" s="73">
        <f>IF((V24+W24)=0, "", V24/(V24+W24))</f>
        <v/>
      </c>
      <c r="Y24" s="46">
        <f>COUNTIF('Detailed Attendance'!E26:E26, "P")+COUNTIF('Detailed Attendance'!Y26:Y26, "P")+COUNTIF('Detailed Attendance'!AS26:AS26, "P")+COUNTIF('Detailed Attendance'!BM26:BM26, "P")+COUNTIF('Detailed Attendance'!CJ26:CJ26, "P")+COUNTIF('Detailed Attendance'!DG26:DG26, "P")+COUNTIF('Detailed Attendance'!ED26:ED26, "P")+COUNTIF('Detailed Attendance'!EX26:EX26, "P")+COUNTIF('Detailed Attendance'!FN26:FN26, "P")</f>
        <v/>
      </c>
      <c r="Z24" s="46">
        <f>COUNTIF('Detailed Attendance'!E26:E26, "A")+COUNTIF('Detailed Attendance'!Y26:Y26, "A")+COUNTIF('Detailed Attendance'!AS26:AS26, "A")+COUNTIF('Detailed Attendance'!BM26:BM26, "A")+COUNTIF('Detailed Attendance'!CJ26:CJ26, "A")+COUNTIF('Detailed Attendance'!DG26:DG26, "A")+COUNTIF('Detailed Attendance'!ED26:ED26, "A")+COUNTIF('Detailed Attendance'!EX26:EX26, "A")+COUNTIF('Detailed Attendance'!FN26:FN26, "A")</f>
        <v/>
      </c>
      <c r="AA24" s="73">
        <f>IF((Y24+Z24)=0, "", Y24/(Y24+Z24))</f>
        <v/>
      </c>
      <c r="AB24" s="46">
        <f>S24+V24+Y24</f>
        <v/>
      </c>
      <c r="AC24" s="46">
        <f>T24+W24+Z24</f>
        <v/>
      </c>
      <c r="AD24" s="73">
        <f>IF((AB24+AC24)=0, "", AB24/(AB24+AC24))</f>
        <v/>
      </c>
      <c r="AE24" s="46" t="inlineStr">
        <is>
          <t>Batch 1</t>
        </is>
      </c>
    </row>
    <row r="25" ht="14.25" customHeight="1" s="34">
      <c r="A25" s="46" t="n">
        <v>24</v>
      </c>
      <c r="B25" s="46" t="inlineStr">
        <is>
          <t>325106410024</t>
        </is>
      </c>
      <c r="C25" s="46" t="inlineStr">
        <is>
          <t>MUTYALA GAYATRI MANTHA</t>
        </is>
      </c>
      <c r="D25" s="46">
        <f>COUNTIF('Detailed Attendance'!R27:R27, "P")+COUNTIF('Detailed Attendance'!X27:X27, "P")+COUNTIF('Detailed Attendance'!AL27:AL27, "P")+COUNTIF('Detailed Attendance'!BF27:BF27, "P")+COUNTIF('Detailed Attendance'!BL27:BL27, "P")+COUNTIF('Detailed Attendance'!BZ27:BZ27, "P")+COUNTIF('Detailed Attendance'!CI27:CI27, "P")+COUNTIF('Detailed Attendance'!CW27:CW27, "P")+COUNTIF('Detailed Attendance'!DF27:DF27, "P")+COUNTIF('Detailed Attendance'!DT27:DT27, "P")+COUNTIF('Detailed Attendance'!EC27:EC27, "P")+COUNTIF('Detailed Attendance'!EQ27:EQ27, "P")+COUNTIF('Detailed Attendance'!EW27:EW27, "P")+COUNTIF('Detailed Attendance'!FK27:FK27, "P")+COUNTIF('Detailed Attendance'!FM27:FM27, "P")+COUNTIF('Detailed Attendance'!GA27:GA27, "P")</f>
        <v/>
      </c>
      <c r="E25" s="46">
        <f>COUNTIF('Detailed Attendance'!R27:R27, "A")+COUNTIF('Detailed Attendance'!X27:X27, "A")+COUNTIF('Detailed Attendance'!AL27:AL27, "A")+COUNTIF('Detailed Attendance'!BF27:BF27, "A")+COUNTIF('Detailed Attendance'!BL27:BL27, "A")+COUNTIF('Detailed Attendance'!BZ27:BZ27, "A")+COUNTIF('Detailed Attendance'!CI27:CI27, "A")+COUNTIF('Detailed Attendance'!CW27:CW27, "A")+COUNTIF('Detailed Attendance'!DF27:DF27, "A")+COUNTIF('Detailed Attendance'!DT27:DT27, "A")+COUNTIF('Detailed Attendance'!EC27:EC27, "A")+COUNTIF('Detailed Attendance'!EQ27:EQ27, "A")+COUNTIF('Detailed Attendance'!EW27:EW27, "A")+COUNTIF('Detailed Attendance'!FK27:FK27, "A")+COUNTIF('Detailed Attendance'!FM27:FM27, "A")+COUNTIF('Detailed Attendance'!GA27:GA27, "A")</f>
        <v/>
      </c>
      <c r="F25" s="72">
        <f>IF((D25+E25)=0, "", D25/(D25+E25))</f>
        <v/>
      </c>
      <c r="G25" s="46">
        <f>COUNTIF('Detailed Attendance'!I27:I27, "P")+COUNTIF('Detailed Attendance'!Q27:Q27, "P")+COUNTIF('Detailed Attendance'!AC27:AC27, "P")+COUNTIF('Detailed Attendance'!AK27:AK27, "P")+COUNTIF('Detailed Attendance'!AW27:AW27, "P")+COUNTIF('Detailed Attendance'!BE27:BE27, "P")+COUNTIF('Detailed Attendance'!BQ27:BQ27, "P")+COUNTIF('Detailed Attendance'!BY27:BY27, "P")+COUNTIF('Detailed Attendance'!CN27:CN27, "P")+COUNTIF('Detailed Attendance'!CV27:CV27, "P")+COUNTIF('Detailed Attendance'!DK27:DK27, "P")+COUNTIF('Detailed Attendance'!DS27:DS27, "P")+COUNTIF('Detailed Attendance'!EH27:EH27, "P")+COUNTIF('Detailed Attendance'!EP27:EP27, "P")+COUNTIF('Detailed Attendance'!FB27:FB27, "P")+COUNTIF('Detailed Attendance'!FJ27:FJ27, "P")+COUNTIF('Detailed Attendance'!FR27:FR27, "P")+COUNTIF('Detailed Attendance'!FZ27:FZ27, "P")</f>
        <v/>
      </c>
      <c r="H25" s="46">
        <f>COUNTIF('Detailed Attendance'!I27:I27, "A")+COUNTIF('Detailed Attendance'!Q27:Q27, "A")+COUNTIF('Detailed Attendance'!AC27:AC27, "A")+COUNTIF('Detailed Attendance'!AK27:AK27, "A")+COUNTIF('Detailed Attendance'!AW27:AW27, "A")+COUNTIF('Detailed Attendance'!BE27:BE27, "A")+COUNTIF('Detailed Attendance'!BQ27:BQ27, "A")+COUNTIF('Detailed Attendance'!BY27:BY27, "A")+COUNTIF('Detailed Attendance'!CN27:CN27, "A")+COUNTIF('Detailed Attendance'!CV27:CV27, "A")+COUNTIF('Detailed Attendance'!DK27:DK27, "A")+COUNTIF('Detailed Attendance'!DS27:DS27, "A")+COUNTIF('Detailed Attendance'!EH27:EH27, "A")+COUNTIF('Detailed Attendance'!EP27:EP27, "A")+COUNTIF('Detailed Attendance'!FB27:FB27, "A")+COUNTIF('Detailed Attendance'!FJ27:FJ27, "A")+COUNTIF('Detailed Attendance'!FR27:FR27, "A")+COUNTIF('Detailed Attendance'!FZ27:FZ27, "A")</f>
        <v/>
      </c>
      <c r="I25" s="72">
        <f>IF((G25+H25)=0, "", G25/(G25+H25))</f>
        <v/>
      </c>
      <c r="J25" s="46">
        <f>COUNTIF('Detailed Attendance'!L27:L27, "P")+COUNTIF('Detailed Attendance'!P27:P27, "P")+COUNTIF('Detailed Attendance'!AF27:AF27, "P")+COUNTIF('Detailed Attendance'!AJ27:AJ27, "P")+COUNTIF('Detailed Attendance'!AZ27:AZ27, "P")+COUNTIF('Detailed Attendance'!BD27:BD27, "P")+COUNTIF('Detailed Attendance'!BT27:BT27, "P")+COUNTIF('Detailed Attendance'!BX27:BX27, "P")+COUNTIF('Detailed Attendance'!CQ27:CQ27, "P")+COUNTIF('Detailed Attendance'!CU27:CU27, "P")+COUNTIF('Detailed Attendance'!DN27:DN27, "P")+COUNTIF('Detailed Attendance'!DR27:DR27, "P")+COUNTIF('Detailed Attendance'!EK27:EK27, "P")+COUNTIF('Detailed Attendance'!EO27:EO27, "P")+COUNTIF('Detailed Attendance'!FE27:FE27, "P")+COUNTIF('Detailed Attendance'!FI27:FI27, "P")+COUNTIF('Detailed Attendance'!FU27:FU27, "P")+COUNTIF('Detailed Attendance'!FY27:FY27, "P")</f>
        <v/>
      </c>
      <c r="K25" s="46">
        <f>COUNTIF('Detailed Attendance'!L27:L27, "A")+COUNTIF('Detailed Attendance'!P27:P27, "A")+COUNTIF('Detailed Attendance'!AF27:AF27, "A")+COUNTIF('Detailed Attendance'!AJ27:AJ27, "A")+COUNTIF('Detailed Attendance'!AZ27:AZ27, "A")+COUNTIF('Detailed Attendance'!BD27:BD27, "A")+COUNTIF('Detailed Attendance'!BT27:BT27, "A")+COUNTIF('Detailed Attendance'!BX27:BX27, "A")+COUNTIF('Detailed Attendance'!CQ27:CQ27, "A")+COUNTIF('Detailed Attendance'!CU27:CU27, "A")+COUNTIF('Detailed Attendance'!DN27:DN27, "A")+COUNTIF('Detailed Attendance'!DR27:DR27, "A")+COUNTIF('Detailed Attendance'!EK27:EK27, "A")+COUNTIF('Detailed Attendance'!EO27:EO27, "A")+COUNTIF('Detailed Attendance'!FE27:FE27, "A")+COUNTIF('Detailed Attendance'!FI27:FI27, "A")+COUNTIF('Detailed Attendance'!FU27:FU27, "A")+COUNTIF('Detailed Attendance'!FY27:FY27, "A")</f>
        <v/>
      </c>
      <c r="L25" s="72">
        <f>IF((J25+K25)=0, "", J25/(J25+K25))</f>
        <v/>
      </c>
      <c r="M25" s="46">
        <f>COUNTIF('Detailed Attendance'!D27:D27, "P")+COUNTIF('Detailed Attendance'!T27:T27, "P")+COUNTIF('Detailed Attendance'!AN27:AN27, "P")+COUNTIF('Detailed Attendance'!AR27:AR27, "P")+COUNTIF('Detailed Attendance'!BH27:BH27, "P")+COUNTIF('Detailed Attendance'!CB27:CB27, "P")+COUNTIF('Detailed Attendance'!CF27:CF27, "P")+COUNTIF('Detailed Attendance'!CY27:CY27, "P")+COUNTIF('Detailed Attendance'!DC27:DC27, "P")+COUNTIF('Detailed Attendance'!DV27:DV27, "P")+COUNTIF('Detailed Attendance'!DZ27:DZ27, "P")+COUNTIF('Detailed Attendance'!ES27:ES27, "P")+COUNTIF('Detailed Attendance'!GC27:GC27, "P")+COUNTIF('Detailed Attendance'!GG27:GG27, "P")</f>
        <v/>
      </c>
      <c r="N25" s="46">
        <f>COUNTIF('Detailed Attendance'!D27:D27, "A")+COUNTIF('Detailed Attendance'!T27:T27, "A")+COUNTIF('Detailed Attendance'!AN27:AN27, "A")+COUNTIF('Detailed Attendance'!AR27:AR27, "A")+COUNTIF('Detailed Attendance'!BH27:BH27, "A")+COUNTIF('Detailed Attendance'!CB27:CB27, "A")+COUNTIF('Detailed Attendance'!CF27:CF27, "A")+COUNTIF('Detailed Attendance'!CY27:CY27, "A")+COUNTIF('Detailed Attendance'!DC27:DC27, "A")+COUNTIF('Detailed Attendance'!DV27:DV27, "A")+COUNTIF('Detailed Attendance'!DZ27:DZ27, "A")+COUNTIF('Detailed Attendance'!ES27:ES27, "A")+COUNTIF('Detailed Attendance'!GC27:GC27, "A")+COUNTIF('Detailed Attendance'!GG27:GG27, "A")</f>
        <v/>
      </c>
      <c r="O25" s="72">
        <f>IF((M25+N25)=0, "", M25/(M25+N25))</f>
        <v/>
      </c>
      <c r="P25" s="46">
        <f>COUNTIF('Detailed Attendance'!M27:M27, "P")+COUNTIF('Detailed Attendance'!U27:U27, "P")+COUNTIF('Detailed Attendance'!AG27:AG27, "P")+COUNTIF('Detailed Attendance'!AO27:AO27, "P")+COUNTIF('Detailed Attendance'!BA27:BA27, "P")+COUNTIF('Detailed Attendance'!BI27:BI27, "P")+COUNTIF('Detailed Attendance'!BU27:BU27, "P")+COUNTIF('Detailed Attendance'!CC27:CC27, "P")+COUNTIF('Detailed Attendance'!CR27:CR27, "P")+COUNTIF('Detailed Attendance'!CZ27:CZ27, "P")+COUNTIF('Detailed Attendance'!DO27:DO27, "P")+COUNTIF('Detailed Attendance'!DW27:DW27, "P")+COUNTIF('Detailed Attendance'!EL27:EL27, "P")+COUNTIF('Detailed Attendance'!ET27:ET27, "P")+COUNTIF('Detailed Attendance'!FF27:FF27, "P")+COUNTIF('Detailed Attendance'!FV27:FV27, "P")+COUNTIF('Detailed Attendance'!GD27:GD27, "P")</f>
        <v/>
      </c>
      <c r="Q25" s="46">
        <f>COUNTIF('Detailed Attendance'!M27:M27, "A")+COUNTIF('Detailed Attendance'!U27:U27, "A")+COUNTIF('Detailed Attendance'!AG27:AG27, "A")+COUNTIF('Detailed Attendance'!AO27:AO27, "A")+COUNTIF('Detailed Attendance'!BA27:BA27, "A")+COUNTIF('Detailed Attendance'!BI27:BI27, "A")+COUNTIF('Detailed Attendance'!BU27:BU27, "A")+COUNTIF('Detailed Attendance'!CC27:CC27, "A")+COUNTIF('Detailed Attendance'!CR27:CR27, "A")+COUNTIF('Detailed Attendance'!CZ27:CZ27, "A")+COUNTIF('Detailed Attendance'!DO27:DO27, "A")+COUNTIF('Detailed Attendance'!DW27:DW27, "A")+COUNTIF('Detailed Attendance'!EL27:EL27, "A")+COUNTIF('Detailed Attendance'!ET27:ET27, "A")+COUNTIF('Detailed Attendance'!FF27:FF27, "A")+COUNTIF('Detailed Attendance'!FV27:FV27, "A")+COUNTIF('Detailed Attendance'!GD27:GD27, "A")</f>
        <v/>
      </c>
      <c r="R25" s="72">
        <f>IF((P25+Q25)=0, "", P25/(P25+Q25))</f>
        <v/>
      </c>
      <c r="S25" s="46">
        <f>COUNTIF('Detailed Attendance'!CH27:CH27, "P")+COUNTIF('Detailed Attendance'!DE27:DE27, "P")+COUNTIF('Detailed Attendance'!EB27:EB27, "P")+COUNTIF('Detailed Attendance'!GI27:GI27, "P")</f>
        <v/>
      </c>
      <c r="T25" s="46">
        <f>COUNTIF('Detailed Attendance'!CH27:CH27, "A")+COUNTIF('Detailed Attendance'!DE27:DE27, "A")+COUNTIF('Detailed Attendance'!EB27:EB27, "A")+COUNTIF('Detailed Attendance'!GI27:GI27, "A")</f>
        <v/>
      </c>
      <c r="U25" s="73">
        <f>IF((S25+T25)=0, "", S25/(S25+T25))</f>
        <v/>
      </c>
      <c r="V25" s="46">
        <f>COUNTIF('Detailed Attendance'!V27:V27, "P")+COUNTIF('Detailed Attendance'!AP27:AP27, "P")+COUNTIF('Detailed Attendance'!BJ27:BJ27, "P")+COUNTIF('Detailed Attendance'!CD27:CD27, "P")+COUNTIF('Detailed Attendance'!DA27:DA27, "P")+COUNTIF('Detailed Attendance'!DX27:DX27, "P")+COUNTIF('Detailed Attendance'!EU27:EU27, "P")+COUNTIF('Detailed Attendance'!GE27:GE27, "P")</f>
        <v/>
      </c>
      <c r="W25" s="46">
        <f>COUNTIF('Detailed Attendance'!V27:V27, "A")+COUNTIF('Detailed Attendance'!AP27:AP27, "A")+COUNTIF('Detailed Attendance'!BJ27:BJ27, "A")+COUNTIF('Detailed Attendance'!CD27:CD27, "A")+COUNTIF('Detailed Attendance'!DA27:DA27, "A")+COUNTIF('Detailed Attendance'!DX27:DX27, "A")+COUNTIF('Detailed Attendance'!EU27:EU27, "A")+COUNTIF('Detailed Attendance'!GE27:GE27, "A")</f>
        <v/>
      </c>
      <c r="X25" s="73">
        <f>IF((V25+W25)=0, "", V25/(V25+W25))</f>
        <v/>
      </c>
      <c r="Y25" s="46">
        <f>COUNTIF('Detailed Attendance'!E27:E27, "P")+COUNTIF('Detailed Attendance'!Y27:Y27, "P")+COUNTIF('Detailed Attendance'!AS27:AS27, "P")+COUNTIF('Detailed Attendance'!BM27:BM27, "P")+COUNTIF('Detailed Attendance'!CJ27:CJ27, "P")+COUNTIF('Detailed Attendance'!DG27:DG27, "P")+COUNTIF('Detailed Attendance'!ED27:ED27, "P")+COUNTIF('Detailed Attendance'!EX27:EX27, "P")+COUNTIF('Detailed Attendance'!FN27:FN27, "P")</f>
        <v/>
      </c>
      <c r="Z25" s="46">
        <f>COUNTIF('Detailed Attendance'!E27:E27, "A")+COUNTIF('Detailed Attendance'!Y27:Y27, "A")+COUNTIF('Detailed Attendance'!AS27:AS27, "A")+COUNTIF('Detailed Attendance'!BM27:BM27, "A")+COUNTIF('Detailed Attendance'!CJ27:CJ27, "A")+COUNTIF('Detailed Attendance'!DG27:DG27, "A")+COUNTIF('Detailed Attendance'!ED27:ED27, "A")+COUNTIF('Detailed Attendance'!EX27:EX27, "A")+COUNTIF('Detailed Attendance'!FN27:FN27, "A")</f>
        <v/>
      </c>
      <c r="AA25" s="73">
        <f>IF((Y25+Z25)=0, "", Y25/(Y25+Z25))</f>
        <v/>
      </c>
      <c r="AB25" s="46">
        <f>S25+V25+Y25</f>
        <v/>
      </c>
      <c r="AC25" s="46">
        <f>T25+W25+Z25</f>
        <v/>
      </c>
      <c r="AD25" s="73">
        <f>IF((AB25+AC25)=0, "", AB25/(AB25+AC25))</f>
        <v/>
      </c>
      <c r="AE25" s="46" t="inlineStr">
        <is>
          <t>Batch 1</t>
        </is>
      </c>
    </row>
    <row r="26" ht="14.25" customHeight="1" s="34">
      <c r="A26" s="46" t="n">
        <v>25</v>
      </c>
      <c r="B26" s="46" t="inlineStr">
        <is>
          <t>325106410025</t>
        </is>
      </c>
      <c r="C26" s="46" t="inlineStr">
        <is>
          <t>GAGANA SRI MANUPATI</t>
        </is>
      </c>
      <c r="D26" s="46">
        <f>COUNTIF('Detailed Attendance'!R28:R28, "P")+COUNTIF('Detailed Attendance'!X28:X28, "P")+COUNTIF('Detailed Attendance'!AL28:AL28, "P")+COUNTIF('Detailed Attendance'!BF28:BF28, "P")+COUNTIF('Detailed Attendance'!BL28:BL28, "P")+COUNTIF('Detailed Attendance'!BZ28:BZ28, "P")+COUNTIF('Detailed Attendance'!CI28:CI28, "P")+COUNTIF('Detailed Attendance'!CW28:CW28, "P")+COUNTIF('Detailed Attendance'!DF28:DF28, "P")+COUNTIF('Detailed Attendance'!DT28:DT28, "P")+COUNTIF('Detailed Attendance'!EC28:EC28, "P")+COUNTIF('Detailed Attendance'!EQ28:EQ28, "P")+COUNTIF('Detailed Attendance'!EW28:EW28, "P")+COUNTIF('Detailed Attendance'!FK28:FK28, "P")+COUNTIF('Detailed Attendance'!FM28:FM28, "P")+COUNTIF('Detailed Attendance'!GA28:GA28, "P")</f>
        <v/>
      </c>
      <c r="E26" s="46">
        <f>COUNTIF('Detailed Attendance'!R28:R28, "A")+COUNTIF('Detailed Attendance'!X28:X28, "A")+COUNTIF('Detailed Attendance'!AL28:AL28, "A")+COUNTIF('Detailed Attendance'!BF28:BF28, "A")+COUNTIF('Detailed Attendance'!BL28:BL28, "A")+COUNTIF('Detailed Attendance'!BZ28:BZ28, "A")+COUNTIF('Detailed Attendance'!CI28:CI28, "A")+COUNTIF('Detailed Attendance'!CW28:CW28, "A")+COUNTIF('Detailed Attendance'!DF28:DF28, "A")+COUNTIF('Detailed Attendance'!DT28:DT28, "A")+COUNTIF('Detailed Attendance'!EC28:EC28, "A")+COUNTIF('Detailed Attendance'!EQ28:EQ28, "A")+COUNTIF('Detailed Attendance'!EW28:EW28, "A")+COUNTIF('Detailed Attendance'!FK28:FK28, "A")+COUNTIF('Detailed Attendance'!FM28:FM28, "A")+COUNTIF('Detailed Attendance'!GA28:GA28, "A")</f>
        <v/>
      </c>
      <c r="F26" s="72">
        <f>IF((D26+E26)=0, "", D26/(D26+E26))</f>
        <v/>
      </c>
      <c r="G26" s="46">
        <f>COUNTIF('Detailed Attendance'!I28:I28, "P")+COUNTIF('Detailed Attendance'!Q28:Q28, "P")+COUNTIF('Detailed Attendance'!AC28:AC28, "P")+COUNTIF('Detailed Attendance'!AK28:AK28, "P")+COUNTIF('Detailed Attendance'!AW28:AW28, "P")+COUNTIF('Detailed Attendance'!BE28:BE28, "P")+COUNTIF('Detailed Attendance'!BQ28:BQ28, "P")+COUNTIF('Detailed Attendance'!BY28:BY28, "P")+COUNTIF('Detailed Attendance'!CN28:CN28, "P")+COUNTIF('Detailed Attendance'!CV28:CV28, "P")+COUNTIF('Detailed Attendance'!DK28:DK28, "P")+COUNTIF('Detailed Attendance'!DS28:DS28, "P")+COUNTIF('Detailed Attendance'!EH28:EH28, "P")+COUNTIF('Detailed Attendance'!EP28:EP28, "P")+COUNTIF('Detailed Attendance'!FB28:FB28, "P")+COUNTIF('Detailed Attendance'!FJ28:FJ28, "P")+COUNTIF('Detailed Attendance'!FR28:FR28, "P")+COUNTIF('Detailed Attendance'!FZ28:FZ28, "P")</f>
        <v/>
      </c>
      <c r="H26" s="46">
        <f>COUNTIF('Detailed Attendance'!I28:I28, "A")+COUNTIF('Detailed Attendance'!Q28:Q28, "A")+COUNTIF('Detailed Attendance'!AC28:AC28, "A")+COUNTIF('Detailed Attendance'!AK28:AK28, "A")+COUNTIF('Detailed Attendance'!AW28:AW28, "A")+COUNTIF('Detailed Attendance'!BE28:BE28, "A")+COUNTIF('Detailed Attendance'!BQ28:BQ28, "A")+COUNTIF('Detailed Attendance'!BY28:BY28, "A")+COUNTIF('Detailed Attendance'!CN28:CN28, "A")+COUNTIF('Detailed Attendance'!CV28:CV28, "A")+COUNTIF('Detailed Attendance'!DK28:DK28, "A")+COUNTIF('Detailed Attendance'!DS28:DS28, "A")+COUNTIF('Detailed Attendance'!EH28:EH28, "A")+COUNTIF('Detailed Attendance'!EP28:EP28, "A")+COUNTIF('Detailed Attendance'!FB28:FB28, "A")+COUNTIF('Detailed Attendance'!FJ28:FJ28, "A")+COUNTIF('Detailed Attendance'!FR28:FR28, "A")+COUNTIF('Detailed Attendance'!FZ28:FZ28, "A")</f>
        <v/>
      </c>
      <c r="I26" s="72">
        <f>IF((G26+H26)=0, "", G26/(G26+H26))</f>
        <v/>
      </c>
      <c r="J26" s="46">
        <f>COUNTIF('Detailed Attendance'!L28:L28, "P")+COUNTIF('Detailed Attendance'!P28:P28, "P")+COUNTIF('Detailed Attendance'!AF28:AF28, "P")+COUNTIF('Detailed Attendance'!AJ28:AJ28, "P")+COUNTIF('Detailed Attendance'!AZ28:AZ28, "P")+COUNTIF('Detailed Attendance'!BD28:BD28, "P")+COUNTIF('Detailed Attendance'!BT28:BT28, "P")+COUNTIF('Detailed Attendance'!BX28:BX28, "P")+COUNTIF('Detailed Attendance'!CQ28:CQ28, "P")+COUNTIF('Detailed Attendance'!CU28:CU28, "P")+COUNTIF('Detailed Attendance'!DN28:DN28, "P")+COUNTIF('Detailed Attendance'!DR28:DR28, "P")+COUNTIF('Detailed Attendance'!EK28:EK28, "P")+COUNTIF('Detailed Attendance'!EO28:EO28, "P")+COUNTIF('Detailed Attendance'!FE28:FE28, "P")+COUNTIF('Detailed Attendance'!FI28:FI28, "P")+COUNTIF('Detailed Attendance'!FU28:FU28, "P")+COUNTIF('Detailed Attendance'!FY28:FY28, "P")</f>
        <v/>
      </c>
      <c r="K26" s="46">
        <f>COUNTIF('Detailed Attendance'!L28:L28, "A")+COUNTIF('Detailed Attendance'!P28:P28, "A")+COUNTIF('Detailed Attendance'!AF28:AF28, "A")+COUNTIF('Detailed Attendance'!AJ28:AJ28, "A")+COUNTIF('Detailed Attendance'!AZ28:AZ28, "A")+COUNTIF('Detailed Attendance'!BD28:BD28, "A")+COUNTIF('Detailed Attendance'!BT28:BT28, "A")+COUNTIF('Detailed Attendance'!BX28:BX28, "A")+COUNTIF('Detailed Attendance'!CQ28:CQ28, "A")+COUNTIF('Detailed Attendance'!CU28:CU28, "A")+COUNTIF('Detailed Attendance'!DN28:DN28, "A")+COUNTIF('Detailed Attendance'!DR28:DR28, "A")+COUNTIF('Detailed Attendance'!EK28:EK28, "A")+COUNTIF('Detailed Attendance'!EO28:EO28, "A")+COUNTIF('Detailed Attendance'!FE28:FE28, "A")+COUNTIF('Detailed Attendance'!FI28:FI28, "A")+COUNTIF('Detailed Attendance'!FU28:FU28, "A")+COUNTIF('Detailed Attendance'!FY28:FY28, "A")</f>
        <v/>
      </c>
      <c r="L26" s="72">
        <f>IF((J26+K26)=0, "", J26/(J26+K26))</f>
        <v/>
      </c>
      <c r="M26" s="46">
        <f>COUNTIF('Detailed Attendance'!D28:D28, "P")+COUNTIF('Detailed Attendance'!T28:T28, "P")+COUNTIF('Detailed Attendance'!AN28:AN28, "P")+COUNTIF('Detailed Attendance'!AR28:AR28, "P")+COUNTIF('Detailed Attendance'!BH28:BH28, "P")+COUNTIF('Detailed Attendance'!CB28:CB28, "P")+COUNTIF('Detailed Attendance'!CF28:CF28, "P")+COUNTIF('Detailed Attendance'!CY28:CY28, "P")+COUNTIF('Detailed Attendance'!DC28:DC28, "P")+COUNTIF('Detailed Attendance'!DV28:DV28, "P")+COUNTIF('Detailed Attendance'!DZ28:DZ28, "P")+COUNTIF('Detailed Attendance'!ES28:ES28, "P")+COUNTIF('Detailed Attendance'!GC28:GC28, "P")+COUNTIF('Detailed Attendance'!GG28:GG28, "P")</f>
        <v/>
      </c>
      <c r="N26" s="46">
        <f>COUNTIF('Detailed Attendance'!D28:D28, "A")+COUNTIF('Detailed Attendance'!T28:T28, "A")+COUNTIF('Detailed Attendance'!AN28:AN28, "A")+COUNTIF('Detailed Attendance'!AR28:AR28, "A")+COUNTIF('Detailed Attendance'!BH28:BH28, "A")+COUNTIF('Detailed Attendance'!CB28:CB28, "A")+COUNTIF('Detailed Attendance'!CF28:CF28, "A")+COUNTIF('Detailed Attendance'!CY28:CY28, "A")+COUNTIF('Detailed Attendance'!DC28:DC28, "A")+COUNTIF('Detailed Attendance'!DV28:DV28, "A")+COUNTIF('Detailed Attendance'!DZ28:DZ28, "A")+COUNTIF('Detailed Attendance'!ES28:ES28, "A")+COUNTIF('Detailed Attendance'!GC28:GC28, "A")+COUNTIF('Detailed Attendance'!GG28:GG28, "A")</f>
        <v/>
      </c>
      <c r="O26" s="72">
        <f>IF((M26+N26)=0, "", M26/(M26+N26))</f>
        <v/>
      </c>
      <c r="P26" s="46">
        <f>COUNTIF('Detailed Attendance'!M28:M28, "P")+COUNTIF('Detailed Attendance'!U28:U28, "P")+COUNTIF('Detailed Attendance'!AG28:AG28, "P")+COUNTIF('Detailed Attendance'!AO28:AO28, "P")+COUNTIF('Detailed Attendance'!BA28:BA28, "P")+COUNTIF('Detailed Attendance'!BI28:BI28, "P")+COUNTIF('Detailed Attendance'!BU28:BU28, "P")+COUNTIF('Detailed Attendance'!CC28:CC28, "P")+COUNTIF('Detailed Attendance'!CR28:CR28, "P")+COUNTIF('Detailed Attendance'!CZ28:CZ28, "P")+COUNTIF('Detailed Attendance'!DO28:DO28, "P")+COUNTIF('Detailed Attendance'!DW28:DW28, "P")+COUNTIF('Detailed Attendance'!EL28:EL28, "P")+COUNTIF('Detailed Attendance'!ET28:ET28, "P")+COUNTIF('Detailed Attendance'!FF28:FF28, "P")+COUNTIF('Detailed Attendance'!FV28:FV28, "P")+COUNTIF('Detailed Attendance'!GD28:GD28, "P")</f>
        <v/>
      </c>
      <c r="Q26" s="46">
        <f>COUNTIF('Detailed Attendance'!M28:M28, "A")+COUNTIF('Detailed Attendance'!U28:U28, "A")+COUNTIF('Detailed Attendance'!AG28:AG28, "A")+COUNTIF('Detailed Attendance'!AO28:AO28, "A")+COUNTIF('Detailed Attendance'!BA28:BA28, "A")+COUNTIF('Detailed Attendance'!BI28:BI28, "A")+COUNTIF('Detailed Attendance'!BU28:BU28, "A")+COUNTIF('Detailed Attendance'!CC28:CC28, "A")+COUNTIF('Detailed Attendance'!CR28:CR28, "A")+COUNTIF('Detailed Attendance'!CZ28:CZ28, "A")+COUNTIF('Detailed Attendance'!DO28:DO28, "A")+COUNTIF('Detailed Attendance'!DW28:DW28, "A")+COUNTIF('Detailed Attendance'!EL28:EL28, "A")+COUNTIF('Detailed Attendance'!ET28:ET28, "A")+COUNTIF('Detailed Attendance'!FF28:FF28, "A")+COUNTIF('Detailed Attendance'!FV28:FV28, "A")+COUNTIF('Detailed Attendance'!GD28:GD28, "A")</f>
        <v/>
      </c>
      <c r="R26" s="72">
        <f>IF((P26+Q26)=0, "", P26/(P26+Q26))</f>
        <v/>
      </c>
      <c r="S26" s="46">
        <f>COUNTIF('Detailed Attendance'!CH28:CH28, "P")+COUNTIF('Detailed Attendance'!DE28:DE28, "P")+COUNTIF('Detailed Attendance'!EB28:EB28, "P")+COUNTIF('Detailed Attendance'!GI28:GI28, "P")</f>
        <v/>
      </c>
      <c r="T26" s="46">
        <f>COUNTIF('Detailed Attendance'!CH28:CH28, "A")+COUNTIF('Detailed Attendance'!DE28:DE28, "A")+COUNTIF('Detailed Attendance'!EB28:EB28, "A")+COUNTIF('Detailed Attendance'!GI28:GI28, "A")</f>
        <v/>
      </c>
      <c r="U26" s="73">
        <f>IF((S26+T26)=0, "", S26/(S26+T26))</f>
        <v/>
      </c>
      <c r="V26" s="46">
        <f>COUNTIF('Detailed Attendance'!V28:V28, "P")+COUNTIF('Detailed Attendance'!AP28:AP28, "P")+COUNTIF('Detailed Attendance'!BJ28:BJ28, "P")+COUNTIF('Detailed Attendance'!CD28:CD28, "P")+COUNTIF('Detailed Attendance'!DA28:DA28, "P")+COUNTIF('Detailed Attendance'!DX28:DX28, "P")+COUNTIF('Detailed Attendance'!EU28:EU28, "P")+COUNTIF('Detailed Attendance'!GE28:GE28, "P")</f>
        <v/>
      </c>
      <c r="W26" s="46">
        <f>COUNTIF('Detailed Attendance'!V28:V28, "A")+COUNTIF('Detailed Attendance'!AP28:AP28, "A")+COUNTIF('Detailed Attendance'!BJ28:BJ28, "A")+COUNTIF('Detailed Attendance'!CD28:CD28, "A")+COUNTIF('Detailed Attendance'!DA28:DA28, "A")+COUNTIF('Detailed Attendance'!DX28:DX28, "A")+COUNTIF('Detailed Attendance'!EU28:EU28, "A")+COUNTIF('Detailed Attendance'!GE28:GE28, "A")</f>
        <v/>
      </c>
      <c r="X26" s="73">
        <f>IF((V26+W26)=0, "", V26/(V26+W26))</f>
        <v/>
      </c>
      <c r="Y26" s="46">
        <f>COUNTIF('Detailed Attendance'!E28:E28, "P")+COUNTIF('Detailed Attendance'!Y28:Y28, "P")+COUNTIF('Detailed Attendance'!AS28:AS28, "P")+COUNTIF('Detailed Attendance'!BM28:BM28, "P")+COUNTIF('Detailed Attendance'!CJ28:CJ28, "P")+COUNTIF('Detailed Attendance'!DG28:DG28, "P")+COUNTIF('Detailed Attendance'!ED28:ED28, "P")+COUNTIF('Detailed Attendance'!EX28:EX28, "P")+COUNTIF('Detailed Attendance'!FN28:FN28, "P")</f>
        <v/>
      </c>
      <c r="Z26" s="46">
        <f>COUNTIF('Detailed Attendance'!E28:E28, "A")+COUNTIF('Detailed Attendance'!Y28:Y28, "A")+COUNTIF('Detailed Attendance'!AS28:AS28, "A")+COUNTIF('Detailed Attendance'!BM28:BM28, "A")+COUNTIF('Detailed Attendance'!CJ28:CJ28, "A")+COUNTIF('Detailed Attendance'!DG28:DG28, "A")+COUNTIF('Detailed Attendance'!ED28:ED28, "A")+COUNTIF('Detailed Attendance'!EX28:EX28, "A")+COUNTIF('Detailed Attendance'!FN28:FN28, "A")</f>
        <v/>
      </c>
      <c r="AA26" s="73">
        <f>IF((Y26+Z26)=0, "", Y26/(Y26+Z26))</f>
        <v/>
      </c>
      <c r="AB26" s="46">
        <f>S26+V26+Y26</f>
        <v/>
      </c>
      <c r="AC26" s="46">
        <f>T26+W26+Z26</f>
        <v/>
      </c>
      <c r="AD26" s="73">
        <f>IF((AB26+AC26)=0, "", AB26/(AB26+AC26))</f>
        <v/>
      </c>
      <c r="AE26" s="46" t="inlineStr">
        <is>
          <t>Batch 1</t>
        </is>
      </c>
    </row>
    <row r="27" ht="14.25" customHeight="1" s="34">
      <c r="A27" s="46" t="n">
        <v>26</v>
      </c>
      <c r="B27" s="46" t="inlineStr">
        <is>
          <t>325106410026</t>
        </is>
      </c>
      <c r="C27" s="46" t="inlineStr">
        <is>
          <t>RISHI NAVANTH MATTA</t>
        </is>
      </c>
      <c r="D27" s="46">
        <f>COUNTIF('Detailed Attendance'!R29:R29, "P")+COUNTIF('Detailed Attendance'!X29:X29, "P")+COUNTIF('Detailed Attendance'!AL29:AL29, "P")+COUNTIF('Detailed Attendance'!BF29:BF29, "P")+COUNTIF('Detailed Attendance'!BL29:BL29, "P")+COUNTIF('Detailed Attendance'!BZ29:BZ29, "P")+COUNTIF('Detailed Attendance'!CI29:CI29, "P")+COUNTIF('Detailed Attendance'!CW29:CW29, "P")+COUNTIF('Detailed Attendance'!DF29:DF29, "P")+COUNTIF('Detailed Attendance'!DT29:DT29, "P")+COUNTIF('Detailed Attendance'!EC29:EC29, "P")+COUNTIF('Detailed Attendance'!EQ29:EQ29, "P")+COUNTIF('Detailed Attendance'!EW29:EW29, "P")+COUNTIF('Detailed Attendance'!FK29:FK29, "P")+COUNTIF('Detailed Attendance'!FM29:FM29, "P")+COUNTIF('Detailed Attendance'!GA29:GA29, "P")</f>
        <v/>
      </c>
      <c r="E27" s="46">
        <f>COUNTIF('Detailed Attendance'!R29:R29, "A")+COUNTIF('Detailed Attendance'!X29:X29, "A")+COUNTIF('Detailed Attendance'!AL29:AL29, "A")+COUNTIF('Detailed Attendance'!BF29:BF29, "A")+COUNTIF('Detailed Attendance'!BL29:BL29, "A")+COUNTIF('Detailed Attendance'!BZ29:BZ29, "A")+COUNTIF('Detailed Attendance'!CI29:CI29, "A")+COUNTIF('Detailed Attendance'!CW29:CW29, "A")+COUNTIF('Detailed Attendance'!DF29:DF29, "A")+COUNTIF('Detailed Attendance'!DT29:DT29, "A")+COUNTIF('Detailed Attendance'!EC29:EC29, "A")+COUNTIF('Detailed Attendance'!EQ29:EQ29, "A")+COUNTIF('Detailed Attendance'!EW29:EW29, "A")+COUNTIF('Detailed Attendance'!FK29:FK29, "A")+COUNTIF('Detailed Attendance'!FM29:FM29, "A")+COUNTIF('Detailed Attendance'!GA29:GA29, "A")</f>
        <v/>
      </c>
      <c r="F27" s="72">
        <f>IF((D27+E27)=0, "", D27/(D27+E27))</f>
        <v/>
      </c>
      <c r="G27" s="46">
        <f>COUNTIF('Detailed Attendance'!I29:I29, "P")+COUNTIF('Detailed Attendance'!Q29:Q29, "P")+COUNTIF('Detailed Attendance'!AC29:AC29, "P")+COUNTIF('Detailed Attendance'!AK29:AK29, "P")+COUNTIF('Detailed Attendance'!AW29:AW29, "P")+COUNTIF('Detailed Attendance'!BE29:BE29, "P")+COUNTIF('Detailed Attendance'!BQ29:BQ29, "P")+COUNTIF('Detailed Attendance'!BY29:BY29, "P")+COUNTIF('Detailed Attendance'!CN29:CN29, "P")+COUNTIF('Detailed Attendance'!CV29:CV29, "P")+COUNTIF('Detailed Attendance'!DK29:DK29, "P")+COUNTIF('Detailed Attendance'!DS29:DS29, "P")+COUNTIF('Detailed Attendance'!EH29:EH29, "P")+COUNTIF('Detailed Attendance'!EP29:EP29, "P")+COUNTIF('Detailed Attendance'!FB29:FB29, "P")+COUNTIF('Detailed Attendance'!FJ29:FJ29, "P")+COUNTIF('Detailed Attendance'!FR29:FR29, "P")+COUNTIF('Detailed Attendance'!FZ29:FZ29, "P")</f>
        <v/>
      </c>
      <c r="H27" s="46">
        <f>COUNTIF('Detailed Attendance'!I29:I29, "A")+COUNTIF('Detailed Attendance'!Q29:Q29, "A")+COUNTIF('Detailed Attendance'!AC29:AC29, "A")+COUNTIF('Detailed Attendance'!AK29:AK29, "A")+COUNTIF('Detailed Attendance'!AW29:AW29, "A")+COUNTIF('Detailed Attendance'!BE29:BE29, "A")+COUNTIF('Detailed Attendance'!BQ29:BQ29, "A")+COUNTIF('Detailed Attendance'!BY29:BY29, "A")+COUNTIF('Detailed Attendance'!CN29:CN29, "A")+COUNTIF('Detailed Attendance'!CV29:CV29, "A")+COUNTIF('Detailed Attendance'!DK29:DK29, "A")+COUNTIF('Detailed Attendance'!DS29:DS29, "A")+COUNTIF('Detailed Attendance'!EH29:EH29, "A")+COUNTIF('Detailed Attendance'!EP29:EP29, "A")+COUNTIF('Detailed Attendance'!FB29:FB29, "A")+COUNTIF('Detailed Attendance'!FJ29:FJ29, "A")+COUNTIF('Detailed Attendance'!FR29:FR29, "A")+COUNTIF('Detailed Attendance'!FZ29:FZ29, "A")</f>
        <v/>
      </c>
      <c r="I27" s="72">
        <f>IF((G27+H27)=0, "", G27/(G27+H27))</f>
        <v/>
      </c>
      <c r="J27" s="46">
        <f>COUNTIF('Detailed Attendance'!L29:L29, "P")+COUNTIF('Detailed Attendance'!P29:P29, "P")+COUNTIF('Detailed Attendance'!AF29:AF29, "P")+COUNTIF('Detailed Attendance'!AJ29:AJ29, "P")+COUNTIF('Detailed Attendance'!AZ29:AZ29, "P")+COUNTIF('Detailed Attendance'!BD29:BD29, "P")+COUNTIF('Detailed Attendance'!BT29:BT29, "P")+COUNTIF('Detailed Attendance'!BX29:BX29, "P")+COUNTIF('Detailed Attendance'!CQ29:CQ29, "P")+COUNTIF('Detailed Attendance'!CU29:CU29, "P")+COUNTIF('Detailed Attendance'!DN29:DN29, "P")+COUNTIF('Detailed Attendance'!DR29:DR29, "P")+COUNTIF('Detailed Attendance'!EK29:EK29, "P")+COUNTIF('Detailed Attendance'!EO29:EO29, "P")+COUNTIF('Detailed Attendance'!FE29:FE29, "P")+COUNTIF('Detailed Attendance'!FI29:FI29, "P")+COUNTIF('Detailed Attendance'!FU29:FU29, "P")+COUNTIF('Detailed Attendance'!FY29:FY29, "P")</f>
        <v/>
      </c>
      <c r="K27" s="46">
        <f>COUNTIF('Detailed Attendance'!L29:L29, "A")+COUNTIF('Detailed Attendance'!P29:P29, "A")+COUNTIF('Detailed Attendance'!AF29:AF29, "A")+COUNTIF('Detailed Attendance'!AJ29:AJ29, "A")+COUNTIF('Detailed Attendance'!AZ29:AZ29, "A")+COUNTIF('Detailed Attendance'!BD29:BD29, "A")+COUNTIF('Detailed Attendance'!BT29:BT29, "A")+COUNTIF('Detailed Attendance'!BX29:BX29, "A")+COUNTIF('Detailed Attendance'!CQ29:CQ29, "A")+COUNTIF('Detailed Attendance'!CU29:CU29, "A")+COUNTIF('Detailed Attendance'!DN29:DN29, "A")+COUNTIF('Detailed Attendance'!DR29:DR29, "A")+COUNTIF('Detailed Attendance'!EK29:EK29, "A")+COUNTIF('Detailed Attendance'!EO29:EO29, "A")+COUNTIF('Detailed Attendance'!FE29:FE29, "A")+COUNTIF('Detailed Attendance'!FI29:FI29, "A")+COUNTIF('Detailed Attendance'!FU29:FU29, "A")+COUNTIF('Detailed Attendance'!FY29:FY29, "A")</f>
        <v/>
      </c>
      <c r="L27" s="72">
        <f>IF((J27+K27)=0, "", J27/(J27+K27))</f>
        <v/>
      </c>
      <c r="M27" s="46">
        <f>COUNTIF('Detailed Attendance'!D29:D29, "P")+COUNTIF('Detailed Attendance'!T29:T29, "P")+COUNTIF('Detailed Attendance'!AN29:AN29, "P")+COUNTIF('Detailed Attendance'!AR29:AR29, "P")+COUNTIF('Detailed Attendance'!BH29:BH29, "P")+COUNTIF('Detailed Attendance'!CB29:CB29, "P")+COUNTIF('Detailed Attendance'!CF29:CF29, "P")+COUNTIF('Detailed Attendance'!CY29:CY29, "P")+COUNTIF('Detailed Attendance'!DC29:DC29, "P")+COUNTIF('Detailed Attendance'!DV29:DV29, "P")+COUNTIF('Detailed Attendance'!DZ29:DZ29, "P")+COUNTIF('Detailed Attendance'!ES29:ES29, "P")+COUNTIF('Detailed Attendance'!GC29:GC29, "P")+COUNTIF('Detailed Attendance'!GG29:GG29, "P")</f>
        <v/>
      </c>
      <c r="N27" s="46">
        <f>COUNTIF('Detailed Attendance'!D29:D29, "A")+COUNTIF('Detailed Attendance'!T29:T29, "A")+COUNTIF('Detailed Attendance'!AN29:AN29, "A")+COUNTIF('Detailed Attendance'!AR29:AR29, "A")+COUNTIF('Detailed Attendance'!BH29:BH29, "A")+COUNTIF('Detailed Attendance'!CB29:CB29, "A")+COUNTIF('Detailed Attendance'!CF29:CF29, "A")+COUNTIF('Detailed Attendance'!CY29:CY29, "A")+COUNTIF('Detailed Attendance'!DC29:DC29, "A")+COUNTIF('Detailed Attendance'!DV29:DV29, "A")+COUNTIF('Detailed Attendance'!DZ29:DZ29, "A")+COUNTIF('Detailed Attendance'!ES29:ES29, "A")+COUNTIF('Detailed Attendance'!GC29:GC29, "A")+COUNTIF('Detailed Attendance'!GG29:GG29, "A")</f>
        <v/>
      </c>
      <c r="O27" s="72">
        <f>IF((M27+N27)=0, "", M27/(M27+N27))</f>
        <v/>
      </c>
      <c r="P27" s="46">
        <f>COUNTIF('Detailed Attendance'!M29:M29, "P")+COUNTIF('Detailed Attendance'!U29:U29, "P")+COUNTIF('Detailed Attendance'!AG29:AG29, "P")+COUNTIF('Detailed Attendance'!AO29:AO29, "P")+COUNTIF('Detailed Attendance'!BA29:BA29, "P")+COUNTIF('Detailed Attendance'!BI29:BI29, "P")+COUNTIF('Detailed Attendance'!BU29:BU29, "P")+COUNTIF('Detailed Attendance'!CC29:CC29, "P")+COUNTIF('Detailed Attendance'!CR29:CR29, "P")+COUNTIF('Detailed Attendance'!CZ29:CZ29, "P")+COUNTIF('Detailed Attendance'!DO29:DO29, "P")+COUNTIF('Detailed Attendance'!DW29:DW29, "P")+COUNTIF('Detailed Attendance'!EL29:EL29, "P")+COUNTIF('Detailed Attendance'!ET29:ET29, "P")+COUNTIF('Detailed Attendance'!FF29:FF29, "P")+COUNTIF('Detailed Attendance'!FV29:FV29, "P")+COUNTIF('Detailed Attendance'!GD29:GD29, "P")</f>
        <v/>
      </c>
      <c r="Q27" s="46">
        <f>COUNTIF('Detailed Attendance'!M29:M29, "A")+COUNTIF('Detailed Attendance'!U29:U29, "A")+COUNTIF('Detailed Attendance'!AG29:AG29, "A")+COUNTIF('Detailed Attendance'!AO29:AO29, "A")+COUNTIF('Detailed Attendance'!BA29:BA29, "A")+COUNTIF('Detailed Attendance'!BI29:BI29, "A")+COUNTIF('Detailed Attendance'!BU29:BU29, "A")+COUNTIF('Detailed Attendance'!CC29:CC29, "A")+COUNTIF('Detailed Attendance'!CR29:CR29, "A")+COUNTIF('Detailed Attendance'!CZ29:CZ29, "A")+COUNTIF('Detailed Attendance'!DO29:DO29, "A")+COUNTIF('Detailed Attendance'!DW29:DW29, "A")+COUNTIF('Detailed Attendance'!EL29:EL29, "A")+COUNTIF('Detailed Attendance'!ET29:ET29, "A")+COUNTIF('Detailed Attendance'!FF29:FF29, "A")+COUNTIF('Detailed Attendance'!FV29:FV29, "A")+COUNTIF('Detailed Attendance'!GD29:GD29, "A")</f>
        <v/>
      </c>
      <c r="R27" s="72">
        <f>IF((P27+Q27)=0, "", P27/(P27+Q27))</f>
        <v/>
      </c>
      <c r="S27" s="46">
        <f>COUNTIF('Detailed Attendance'!CH29:CH29, "P")+COUNTIF('Detailed Attendance'!DE29:DE29, "P")+COUNTIF('Detailed Attendance'!EB29:EB29, "P")+COUNTIF('Detailed Attendance'!GI29:GI29, "P")</f>
        <v/>
      </c>
      <c r="T27" s="46">
        <f>COUNTIF('Detailed Attendance'!CH29:CH29, "A")+COUNTIF('Detailed Attendance'!DE29:DE29, "A")+COUNTIF('Detailed Attendance'!EB29:EB29, "A")+COUNTIF('Detailed Attendance'!GI29:GI29, "A")</f>
        <v/>
      </c>
      <c r="U27" s="73">
        <f>IF((S27+T27)=0, "", S27/(S27+T27))</f>
        <v/>
      </c>
      <c r="V27" s="46">
        <f>COUNTIF('Detailed Attendance'!V29:V29, "P")+COUNTIF('Detailed Attendance'!AP29:AP29, "P")+COUNTIF('Detailed Attendance'!BJ29:BJ29, "P")+COUNTIF('Detailed Attendance'!CD29:CD29, "P")+COUNTIF('Detailed Attendance'!DA29:DA29, "P")+COUNTIF('Detailed Attendance'!DX29:DX29, "P")+COUNTIF('Detailed Attendance'!EU29:EU29, "P")+COUNTIF('Detailed Attendance'!GE29:GE29, "P")</f>
        <v/>
      </c>
      <c r="W27" s="46">
        <f>COUNTIF('Detailed Attendance'!V29:V29, "A")+COUNTIF('Detailed Attendance'!AP29:AP29, "A")+COUNTIF('Detailed Attendance'!BJ29:BJ29, "A")+COUNTIF('Detailed Attendance'!CD29:CD29, "A")+COUNTIF('Detailed Attendance'!DA29:DA29, "A")+COUNTIF('Detailed Attendance'!DX29:DX29, "A")+COUNTIF('Detailed Attendance'!EU29:EU29, "A")+COUNTIF('Detailed Attendance'!GE29:GE29, "A")</f>
        <v/>
      </c>
      <c r="X27" s="73">
        <f>IF((V27+W27)=0, "", V27/(V27+W27))</f>
        <v/>
      </c>
      <c r="Y27" s="46">
        <f>COUNTIF('Detailed Attendance'!E29:E29, "P")+COUNTIF('Detailed Attendance'!Y29:Y29, "P")+COUNTIF('Detailed Attendance'!AS29:AS29, "P")+COUNTIF('Detailed Attendance'!BM29:BM29, "P")+COUNTIF('Detailed Attendance'!CJ29:CJ29, "P")+COUNTIF('Detailed Attendance'!DG29:DG29, "P")+COUNTIF('Detailed Attendance'!ED29:ED29, "P")+COUNTIF('Detailed Attendance'!EX29:EX29, "P")+COUNTIF('Detailed Attendance'!FN29:FN29, "P")</f>
        <v/>
      </c>
      <c r="Z27" s="46">
        <f>COUNTIF('Detailed Attendance'!E29:E29, "A")+COUNTIF('Detailed Attendance'!Y29:Y29, "A")+COUNTIF('Detailed Attendance'!AS29:AS29, "A")+COUNTIF('Detailed Attendance'!BM29:BM29, "A")+COUNTIF('Detailed Attendance'!CJ29:CJ29, "A")+COUNTIF('Detailed Attendance'!DG29:DG29, "A")+COUNTIF('Detailed Attendance'!ED29:ED29, "A")+COUNTIF('Detailed Attendance'!EX29:EX29, "A")+COUNTIF('Detailed Attendance'!FN29:FN29, "A")</f>
        <v/>
      </c>
      <c r="AA27" s="73">
        <f>IF((Y27+Z27)=0, "", Y27/(Y27+Z27))</f>
        <v/>
      </c>
      <c r="AB27" s="46">
        <f>S27+V27+Y27</f>
        <v/>
      </c>
      <c r="AC27" s="46">
        <f>T27+W27+Z27</f>
        <v/>
      </c>
      <c r="AD27" s="73">
        <f>IF((AB27+AC27)=0, "", AB27/(AB27+AC27))</f>
        <v/>
      </c>
      <c r="AE27" s="46" t="inlineStr">
        <is>
          <t>Batch 1</t>
        </is>
      </c>
    </row>
    <row r="28" ht="14.25" customHeight="1" s="34">
      <c r="A28" s="46" t="n">
        <v>27</v>
      </c>
      <c r="B28" s="46" t="inlineStr">
        <is>
          <t>325106410027</t>
        </is>
      </c>
      <c r="C28" s="46" t="inlineStr">
        <is>
          <t>LOHITH SAI MEDA</t>
        </is>
      </c>
      <c r="D28" s="46">
        <f>COUNTIF('Detailed Attendance'!R30:R30, "P")+COUNTIF('Detailed Attendance'!X30:X30, "P")+COUNTIF('Detailed Attendance'!AL30:AL30, "P")+COUNTIF('Detailed Attendance'!BF30:BF30, "P")+COUNTIF('Detailed Attendance'!BL30:BL30, "P")+COUNTIF('Detailed Attendance'!BZ30:BZ30, "P")+COUNTIF('Detailed Attendance'!CI30:CI30, "P")+COUNTIF('Detailed Attendance'!CW30:CW30, "P")+COUNTIF('Detailed Attendance'!DF30:DF30, "P")+COUNTIF('Detailed Attendance'!DT30:DT30, "P")+COUNTIF('Detailed Attendance'!EC30:EC30, "P")+COUNTIF('Detailed Attendance'!EQ30:EQ30, "P")+COUNTIF('Detailed Attendance'!EW30:EW30, "P")+COUNTIF('Detailed Attendance'!FK30:FK30, "P")+COUNTIF('Detailed Attendance'!FM30:FM30, "P")+COUNTIF('Detailed Attendance'!GA30:GA30, "P")</f>
        <v/>
      </c>
      <c r="E28" s="46">
        <f>COUNTIF('Detailed Attendance'!R30:R30, "A")+COUNTIF('Detailed Attendance'!X30:X30, "A")+COUNTIF('Detailed Attendance'!AL30:AL30, "A")+COUNTIF('Detailed Attendance'!BF30:BF30, "A")+COUNTIF('Detailed Attendance'!BL30:BL30, "A")+COUNTIF('Detailed Attendance'!BZ30:BZ30, "A")+COUNTIF('Detailed Attendance'!CI30:CI30, "A")+COUNTIF('Detailed Attendance'!CW30:CW30, "A")+COUNTIF('Detailed Attendance'!DF30:DF30, "A")+COUNTIF('Detailed Attendance'!DT30:DT30, "A")+COUNTIF('Detailed Attendance'!EC30:EC30, "A")+COUNTIF('Detailed Attendance'!EQ30:EQ30, "A")+COUNTIF('Detailed Attendance'!EW30:EW30, "A")+COUNTIF('Detailed Attendance'!FK30:FK30, "A")+COUNTIF('Detailed Attendance'!FM30:FM30, "A")+COUNTIF('Detailed Attendance'!GA30:GA30, "A")</f>
        <v/>
      </c>
      <c r="F28" s="72">
        <f>IF((D28+E28)=0, "", D28/(D28+E28))</f>
        <v/>
      </c>
      <c r="G28" s="46">
        <f>COUNTIF('Detailed Attendance'!I30:I30, "P")+COUNTIF('Detailed Attendance'!Q30:Q30, "P")+COUNTIF('Detailed Attendance'!AC30:AC30, "P")+COUNTIF('Detailed Attendance'!AK30:AK30, "P")+COUNTIF('Detailed Attendance'!AW30:AW30, "P")+COUNTIF('Detailed Attendance'!BE30:BE30, "P")+COUNTIF('Detailed Attendance'!BQ30:BQ30, "P")+COUNTIF('Detailed Attendance'!BY30:BY30, "P")+COUNTIF('Detailed Attendance'!CN30:CN30, "P")+COUNTIF('Detailed Attendance'!CV30:CV30, "P")+COUNTIF('Detailed Attendance'!DK30:DK30, "P")+COUNTIF('Detailed Attendance'!DS30:DS30, "P")+COUNTIF('Detailed Attendance'!EH30:EH30, "P")+COUNTIF('Detailed Attendance'!EP30:EP30, "P")+COUNTIF('Detailed Attendance'!FB30:FB30, "P")+COUNTIF('Detailed Attendance'!FJ30:FJ30, "P")+COUNTIF('Detailed Attendance'!FR30:FR30, "P")+COUNTIF('Detailed Attendance'!FZ30:FZ30, "P")</f>
        <v/>
      </c>
      <c r="H28" s="46">
        <f>COUNTIF('Detailed Attendance'!I30:I30, "A")+COUNTIF('Detailed Attendance'!Q30:Q30, "A")+COUNTIF('Detailed Attendance'!AC30:AC30, "A")+COUNTIF('Detailed Attendance'!AK30:AK30, "A")+COUNTIF('Detailed Attendance'!AW30:AW30, "A")+COUNTIF('Detailed Attendance'!BE30:BE30, "A")+COUNTIF('Detailed Attendance'!BQ30:BQ30, "A")+COUNTIF('Detailed Attendance'!BY30:BY30, "A")+COUNTIF('Detailed Attendance'!CN30:CN30, "A")+COUNTIF('Detailed Attendance'!CV30:CV30, "A")+COUNTIF('Detailed Attendance'!DK30:DK30, "A")+COUNTIF('Detailed Attendance'!DS30:DS30, "A")+COUNTIF('Detailed Attendance'!EH30:EH30, "A")+COUNTIF('Detailed Attendance'!EP30:EP30, "A")+COUNTIF('Detailed Attendance'!FB30:FB30, "A")+COUNTIF('Detailed Attendance'!FJ30:FJ30, "A")+COUNTIF('Detailed Attendance'!FR30:FR30, "A")+COUNTIF('Detailed Attendance'!FZ30:FZ30, "A")</f>
        <v/>
      </c>
      <c r="I28" s="72">
        <f>IF((G28+H28)=0, "", G28/(G28+H28))</f>
        <v/>
      </c>
      <c r="J28" s="46">
        <f>COUNTIF('Detailed Attendance'!L30:L30, "P")+COUNTIF('Detailed Attendance'!P30:P30, "P")+COUNTIF('Detailed Attendance'!AF30:AF30, "P")+COUNTIF('Detailed Attendance'!AJ30:AJ30, "P")+COUNTIF('Detailed Attendance'!AZ30:AZ30, "P")+COUNTIF('Detailed Attendance'!BD30:BD30, "P")+COUNTIF('Detailed Attendance'!BT30:BT30, "P")+COUNTIF('Detailed Attendance'!BX30:BX30, "P")+COUNTIF('Detailed Attendance'!CQ30:CQ30, "P")+COUNTIF('Detailed Attendance'!CU30:CU30, "P")+COUNTIF('Detailed Attendance'!DN30:DN30, "P")+COUNTIF('Detailed Attendance'!DR30:DR30, "P")+COUNTIF('Detailed Attendance'!EK30:EK30, "P")+COUNTIF('Detailed Attendance'!EO30:EO30, "P")+COUNTIF('Detailed Attendance'!FE30:FE30, "P")+COUNTIF('Detailed Attendance'!FI30:FI30, "P")+COUNTIF('Detailed Attendance'!FU30:FU30, "P")+COUNTIF('Detailed Attendance'!FY30:FY30, "P")</f>
        <v/>
      </c>
      <c r="K28" s="46">
        <f>COUNTIF('Detailed Attendance'!L30:L30, "A")+COUNTIF('Detailed Attendance'!P30:P30, "A")+COUNTIF('Detailed Attendance'!AF30:AF30, "A")+COUNTIF('Detailed Attendance'!AJ30:AJ30, "A")+COUNTIF('Detailed Attendance'!AZ30:AZ30, "A")+COUNTIF('Detailed Attendance'!BD30:BD30, "A")+COUNTIF('Detailed Attendance'!BT30:BT30, "A")+COUNTIF('Detailed Attendance'!BX30:BX30, "A")+COUNTIF('Detailed Attendance'!CQ30:CQ30, "A")+COUNTIF('Detailed Attendance'!CU30:CU30, "A")+COUNTIF('Detailed Attendance'!DN30:DN30, "A")+COUNTIF('Detailed Attendance'!DR30:DR30, "A")+COUNTIF('Detailed Attendance'!EK30:EK30, "A")+COUNTIF('Detailed Attendance'!EO30:EO30, "A")+COUNTIF('Detailed Attendance'!FE30:FE30, "A")+COUNTIF('Detailed Attendance'!FI30:FI30, "A")+COUNTIF('Detailed Attendance'!FU30:FU30, "A")+COUNTIF('Detailed Attendance'!FY30:FY30, "A")</f>
        <v/>
      </c>
      <c r="L28" s="72">
        <f>IF((J28+K28)=0, "", J28/(J28+K28))</f>
        <v/>
      </c>
      <c r="M28" s="46">
        <f>COUNTIF('Detailed Attendance'!D30:D30, "P")+COUNTIF('Detailed Attendance'!T30:T30, "P")+COUNTIF('Detailed Attendance'!AN30:AN30, "P")+COUNTIF('Detailed Attendance'!AR30:AR30, "P")+COUNTIF('Detailed Attendance'!BH30:BH30, "P")+COUNTIF('Detailed Attendance'!CB30:CB30, "P")+COUNTIF('Detailed Attendance'!CF30:CF30, "P")+COUNTIF('Detailed Attendance'!CY30:CY30, "P")+COUNTIF('Detailed Attendance'!DC30:DC30, "P")+COUNTIF('Detailed Attendance'!DV30:DV30, "P")+COUNTIF('Detailed Attendance'!DZ30:DZ30, "P")+COUNTIF('Detailed Attendance'!ES30:ES30, "P")+COUNTIF('Detailed Attendance'!GC30:GC30, "P")+COUNTIF('Detailed Attendance'!GG30:GG30, "P")</f>
        <v/>
      </c>
      <c r="N28" s="46">
        <f>COUNTIF('Detailed Attendance'!D30:D30, "A")+COUNTIF('Detailed Attendance'!T30:T30, "A")+COUNTIF('Detailed Attendance'!AN30:AN30, "A")+COUNTIF('Detailed Attendance'!AR30:AR30, "A")+COUNTIF('Detailed Attendance'!BH30:BH30, "A")+COUNTIF('Detailed Attendance'!CB30:CB30, "A")+COUNTIF('Detailed Attendance'!CF30:CF30, "A")+COUNTIF('Detailed Attendance'!CY30:CY30, "A")+COUNTIF('Detailed Attendance'!DC30:DC30, "A")+COUNTIF('Detailed Attendance'!DV30:DV30, "A")+COUNTIF('Detailed Attendance'!DZ30:DZ30, "A")+COUNTIF('Detailed Attendance'!ES30:ES30, "A")+COUNTIF('Detailed Attendance'!GC30:GC30, "A")+COUNTIF('Detailed Attendance'!GG30:GG30, "A")</f>
        <v/>
      </c>
      <c r="O28" s="72">
        <f>IF((M28+N28)=0, "", M28/(M28+N28))</f>
        <v/>
      </c>
      <c r="P28" s="46">
        <f>COUNTIF('Detailed Attendance'!M30:M30, "P")+COUNTIF('Detailed Attendance'!U30:U30, "P")+COUNTIF('Detailed Attendance'!AG30:AG30, "P")+COUNTIF('Detailed Attendance'!AO30:AO30, "P")+COUNTIF('Detailed Attendance'!BA30:BA30, "P")+COUNTIF('Detailed Attendance'!BI30:BI30, "P")+COUNTIF('Detailed Attendance'!BU30:BU30, "P")+COUNTIF('Detailed Attendance'!CC30:CC30, "P")+COUNTIF('Detailed Attendance'!CR30:CR30, "P")+COUNTIF('Detailed Attendance'!CZ30:CZ30, "P")+COUNTIF('Detailed Attendance'!DO30:DO30, "P")+COUNTIF('Detailed Attendance'!DW30:DW30, "P")+COUNTIF('Detailed Attendance'!EL30:EL30, "P")+COUNTIF('Detailed Attendance'!ET30:ET30, "P")+COUNTIF('Detailed Attendance'!FF30:FF30, "P")+COUNTIF('Detailed Attendance'!FV30:FV30, "P")+COUNTIF('Detailed Attendance'!GD30:GD30, "P")</f>
        <v/>
      </c>
      <c r="Q28" s="46">
        <f>COUNTIF('Detailed Attendance'!M30:M30, "A")+COUNTIF('Detailed Attendance'!U30:U30, "A")+COUNTIF('Detailed Attendance'!AG30:AG30, "A")+COUNTIF('Detailed Attendance'!AO30:AO30, "A")+COUNTIF('Detailed Attendance'!BA30:BA30, "A")+COUNTIF('Detailed Attendance'!BI30:BI30, "A")+COUNTIF('Detailed Attendance'!BU30:BU30, "A")+COUNTIF('Detailed Attendance'!CC30:CC30, "A")+COUNTIF('Detailed Attendance'!CR30:CR30, "A")+COUNTIF('Detailed Attendance'!CZ30:CZ30, "A")+COUNTIF('Detailed Attendance'!DO30:DO30, "A")+COUNTIF('Detailed Attendance'!DW30:DW30, "A")+COUNTIF('Detailed Attendance'!EL30:EL30, "A")+COUNTIF('Detailed Attendance'!ET30:ET30, "A")+COUNTIF('Detailed Attendance'!FF30:FF30, "A")+COUNTIF('Detailed Attendance'!FV30:FV30, "A")+COUNTIF('Detailed Attendance'!GD30:GD30, "A")</f>
        <v/>
      </c>
      <c r="R28" s="72">
        <f>IF((P28+Q28)=0, "", P28/(P28+Q28))</f>
        <v/>
      </c>
      <c r="S28" s="46">
        <f>COUNTIF('Detailed Attendance'!CH30:CH30, "P")+COUNTIF('Detailed Attendance'!DE30:DE30, "P")+COUNTIF('Detailed Attendance'!EB30:EB30, "P")+COUNTIF('Detailed Attendance'!GI30:GI30, "P")</f>
        <v/>
      </c>
      <c r="T28" s="46">
        <f>COUNTIF('Detailed Attendance'!CH30:CH30, "A")+COUNTIF('Detailed Attendance'!DE30:DE30, "A")+COUNTIF('Detailed Attendance'!EB30:EB30, "A")+COUNTIF('Detailed Attendance'!GI30:GI30, "A")</f>
        <v/>
      </c>
      <c r="U28" s="73">
        <f>IF((S28+T28)=0, "", S28/(S28+T28))</f>
        <v/>
      </c>
      <c r="V28" s="46">
        <f>COUNTIF('Detailed Attendance'!V30:V30, "P")+COUNTIF('Detailed Attendance'!AP30:AP30, "P")+COUNTIF('Detailed Attendance'!BJ30:BJ30, "P")+COUNTIF('Detailed Attendance'!CD30:CD30, "P")+COUNTIF('Detailed Attendance'!DA30:DA30, "P")+COUNTIF('Detailed Attendance'!DX30:DX30, "P")+COUNTIF('Detailed Attendance'!EU30:EU30, "P")+COUNTIF('Detailed Attendance'!GE30:GE30, "P")</f>
        <v/>
      </c>
      <c r="W28" s="46">
        <f>COUNTIF('Detailed Attendance'!V30:V30, "A")+COUNTIF('Detailed Attendance'!AP30:AP30, "A")+COUNTIF('Detailed Attendance'!BJ30:BJ30, "A")+COUNTIF('Detailed Attendance'!CD30:CD30, "A")+COUNTIF('Detailed Attendance'!DA30:DA30, "A")+COUNTIF('Detailed Attendance'!DX30:DX30, "A")+COUNTIF('Detailed Attendance'!EU30:EU30, "A")+COUNTIF('Detailed Attendance'!GE30:GE30, "A")</f>
        <v/>
      </c>
      <c r="X28" s="73">
        <f>IF((V28+W28)=0, "", V28/(V28+W28))</f>
        <v/>
      </c>
      <c r="Y28" s="46">
        <f>COUNTIF('Detailed Attendance'!E30:E30, "P")+COUNTIF('Detailed Attendance'!Y30:Y30, "P")+COUNTIF('Detailed Attendance'!AS30:AS30, "P")+COUNTIF('Detailed Attendance'!BM30:BM30, "P")+COUNTIF('Detailed Attendance'!CJ30:CJ30, "P")+COUNTIF('Detailed Attendance'!DG30:DG30, "P")+COUNTIF('Detailed Attendance'!ED30:ED30, "P")+COUNTIF('Detailed Attendance'!EX30:EX30, "P")+COUNTIF('Detailed Attendance'!FN30:FN30, "P")</f>
        <v/>
      </c>
      <c r="Z28" s="46">
        <f>COUNTIF('Detailed Attendance'!E30:E30, "A")+COUNTIF('Detailed Attendance'!Y30:Y30, "A")+COUNTIF('Detailed Attendance'!AS30:AS30, "A")+COUNTIF('Detailed Attendance'!BM30:BM30, "A")+COUNTIF('Detailed Attendance'!CJ30:CJ30, "A")+COUNTIF('Detailed Attendance'!DG30:DG30, "A")+COUNTIF('Detailed Attendance'!ED30:ED30, "A")+COUNTIF('Detailed Attendance'!EX30:EX30, "A")+COUNTIF('Detailed Attendance'!FN30:FN30, "A")</f>
        <v/>
      </c>
      <c r="AA28" s="73">
        <f>IF((Y28+Z28)=0, "", Y28/(Y28+Z28))</f>
        <v/>
      </c>
      <c r="AB28" s="46">
        <f>S28+V28+Y28</f>
        <v/>
      </c>
      <c r="AC28" s="46">
        <f>T28+W28+Z28</f>
        <v/>
      </c>
      <c r="AD28" s="73">
        <f>IF((AB28+AC28)=0, "", AB28/(AB28+AC28))</f>
        <v/>
      </c>
      <c r="AE28" s="46" t="inlineStr">
        <is>
          <t>Batch 1</t>
        </is>
      </c>
    </row>
    <row r="29" ht="14.25" customHeight="1" s="34">
      <c r="A29" s="46" t="n">
        <v>28</v>
      </c>
      <c r="B29" s="46" t="inlineStr">
        <is>
          <t>325106410028</t>
        </is>
      </c>
      <c r="C29" s="46" t="inlineStr">
        <is>
          <t>HANUSRI VEERA VENKATA SANTOSH MIDATHA</t>
        </is>
      </c>
      <c r="D29" s="46">
        <f>COUNTIF('Detailed Attendance'!R31:R31, "P")+COUNTIF('Detailed Attendance'!X31:X31, "P")+COUNTIF('Detailed Attendance'!AL31:AL31, "P")+COUNTIF('Detailed Attendance'!BF31:BF31, "P")+COUNTIF('Detailed Attendance'!BL31:BL31, "P")+COUNTIF('Detailed Attendance'!BZ31:BZ31, "P")+COUNTIF('Detailed Attendance'!CI31:CI31, "P")+COUNTIF('Detailed Attendance'!CW31:CW31, "P")+COUNTIF('Detailed Attendance'!DF31:DF31, "P")+COUNTIF('Detailed Attendance'!DT31:DT31, "P")+COUNTIF('Detailed Attendance'!EC31:EC31, "P")+COUNTIF('Detailed Attendance'!EQ31:EQ31, "P")+COUNTIF('Detailed Attendance'!EW31:EW31, "P")+COUNTIF('Detailed Attendance'!FK31:FK31, "P")+COUNTIF('Detailed Attendance'!FM31:FM31, "P")+COUNTIF('Detailed Attendance'!GA31:GA31, "P")</f>
        <v/>
      </c>
      <c r="E29" s="46">
        <f>COUNTIF('Detailed Attendance'!R31:R31, "A")+COUNTIF('Detailed Attendance'!X31:X31, "A")+COUNTIF('Detailed Attendance'!AL31:AL31, "A")+COUNTIF('Detailed Attendance'!BF31:BF31, "A")+COUNTIF('Detailed Attendance'!BL31:BL31, "A")+COUNTIF('Detailed Attendance'!BZ31:BZ31, "A")+COUNTIF('Detailed Attendance'!CI31:CI31, "A")+COUNTIF('Detailed Attendance'!CW31:CW31, "A")+COUNTIF('Detailed Attendance'!DF31:DF31, "A")+COUNTIF('Detailed Attendance'!DT31:DT31, "A")+COUNTIF('Detailed Attendance'!EC31:EC31, "A")+COUNTIF('Detailed Attendance'!EQ31:EQ31, "A")+COUNTIF('Detailed Attendance'!EW31:EW31, "A")+COUNTIF('Detailed Attendance'!FK31:FK31, "A")+COUNTIF('Detailed Attendance'!FM31:FM31, "A")+COUNTIF('Detailed Attendance'!GA31:GA31, "A")</f>
        <v/>
      </c>
      <c r="F29" s="72">
        <f>IF((D29+E29)=0, "", D29/(D29+E29))</f>
        <v/>
      </c>
      <c r="G29" s="46">
        <f>COUNTIF('Detailed Attendance'!I31:I31, "P")+COUNTIF('Detailed Attendance'!Q31:Q31, "P")+COUNTIF('Detailed Attendance'!AC31:AC31, "P")+COUNTIF('Detailed Attendance'!AK31:AK31, "P")+COUNTIF('Detailed Attendance'!AW31:AW31, "P")+COUNTIF('Detailed Attendance'!BE31:BE31, "P")+COUNTIF('Detailed Attendance'!BQ31:BQ31, "P")+COUNTIF('Detailed Attendance'!BY31:BY31, "P")+COUNTIF('Detailed Attendance'!CN31:CN31, "P")+COUNTIF('Detailed Attendance'!CV31:CV31, "P")+COUNTIF('Detailed Attendance'!DK31:DK31, "P")+COUNTIF('Detailed Attendance'!DS31:DS31, "P")+COUNTIF('Detailed Attendance'!EH31:EH31, "P")+COUNTIF('Detailed Attendance'!EP31:EP31, "P")+COUNTIF('Detailed Attendance'!FB31:FB31, "P")+COUNTIF('Detailed Attendance'!FJ31:FJ31, "P")+COUNTIF('Detailed Attendance'!FR31:FR31, "P")+COUNTIF('Detailed Attendance'!FZ31:FZ31, "P")</f>
        <v/>
      </c>
      <c r="H29" s="46">
        <f>COUNTIF('Detailed Attendance'!I31:I31, "A")+COUNTIF('Detailed Attendance'!Q31:Q31, "A")+COUNTIF('Detailed Attendance'!AC31:AC31, "A")+COUNTIF('Detailed Attendance'!AK31:AK31, "A")+COUNTIF('Detailed Attendance'!AW31:AW31, "A")+COUNTIF('Detailed Attendance'!BE31:BE31, "A")+COUNTIF('Detailed Attendance'!BQ31:BQ31, "A")+COUNTIF('Detailed Attendance'!BY31:BY31, "A")+COUNTIF('Detailed Attendance'!CN31:CN31, "A")+COUNTIF('Detailed Attendance'!CV31:CV31, "A")+COUNTIF('Detailed Attendance'!DK31:DK31, "A")+COUNTIF('Detailed Attendance'!DS31:DS31, "A")+COUNTIF('Detailed Attendance'!EH31:EH31, "A")+COUNTIF('Detailed Attendance'!EP31:EP31, "A")+COUNTIF('Detailed Attendance'!FB31:FB31, "A")+COUNTIF('Detailed Attendance'!FJ31:FJ31, "A")+COUNTIF('Detailed Attendance'!FR31:FR31, "A")+COUNTIF('Detailed Attendance'!FZ31:FZ31, "A")</f>
        <v/>
      </c>
      <c r="I29" s="72">
        <f>IF((G29+H29)=0, "", G29/(G29+H29))</f>
        <v/>
      </c>
      <c r="J29" s="46">
        <f>COUNTIF('Detailed Attendance'!L31:L31, "P")+COUNTIF('Detailed Attendance'!P31:P31, "P")+COUNTIF('Detailed Attendance'!AF31:AF31, "P")+COUNTIF('Detailed Attendance'!AJ31:AJ31, "P")+COUNTIF('Detailed Attendance'!AZ31:AZ31, "P")+COUNTIF('Detailed Attendance'!BD31:BD31, "P")+COUNTIF('Detailed Attendance'!BT31:BT31, "P")+COUNTIF('Detailed Attendance'!BX31:BX31, "P")+COUNTIF('Detailed Attendance'!CQ31:CQ31, "P")+COUNTIF('Detailed Attendance'!CU31:CU31, "P")+COUNTIF('Detailed Attendance'!DN31:DN31, "P")+COUNTIF('Detailed Attendance'!DR31:DR31, "P")+COUNTIF('Detailed Attendance'!EK31:EK31, "P")+COUNTIF('Detailed Attendance'!EO31:EO31, "P")+COUNTIF('Detailed Attendance'!FE31:FE31, "P")+COUNTIF('Detailed Attendance'!FI31:FI31, "P")+COUNTIF('Detailed Attendance'!FU31:FU31, "P")+COUNTIF('Detailed Attendance'!FY31:FY31, "P")</f>
        <v/>
      </c>
      <c r="K29" s="46">
        <f>COUNTIF('Detailed Attendance'!L31:L31, "A")+COUNTIF('Detailed Attendance'!P31:P31, "A")+COUNTIF('Detailed Attendance'!AF31:AF31, "A")+COUNTIF('Detailed Attendance'!AJ31:AJ31, "A")+COUNTIF('Detailed Attendance'!AZ31:AZ31, "A")+COUNTIF('Detailed Attendance'!BD31:BD31, "A")+COUNTIF('Detailed Attendance'!BT31:BT31, "A")+COUNTIF('Detailed Attendance'!BX31:BX31, "A")+COUNTIF('Detailed Attendance'!CQ31:CQ31, "A")+COUNTIF('Detailed Attendance'!CU31:CU31, "A")+COUNTIF('Detailed Attendance'!DN31:DN31, "A")+COUNTIF('Detailed Attendance'!DR31:DR31, "A")+COUNTIF('Detailed Attendance'!EK31:EK31, "A")+COUNTIF('Detailed Attendance'!EO31:EO31, "A")+COUNTIF('Detailed Attendance'!FE31:FE31, "A")+COUNTIF('Detailed Attendance'!FI31:FI31, "A")+COUNTIF('Detailed Attendance'!FU31:FU31, "A")+COUNTIF('Detailed Attendance'!FY31:FY31, "A")</f>
        <v/>
      </c>
      <c r="L29" s="72">
        <f>IF((J29+K29)=0, "", J29/(J29+K29))</f>
        <v/>
      </c>
      <c r="M29" s="46">
        <f>COUNTIF('Detailed Attendance'!D31:D31, "P")+COUNTIF('Detailed Attendance'!T31:T31, "P")+COUNTIF('Detailed Attendance'!AN31:AN31, "P")+COUNTIF('Detailed Attendance'!AR31:AR31, "P")+COUNTIF('Detailed Attendance'!BH31:BH31, "P")+COUNTIF('Detailed Attendance'!CB31:CB31, "P")+COUNTIF('Detailed Attendance'!CF31:CF31, "P")+COUNTIF('Detailed Attendance'!CY31:CY31, "P")+COUNTIF('Detailed Attendance'!DC31:DC31, "P")+COUNTIF('Detailed Attendance'!DV31:DV31, "P")+COUNTIF('Detailed Attendance'!DZ31:DZ31, "P")+COUNTIF('Detailed Attendance'!ES31:ES31, "P")+COUNTIF('Detailed Attendance'!GC31:GC31, "P")+COUNTIF('Detailed Attendance'!GG31:GG31, "P")</f>
        <v/>
      </c>
      <c r="N29" s="46">
        <f>COUNTIF('Detailed Attendance'!D31:D31, "A")+COUNTIF('Detailed Attendance'!T31:T31, "A")+COUNTIF('Detailed Attendance'!AN31:AN31, "A")+COUNTIF('Detailed Attendance'!AR31:AR31, "A")+COUNTIF('Detailed Attendance'!BH31:BH31, "A")+COUNTIF('Detailed Attendance'!CB31:CB31, "A")+COUNTIF('Detailed Attendance'!CF31:CF31, "A")+COUNTIF('Detailed Attendance'!CY31:CY31, "A")+COUNTIF('Detailed Attendance'!DC31:DC31, "A")+COUNTIF('Detailed Attendance'!DV31:DV31, "A")+COUNTIF('Detailed Attendance'!DZ31:DZ31, "A")+COUNTIF('Detailed Attendance'!ES31:ES31, "A")+COUNTIF('Detailed Attendance'!GC31:GC31, "A")+COUNTIF('Detailed Attendance'!GG31:GG31, "A")</f>
        <v/>
      </c>
      <c r="O29" s="72">
        <f>IF((M29+N29)=0, "", M29/(M29+N29))</f>
        <v/>
      </c>
      <c r="P29" s="46">
        <f>COUNTIF('Detailed Attendance'!M31:M31, "P")+COUNTIF('Detailed Attendance'!U31:U31, "P")+COUNTIF('Detailed Attendance'!AG31:AG31, "P")+COUNTIF('Detailed Attendance'!AO31:AO31, "P")+COUNTIF('Detailed Attendance'!BA31:BA31, "P")+COUNTIF('Detailed Attendance'!BI31:BI31, "P")+COUNTIF('Detailed Attendance'!BU31:BU31, "P")+COUNTIF('Detailed Attendance'!CC31:CC31, "P")+COUNTIF('Detailed Attendance'!CR31:CR31, "P")+COUNTIF('Detailed Attendance'!CZ31:CZ31, "P")+COUNTIF('Detailed Attendance'!DO31:DO31, "P")+COUNTIF('Detailed Attendance'!DW31:DW31, "P")+COUNTIF('Detailed Attendance'!EL31:EL31, "P")+COUNTIF('Detailed Attendance'!ET31:ET31, "P")+COUNTIF('Detailed Attendance'!FF31:FF31, "P")+COUNTIF('Detailed Attendance'!FV31:FV31, "P")+COUNTIF('Detailed Attendance'!GD31:GD31, "P")</f>
        <v/>
      </c>
      <c r="Q29" s="46">
        <f>COUNTIF('Detailed Attendance'!M31:M31, "A")+COUNTIF('Detailed Attendance'!U31:U31, "A")+COUNTIF('Detailed Attendance'!AG31:AG31, "A")+COUNTIF('Detailed Attendance'!AO31:AO31, "A")+COUNTIF('Detailed Attendance'!BA31:BA31, "A")+COUNTIF('Detailed Attendance'!BI31:BI31, "A")+COUNTIF('Detailed Attendance'!BU31:BU31, "A")+COUNTIF('Detailed Attendance'!CC31:CC31, "A")+COUNTIF('Detailed Attendance'!CR31:CR31, "A")+COUNTIF('Detailed Attendance'!CZ31:CZ31, "A")+COUNTIF('Detailed Attendance'!DO31:DO31, "A")+COUNTIF('Detailed Attendance'!DW31:DW31, "A")+COUNTIF('Detailed Attendance'!EL31:EL31, "A")+COUNTIF('Detailed Attendance'!ET31:ET31, "A")+COUNTIF('Detailed Attendance'!FF31:FF31, "A")+COUNTIF('Detailed Attendance'!FV31:FV31, "A")+COUNTIF('Detailed Attendance'!GD31:GD31, "A")</f>
        <v/>
      </c>
      <c r="R29" s="72">
        <f>IF((P29+Q29)=0, "", P29/(P29+Q29))</f>
        <v/>
      </c>
      <c r="S29" s="46">
        <f>COUNTIF('Detailed Attendance'!CH31:CH31, "P")+COUNTIF('Detailed Attendance'!DE31:DE31, "P")+COUNTIF('Detailed Attendance'!EB31:EB31, "P")+COUNTIF('Detailed Attendance'!GI31:GI31, "P")</f>
        <v/>
      </c>
      <c r="T29" s="46">
        <f>COUNTIF('Detailed Attendance'!CH31:CH31, "A")+COUNTIF('Detailed Attendance'!DE31:DE31, "A")+COUNTIF('Detailed Attendance'!EB31:EB31, "A")+COUNTIF('Detailed Attendance'!GI31:GI31, "A")</f>
        <v/>
      </c>
      <c r="U29" s="73">
        <f>IF((S29+T29)=0, "", S29/(S29+T29))</f>
        <v/>
      </c>
      <c r="V29" s="46">
        <f>COUNTIF('Detailed Attendance'!V31:V31, "P")+COUNTIF('Detailed Attendance'!AP31:AP31, "P")+COUNTIF('Detailed Attendance'!BJ31:BJ31, "P")+COUNTIF('Detailed Attendance'!CD31:CD31, "P")+COUNTIF('Detailed Attendance'!DA31:DA31, "P")+COUNTIF('Detailed Attendance'!DX31:DX31, "P")+COUNTIF('Detailed Attendance'!EU31:EU31, "P")+COUNTIF('Detailed Attendance'!GE31:GE31, "P")</f>
        <v/>
      </c>
      <c r="W29" s="46">
        <f>COUNTIF('Detailed Attendance'!V31:V31, "A")+COUNTIF('Detailed Attendance'!AP31:AP31, "A")+COUNTIF('Detailed Attendance'!BJ31:BJ31, "A")+COUNTIF('Detailed Attendance'!CD31:CD31, "A")+COUNTIF('Detailed Attendance'!DA31:DA31, "A")+COUNTIF('Detailed Attendance'!DX31:DX31, "A")+COUNTIF('Detailed Attendance'!EU31:EU31, "A")+COUNTIF('Detailed Attendance'!GE31:GE31, "A")</f>
        <v/>
      </c>
      <c r="X29" s="73">
        <f>IF((V29+W29)=0, "", V29/(V29+W29))</f>
        <v/>
      </c>
      <c r="Y29" s="46">
        <f>COUNTIF('Detailed Attendance'!E31:E31, "P")+COUNTIF('Detailed Attendance'!Y31:Y31, "P")+COUNTIF('Detailed Attendance'!AS31:AS31, "P")+COUNTIF('Detailed Attendance'!BM31:BM31, "P")+COUNTIF('Detailed Attendance'!CJ31:CJ31, "P")+COUNTIF('Detailed Attendance'!DG31:DG31, "P")+COUNTIF('Detailed Attendance'!ED31:ED31, "P")+COUNTIF('Detailed Attendance'!EX31:EX31, "P")+COUNTIF('Detailed Attendance'!FN31:FN31, "P")</f>
        <v/>
      </c>
      <c r="Z29" s="46">
        <f>COUNTIF('Detailed Attendance'!E31:E31, "A")+COUNTIF('Detailed Attendance'!Y31:Y31, "A")+COUNTIF('Detailed Attendance'!AS31:AS31, "A")+COUNTIF('Detailed Attendance'!BM31:BM31, "A")+COUNTIF('Detailed Attendance'!CJ31:CJ31, "A")+COUNTIF('Detailed Attendance'!DG31:DG31, "A")+COUNTIF('Detailed Attendance'!ED31:ED31, "A")+COUNTIF('Detailed Attendance'!EX31:EX31, "A")+COUNTIF('Detailed Attendance'!FN31:FN31, "A")</f>
        <v/>
      </c>
      <c r="AA29" s="73">
        <f>IF((Y29+Z29)=0, "", Y29/(Y29+Z29))</f>
        <v/>
      </c>
      <c r="AB29" s="46">
        <f>S29+V29+Y29</f>
        <v/>
      </c>
      <c r="AC29" s="46">
        <f>T29+W29+Z29</f>
        <v/>
      </c>
      <c r="AD29" s="73">
        <f>IF((AB29+AC29)=0, "", AB29/(AB29+AC29))</f>
        <v/>
      </c>
      <c r="AE29" s="46" t="inlineStr">
        <is>
          <t>Batch 1</t>
        </is>
      </c>
    </row>
    <row r="30" ht="14.25" customHeight="1" s="34">
      <c r="A30" s="46" t="n">
        <v>29</v>
      </c>
      <c r="B30" s="46" t="inlineStr">
        <is>
          <t>325106410029</t>
        </is>
      </c>
      <c r="C30" s="46" t="inlineStr">
        <is>
          <t>SYAM KISHORE MOGILI</t>
        </is>
      </c>
      <c r="D30" s="46">
        <f>COUNTIF('Detailed Attendance'!R32:R32, "P")+COUNTIF('Detailed Attendance'!X32:X32, "P")+COUNTIF('Detailed Attendance'!AL32:AL32, "P")+COUNTIF('Detailed Attendance'!BF32:BF32, "P")+COUNTIF('Detailed Attendance'!BL32:BL32, "P")+COUNTIF('Detailed Attendance'!BZ32:BZ32, "P")+COUNTIF('Detailed Attendance'!CI32:CI32, "P")+COUNTIF('Detailed Attendance'!CW32:CW32, "P")+COUNTIF('Detailed Attendance'!DF32:DF32, "P")+COUNTIF('Detailed Attendance'!DT32:DT32, "P")+COUNTIF('Detailed Attendance'!EC32:EC32, "P")+COUNTIF('Detailed Attendance'!EQ32:EQ32, "P")+COUNTIF('Detailed Attendance'!EW32:EW32, "P")+COUNTIF('Detailed Attendance'!FK32:FK32, "P")+COUNTIF('Detailed Attendance'!FM32:FM32, "P")+COUNTIF('Detailed Attendance'!GA32:GA32, "P")</f>
        <v/>
      </c>
      <c r="E30" s="46">
        <f>COUNTIF('Detailed Attendance'!R32:R32, "A")+COUNTIF('Detailed Attendance'!X32:X32, "A")+COUNTIF('Detailed Attendance'!AL32:AL32, "A")+COUNTIF('Detailed Attendance'!BF32:BF32, "A")+COUNTIF('Detailed Attendance'!BL32:BL32, "A")+COUNTIF('Detailed Attendance'!BZ32:BZ32, "A")+COUNTIF('Detailed Attendance'!CI32:CI32, "A")+COUNTIF('Detailed Attendance'!CW32:CW32, "A")+COUNTIF('Detailed Attendance'!DF32:DF32, "A")+COUNTIF('Detailed Attendance'!DT32:DT32, "A")+COUNTIF('Detailed Attendance'!EC32:EC32, "A")+COUNTIF('Detailed Attendance'!EQ32:EQ32, "A")+COUNTIF('Detailed Attendance'!EW32:EW32, "A")+COUNTIF('Detailed Attendance'!FK32:FK32, "A")+COUNTIF('Detailed Attendance'!FM32:FM32, "A")+COUNTIF('Detailed Attendance'!GA32:GA32, "A")</f>
        <v/>
      </c>
      <c r="F30" s="72">
        <f>IF((D30+E30)=0, "", D30/(D30+E30))</f>
        <v/>
      </c>
      <c r="G30" s="46">
        <f>COUNTIF('Detailed Attendance'!I32:I32, "P")+COUNTIF('Detailed Attendance'!Q32:Q32, "P")+COUNTIF('Detailed Attendance'!AC32:AC32, "P")+COUNTIF('Detailed Attendance'!AK32:AK32, "P")+COUNTIF('Detailed Attendance'!AW32:AW32, "P")+COUNTIF('Detailed Attendance'!BE32:BE32, "P")+COUNTIF('Detailed Attendance'!BQ32:BQ32, "P")+COUNTIF('Detailed Attendance'!BY32:BY32, "P")+COUNTIF('Detailed Attendance'!CN32:CN32, "P")+COUNTIF('Detailed Attendance'!CV32:CV32, "P")+COUNTIF('Detailed Attendance'!DK32:DK32, "P")+COUNTIF('Detailed Attendance'!DS32:DS32, "P")+COUNTIF('Detailed Attendance'!EH32:EH32, "P")+COUNTIF('Detailed Attendance'!EP32:EP32, "P")+COUNTIF('Detailed Attendance'!FB32:FB32, "P")+COUNTIF('Detailed Attendance'!FJ32:FJ32, "P")+COUNTIF('Detailed Attendance'!FR32:FR32, "P")+COUNTIF('Detailed Attendance'!FZ32:FZ32, "P")</f>
        <v/>
      </c>
      <c r="H30" s="46">
        <f>COUNTIF('Detailed Attendance'!I32:I32, "A")+COUNTIF('Detailed Attendance'!Q32:Q32, "A")+COUNTIF('Detailed Attendance'!AC32:AC32, "A")+COUNTIF('Detailed Attendance'!AK32:AK32, "A")+COUNTIF('Detailed Attendance'!AW32:AW32, "A")+COUNTIF('Detailed Attendance'!BE32:BE32, "A")+COUNTIF('Detailed Attendance'!BQ32:BQ32, "A")+COUNTIF('Detailed Attendance'!BY32:BY32, "A")+COUNTIF('Detailed Attendance'!CN32:CN32, "A")+COUNTIF('Detailed Attendance'!CV32:CV32, "A")+COUNTIF('Detailed Attendance'!DK32:DK32, "A")+COUNTIF('Detailed Attendance'!DS32:DS32, "A")+COUNTIF('Detailed Attendance'!EH32:EH32, "A")+COUNTIF('Detailed Attendance'!EP32:EP32, "A")+COUNTIF('Detailed Attendance'!FB32:FB32, "A")+COUNTIF('Detailed Attendance'!FJ32:FJ32, "A")+COUNTIF('Detailed Attendance'!FR32:FR32, "A")+COUNTIF('Detailed Attendance'!FZ32:FZ32, "A")</f>
        <v/>
      </c>
      <c r="I30" s="72">
        <f>IF((G30+H30)=0, "", G30/(G30+H30))</f>
        <v/>
      </c>
      <c r="J30" s="46">
        <f>COUNTIF('Detailed Attendance'!L32:L32, "P")+COUNTIF('Detailed Attendance'!P32:P32, "P")+COUNTIF('Detailed Attendance'!AF32:AF32, "P")+COUNTIF('Detailed Attendance'!AJ32:AJ32, "P")+COUNTIF('Detailed Attendance'!AZ32:AZ32, "P")+COUNTIF('Detailed Attendance'!BD32:BD32, "P")+COUNTIF('Detailed Attendance'!BT32:BT32, "P")+COUNTIF('Detailed Attendance'!BX32:BX32, "P")+COUNTIF('Detailed Attendance'!CQ32:CQ32, "P")+COUNTIF('Detailed Attendance'!CU32:CU32, "P")+COUNTIF('Detailed Attendance'!DN32:DN32, "P")+COUNTIF('Detailed Attendance'!DR32:DR32, "P")+COUNTIF('Detailed Attendance'!EK32:EK32, "P")+COUNTIF('Detailed Attendance'!EO32:EO32, "P")+COUNTIF('Detailed Attendance'!FE32:FE32, "P")+COUNTIF('Detailed Attendance'!FI32:FI32, "P")+COUNTIF('Detailed Attendance'!FU32:FU32, "P")+COUNTIF('Detailed Attendance'!FY32:FY32, "P")</f>
        <v/>
      </c>
      <c r="K30" s="46">
        <f>COUNTIF('Detailed Attendance'!L32:L32, "A")+COUNTIF('Detailed Attendance'!P32:P32, "A")+COUNTIF('Detailed Attendance'!AF32:AF32, "A")+COUNTIF('Detailed Attendance'!AJ32:AJ32, "A")+COUNTIF('Detailed Attendance'!AZ32:AZ32, "A")+COUNTIF('Detailed Attendance'!BD32:BD32, "A")+COUNTIF('Detailed Attendance'!BT32:BT32, "A")+COUNTIF('Detailed Attendance'!BX32:BX32, "A")+COUNTIF('Detailed Attendance'!CQ32:CQ32, "A")+COUNTIF('Detailed Attendance'!CU32:CU32, "A")+COUNTIF('Detailed Attendance'!DN32:DN32, "A")+COUNTIF('Detailed Attendance'!DR32:DR32, "A")+COUNTIF('Detailed Attendance'!EK32:EK32, "A")+COUNTIF('Detailed Attendance'!EO32:EO32, "A")+COUNTIF('Detailed Attendance'!FE32:FE32, "A")+COUNTIF('Detailed Attendance'!FI32:FI32, "A")+COUNTIF('Detailed Attendance'!FU32:FU32, "A")+COUNTIF('Detailed Attendance'!FY32:FY32, "A")</f>
        <v/>
      </c>
      <c r="L30" s="72">
        <f>IF((J30+K30)=0, "", J30/(J30+K30))</f>
        <v/>
      </c>
      <c r="M30" s="46">
        <f>COUNTIF('Detailed Attendance'!D32:D32, "P")+COUNTIF('Detailed Attendance'!T32:T32, "P")+COUNTIF('Detailed Attendance'!AN32:AN32, "P")+COUNTIF('Detailed Attendance'!AR32:AR32, "P")+COUNTIF('Detailed Attendance'!BH32:BH32, "P")+COUNTIF('Detailed Attendance'!CB32:CB32, "P")+COUNTIF('Detailed Attendance'!CF32:CF32, "P")+COUNTIF('Detailed Attendance'!CY32:CY32, "P")+COUNTIF('Detailed Attendance'!DC32:DC32, "P")+COUNTIF('Detailed Attendance'!DV32:DV32, "P")+COUNTIF('Detailed Attendance'!DZ32:DZ32, "P")+COUNTIF('Detailed Attendance'!ES32:ES32, "P")+COUNTIF('Detailed Attendance'!GC32:GC32, "P")+COUNTIF('Detailed Attendance'!GG32:GG32, "P")</f>
        <v/>
      </c>
      <c r="N30" s="46">
        <f>COUNTIF('Detailed Attendance'!D32:D32, "A")+COUNTIF('Detailed Attendance'!T32:T32, "A")+COUNTIF('Detailed Attendance'!AN32:AN32, "A")+COUNTIF('Detailed Attendance'!AR32:AR32, "A")+COUNTIF('Detailed Attendance'!BH32:BH32, "A")+COUNTIF('Detailed Attendance'!CB32:CB32, "A")+COUNTIF('Detailed Attendance'!CF32:CF32, "A")+COUNTIF('Detailed Attendance'!CY32:CY32, "A")+COUNTIF('Detailed Attendance'!DC32:DC32, "A")+COUNTIF('Detailed Attendance'!DV32:DV32, "A")+COUNTIF('Detailed Attendance'!DZ32:DZ32, "A")+COUNTIF('Detailed Attendance'!ES32:ES32, "A")+COUNTIF('Detailed Attendance'!GC32:GC32, "A")+COUNTIF('Detailed Attendance'!GG32:GG32, "A")</f>
        <v/>
      </c>
      <c r="O30" s="72">
        <f>IF((M30+N30)=0, "", M30/(M30+N30))</f>
        <v/>
      </c>
      <c r="P30" s="46">
        <f>COUNTIF('Detailed Attendance'!M32:M32, "P")+COUNTIF('Detailed Attendance'!U32:U32, "P")+COUNTIF('Detailed Attendance'!AG32:AG32, "P")+COUNTIF('Detailed Attendance'!AO32:AO32, "P")+COUNTIF('Detailed Attendance'!BA32:BA32, "P")+COUNTIF('Detailed Attendance'!BI32:BI32, "P")+COUNTIF('Detailed Attendance'!BU32:BU32, "P")+COUNTIF('Detailed Attendance'!CC32:CC32, "P")+COUNTIF('Detailed Attendance'!CR32:CR32, "P")+COUNTIF('Detailed Attendance'!CZ32:CZ32, "P")+COUNTIF('Detailed Attendance'!DO32:DO32, "P")+COUNTIF('Detailed Attendance'!DW32:DW32, "P")+COUNTIF('Detailed Attendance'!EL32:EL32, "P")+COUNTIF('Detailed Attendance'!ET32:ET32, "P")+COUNTIF('Detailed Attendance'!FF32:FF32, "P")+COUNTIF('Detailed Attendance'!FV32:FV32, "P")+COUNTIF('Detailed Attendance'!GD32:GD32, "P")</f>
        <v/>
      </c>
      <c r="Q30" s="46">
        <f>COUNTIF('Detailed Attendance'!M32:M32, "A")+COUNTIF('Detailed Attendance'!U32:U32, "A")+COUNTIF('Detailed Attendance'!AG32:AG32, "A")+COUNTIF('Detailed Attendance'!AO32:AO32, "A")+COUNTIF('Detailed Attendance'!BA32:BA32, "A")+COUNTIF('Detailed Attendance'!BI32:BI32, "A")+COUNTIF('Detailed Attendance'!BU32:BU32, "A")+COUNTIF('Detailed Attendance'!CC32:CC32, "A")+COUNTIF('Detailed Attendance'!CR32:CR32, "A")+COUNTIF('Detailed Attendance'!CZ32:CZ32, "A")+COUNTIF('Detailed Attendance'!DO32:DO32, "A")+COUNTIF('Detailed Attendance'!DW32:DW32, "A")+COUNTIF('Detailed Attendance'!EL32:EL32, "A")+COUNTIF('Detailed Attendance'!ET32:ET32, "A")+COUNTIF('Detailed Attendance'!FF32:FF32, "A")+COUNTIF('Detailed Attendance'!FV32:FV32, "A")+COUNTIF('Detailed Attendance'!GD32:GD32, "A")</f>
        <v/>
      </c>
      <c r="R30" s="72">
        <f>IF((P30+Q30)=0, "", P30/(P30+Q30))</f>
        <v/>
      </c>
      <c r="S30" s="46">
        <f>COUNTIF('Detailed Attendance'!CH32:CH32, "P")+COUNTIF('Detailed Attendance'!DE32:DE32, "P")+COUNTIF('Detailed Attendance'!EB32:EB32, "P")+COUNTIF('Detailed Attendance'!GI32:GI32, "P")</f>
        <v/>
      </c>
      <c r="T30" s="46">
        <f>COUNTIF('Detailed Attendance'!CH32:CH32, "A")+COUNTIF('Detailed Attendance'!DE32:DE32, "A")+COUNTIF('Detailed Attendance'!EB32:EB32, "A")+COUNTIF('Detailed Attendance'!GI32:GI32, "A")</f>
        <v/>
      </c>
      <c r="U30" s="73">
        <f>IF((S30+T30)=0, "", S30/(S30+T30))</f>
        <v/>
      </c>
      <c r="V30" s="46">
        <f>COUNTIF('Detailed Attendance'!V32:V32, "P")+COUNTIF('Detailed Attendance'!AP32:AP32, "P")+COUNTIF('Detailed Attendance'!BJ32:BJ32, "P")+COUNTIF('Detailed Attendance'!CD32:CD32, "P")+COUNTIF('Detailed Attendance'!DA32:DA32, "P")+COUNTIF('Detailed Attendance'!DX32:DX32, "P")+COUNTIF('Detailed Attendance'!EU32:EU32, "P")+COUNTIF('Detailed Attendance'!GE32:GE32, "P")</f>
        <v/>
      </c>
      <c r="W30" s="46">
        <f>COUNTIF('Detailed Attendance'!V32:V32, "A")+COUNTIF('Detailed Attendance'!AP32:AP32, "A")+COUNTIF('Detailed Attendance'!BJ32:BJ32, "A")+COUNTIF('Detailed Attendance'!CD32:CD32, "A")+COUNTIF('Detailed Attendance'!DA32:DA32, "A")+COUNTIF('Detailed Attendance'!DX32:DX32, "A")+COUNTIF('Detailed Attendance'!EU32:EU32, "A")+COUNTIF('Detailed Attendance'!GE32:GE32, "A")</f>
        <v/>
      </c>
      <c r="X30" s="73">
        <f>IF((V30+W30)=0, "", V30/(V30+W30))</f>
        <v/>
      </c>
      <c r="Y30" s="46">
        <f>COUNTIF('Detailed Attendance'!E32:E32, "P")+COUNTIF('Detailed Attendance'!Y32:Y32, "P")+COUNTIF('Detailed Attendance'!AS32:AS32, "P")+COUNTIF('Detailed Attendance'!BM32:BM32, "P")+COUNTIF('Detailed Attendance'!CJ32:CJ32, "P")+COUNTIF('Detailed Attendance'!DG32:DG32, "P")+COUNTIF('Detailed Attendance'!ED32:ED32, "P")+COUNTIF('Detailed Attendance'!EX32:EX32, "P")+COUNTIF('Detailed Attendance'!FN32:FN32, "P")</f>
        <v/>
      </c>
      <c r="Z30" s="46">
        <f>COUNTIF('Detailed Attendance'!E32:E32, "A")+COUNTIF('Detailed Attendance'!Y32:Y32, "A")+COUNTIF('Detailed Attendance'!AS32:AS32, "A")+COUNTIF('Detailed Attendance'!BM32:BM32, "A")+COUNTIF('Detailed Attendance'!CJ32:CJ32, "A")+COUNTIF('Detailed Attendance'!DG32:DG32, "A")+COUNTIF('Detailed Attendance'!ED32:ED32, "A")+COUNTIF('Detailed Attendance'!EX32:EX32, "A")+COUNTIF('Detailed Attendance'!FN32:FN32, "A")</f>
        <v/>
      </c>
      <c r="AA30" s="73">
        <f>IF((Y30+Z30)=0, "", Y30/(Y30+Z30))</f>
        <v/>
      </c>
      <c r="AB30" s="46">
        <f>S30+V30+Y30</f>
        <v/>
      </c>
      <c r="AC30" s="46">
        <f>T30+W30+Z30</f>
        <v/>
      </c>
      <c r="AD30" s="73">
        <f>IF((AB30+AC30)=0, "", AB30/(AB30+AC30))</f>
        <v/>
      </c>
      <c r="AE30" s="46" t="inlineStr">
        <is>
          <t>Batch 1</t>
        </is>
      </c>
    </row>
    <row r="31" ht="14.25" customHeight="1" s="34">
      <c r="A31" s="46" t="n">
        <v>30</v>
      </c>
      <c r="B31" s="46" t="inlineStr">
        <is>
          <t>325106410030</t>
        </is>
      </c>
      <c r="C31" s="46" t="inlineStr">
        <is>
          <t>CHARAN TEJA MUDADLA</t>
        </is>
      </c>
      <c r="D31" s="46">
        <f>COUNTIF('Detailed Attendance'!R33:R33, "P")+COUNTIF('Detailed Attendance'!X33:X33, "P")+COUNTIF('Detailed Attendance'!AL33:AL33, "P")+COUNTIF('Detailed Attendance'!BF33:BF33, "P")+COUNTIF('Detailed Attendance'!BL33:BL33, "P")+COUNTIF('Detailed Attendance'!BZ33:BZ33, "P")+COUNTIF('Detailed Attendance'!CI33:CI33, "P")+COUNTIF('Detailed Attendance'!CW33:CW33, "P")+COUNTIF('Detailed Attendance'!DF33:DF33, "P")+COUNTIF('Detailed Attendance'!DT33:DT33, "P")+COUNTIF('Detailed Attendance'!EC33:EC33, "P")+COUNTIF('Detailed Attendance'!EQ33:EQ33, "P")+COUNTIF('Detailed Attendance'!EW33:EW33, "P")+COUNTIF('Detailed Attendance'!FK33:FK33, "P")+COUNTIF('Detailed Attendance'!FM33:FM33, "P")+COUNTIF('Detailed Attendance'!GA33:GA33, "P")</f>
        <v/>
      </c>
      <c r="E31" s="46">
        <f>COUNTIF('Detailed Attendance'!R33:R33, "A")+COUNTIF('Detailed Attendance'!X33:X33, "A")+COUNTIF('Detailed Attendance'!AL33:AL33, "A")+COUNTIF('Detailed Attendance'!BF33:BF33, "A")+COUNTIF('Detailed Attendance'!BL33:BL33, "A")+COUNTIF('Detailed Attendance'!BZ33:BZ33, "A")+COUNTIF('Detailed Attendance'!CI33:CI33, "A")+COUNTIF('Detailed Attendance'!CW33:CW33, "A")+COUNTIF('Detailed Attendance'!DF33:DF33, "A")+COUNTIF('Detailed Attendance'!DT33:DT33, "A")+COUNTIF('Detailed Attendance'!EC33:EC33, "A")+COUNTIF('Detailed Attendance'!EQ33:EQ33, "A")+COUNTIF('Detailed Attendance'!EW33:EW33, "A")+COUNTIF('Detailed Attendance'!FK33:FK33, "A")+COUNTIF('Detailed Attendance'!FM33:FM33, "A")+COUNTIF('Detailed Attendance'!GA33:GA33, "A")</f>
        <v/>
      </c>
      <c r="F31" s="72">
        <f>IF((D31+E31)=0, "", D31/(D31+E31))</f>
        <v/>
      </c>
      <c r="G31" s="46">
        <f>COUNTIF('Detailed Attendance'!I33:I33, "P")+COUNTIF('Detailed Attendance'!Q33:Q33, "P")+COUNTIF('Detailed Attendance'!AC33:AC33, "P")+COUNTIF('Detailed Attendance'!AK33:AK33, "P")+COUNTIF('Detailed Attendance'!AW33:AW33, "P")+COUNTIF('Detailed Attendance'!BE33:BE33, "P")+COUNTIF('Detailed Attendance'!BQ33:BQ33, "P")+COUNTIF('Detailed Attendance'!BY33:BY33, "P")+COUNTIF('Detailed Attendance'!CN33:CN33, "P")+COUNTIF('Detailed Attendance'!CV33:CV33, "P")+COUNTIF('Detailed Attendance'!DK33:DK33, "P")+COUNTIF('Detailed Attendance'!DS33:DS33, "P")+COUNTIF('Detailed Attendance'!EH33:EH33, "P")+COUNTIF('Detailed Attendance'!EP33:EP33, "P")+COUNTIF('Detailed Attendance'!FB33:FB33, "P")+COUNTIF('Detailed Attendance'!FJ33:FJ33, "P")+COUNTIF('Detailed Attendance'!FR33:FR33, "P")+COUNTIF('Detailed Attendance'!FZ33:FZ33, "P")</f>
        <v/>
      </c>
      <c r="H31" s="46">
        <f>COUNTIF('Detailed Attendance'!I33:I33, "A")+COUNTIF('Detailed Attendance'!Q33:Q33, "A")+COUNTIF('Detailed Attendance'!AC33:AC33, "A")+COUNTIF('Detailed Attendance'!AK33:AK33, "A")+COUNTIF('Detailed Attendance'!AW33:AW33, "A")+COUNTIF('Detailed Attendance'!BE33:BE33, "A")+COUNTIF('Detailed Attendance'!BQ33:BQ33, "A")+COUNTIF('Detailed Attendance'!BY33:BY33, "A")+COUNTIF('Detailed Attendance'!CN33:CN33, "A")+COUNTIF('Detailed Attendance'!CV33:CV33, "A")+COUNTIF('Detailed Attendance'!DK33:DK33, "A")+COUNTIF('Detailed Attendance'!DS33:DS33, "A")+COUNTIF('Detailed Attendance'!EH33:EH33, "A")+COUNTIF('Detailed Attendance'!EP33:EP33, "A")+COUNTIF('Detailed Attendance'!FB33:FB33, "A")+COUNTIF('Detailed Attendance'!FJ33:FJ33, "A")+COUNTIF('Detailed Attendance'!FR33:FR33, "A")+COUNTIF('Detailed Attendance'!FZ33:FZ33, "A")</f>
        <v/>
      </c>
      <c r="I31" s="72">
        <f>IF((G31+H31)=0, "", G31/(G31+H31))</f>
        <v/>
      </c>
      <c r="J31" s="46">
        <f>COUNTIF('Detailed Attendance'!L33:L33, "P")+COUNTIF('Detailed Attendance'!P33:P33, "P")+COUNTIF('Detailed Attendance'!AF33:AF33, "P")+COUNTIF('Detailed Attendance'!AJ33:AJ33, "P")+COUNTIF('Detailed Attendance'!AZ33:AZ33, "P")+COUNTIF('Detailed Attendance'!BD33:BD33, "P")+COUNTIF('Detailed Attendance'!BT33:BT33, "P")+COUNTIF('Detailed Attendance'!BX33:BX33, "P")+COUNTIF('Detailed Attendance'!CQ33:CQ33, "P")+COUNTIF('Detailed Attendance'!CU33:CU33, "P")+COUNTIF('Detailed Attendance'!DN33:DN33, "P")+COUNTIF('Detailed Attendance'!DR33:DR33, "P")+COUNTIF('Detailed Attendance'!EK33:EK33, "P")+COUNTIF('Detailed Attendance'!EO33:EO33, "P")+COUNTIF('Detailed Attendance'!FE33:FE33, "P")+COUNTIF('Detailed Attendance'!FI33:FI33, "P")+COUNTIF('Detailed Attendance'!FU33:FU33, "P")+COUNTIF('Detailed Attendance'!FY33:FY33, "P")</f>
        <v/>
      </c>
      <c r="K31" s="46">
        <f>COUNTIF('Detailed Attendance'!L33:L33, "A")+COUNTIF('Detailed Attendance'!P33:P33, "A")+COUNTIF('Detailed Attendance'!AF33:AF33, "A")+COUNTIF('Detailed Attendance'!AJ33:AJ33, "A")+COUNTIF('Detailed Attendance'!AZ33:AZ33, "A")+COUNTIF('Detailed Attendance'!BD33:BD33, "A")+COUNTIF('Detailed Attendance'!BT33:BT33, "A")+COUNTIF('Detailed Attendance'!BX33:BX33, "A")+COUNTIF('Detailed Attendance'!CQ33:CQ33, "A")+COUNTIF('Detailed Attendance'!CU33:CU33, "A")+COUNTIF('Detailed Attendance'!DN33:DN33, "A")+COUNTIF('Detailed Attendance'!DR33:DR33, "A")+COUNTIF('Detailed Attendance'!EK33:EK33, "A")+COUNTIF('Detailed Attendance'!EO33:EO33, "A")+COUNTIF('Detailed Attendance'!FE33:FE33, "A")+COUNTIF('Detailed Attendance'!FI33:FI33, "A")+COUNTIF('Detailed Attendance'!FU33:FU33, "A")+COUNTIF('Detailed Attendance'!FY33:FY33, "A")</f>
        <v/>
      </c>
      <c r="L31" s="72">
        <f>IF((J31+K31)=0, "", J31/(J31+K31))</f>
        <v/>
      </c>
      <c r="M31" s="46">
        <f>COUNTIF('Detailed Attendance'!D33:D33, "P")+COUNTIF('Detailed Attendance'!T33:T33, "P")+COUNTIF('Detailed Attendance'!AN33:AN33, "P")+COUNTIF('Detailed Attendance'!AR33:AR33, "P")+COUNTIF('Detailed Attendance'!BH33:BH33, "P")+COUNTIF('Detailed Attendance'!CB33:CB33, "P")+COUNTIF('Detailed Attendance'!CF33:CF33, "P")+COUNTIF('Detailed Attendance'!CY33:CY33, "P")+COUNTIF('Detailed Attendance'!DC33:DC33, "P")+COUNTIF('Detailed Attendance'!DV33:DV33, "P")+COUNTIF('Detailed Attendance'!DZ33:DZ33, "P")+COUNTIF('Detailed Attendance'!ES33:ES33, "P")+COUNTIF('Detailed Attendance'!GC33:GC33, "P")+COUNTIF('Detailed Attendance'!GG33:GG33, "P")</f>
        <v/>
      </c>
      <c r="N31" s="46">
        <f>COUNTIF('Detailed Attendance'!D33:D33, "A")+COUNTIF('Detailed Attendance'!T33:T33, "A")+COUNTIF('Detailed Attendance'!AN33:AN33, "A")+COUNTIF('Detailed Attendance'!AR33:AR33, "A")+COUNTIF('Detailed Attendance'!BH33:BH33, "A")+COUNTIF('Detailed Attendance'!CB33:CB33, "A")+COUNTIF('Detailed Attendance'!CF33:CF33, "A")+COUNTIF('Detailed Attendance'!CY33:CY33, "A")+COUNTIF('Detailed Attendance'!DC33:DC33, "A")+COUNTIF('Detailed Attendance'!DV33:DV33, "A")+COUNTIF('Detailed Attendance'!DZ33:DZ33, "A")+COUNTIF('Detailed Attendance'!ES33:ES33, "A")+COUNTIF('Detailed Attendance'!GC33:GC33, "A")+COUNTIF('Detailed Attendance'!GG33:GG33, "A")</f>
        <v/>
      </c>
      <c r="O31" s="72">
        <f>IF((M31+N31)=0, "", M31/(M31+N31))</f>
        <v/>
      </c>
      <c r="P31" s="46">
        <f>COUNTIF('Detailed Attendance'!M33:M33, "P")+COUNTIF('Detailed Attendance'!U33:U33, "P")+COUNTIF('Detailed Attendance'!AG33:AG33, "P")+COUNTIF('Detailed Attendance'!AO33:AO33, "P")+COUNTIF('Detailed Attendance'!BA33:BA33, "P")+COUNTIF('Detailed Attendance'!BI33:BI33, "P")+COUNTIF('Detailed Attendance'!BU33:BU33, "P")+COUNTIF('Detailed Attendance'!CC33:CC33, "P")+COUNTIF('Detailed Attendance'!CR33:CR33, "P")+COUNTIF('Detailed Attendance'!CZ33:CZ33, "P")+COUNTIF('Detailed Attendance'!DO33:DO33, "P")+COUNTIF('Detailed Attendance'!DW33:DW33, "P")+COUNTIF('Detailed Attendance'!EL33:EL33, "P")+COUNTIF('Detailed Attendance'!ET33:ET33, "P")+COUNTIF('Detailed Attendance'!FF33:FF33, "P")+COUNTIF('Detailed Attendance'!FV33:FV33, "P")+COUNTIF('Detailed Attendance'!GD33:GD33, "P")</f>
        <v/>
      </c>
      <c r="Q31" s="46">
        <f>COUNTIF('Detailed Attendance'!M33:M33, "A")+COUNTIF('Detailed Attendance'!U33:U33, "A")+COUNTIF('Detailed Attendance'!AG33:AG33, "A")+COUNTIF('Detailed Attendance'!AO33:AO33, "A")+COUNTIF('Detailed Attendance'!BA33:BA33, "A")+COUNTIF('Detailed Attendance'!BI33:BI33, "A")+COUNTIF('Detailed Attendance'!BU33:BU33, "A")+COUNTIF('Detailed Attendance'!CC33:CC33, "A")+COUNTIF('Detailed Attendance'!CR33:CR33, "A")+COUNTIF('Detailed Attendance'!CZ33:CZ33, "A")+COUNTIF('Detailed Attendance'!DO33:DO33, "A")+COUNTIF('Detailed Attendance'!DW33:DW33, "A")+COUNTIF('Detailed Attendance'!EL33:EL33, "A")+COUNTIF('Detailed Attendance'!ET33:ET33, "A")+COUNTIF('Detailed Attendance'!FF33:FF33, "A")+COUNTIF('Detailed Attendance'!FV33:FV33, "A")+COUNTIF('Detailed Attendance'!GD33:GD33, "A")</f>
        <v/>
      </c>
      <c r="R31" s="72">
        <f>IF((P31+Q31)=0, "", P31/(P31+Q31))</f>
        <v/>
      </c>
      <c r="S31" s="46">
        <f>COUNTIF('Detailed Attendance'!CH33:CH33, "P")+COUNTIF('Detailed Attendance'!DE33:DE33, "P")+COUNTIF('Detailed Attendance'!EB33:EB33, "P")+COUNTIF('Detailed Attendance'!GI33:GI33, "P")</f>
        <v/>
      </c>
      <c r="T31" s="46">
        <f>COUNTIF('Detailed Attendance'!CH33:CH33, "A")+COUNTIF('Detailed Attendance'!DE33:DE33, "A")+COUNTIF('Detailed Attendance'!EB33:EB33, "A")+COUNTIF('Detailed Attendance'!GI33:GI33, "A")</f>
        <v/>
      </c>
      <c r="U31" s="73">
        <f>IF((S31+T31)=0, "", S31/(S31+T31))</f>
        <v/>
      </c>
      <c r="V31" s="46">
        <f>COUNTIF('Detailed Attendance'!V33:V33, "P")+COUNTIF('Detailed Attendance'!AP33:AP33, "P")+COUNTIF('Detailed Attendance'!BJ33:BJ33, "P")+COUNTIF('Detailed Attendance'!CD33:CD33, "P")+COUNTIF('Detailed Attendance'!DA33:DA33, "P")+COUNTIF('Detailed Attendance'!DX33:DX33, "P")+COUNTIF('Detailed Attendance'!EU33:EU33, "P")+COUNTIF('Detailed Attendance'!GE33:GE33, "P")</f>
        <v/>
      </c>
      <c r="W31" s="46">
        <f>COUNTIF('Detailed Attendance'!V33:V33, "A")+COUNTIF('Detailed Attendance'!AP33:AP33, "A")+COUNTIF('Detailed Attendance'!BJ33:BJ33, "A")+COUNTIF('Detailed Attendance'!CD33:CD33, "A")+COUNTIF('Detailed Attendance'!DA33:DA33, "A")+COUNTIF('Detailed Attendance'!DX33:DX33, "A")+COUNTIF('Detailed Attendance'!EU33:EU33, "A")+COUNTIF('Detailed Attendance'!GE33:GE33, "A")</f>
        <v/>
      </c>
      <c r="X31" s="73">
        <f>IF((V31+W31)=0, "", V31/(V31+W31))</f>
        <v/>
      </c>
      <c r="Y31" s="46">
        <f>COUNTIF('Detailed Attendance'!E33:E33, "P")+COUNTIF('Detailed Attendance'!Y33:Y33, "P")+COUNTIF('Detailed Attendance'!AS33:AS33, "P")+COUNTIF('Detailed Attendance'!BM33:BM33, "P")+COUNTIF('Detailed Attendance'!CJ33:CJ33, "P")+COUNTIF('Detailed Attendance'!DG33:DG33, "P")+COUNTIF('Detailed Attendance'!ED33:ED33, "P")+COUNTIF('Detailed Attendance'!EX33:EX33, "P")+COUNTIF('Detailed Attendance'!FN33:FN33, "P")</f>
        <v/>
      </c>
      <c r="Z31" s="46">
        <f>COUNTIF('Detailed Attendance'!E33:E33, "A")+COUNTIF('Detailed Attendance'!Y33:Y33, "A")+COUNTIF('Detailed Attendance'!AS33:AS33, "A")+COUNTIF('Detailed Attendance'!BM33:BM33, "A")+COUNTIF('Detailed Attendance'!CJ33:CJ33, "A")+COUNTIF('Detailed Attendance'!DG33:DG33, "A")+COUNTIF('Detailed Attendance'!ED33:ED33, "A")+COUNTIF('Detailed Attendance'!EX33:EX33, "A")+COUNTIF('Detailed Attendance'!FN33:FN33, "A")</f>
        <v/>
      </c>
      <c r="AA31" s="73">
        <f>IF((Y31+Z31)=0, "", Y31/(Y31+Z31))</f>
        <v/>
      </c>
      <c r="AB31" s="46">
        <f>S31+V31+Y31</f>
        <v/>
      </c>
      <c r="AC31" s="46">
        <f>T31+W31+Z31</f>
        <v/>
      </c>
      <c r="AD31" s="73">
        <f>IF((AB31+AC31)=0, "", AB31/(AB31+AC31))</f>
        <v/>
      </c>
      <c r="AE31" s="46" t="inlineStr">
        <is>
          <t>Batch 1</t>
        </is>
      </c>
    </row>
    <row r="32" ht="14.25" customHeight="1" s="34">
      <c r="A32" s="46" t="n">
        <v>31</v>
      </c>
      <c r="B32" s="46" t="inlineStr">
        <is>
          <t>325106410031</t>
        </is>
      </c>
      <c r="C32" s="46" t="inlineStr">
        <is>
          <t>LAKSHMI PRATHYUSHA MUDIYAM</t>
        </is>
      </c>
      <c r="D32" s="46">
        <f>COUNTIF('Detailed Attendance'!R34:R34, "P")+COUNTIF('Detailed Attendance'!X34:X34, "P")+COUNTIF('Detailed Attendance'!AL34:AL34, "P")+COUNTIF('Detailed Attendance'!BF34:BF34, "P")+COUNTIF('Detailed Attendance'!BL34:BL34, "P")+COUNTIF('Detailed Attendance'!BZ34:BZ34, "P")+COUNTIF('Detailed Attendance'!CI34:CI34, "P")+COUNTIF('Detailed Attendance'!CW34:CW34, "P")+COUNTIF('Detailed Attendance'!DF34:DF34, "P")+COUNTIF('Detailed Attendance'!DT34:DT34, "P")+COUNTIF('Detailed Attendance'!EC34:EC34, "P")+COUNTIF('Detailed Attendance'!EQ34:EQ34, "P")+COUNTIF('Detailed Attendance'!EW34:EW34, "P")+COUNTIF('Detailed Attendance'!FK34:FK34, "P")+COUNTIF('Detailed Attendance'!FM34:FM34, "P")+COUNTIF('Detailed Attendance'!GA34:GA34, "P")</f>
        <v/>
      </c>
      <c r="E32" s="46">
        <f>COUNTIF('Detailed Attendance'!R34:R34, "A")+COUNTIF('Detailed Attendance'!X34:X34, "A")+COUNTIF('Detailed Attendance'!AL34:AL34, "A")+COUNTIF('Detailed Attendance'!BF34:BF34, "A")+COUNTIF('Detailed Attendance'!BL34:BL34, "A")+COUNTIF('Detailed Attendance'!BZ34:BZ34, "A")+COUNTIF('Detailed Attendance'!CI34:CI34, "A")+COUNTIF('Detailed Attendance'!CW34:CW34, "A")+COUNTIF('Detailed Attendance'!DF34:DF34, "A")+COUNTIF('Detailed Attendance'!DT34:DT34, "A")+COUNTIF('Detailed Attendance'!EC34:EC34, "A")+COUNTIF('Detailed Attendance'!EQ34:EQ34, "A")+COUNTIF('Detailed Attendance'!EW34:EW34, "A")+COUNTIF('Detailed Attendance'!FK34:FK34, "A")+COUNTIF('Detailed Attendance'!FM34:FM34, "A")+COUNTIF('Detailed Attendance'!GA34:GA34, "A")</f>
        <v/>
      </c>
      <c r="F32" s="72">
        <f>IF((D32+E32)=0, "", D32/(D32+E32))</f>
        <v/>
      </c>
      <c r="G32" s="46">
        <f>COUNTIF('Detailed Attendance'!I34:I34, "P")+COUNTIF('Detailed Attendance'!Q34:Q34, "P")+COUNTIF('Detailed Attendance'!AC34:AC34, "P")+COUNTIF('Detailed Attendance'!AK34:AK34, "P")+COUNTIF('Detailed Attendance'!AW34:AW34, "P")+COUNTIF('Detailed Attendance'!BE34:BE34, "P")+COUNTIF('Detailed Attendance'!BQ34:BQ34, "P")+COUNTIF('Detailed Attendance'!BY34:BY34, "P")+COUNTIF('Detailed Attendance'!CN34:CN34, "P")+COUNTIF('Detailed Attendance'!CV34:CV34, "P")+COUNTIF('Detailed Attendance'!DK34:DK34, "P")+COUNTIF('Detailed Attendance'!DS34:DS34, "P")+COUNTIF('Detailed Attendance'!EH34:EH34, "P")+COUNTIF('Detailed Attendance'!EP34:EP34, "P")+COUNTIF('Detailed Attendance'!FB34:FB34, "P")+COUNTIF('Detailed Attendance'!FJ34:FJ34, "P")+COUNTIF('Detailed Attendance'!FR34:FR34, "P")+COUNTIF('Detailed Attendance'!FZ34:FZ34, "P")</f>
        <v/>
      </c>
      <c r="H32" s="46">
        <f>COUNTIF('Detailed Attendance'!I34:I34, "A")+COUNTIF('Detailed Attendance'!Q34:Q34, "A")+COUNTIF('Detailed Attendance'!AC34:AC34, "A")+COUNTIF('Detailed Attendance'!AK34:AK34, "A")+COUNTIF('Detailed Attendance'!AW34:AW34, "A")+COUNTIF('Detailed Attendance'!BE34:BE34, "A")+COUNTIF('Detailed Attendance'!BQ34:BQ34, "A")+COUNTIF('Detailed Attendance'!BY34:BY34, "A")+COUNTIF('Detailed Attendance'!CN34:CN34, "A")+COUNTIF('Detailed Attendance'!CV34:CV34, "A")+COUNTIF('Detailed Attendance'!DK34:DK34, "A")+COUNTIF('Detailed Attendance'!DS34:DS34, "A")+COUNTIF('Detailed Attendance'!EH34:EH34, "A")+COUNTIF('Detailed Attendance'!EP34:EP34, "A")+COUNTIF('Detailed Attendance'!FB34:FB34, "A")+COUNTIF('Detailed Attendance'!FJ34:FJ34, "A")+COUNTIF('Detailed Attendance'!FR34:FR34, "A")+COUNTIF('Detailed Attendance'!FZ34:FZ34, "A")</f>
        <v/>
      </c>
      <c r="I32" s="72">
        <f>IF((G32+H32)=0, "", G32/(G32+H32))</f>
        <v/>
      </c>
      <c r="J32" s="46">
        <f>COUNTIF('Detailed Attendance'!L34:L34, "P")+COUNTIF('Detailed Attendance'!P34:P34, "P")+COUNTIF('Detailed Attendance'!AF34:AF34, "P")+COUNTIF('Detailed Attendance'!AJ34:AJ34, "P")+COUNTIF('Detailed Attendance'!AZ34:AZ34, "P")+COUNTIF('Detailed Attendance'!BD34:BD34, "P")+COUNTIF('Detailed Attendance'!BT34:BT34, "P")+COUNTIF('Detailed Attendance'!BX34:BX34, "P")+COUNTIF('Detailed Attendance'!CQ34:CQ34, "P")+COUNTIF('Detailed Attendance'!CU34:CU34, "P")+COUNTIF('Detailed Attendance'!DN34:DN34, "P")+COUNTIF('Detailed Attendance'!DR34:DR34, "P")+COUNTIF('Detailed Attendance'!EK34:EK34, "P")+COUNTIF('Detailed Attendance'!EO34:EO34, "P")+COUNTIF('Detailed Attendance'!FE34:FE34, "P")+COUNTIF('Detailed Attendance'!FI34:FI34, "P")+COUNTIF('Detailed Attendance'!FU34:FU34, "P")+COUNTIF('Detailed Attendance'!FY34:FY34, "P")</f>
        <v/>
      </c>
      <c r="K32" s="46">
        <f>COUNTIF('Detailed Attendance'!L34:L34, "A")+COUNTIF('Detailed Attendance'!P34:P34, "A")+COUNTIF('Detailed Attendance'!AF34:AF34, "A")+COUNTIF('Detailed Attendance'!AJ34:AJ34, "A")+COUNTIF('Detailed Attendance'!AZ34:AZ34, "A")+COUNTIF('Detailed Attendance'!BD34:BD34, "A")+COUNTIF('Detailed Attendance'!BT34:BT34, "A")+COUNTIF('Detailed Attendance'!BX34:BX34, "A")+COUNTIF('Detailed Attendance'!CQ34:CQ34, "A")+COUNTIF('Detailed Attendance'!CU34:CU34, "A")+COUNTIF('Detailed Attendance'!DN34:DN34, "A")+COUNTIF('Detailed Attendance'!DR34:DR34, "A")+COUNTIF('Detailed Attendance'!EK34:EK34, "A")+COUNTIF('Detailed Attendance'!EO34:EO34, "A")+COUNTIF('Detailed Attendance'!FE34:FE34, "A")+COUNTIF('Detailed Attendance'!FI34:FI34, "A")+COUNTIF('Detailed Attendance'!FU34:FU34, "A")+COUNTIF('Detailed Attendance'!FY34:FY34, "A")</f>
        <v/>
      </c>
      <c r="L32" s="72">
        <f>IF((J32+K32)=0, "", J32/(J32+K32))</f>
        <v/>
      </c>
      <c r="M32" s="46">
        <f>COUNTIF('Detailed Attendance'!D34:D34, "P")+COUNTIF('Detailed Attendance'!T34:T34, "P")+COUNTIF('Detailed Attendance'!AN34:AN34, "P")+COUNTIF('Detailed Attendance'!AR34:AR34, "P")+COUNTIF('Detailed Attendance'!BH34:BH34, "P")+COUNTIF('Detailed Attendance'!CB34:CB34, "P")+COUNTIF('Detailed Attendance'!CF34:CF34, "P")+COUNTIF('Detailed Attendance'!CY34:CY34, "P")+COUNTIF('Detailed Attendance'!DC34:DC34, "P")+COUNTIF('Detailed Attendance'!DV34:DV34, "P")+COUNTIF('Detailed Attendance'!DZ34:DZ34, "P")+COUNTIF('Detailed Attendance'!ES34:ES34, "P")+COUNTIF('Detailed Attendance'!GC34:GC34, "P")+COUNTIF('Detailed Attendance'!GG34:GG34, "P")</f>
        <v/>
      </c>
      <c r="N32" s="46">
        <f>COUNTIF('Detailed Attendance'!D34:D34, "A")+COUNTIF('Detailed Attendance'!T34:T34, "A")+COUNTIF('Detailed Attendance'!AN34:AN34, "A")+COUNTIF('Detailed Attendance'!AR34:AR34, "A")+COUNTIF('Detailed Attendance'!BH34:BH34, "A")+COUNTIF('Detailed Attendance'!CB34:CB34, "A")+COUNTIF('Detailed Attendance'!CF34:CF34, "A")+COUNTIF('Detailed Attendance'!CY34:CY34, "A")+COUNTIF('Detailed Attendance'!DC34:DC34, "A")+COUNTIF('Detailed Attendance'!DV34:DV34, "A")+COUNTIF('Detailed Attendance'!DZ34:DZ34, "A")+COUNTIF('Detailed Attendance'!ES34:ES34, "A")+COUNTIF('Detailed Attendance'!GC34:GC34, "A")+COUNTIF('Detailed Attendance'!GG34:GG34, "A")</f>
        <v/>
      </c>
      <c r="O32" s="72">
        <f>IF((M32+N32)=0, "", M32/(M32+N32))</f>
        <v/>
      </c>
      <c r="P32" s="46">
        <f>COUNTIF('Detailed Attendance'!M34:M34, "P")+COUNTIF('Detailed Attendance'!U34:U34, "P")+COUNTIF('Detailed Attendance'!AG34:AG34, "P")+COUNTIF('Detailed Attendance'!AO34:AO34, "P")+COUNTIF('Detailed Attendance'!BA34:BA34, "P")+COUNTIF('Detailed Attendance'!BI34:BI34, "P")+COUNTIF('Detailed Attendance'!BU34:BU34, "P")+COUNTIF('Detailed Attendance'!CC34:CC34, "P")+COUNTIF('Detailed Attendance'!CR34:CR34, "P")+COUNTIF('Detailed Attendance'!CZ34:CZ34, "P")+COUNTIF('Detailed Attendance'!DO34:DO34, "P")+COUNTIF('Detailed Attendance'!DW34:DW34, "P")+COUNTIF('Detailed Attendance'!EL34:EL34, "P")+COUNTIF('Detailed Attendance'!ET34:ET34, "P")+COUNTIF('Detailed Attendance'!FF34:FF34, "P")+COUNTIF('Detailed Attendance'!FV34:FV34, "P")+COUNTIF('Detailed Attendance'!GD34:GD34, "P")</f>
        <v/>
      </c>
      <c r="Q32" s="46">
        <f>COUNTIF('Detailed Attendance'!M34:M34, "A")+COUNTIF('Detailed Attendance'!U34:U34, "A")+COUNTIF('Detailed Attendance'!AG34:AG34, "A")+COUNTIF('Detailed Attendance'!AO34:AO34, "A")+COUNTIF('Detailed Attendance'!BA34:BA34, "A")+COUNTIF('Detailed Attendance'!BI34:BI34, "A")+COUNTIF('Detailed Attendance'!BU34:BU34, "A")+COUNTIF('Detailed Attendance'!CC34:CC34, "A")+COUNTIF('Detailed Attendance'!CR34:CR34, "A")+COUNTIF('Detailed Attendance'!CZ34:CZ34, "A")+COUNTIF('Detailed Attendance'!DO34:DO34, "A")+COUNTIF('Detailed Attendance'!DW34:DW34, "A")+COUNTIF('Detailed Attendance'!EL34:EL34, "A")+COUNTIF('Detailed Attendance'!ET34:ET34, "A")+COUNTIF('Detailed Attendance'!FF34:FF34, "A")+COUNTIF('Detailed Attendance'!FV34:FV34, "A")+COUNTIF('Detailed Attendance'!GD34:GD34, "A")</f>
        <v/>
      </c>
      <c r="R32" s="72">
        <f>IF((P32+Q32)=0, "", P32/(P32+Q32))</f>
        <v/>
      </c>
      <c r="S32" s="46">
        <f>COUNTIF('Detailed Attendance'!CH34:CH34, "P")+COUNTIF('Detailed Attendance'!DE34:DE34, "P")+COUNTIF('Detailed Attendance'!EB34:EB34, "P")+COUNTIF('Detailed Attendance'!GI34:GI34, "P")</f>
        <v/>
      </c>
      <c r="T32" s="46">
        <f>COUNTIF('Detailed Attendance'!CH34:CH34, "A")+COUNTIF('Detailed Attendance'!DE34:DE34, "A")+COUNTIF('Detailed Attendance'!EB34:EB34, "A")+COUNTIF('Detailed Attendance'!GI34:GI34, "A")</f>
        <v/>
      </c>
      <c r="U32" s="73">
        <f>IF((S32+T32)=0, "", S32/(S32+T32))</f>
        <v/>
      </c>
      <c r="V32" s="46">
        <f>COUNTIF('Detailed Attendance'!V34:V34, "P")+COUNTIF('Detailed Attendance'!AP34:AP34, "P")+COUNTIF('Detailed Attendance'!BJ34:BJ34, "P")+COUNTIF('Detailed Attendance'!CD34:CD34, "P")+COUNTIF('Detailed Attendance'!DA34:DA34, "P")+COUNTIF('Detailed Attendance'!DX34:DX34, "P")+COUNTIF('Detailed Attendance'!EU34:EU34, "P")+COUNTIF('Detailed Attendance'!GE34:GE34, "P")</f>
        <v/>
      </c>
      <c r="W32" s="46">
        <f>COUNTIF('Detailed Attendance'!V34:V34, "A")+COUNTIF('Detailed Attendance'!AP34:AP34, "A")+COUNTIF('Detailed Attendance'!BJ34:BJ34, "A")+COUNTIF('Detailed Attendance'!CD34:CD34, "A")+COUNTIF('Detailed Attendance'!DA34:DA34, "A")+COUNTIF('Detailed Attendance'!DX34:DX34, "A")+COUNTIF('Detailed Attendance'!EU34:EU34, "A")+COUNTIF('Detailed Attendance'!GE34:GE34, "A")</f>
        <v/>
      </c>
      <c r="X32" s="73">
        <f>IF((V32+W32)=0, "", V32/(V32+W32))</f>
        <v/>
      </c>
      <c r="Y32" s="46">
        <f>COUNTIF('Detailed Attendance'!E34:E34, "P")+COUNTIF('Detailed Attendance'!Y34:Y34, "P")+COUNTIF('Detailed Attendance'!AS34:AS34, "P")+COUNTIF('Detailed Attendance'!BM34:BM34, "P")+COUNTIF('Detailed Attendance'!CJ34:CJ34, "P")+COUNTIF('Detailed Attendance'!DG34:DG34, "P")+COUNTIF('Detailed Attendance'!ED34:ED34, "P")+COUNTIF('Detailed Attendance'!EX34:EX34, "P")+COUNTIF('Detailed Attendance'!FN34:FN34, "P")</f>
        <v/>
      </c>
      <c r="Z32" s="46">
        <f>COUNTIF('Detailed Attendance'!E34:E34, "A")+COUNTIF('Detailed Attendance'!Y34:Y34, "A")+COUNTIF('Detailed Attendance'!AS34:AS34, "A")+COUNTIF('Detailed Attendance'!BM34:BM34, "A")+COUNTIF('Detailed Attendance'!CJ34:CJ34, "A")+COUNTIF('Detailed Attendance'!DG34:DG34, "A")+COUNTIF('Detailed Attendance'!ED34:ED34, "A")+COUNTIF('Detailed Attendance'!EX34:EX34, "A")+COUNTIF('Detailed Attendance'!FN34:FN34, "A")</f>
        <v/>
      </c>
      <c r="AA32" s="73">
        <f>IF((Y32+Z32)=0, "", Y32/(Y32+Z32))</f>
        <v/>
      </c>
      <c r="AB32" s="46">
        <f>S32+V32+Y32</f>
        <v/>
      </c>
      <c r="AC32" s="46">
        <f>T32+W32+Z32</f>
        <v/>
      </c>
      <c r="AD32" s="73">
        <f>IF((AB32+AC32)=0, "", AB32/(AB32+AC32))</f>
        <v/>
      </c>
      <c r="AE32" s="46" t="inlineStr">
        <is>
          <t>Batch 1</t>
        </is>
      </c>
    </row>
    <row r="33" ht="14.25" customHeight="1" s="34">
      <c r="A33" s="46" t="n">
        <v>32</v>
      </c>
      <c r="B33" s="46" t="inlineStr">
        <is>
          <t>325106410032</t>
        </is>
      </c>
      <c r="C33" s="46" t="inlineStr">
        <is>
          <t>LAKSHMI NARASIMHA SATHWIK MUDUNURU</t>
        </is>
      </c>
      <c r="D33" s="46">
        <f>COUNTIF('Detailed Attendance'!R35:R35, "P")+COUNTIF('Detailed Attendance'!X35:X35, "P")+COUNTIF('Detailed Attendance'!AL35:AL35, "P")+COUNTIF('Detailed Attendance'!BF35:BF35, "P")+COUNTIF('Detailed Attendance'!BL35:BL35, "P")+COUNTIF('Detailed Attendance'!BZ35:BZ35, "P")+COUNTIF('Detailed Attendance'!CI35:CI35, "P")+COUNTIF('Detailed Attendance'!CW35:CW35, "P")+COUNTIF('Detailed Attendance'!DF35:DF35, "P")+COUNTIF('Detailed Attendance'!DT35:DT35, "P")+COUNTIF('Detailed Attendance'!EC35:EC35, "P")+COUNTIF('Detailed Attendance'!EQ35:EQ35, "P")+COUNTIF('Detailed Attendance'!EW35:EW35, "P")+COUNTIF('Detailed Attendance'!FK35:FK35, "P")+COUNTIF('Detailed Attendance'!FM35:FM35, "P")+COUNTIF('Detailed Attendance'!GA35:GA35, "P")</f>
        <v/>
      </c>
      <c r="E33" s="46">
        <f>COUNTIF('Detailed Attendance'!R35:R35, "A")+COUNTIF('Detailed Attendance'!X35:X35, "A")+COUNTIF('Detailed Attendance'!AL35:AL35, "A")+COUNTIF('Detailed Attendance'!BF35:BF35, "A")+COUNTIF('Detailed Attendance'!BL35:BL35, "A")+COUNTIF('Detailed Attendance'!BZ35:BZ35, "A")+COUNTIF('Detailed Attendance'!CI35:CI35, "A")+COUNTIF('Detailed Attendance'!CW35:CW35, "A")+COUNTIF('Detailed Attendance'!DF35:DF35, "A")+COUNTIF('Detailed Attendance'!DT35:DT35, "A")+COUNTIF('Detailed Attendance'!EC35:EC35, "A")+COUNTIF('Detailed Attendance'!EQ35:EQ35, "A")+COUNTIF('Detailed Attendance'!EW35:EW35, "A")+COUNTIF('Detailed Attendance'!FK35:FK35, "A")+COUNTIF('Detailed Attendance'!FM35:FM35, "A")+COUNTIF('Detailed Attendance'!GA35:GA35, "A")</f>
        <v/>
      </c>
      <c r="F33" s="72">
        <f>IF((D33+E33)=0, "", D33/(D33+E33))</f>
        <v/>
      </c>
      <c r="G33" s="46">
        <f>COUNTIF('Detailed Attendance'!I35:I35, "P")+COUNTIF('Detailed Attendance'!Q35:Q35, "P")+COUNTIF('Detailed Attendance'!AC35:AC35, "P")+COUNTIF('Detailed Attendance'!AK35:AK35, "P")+COUNTIF('Detailed Attendance'!AW35:AW35, "P")+COUNTIF('Detailed Attendance'!BE35:BE35, "P")+COUNTIF('Detailed Attendance'!BQ35:BQ35, "P")+COUNTIF('Detailed Attendance'!BY35:BY35, "P")+COUNTIF('Detailed Attendance'!CN35:CN35, "P")+COUNTIF('Detailed Attendance'!CV35:CV35, "P")+COUNTIF('Detailed Attendance'!DK35:DK35, "P")+COUNTIF('Detailed Attendance'!DS35:DS35, "P")+COUNTIF('Detailed Attendance'!EH35:EH35, "P")+COUNTIF('Detailed Attendance'!EP35:EP35, "P")+COUNTIF('Detailed Attendance'!FB35:FB35, "P")+COUNTIF('Detailed Attendance'!FJ35:FJ35, "P")+COUNTIF('Detailed Attendance'!FR35:FR35, "P")+COUNTIF('Detailed Attendance'!FZ35:FZ35, "P")</f>
        <v/>
      </c>
      <c r="H33" s="46">
        <f>COUNTIF('Detailed Attendance'!I35:I35, "A")+COUNTIF('Detailed Attendance'!Q35:Q35, "A")+COUNTIF('Detailed Attendance'!AC35:AC35, "A")+COUNTIF('Detailed Attendance'!AK35:AK35, "A")+COUNTIF('Detailed Attendance'!AW35:AW35, "A")+COUNTIF('Detailed Attendance'!BE35:BE35, "A")+COUNTIF('Detailed Attendance'!BQ35:BQ35, "A")+COUNTIF('Detailed Attendance'!BY35:BY35, "A")+COUNTIF('Detailed Attendance'!CN35:CN35, "A")+COUNTIF('Detailed Attendance'!CV35:CV35, "A")+COUNTIF('Detailed Attendance'!DK35:DK35, "A")+COUNTIF('Detailed Attendance'!DS35:DS35, "A")+COUNTIF('Detailed Attendance'!EH35:EH35, "A")+COUNTIF('Detailed Attendance'!EP35:EP35, "A")+COUNTIF('Detailed Attendance'!FB35:FB35, "A")+COUNTIF('Detailed Attendance'!FJ35:FJ35, "A")+COUNTIF('Detailed Attendance'!FR35:FR35, "A")+COUNTIF('Detailed Attendance'!FZ35:FZ35, "A")</f>
        <v/>
      </c>
      <c r="I33" s="72">
        <f>IF((G33+H33)=0, "", G33/(G33+H33))</f>
        <v/>
      </c>
      <c r="J33" s="46">
        <f>COUNTIF('Detailed Attendance'!L35:L35, "P")+COUNTIF('Detailed Attendance'!P35:P35, "P")+COUNTIF('Detailed Attendance'!AF35:AF35, "P")+COUNTIF('Detailed Attendance'!AJ35:AJ35, "P")+COUNTIF('Detailed Attendance'!AZ35:AZ35, "P")+COUNTIF('Detailed Attendance'!BD35:BD35, "P")+COUNTIF('Detailed Attendance'!BT35:BT35, "P")+COUNTIF('Detailed Attendance'!BX35:BX35, "P")+COUNTIF('Detailed Attendance'!CQ35:CQ35, "P")+COUNTIF('Detailed Attendance'!CU35:CU35, "P")+COUNTIF('Detailed Attendance'!DN35:DN35, "P")+COUNTIF('Detailed Attendance'!DR35:DR35, "P")+COUNTIF('Detailed Attendance'!EK35:EK35, "P")+COUNTIF('Detailed Attendance'!EO35:EO35, "P")+COUNTIF('Detailed Attendance'!FE35:FE35, "P")+COUNTIF('Detailed Attendance'!FI35:FI35, "P")+COUNTIF('Detailed Attendance'!FU35:FU35, "P")+COUNTIF('Detailed Attendance'!FY35:FY35, "P")</f>
        <v/>
      </c>
      <c r="K33" s="46">
        <f>COUNTIF('Detailed Attendance'!L35:L35, "A")+COUNTIF('Detailed Attendance'!P35:P35, "A")+COUNTIF('Detailed Attendance'!AF35:AF35, "A")+COUNTIF('Detailed Attendance'!AJ35:AJ35, "A")+COUNTIF('Detailed Attendance'!AZ35:AZ35, "A")+COUNTIF('Detailed Attendance'!BD35:BD35, "A")+COUNTIF('Detailed Attendance'!BT35:BT35, "A")+COUNTIF('Detailed Attendance'!BX35:BX35, "A")+COUNTIF('Detailed Attendance'!CQ35:CQ35, "A")+COUNTIF('Detailed Attendance'!CU35:CU35, "A")+COUNTIF('Detailed Attendance'!DN35:DN35, "A")+COUNTIF('Detailed Attendance'!DR35:DR35, "A")+COUNTIF('Detailed Attendance'!EK35:EK35, "A")+COUNTIF('Detailed Attendance'!EO35:EO35, "A")+COUNTIF('Detailed Attendance'!FE35:FE35, "A")+COUNTIF('Detailed Attendance'!FI35:FI35, "A")+COUNTIF('Detailed Attendance'!FU35:FU35, "A")+COUNTIF('Detailed Attendance'!FY35:FY35, "A")</f>
        <v/>
      </c>
      <c r="L33" s="72">
        <f>IF((J33+K33)=0, "", J33/(J33+K33))</f>
        <v/>
      </c>
      <c r="M33" s="46">
        <f>COUNTIF('Detailed Attendance'!D35:D35, "P")+COUNTIF('Detailed Attendance'!T35:T35, "P")+COUNTIF('Detailed Attendance'!AN35:AN35, "P")+COUNTIF('Detailed Attendance'!AR35:AR35, "P")+COUNTIF('Detailed Attendance'!BH35:BH35, "P")+COUNTIF('Detailed Attendance'!CB35:CB35, "P")+COUNTIF('Detailed Attendance'!CF35:CF35, "P")+COUNTIF('Detailed Attendance'!CY35:CY35, "P")+COUNTIF('Detailed Attendance'!DC35:DC35, "P")+COUNTIF('Detailed Attendance'!DV35:DV35, "P")+COUNTIF('Detailed Attendance'!DZ35:DZ35, "P")+COUNTIF('Detailed Attendance'!ES35:ES35, "P")+COUNTIF('Detailed Attendance'!GC35:GC35, "P")+COUNTIF('Detailed Attendance'!GG35:GG35, "P")</f>
        <v/>
      </c>
      <c r="N33" s="46">
        <f>COUNTIF('Detailed Attendance'!D35:D35, "A")+COUNTIF('Detailed Attendance'!T35:T35, "A")+COUNTIF('Detailed Attendance'!AN35:AN35, "A")+COUNTIF('Detailed Attendance'!AR35:AR35, "A")+COUNTIF('Detailed Attendance'!BH35:BH35, "A")+COUNTIF('Detailed Attendance'!CB35:CB35, "A")+COUNTIF('Detailed Attendance'!CF35:CF35, "A")+COUNTIF('Detailed Attendance'!CY35:CY35, "A")+COUNTIF('Detailed Attendance'!DC35:DC35, "A")+COUNTIF('Detailed Attendance'!DV35:DV35, "A")+COUNTIF('Detailed Attendance'!DZ35:DZ35, "A")+COUNTIF('Detailed Attendance'!ES35:ES35, "A")+COUNTIF('Detailed Attendance'!GC35:GC35, "A")+COUNTIF('Detailed Attendance'!GG35:GG35, "A")</f>
        <v/>
      </c>
      <c r="O33" s="72">
        <f>IF((M33+N33)=0, "", M33/(M33+N33))</f>
        <v/>
      </c>
      <c r="P33" s="46">
        <f>COUNTIF('Detailed Attendance'!M35:M35, "P")+COUNTIF('Detailed Attendance'!U35:U35, "P")+COUNTIF('Detailed Attendance'!AG35:AG35, "P")+COUNTIF('Detailed Attendance'!AO35:AO35, "P")+COUNTIF('Detailed Attendance'!BA35:BA35, "P")+COUNTIF('Detailed Attendance'!BI35:BI35, "P")+COUNTIF('Detailed Attendance'!BU35:BU35, "P")+COUNTIF('Detailed Attendance'!CC35:CC35, "P")+COUNTIF('Detailed Attendance'!CR35:CR35, "P")+COUNTIF('Detailed Attendance'!CZ35:CZ35, "P")+COUNTIF('Detailed Attendance'!DO35:DO35, "P")+COUNTIF('Detailed Attendance'!DW35:DW35, "P")+COUNTIF('Detailed Attendance'!EL35:EL35, "P")+COUNTIF('Detailed Attendance'!ET35:ET35, "P")+COUNTIF('Detailed Attendance'!FF35:FF35, "P")+COUNTIF('Detailed Attendance'!FV35:FV35, "P")+COUNTIF('Detailed Attendance'!GD35:GD35, "P")</f>
        <v/>
      </c>
      <c r="Q33" s="46">
        <f>COUNTIF('Detailed Attendance'!M35:M35, "A")+COUNTIF('Detailed Attendance'!U35:U35, "A")+COUNTIF('Detailed Attendance'!AG35:AG35, "A")+COUNTIF('Detailed Attendance'!AO35:AO35, "A")+COUNTIF('Detailed Attendance'!BA35:BA35, "A")+COUNTIF('Detailed Attendance'!BI35:BI35, "A")+COUNTIF('Detailed Attendance'!BU35:BU35, "A")+COUNTIF('Detailed Attendance'!CC35:CC35, "A")+COUNTIF('Detailed Attendance'!CR35:CR35, "A")+COUNTIF('Detailed Attendance'!CZ35:CZ35, "A")+COUNTIF('Detailed Attendance'!DO35:DO35, "A")+COUNTIF('Detailed Attendance'!DW35:DW35, "A")+COUNTIF('Detailed Attendance'!EL35:EL35, "A")+COUNTIF('Detailed Attendance'!ET35:ET35, "A")+COUNTIF('Detailed Attendance'!FF35:FF35, "A")+COUNTIF('Detailed Attendance'!FV35:FV35, "A")+COUNTIF('Detailed Attendance'!GD35:GD35, "A")</f>
        <v/>
      </c>
      <c r="R33" s="72">
        <f>IF((P33+Q33)=0, "", P33/(P33+Q33))</f>
        <v/>
      </c>
      <c r="S33" s="46">
        <f>COUNTIF('Detailed Attendance'!CH35:CH35, "P")+COUNTIF('Detailed Attendance'!DE35:DE35, "P")+COUNTIF('Detailed Attendance'!EB35:EB35, "P")+COUNTIF('Detailed Attendance'!GI35:GI35, "P")</f>
        <v/>
      </c>
      <c r="T33" s="46">
        <f>COUNTIF('Detailed Attendance'!CH35:CH35, "A")+COUNTIF('Detailed Attendance'!DE35:DE35, "A")+COUNTIF('Detailed Attendance'!EB35:EB35, "A")+COUNTIF('Detailed Attendance'!GI35:GI35, "A")</f>
        <v/>
      </c>
      <c r="U33" s="73">
        <f>IF((S33+T33)=0, "", S33/(S33+T33))</f>
        <v/>
      </c>
      <c r="V33" s="46">
        <f>COUNTIF('Detailed Attendance'!V35:V35, "P")+COUNTIF('Detailed Attendance'!AP35:AP35, "P")+COUNTIF('Detailed Attendance'!BJ35:BJ35, "P")+COUNTIF('Detailed Attendance'!CD35:CD35, "P")+COUNTIF('Detailed Attendance'!DA35:DA35, "P")+COUNTIF('Detailed Attendance'!DX35:DX35, "P")+COUNTIF('Detailed Attendance'!EU35:EU35, "P")+COUNTIF('Detailed Attendance'!GE35:GE35, "P")</f>
        <v/>
      </c>
      <c r="W33" s="46">
        <f>COUNTIF('Detailed Attendance'!V35:V35, "A")+COUNTIF('Detailed Attendance'!AP35:AP35, "A")+COUNTIF('Detailed Attendance'!BJ35:BJ35, "A")+COUNTIF('Detailed Attendance'!CD35:CD35, "A")+COUNTIF('Detailed Attendance'!DA35:DA35, "A")+COUNTIF('Detailed Attendance'!DX35:DX35, "A")+COUNTIF('Detailed Attendance'!EU35:EU35, "A")+COUNTIF('Detailed Attendance'!GE35:GE35, "A")</f>
        <v/>
      </c>
      <c r="X33" s="73">
        <f>IF((V33+W33)=0, "", V33/(V33+W33))</f>
        <v/>
      </c>
      <c r="Y33" s="46">
        <f>COUNTIF('Detailed Attendance'!E35:E35, "P")+COUNTIF('Detailed Attendance'!Y35:Y35, "P")+COUNTIF('Detailed Attendance'!AS35:AS35, "P")+COUNTIF('Detailed Attendance'!BM35:BM35, "P")+COUNTIF('Detailed Attendance'!CJ35:CJ35, "P")+COUNTIF('Detailed Attendance'!DG35:DG35, "P")+COUNTIF('Detailed Attendance'!ED35:ED35, "P")+COUNTIF('Detailed Attendance'!EX35:EX35, "P")+COUNTIF('Detailed Attendance'!FN35:FN35, "P")</f>
        <v/>
      </c>
      <c r="Z33" s="46">
        <f>COUNTIF('Detailed Attendance'!E35:E35, "A")+COUNTIF('Detailed Attendance'!Y35:Y35, "A")+COUNTIF('Detailed Attendance'!AS35:AS35, "A")+COUNTIF('Detailed Attendance'!BM35:BM35, "A")+COUNTIF('Detailed Attendance'!CJ35:CJ35, "A")+COUNTIF('Detailed Attendance'!DG35:DG35, "A")+COUNTIF('Detailed Attendance'!ED35:ED35, "A")+COUNTIF('Detailed Attendance'!EX35:EX35, "A")+COUNTIF('Detailed Attendance'!FN35:FN35, "A")</f>
        <v/>
      </c>
      <c r="AA33" s="73">
        <f>IF((Y33+Z33)=0, "", Y33/(Y33+Z33))</f>
        <v/>
      </c>
      <c r="AB33" s="46">
        <f>S33+V33+Y33</f>
        <v/>
      </c>
      <c r="AC33" s="46">
        <f>T33+W33+Z33</f>
        <v/>
      </c>
      <c r="AD33" s="73">
        <f>IF((AB33+AC33)=0, "", AB33/(AB33+AC33))</f>
        <v/>
      </c>
      <c r="AE33" s="46" t="inlineStr">
        <is>
          <t>Batch 1</t>
        </is>
      </c>
    </row>
    <row r="34" ht="14.25" customHeight="1" s="34">
      <c r="A34" s="46" t="n">
        <v>33</v>
      </c>
      <c r="B34" s="46" t="inlineStr">
        <is>
          <t>325106410033</t>
        </is>
      </c>
      <c r="C34" s="46" t="inlineStr">
        <is>
          <t>VEERA VENKATA SHALINI DEVI SRI MUMMANA</t>
        </is>
      </c>
      <c r="D34" s="46">
        <f>COUNTIF('Detailed Attendance'!R36:R36, "P")+COUNTIF('Detailed Attendance'!X36:X36, "P")+COUNTIF('Detailed Attendance'!AL36:AL36, "P")+COUNTIF('Detailed Attendance'!BF36:BF36, "P")+COUNTIF('Detailed Attendance'!BL36:BL36, "P")+COUNTIF('Detailed Attendance'!BZ36:BZ36, "P")+COUNTIF('Detailed Attendance'!CI36:CI36, "P")+COUNTIF('Detailed Attendance'!CW36:CW36, "P")+COUNTIF('Detailed Attendance'!DF36:DF36, "P")+COUNTIF('Detailed Attendance'!DT36:DT36, "P")+COUNTIF('Detailed Attendance'!EC36:EC36, "P")+COUNTIF('Detailed Attendance'!EQ36:EQ36, "P")+COUNTIF('Detailed Attendance'!EW36:EW36, "P")+COUNTIF('Detailed Attendance'!FK36:FK36, "P")+COUNTIF('Detailed Attendance'!FM36:FM36, "P")+COUNTIF('Detailed Attendance'!GA36:GA36, "P")</f>
        <v/>
      </c>
      <c r="E34" s="46">
        <f>COUNTIF('Detailed Attendance'!R36:R36, "A")+COUNTIF('Detailed Attendance'!X36:X36, "A")+COUNTIF('Detailed Attendance'!AL36:AL36, "A")+COUNTIF('Detailed Attendance'!BF36:BF36, "A")+COUNTIF('Detailed Attendance'!BL36:BL36, "A")+COUNTIF('Detailed Attendance'!BZ36:BZ36, "A")+COUNTIF('Detailed Attendance'!CI36:CI36, "A")+COUNTIF('Detailed Attendance'!CW36:CW36, "A")+COUNTIF('Detailed Attendance'!DF36:DF36, "A")+COUNTIF('Detailed Attendance'!DT36:DT36, "A")+COUNTIF('Detailed Attendance'!EC36:EC36, "A")+COUNTIF('Detailed Attendance'!EQ36:EQ36, "A")+COUNTIF('Detailed Attendance'!EW36:EW36, "A")+COUNTIF('Detailed Attendance'!FK36:FK36, "A")+COUNTIF('Detailed Attendance'!FM36:FM36, "A")+COUNTIF('Detailed Attendance'!GA36:GA36, "A")</f>
        <v/>
      </c>
      <c r="F34" s="72">
        <f>IF((D34+E34)=0, "", D34/(D34+E34))</f>
        <v/>
      </c>
      <c r="G34" s="46">
        <f>COUNTIF('Detailed Attendance'!I36:I36, "P")+COUNTIF('Detailed Attendance'!Q36:Q36, "P")+COUNTIF('Detailed Attendance'!AC36:AC36, "P")+COUNTIF('Detailed Attendance'!AK36:AK36, "P")+COUNTIF('Detailed Attendance'!AW36:AW36, "P")+COUNTIF('Detailed Attendance'!BE36:BE36, "P")+COUNTIF('Detailed Attendance'!BQ36:BQ36, "P")+COUNTIF('Detailed Attendance'!BY36:BY36, "P")+COUNTIF('Detailed Attendance'!CN36:CN36, "P")+COUNTIF('Detailed Attendance'!CV36:CV36, "P")+COUNTIF('Detailed Attendance'!DK36:DK36, "P")+COUNTIF('Detailed Attendance'!DS36:DS36, "P")+COUNTIF('Detailed Attendance'!EH36:EH36, "P")+COUNTIF('Detailed Attendance'!EP36:EP36, "P")+COUNTIF('Detailed Attendance'!FB36:FB36, "P")+COUNTIF('Detailed Attendance'!FJ36:FJ36, "P")+COUNTIF('Detailed Attendance'!FR36:FR36, "P")+COUNTIF('Detailed Attendance'!FZ36:FZ36, "P")</f>
        <v/>
      </c>
      <c r="H34" s="46">
        <f>COUNTIF('Detailed Attendance'!I36:I36, "A")+COUNTIF('Detailed Attendance'!Q36:Q36, "A")+COUNTIF('Detailed Attendance'!AC36:AC36, "A")+COUNTIF('Detailed Attendance'!AK36:AK36, "A")+COUNTIF('Detailed Attendance'!AW36:AW36, "A")+COUNTIF('Detailed Attendance'!BE36:BE36, "A")+COUNTIF('Detailed Attendance'!BQ36:BQ36, "A")+COUNTIF('Detailed Attendance'!BY36:BY36, "A")+COUNTIF('Detailed Attendance'!CN36:CN36, "A")+COUNTIF('Detailed Attendance'!CV36:CV36, "A")+COUNTIF('Detailed Attendance'!DK36:DK36, "A")+COUNTIF('Detailed Attendance'!DS36:DS36, "A")+COUNTIF('Detailed Attendance'!EH36:EH36, "A")+COUNTIF('Detailed Attendance'!EP36:EP36, "A")+COUNTIF('Detailed Attendance'!FB36:FB36, "A")+COUNTIF('Detailed Attendance'!FJ36:FJ36, "A")+COUNTIF('Detailed Attendance'!FR36:FR36, "A")+COUNTIF('Detailed Attendance'!FZ36:FZ36, "A")</f>
        <v/>
      </c>
      <c r="I34" s="72">
        <f>IF((G34+H34)=0, "", G34/(G34+H34))</f>
        <v/>
      </c>
      <c r="J34" s="46">
        <f>COUNTIF('Detailed Attendance'!L36:L36, "P")+COUNTIF('Detailed Attendance'!P36:P36, "P")+COUNTIF('Detailed Attendance'!AF36:AF36, "P")+COUNTIF('Detailed Attendance'!AJ36:AJ36, "P")+COUNTIF('Detailed Attendance'!AZ36:AZ36, "P")+COUNTIF('Detailed Attendance'!BD36:BD36, "P")+COUNTIF('Detailed Attendance'!BT36:BT36, "P")+COUNTIF('Detailed Attendance'!BX36:BX36, "P")+COUNTIF('Detailed Attendance'!CQ36:CQ36, "P")+COUNTIF('Detailed Attendance'!CU36:CU36, "P")+COUNTIF('Detailed Attendance'!DN36:DN36, "P")+COUNTIF('Detailed Attendance'!DR36:DR36, "P")+COUNTIF('Detailed Attendance'!EK36:EK36, "P")+COUNTIF('Detailed Attendance'!EO36:EO36, "P")+COUNTIF('Detailed Attendance'!FE36:FE36, "P")+COUNTIF('Detailed Attendance'!FI36:FI36, "P")+COUNTIF('Detailed Attendance'!FU36:FU36, "P")+COUNTIF('Detailed Attendance'!FY36:FY36, "P")</f>
        <v/>
      </c>
      <c r="K34" s="46">
        <f>COUNTIF('Detailed Attendance'!L36:L36, "A")+COUNTIF('Detailed Attendance'!P36:P36, "A")+COUNTIF('Detailed Attendance'!AF36:AF36, "A")+COUNTIF('Detailed Attendance'!AJ36:AJ36, "A")+COUNTIF('Detailed Attendance'!AZ36:AZ36, "A")+COUNTIF('Detailed Attendance'!BD36:BD36, "A")+COUNTIF('Detailed Attendance'!BT36:BT36, "A")+COUNTIF('Detailed Attendance'!BX36:BX36, "A")+COUNTIF('Detailed Attendance'!CQ36:CQ36, "A")+COUNTIF('Detailed Attendance'!CU36:CU36, "A")+COUNTIF('Detailed Attendance'!DN36:DN36, "A")+COUNTIF('Detailed Attendance'!DR36:DR36, "A")+COUNTIF('Detailed Attendance'!EK36:EK36, "A")+COUNTIF('Detailed Attendance'!EO36:EO36, "A")+COUNTIF('Detailed Attendance'!FE36:FE36, "A")+COUNTIF('Detailed Attendance'!FI36:FI36, "A")+COUNTIF('Detailed Attendance'!FU36:FU36, "A")+COUNTIF('Detailed Attendance'!FY36:FY36, "A")</f>
        <v/>
      </c>
      <c r="L34" s="72">
        <f>IF((J34+K34)=0, "", J34/(J34+K34))</f>
        <v/>
      </c>
      <c r="M34" s="46">
        <f>COUNTIF('Detailed Attendance'!D36:D36, "P")+COUNTIF('Detailed Attendance'!T36:T36, "P")+COUNTIF('Detailed Attendance'!AN36:AN36, "P")+COUNTIF('Detailed Attendance'!AR36:AR36, "P")+COUNTIF('Detailed Attendance'!BH36:BH36, "P")+COUNTIF('Detailed Attendance'!CB36:CB36, "P")+COUNTIF('Detailed Attendance'!CF36:CF36, "P")+COUNTIF('Detailed Attendance'!CY36:CY36, "P")+COUNTIF('Detailed Attendance'!DC36:DC36, "P")+COUNTIF('Detailed Attendance'!DV36:DV36, "P")+COUNTIF('Detailed Attendance'!DZ36:DZ36, "P")+COUNTIF('Detailed Attendance'!ES36:ES36, "P")+COUNTIF('Detailed Attendance'!GC36:GC36, "P")+COUNTIF('Detailed Attendance'!GG36:GG36, "P")</f>
        <v/>
      </c>
      <c r="N34" s="46">
        <f>COUNTIF('Detailed Attendance'!D36:D36, "A")+COUNTIF('Detailed Attendance'!T36:T36, "A")+COUNTIF('Detailed Attendance'!AN36:AN36, "A")+COUNTIF('Detailed Attendance'!AR36:AR36, "A")+COUNTIF('Detailed Attendance'!BH36:BH36, "A")+COUNTIF('Detailed Attendance'!CB36:CB36, "A")+COUNTIF('Detailed Attendance'!CF36:CF36, "A")+COUNTIF('Detailed Attendance'!CY36:CY36, "A")+COUNTIF('Detailed Attendance'!DC36:DC36, "A")+COUNTIF('Detailed Attendance'!DV36:DV36, "A")+COUNTIF('Detailed Attendance'!DZ36:DZ36, "A")+COUNTIF('Detailed Attendance'!ES36:ES36, "A")+COUNTIF('Detailed Attendance'!GC36:GC36, "A")+COUNTIF('Detailed Attendance'!GG36:GG36, "A")</f>
        <v/>
      </c>
      <c r="O34" s="72">
        <f>IF((M34+N34)=0, "", M34/(M34+N34))</f>
        <v/>
      </c>
      <c r="P34" s="46">
        <f>COUNTIF('Detailed Attendance'!M36:M36, "P")+COUNTIF('Detailed Attendance'!U36:U36, "P")+COUNTIF('Detailed Attendance'!AG36:AG36, "P")+COUNTIF('Detailed Attendance'!AO36:AO36, "P")+COUNTIF('Detailed Attendance'!BA36:BA36, "P")+COUNTIF('Detailed Attendance'!BI36:BI36, "P")+COUNTIF('Detailed Attendance'!BU36:BU36, "P")+COUNTIF('Detailed Attendance'!CC36:CC36, "P")+COUNTIF('Detailed Attendance'!CR36:CR36, "P")+COUNTIF('Detailed Attendance'!CZ36:CZ36, "P")+COUNTIF('Detailed Attendance'!DO36:DO36, "P")+COUNTIF('Detailed Attendance'!DW36:DW36, "P")+COUNTIF('Detailed Attendance'!EL36:EL36, "P")+COUNTIF('Detailed Attendance'!ET36:ET36, "P")+COUNTIF('Detailed Attendance'!FF36:FF36, "P")+COUNTIF('Detailed Attendance'!FV36:FV36, "P")+COUNTIF('Detailed Attendance'!GD36:GD36, "P")</f>
        <v/>
      </c>
      <c r="Q34" s="46">
        <f>COUNTIF('Detailed Attendance'!M36:M36, "A")+COUNTIF('Detailed Attendance'!U36:U36, "A")+COUNTIF('Detailed Attendance'!AG36:AG36, "A")+COUNTIF('Detailed Attendance'!AO36:AO36, "A")+COUNTIF('Detailed Attendance'!BA36:BA36, "A")+COUNTIF('Detailed Attendance'!BI36:BI36, "A")+COUNTIF('Detailed Attendance'!BU36:BU36, "A")+COUNTIF('Detailed Attendance'!CC36:CC36, "A")+COUNTIF('Detailed Attendance'!CR36:CR36, "A")+COUNTIF('Detailed Attendance'!CZ36:CZ36, "A")+COUNTIF('Detailed Attendance'!DO36:DO36, "A")+COUNTIF('Detailed Attendance'!DW36:DW36, "A")+COUNTIF('Detailed Attendance'!EL36:EL36, "A")+COUNTIF('Detailed Attendance'!ET36:ET36, "A")+COUNTIF('Detailed Attendance'!FF36:FF36, "A")+COUNTIF('Detailed Attendance'!FV36:FV36, "A")+COUNTIF('Detailed Attendance'!GD36:GD36, "A")</f>
        <v/>
      </c>
      <c r="R34" s="72">
        <f>IF((P34+Q34)=0, "", P34/(P34+Q34))</f>
        <v/>
      </c>
      <c r="S34" s="46">
        <f>COUNTIF('Detailed Attendance'!CH36:CH36, "P")+COUNTIF('Detailed Attendance'!DE36:DE36, "P")+COUNTIF('Detailed Attendance'!EB36:EB36, "P")+COUNTIF('Detailed Attendance'!GI36:GI36, "P")</f>
        <v/>
      </c>
      <c r="T34" s="46">
        <f>COUNTIF('Detailed Attendance'!CH36:CH36, "A")+COUNTIF('Detailed Attendance'!DE36:DE36, "A")+COUNTIF('Detailed Attendance'!EB36:EB36, "A")+COUNTIF('Detailed Attendance'!GI36:GI36, "A")</f>
        <v/>
      </c>
      <c r="U34" s="73">
        <f>IF((S34+T34)=0, "", S34/(S34+T34))</f>
        <v/>
      </c>
      <c r="V34" s="46">
        <f>COUNTIF('Detailed Attendance'!V36:V36, "P")+COUNTIF('Detailed Attendance'!AP36:AP36, "P")+COUNTIF('Detailed Attendance'!BJ36:BJ36, "P")+COUNTIF('Detailed Attendance'!CD36:CD36, "P")+COUNTIF('Detailed Attendance'!DA36:DA36, "P")+COUNTIF('Detailed Attendance'!DX36:DX36, "P")+COUNTIF('Detailed Attendance'!EU36:EU36, "P")+COUNTIF('Detailed Attendance'!GE36:GE36, "P")</f>
        <v/>
      </c>
      <c r="W34" s="46">
        <f>COUNTIF('Detailed Attendance'!V36:V36, "A")+COUNTIF('Detailed Attendance'!AP36:AP36, "A")+COUNTIF('Detailed Attendance'!BJ36:BJ36, "A")+COUNTIF('Detailed Attendance'!CD36:CD36, "A")+COUNTIF('Detailed Attendance'!DA36:DA36, "A")+COUNTIF('Detailed Attendance'!DX36:DX36, "A")+COUNTIF('Detailed Attendance'!EU36:EU36, "A")+COUNTIF('Detailed Attendance'!GE36:GE36, "A")</f>
        <v/>
      </c>
      <c r="X34" s="73">
        <f>IF((V34+W34)=0, "", V34/(V34+W34))</f>
        <v/>
      </c>
      <c r="Y34" s="46">
        <f>COUNTIF('Detailed Attendance'!E36:E36, "P")+COUNTIF('Detailed Attendance'!Y36:Y36, "P")+COUNTIF('Detailed Attendance'!AS36:AS36, "P")+COUNTIF('Detailed Attendance'!BM36:BM36, "P")+COUNTIF('Detailed Attendance'!CJ36:CJ36, "P")+COUNTIF('Detailed Attendance'!DG36:DG36, "P")+COUNTIF('Detailed Attendance'!ED36:ED36, "P")+COUNTIF('Detailed Attendance'!EX36:EX36, "P")+COUNTIF('Detailed Attendance'!FN36:FN36, "P")</f>
        <v/>
      </c>
      <c r="Z34" s="46">
        <f>COUNTIF('Detailed Attendance'!E36:E36, "A")+COUNTIF('Detailed Attendance'!Y36:Y36, "A")+COUNTIF('Detailed Attendance'!AS36:AS36, "A")+COUNTIF('Detailed Attendance'!BM36:BM36, "A")+COUNTIF('Detailed Attendance'!CJ36:CJ36, "A")+COUNTIF('Detailed Attendance'!DG36:DG36, "A")+COUNTIF('Detailed Attendance'!ED36:ED36, "A")+COUNTIF('Detailed Attendance'!EX36:EX36, "A")+COUNTIF('Detailed Attendance'!FN36:FN36, "A")</f>
        <v/>
      </c>
      <c r="AA34" s="73">
        <f>IF((Y34+Z34)=0, "", Y34/(Y34+Z34))</f>
        <v/>
      </c>
      <c r="AB34" s="46">
        <f>S34+V34+Y34</f>
        <v/>
      </c>
      <c r="AC34" s="46">
        <f>T34+W34+Z34</f>
        <v/>
      </c>
      <c r="AD34" s="73">
        <f>IF((AB34+AC34)=0, "", AB34/(AB34+AC34))</f>
        <v/>
      </c>
      <c r="AE34" s="46" t="inlineStr">
        <is>
          <t>Batch 1</t>
        </is>
      </c>
    </row>
    <row r="35" ht="14.25" customHeight="1" s="34">
      <c r="A35" s="46" t="n">
        <v>34</v>
      </c>
      <c r="B35" s="46" t="inlineStr">
        <is>
          <t>325106410034</t>
        </is>
      </c>
      <c r="C35" s="46" t="inlineStr">
        <is>
          <t>NAGABHUSHANA KARTHIK BALIVADA</t>
        </is>
      </c>
      <c r="D35" s="46">
        <f>COUNTIF('Detailed Attendance'!R37:R37, "P")+COUNTIF('Detailed Attendance'!X37:X37, "P")+COUNTIF('Detailed Attendance'!AL37:AL37, "P")+COUNTIF('Detailed Attendance'!BF37:BF37, "P")+COUNTIF('Detailed Attendance'!BL37:BL37, "P")+COUNTIF('Detailed Attendance'!BZ37:BZ37, "P")+COUNTIF('Detailed Attendance'!CI37:CI37, "P")+COUNTIF('Detailed Attendance'!CW37:CW37, "P")+COUNTIF('Detailed Attendance'!DF37:DF37, "P")+COUNTIF('Detailed Attendance'!DT37:DT37, "P")+COUNTIF('Detailed Attendance'!EC37:EC37, "P")+COUNTIF('Detailed Attendance'!EQ37:EQ37, "P")+COUNTIF('Detailed Attendance'!EW37:EW37, "P")+COUNTIF('Detailed Attendance'!FK37:FK37, "P")+COUNTIF('Detailed Attendance'!FM37:FM37, "P")+COUNTIF('Detailed Attendance'!GA37:GA37, "P")</f>
        <v/>
      </c>
      <c r="E35" s="46">
        <f>COUNTIF('Detailed Attendance'!R37:R37, "A")+COUNTIF('Detailed Attendance'!X37:X37, "A")+COUNTIF('Detailed Attendance'!AL37:AL37, "A")+COUNTIF('Detailed Attendance'!BF37:BF37, "A")+COUNTIF('Detailed Attendance'!BL37:BL37, "A")+COUNTIF('Detailed Attendance'!BZ37:BZ37, "A")+COUNTIF('Detailed Attendance'!CI37:CI37, "A")+COUNTIF('Detailed Attendance'!CW37:CW37, "A")+COUNTIF('Detailed Attendance'!DF37:DF37, "A")+COUNTIF('Detailed Attendance'!DT37:DT37, "A")+COUNTIF('Detailed Attendance'!EC37:EC37, "A")+COUNTIF('Detailed Attendance'!EQ37:EQ37, "A")+COUNTIF('Detailed Attendance'!EW37:EW37, "A")+COUNTIF('Detailed Attendance'!FK37:FK37, "A")+COUNTIF('Detailed Attendance'!FM37:FM37, "A")+COUNTIF('Detailed Attendance'!GA37:GA37, "A")</f>
        <v/>
      </c>
      <c r="F35" s="72">
        <f>IF((D35+E35)=0, "", D35/(D35+E35))</f>
        <v/>
      </c>
      <c r="G35" s="46">
        <f>COUNTIF('Detailed Attendance'!I37:I37, "P")+COUNTIF('Detailed Attendance'!Q37:Q37, "P")+COUNTIF('Detailed Attendance'!AC37:AC37, "P")+COUNTIF('Detailed Attendance'!AK37:AK37, "P")+COUNTIF('Detailed Attendance'!AW37:AW37, "P")+COUNTIF('Detailed Attendance'!BE37:BE37, "P")+COUNTIF('Detailed Attendance'!BQ37:BQ37, "P")+COUNTIF('Detailed Attendance'!BY37:BY37, "P")+COUNTIF('Detailed Attendance'!CN37:CN37, "P")+COUNTIF('Detailed Attendance'!CV37:CV37, "P")+COUNTIF('Detailed Attendance'!DK37:DK37, "P")+COUNTIF('Detailed Attendance'!DS37:DS37, "P")+COUNTIF('Detailed Attendance'!EH37:EH37, "P")+COUNTIF('Detailed Attendance'!EP37:EP37, "P")+COUNTIF('Detailed Attendance'!FB37:FB37, "P")+COUNTIF('Detailed Attendance'!FJ37:FJ37, "P")+COUNTIF('Detailed Attendance'!FR37:FR37, "P")+COUNTIF('Detailed Attendance'!FZ37:FZ37, "P")</f>
        <v/>
      </c>
      <c r="H35" s="46">
        <f>COUNTIF('Detailed Attendance'!I37:I37, "A")+COUNTIF('Detailed Attendance'!Q37:Q37, "A")+COUNTIF('Detailed Attendance'!AC37:AC37, "A")+COUNTIF('Detailed Attendance'!AK37:AK37, "A")+COUNTIF('Detailed Attendance'!AW37:AW37, "A")+COUNTIF('Detailed Attendance'!BE37:BE37, "A")+COUNTIF('Detailed Attendance'!BQ37:BQ37, "A")+COUNTIF('Detailed Attendance'!BY37:BY37, "A")+COUNTIF('Detailed Attendance'!CN37:CN37, "A")+COUNTIF('Detailed Attendance'!CV37:CV37, "A")+COUNTIF('Detailed Attendance'!DK37:DK37, "A")+COUNTIF('Detailed Attendance'!DS37:DS37, "A")+COUNTIF('Detailed Attendance'!EH37:EH37, "A")+COUNTIF('Detailed Attendance'!EP37:EP37, "A")+COUNTIF('Detailed Attendance'!FB37:FB37, "A")+COUNTIF('Detailed Attendance'!FJ37:FJ37, "A")+COUNTIF('Detailed Attendance'!FR37:FR37, "A")+COUNTIF('Detailed Attendance'!FZ37:FZ37, "A")</f>
        <v/>
      </c>
      <c r="I35" s="72">
        <f>IF((G35+H35)=0, "", G35/(G35+H35))</f>
        <v/>
      </c>
      <c r="J35" s="46">
        <f>COUNTIF('Detailed Attendance'!L37:L37, "P")+COUNTIF('Detailed Attendance'!P37:P37, "P")+COUNTIF('Detailed Attendance'!AF37:AF37, "P")+COUNTIF('Detailed Attendance'!AJ37:AJ37, "P")+COUNTIF('Detailed Attendance'!AZ37:AZ37, "P")+COUNTIF('Detailed Attendance'!BD37:BD37, "P")+COUNTIF('Detailed Attendance'!BT37:BT37, "P")+COUNTIF('Detailed Attendance'!BX37:BX37, "P")+COUNTIF('Detailed Attendance'!CQ37:CQ37, "P")+COUNTIF('Detailed Attendance'!CU37:CU37, "P")+COUNTIF('Detailed Attendance'!DN37:DN37, "P")+COUNTIF('Detailed Attendance'!DR37:DR37, "P")+COUNTIF('Detailed Attendance'!EK37:EK37, "P")+COUNTIF('Detailed Attendance'!EO37:EO37, "P")+COUNTIF('Detailed Attendance'!FE37:FE37, "P")+COUNTIF('Detailed Attendance'!FI37:FI37, "P")+COUNTIF('Detailed Attendance'!FU37:FU37, "P")+COUNTIF('Detailed Attendance'!FY37:FY37, "P")</f>
        <v/>
      </c>
      <c r="K35" s="46">
        <f>COUNTIF('Detailed Attendance'!L37:L37, "A")+COUNTIF('Detailed Attendance'!P37:P37, "A")+COUNTIF('Detailed Attendance'!AF37:AF37, "A")+COUNTIF('Detailed Attendance'!AJ37:AJ37, "A")+COUNTIF('Detailed Attendance'!AZ37:AZ37, "A")+COUNTIF('Detailed Attendance'!BD37:BD37, "A")+COUNTIF('Detailed Attendance'!BT37:BT37, "A")+COUNTIF('Detailed Attendance'!BX37:BX37, "A")+COUNTIF('Detailed Attendance'!CQ37:CQ37, "A")+COUNTIF('Detailed Attendance'!CU37:CU37, "A")+COUNTIF('Detailed Attendance'!DN37:DN37, "A")+COUNTIF('Detailed Attendance'!DR37:DR37, "A")+COUNTIF('Detailed Attendance'!EK37:EK37, "A")+COUNTIF('Detailed Attendance'!EO37:EO37, "A")+COUNTIF('Detailed Attendance'!FE37:FE37, "A")+COUNTIF('Detailed Attendance'!FI37:FI37, "A")+COUNTIF('Detailed Attendance'!FU37:FU37, "A")+COUNTIF('Detailed Attendance'!FY37:FY37, "A")</f>
        <v/>
      </c>
      <c r="L35" s="72">
        <f>IF((J35+K35)=0, "", J35/(J35+K35))</f>
        <v/>
      </c>
      <c r="M35" s="46">
        <f>COUNTIF('Detailed Attendance'!D37:D37, "P")+COUNTIF('Detailed Attendance'!T37:T37, "P")+COUNTIF('Detailed Attendance'!AN37:AN37, "P")+COUNTIF('Detailed Attendance'!AR37:AR37, "P")+COUNTIF('Detailed Attendance'!BH37:BH37, "P")+COUNTIF('Detailed Attendance'!CB37:CB37, "P")+COUNTIF('Detailed Attendance'!CF37:CF37, "P")+COUNTIF('Detailed Attendance'!CY37:CY37, "P")+COUNTIF('Detailed Attendance'!DC37:DC37, "P")+COUNTIF('Detailed Attendance'!DV37:DV37, "P")+COUNTIF('Detailed Attendance'!DZ37:DZ37, "P")+COUNTIF('Detailed Attendance'!ES37:ES37, "P")+COUNTIF('Detailed Attendance'!GC37:GC37, "P")+COUNTIF('Detailed Attendance'!GG37:GG37, "P")</f>
        <v/>
      </c>
      <c r="N35" s="46">
        <f>COUNTIF('Detailed Attendance'!D37:D37, "A")+COUNTIF('Detailed Attendance'!T37:T37, "A")+COUNTIF('Detailed Attendance'!AN37:AN37, "A")+COUNTIF('Detailed Attendance'!AR37:AR37, "A")+COUNTIF('Detailed Attendance'!BH37:BH37, "A")+COUNTIF('Detailed Attendance'!CB37:CB37, "A")+COUNTIF('Detailed Attendance'!CF37:CF37, "A")+COUNTIF('Detailed Attendance'!CY37:CY37, "A")+COUNTIF('Detailed Attendance'!DC37:DC37, "A")+COUNTIF('Detailed Attendance'!DV37:DV37, "A")+COUNTIF('Detailed Attendance'!DZ37:DZ37, "A")+COUNTIF('Detailed Attendance'!ES37:ES37, "A")+COUNTIF('Detailed Attendance'!GC37:GC37, "A")+COUNTIF('Detailed Attendance'!GG37:GG37, "A")</f>
        <v/>
      </c>
      <c r="O35" s="72">
        <f>IF((M35+N35)=0, "", M35/(M35+N35))</f>
        <v/>
      </c>
      <c r="P35" s="46">
        <f>COUNTIF('Detailed Attendance'!M37:M37, "P")+COUNTIF('Detailed Attendance'!U37:U37, "P")+COUNTIF('Detailed Attendance'!AG37:AG37, "P")+COUNTIF('Detailed Attendance'!AO37:AO37, "P")+COUNTIF('Detailed Attendance'!BA37:BA37, "P")+COUNTIF('Detailed Attendance'!BI37:BI37, "P")+COUNTIF('Detailed Attendance'!BU37:BU37, "P")+COUNTIF('Detailed Attendance'!CC37:CC37, "P")+COUNTIF('Detailed Attendance'!CR37:CR37, "P")+COUNTIF('Detailed Attendance'!CZ37:CZ37, "P")+COUNTIF('Detailed Attendance'!DO37:DO37, "P")+COUNTIF('Detailed Attendance'!DW37:DW37, "P")+COUNTIF('Detailed Attendance'!EL37:EL37, "P")+COUNTIF('Detailed Attendance'!ET37:ET37, "P")+COUNTIF('Detailed Attendance'!FF37:FF37, "P")+COUNTIF('Detailed Attendance'!FV37:FV37, "P")+COUNTIF('Detailed Attendance'!GD37:GD37, "P")</f>
        <v/>
      </c>
      <c r="Q35" s="46">
        <f>COUNTIF('Detailed Attendance'!M37:M37, "A")+COUNTIF('Detailed Attendance'!U37:U37, "A")+COUNTIF('Detailed Attendance'!AG37:AG37, "A")+COUNTIF('Detailed Attendance'!AO37:AO37, "A")+COUNTIF('Detailed Attendance'!BA37:BA37, "A")+COUNTIF('Detailed Attendance'!BI37:BI37, "A")+COUNTIF('Detailed Attendance'!BU37:BU37, "A")+COUNTIF('Detailed Attendance'!CC37:CC37, "A")+COUNTIF('Detailed Attendance'!CR37:CR37, "A")+COUNTIF('Detailed Attendance'!CZ37:CZ37, "A")+COUNTIF('Detailed Attendance'!DO37:DO37, "A")+COUNTIF('Detailed Attendance'!DW37:DW37, "A")+COUNTIF('Detailed Attendance'!EL37:EL37, "A")+COUNTIF('Detailed Attendance'!ET37:ET37, "A")+COUNTIF('Detailed Attendance'!FF37:FF37, "A")+COUNTIF('Detailed Attendance'!FV37:FV37, "A")+COUNTIF('Detailed Attendance'!GD37:GD37, "A")</f>
        <v/>
      </c>
      <c r="R35" s="72">
        <f>IF((P35+Q35)=0, "", P35/(P35+Q35))</f>
        <v/>
      </c>
      <c r="S35" s="46">
        <f>COUNTIF('Detailed Attendance'!CH37:CH37, "P")+COUNTIF('Detailed Attendance'!DE37:DE37, "P")+COUNTIF('Detailed Attendance'!EB37:EB37, "P")+COUNTIF('Detailed Attendance'!GI37:GI37, "P")</f>
        <v/>
      </c>
      <c r="T35" s="46">
        <f>COUNTIF('Detailed Attendance'!CH37:CH37, "A")+COUNTIF('Detailed Attendance'!DE37:DE37, "A")+COUNTIF('Detailed Attendance'!EB37:EB37, "A")+COUNTIF('Detailed Attendance'!GI37:GI37, "A")</f>
        <v/>
      </c>
      <c r="U35" s="73">
        <f>IF((S35+T35)=0, "", S35/(S35+T35))</f>
        <v/>
      </c>
      <c r="V35" s="46">
        <f>COUNTIF('Detailed Attendance'!V37:V37, "P")+COUNTIF('Detailed Attendance'!AP37:AP37, "P")+COUNTIF('Detailed Attendance'!BJ37:BJ37, "P")+COUNTIF('Detailed Attendance'!CD37:CD37, "P")+COUNTIF('Detailed Attendance'!DA37:DA37, "P")+COUNTIF('Detailed Attendance'!DX37:DX37, "P")+COUNTIF('Detailed Attendance'!EU37:EU37, "P")+COUNTIF('Detailed Attendance'!GE37:GE37, "P")</f>
        <v/>
      </c>
      <c r="W35" s="46">
        <f>COUNTIF('Detailed Attendance'!V37:V37, "A")+COUNTIF('Detailed Attendance'!AP37:AP37, "A")+COUNTIF('Detailed Attendance'!BJ37:BJ37, "A")+COUNTIF('Detailed Attendance'!CD37:CD37, "A")+COUNTIF('Detailed Attendance'!DA37:DA37, "A")+COUNTIF('Detailed Attendance'!DX37:DX37, "A")+COUNTIF('Detailed Attendance'!EU37:EU37, "A")+COUNTIF('Detailed Attendance'!GE37:GE37, "A")</f>
        <v/>
      </c>
      <c r="X35" s="73">
        <f>IF((V35+W35)=0, "", V35/(V35+W35))</f>
        <v/>
      </c>
      <c r="Y35" s="46">
        <f>COUNTIF('Detailed Attendance'!E37:E37, "P")+COUNTIF('Detailed Attendance'!Y37:Y37, "P")+COUNTIF('Detailed Attendance'!AS37:AS37, "P")+COUNTIF('Detailed Attendance'!BM37:BM37, "P")+COUNTIF('Detailed Attendance'!CJ37:CJ37, "P")+COUNTIF('Detailed Attendance'!DG37:DG37, "P")+COUNTIF('Detailed Attendance'!ED37:ED37, "P")+COUNTIF('Detailed Attendance'!EX37:EX37, "P")+COUNTIF('Detailed Attendance'!FN37:FN37, "P")</f>
        <v/>
      </c>
      <c r="Z35" s="46">
        <f>COUNTIF('Detailed Attendance'!E37:E37, "A")+COUNTIF('Detailed Attendance'!Y37:Y37, "A")+COUNTIF('Detailed Attendance'!AS37:AS37, "A")+COUNTIF('Detailed Attendance'!BM37:BM37, "A")+COUNTIF('Detailed Attendance'!CJ37:CJ37, "A")+COUNTIF('Detailed Attendance'!DG37:DG37, "A")+COUNTIF('Detailed Attendance'!ED37:ED37, "A")+COUNTIF('Detailed Attendance'!EX37:EX37, "A")+COUNTIF('Detailed Attendance'!FN37:FN37, "A")</f>
        <v/>
      </c>
      <c r="AA35" s="73">
        <f>IF((Y35+Z35)=0, "", Y35/(Y35+Z35))</f>
        <v/>
      </c>
      <c r="AB35" s="46">
        <f>S35+V35+Y35</f>
        <v/>
      </c>
      <c r="AC35" s="46">
        <f>T35+W35+Z35</f>
        <v/>
      </c>
      <c r="AD35" s="73">
        <f>IF((AB35+AC35)=0, "", AB35/(AB35+AC35))</f>
        <v/>
      </c>
      <c r="AE35" s="46" t="inlineStr">
        <is>
          <t>Batch 1</t>
        </is>
      </c>
    </row>
    <row r="36" ht="14.25" customHeight="1" s="34">
      <c r="A36" s="46" t="n">
        <v>35</v>
      </c>
      <c r="B36" s="46" t="inlineStr">
        <is>
          <t>325106410035</t>
        </is>
      </c>
      <c r="C36" s="46" t="inlineStr">
        <is>
          <t>SAI PRASANNA PALLA</t>
        </is>
      </c>
      <c r="D36" s="46">
        <f>COUNTIF('Detailed Attendance'!R38:R38, "P")+COUNTIF('Detailed Attendance'!X38:X38, "P")+COUNTIF('Detailed Attendance'!AL38:AL38, "P")+COUNTIF('Detailed Attendance'!BF38:BF38, "P")+COUNTIF('Detailed Attendance'!BL38:BL38, "P")+COUNTIF('Detailed Attendance'!BZ38:BZ38, "P")+COUNTIF('Detailed Attendance'!CI38:CI38, "P")+COUNTIF('Detailed Attendance'!CW38:CW38, "P")+COUNTIF('Detailed Attendance'!DF38:DF38, "P")+COUNTIF('Detailed Attendance'!DT38:DT38, "P")+COUNTIF('Detailed Attendance'!EC38:EC38, "P")+COUNTIF('Detailed Attendance'!EQ38:EQ38, "P")+COUNTIF('Detailed Attendance'!EW38:EW38, "P")+COUNTIF('Detailed Attendance'!FK38:FK38, "P")+COUNTIF('Detailed Attendance'!FM38:FM38, "P")+COUNTIF('Detailed Attendance'!GA38:GA38, "P")</f>
        <v/>
      </c>
      <c r="E36" s="46">
        <f>COUNTIF('Detailed Attendance'!R38:R38, "A")+COUNTIF('Detailed Attendance'!X38:X38, "A")+COUNTIF('Detailed Attendance'!AL38:AL38, "A")+COUNTIF('Detailed Attendance'!BF38:BF38, "A")+COUNTIF('Detailed Attendance'!BL38:BL38, "A")+COUNTIF('Detailed Attendance'!BZ38:BZ38, "A")+COUNTIF('Detailed Attendance'!CI38:CI38, "A")+COUNTIF('Detailed Attendance'!CW38:CW38, "A")+COUNTIF('Detailed Attendance'!DF38:DF38, "A")+COUNTIF('Detailed Attendance'!DT38:DT38, "A")+COUNTIF('Detailed Attendance'!EC38:EC38, "A")+COUNTIF('Detailed Attendance'!EQ38:EQ38, "A")+COUNTIF('Detailed Attendance'!EW38:EW38, "A")+COUNTIF('Detailed Attendance'!FK38:FK38, "A")+COUNTIF('Detailed Attendance'!FM38:FM38, "A")+COUNTIF('Detailed Attendance'!GA38:GA38, "A")</f>
        <v/>
      </c>
      <c r="F36" s="72">
        <f>IF((D36+E36)=0, "", D36/(D36+E36))</f>
        <v/>
      </c>
      <c r="G36" s="46">
        <f>COUNTIF('Detailed Attendance'!I38:I38, "P")+COUNTIF('Detailed Attendance'!Q38:Q38, "P")+COUNTIF('Detailed Attendance'!AC38:AC38, "P")+COUNTIF('Detailed Attendance'!AK38:AK38, "P")+COUNTIF('Detailed Attendance'!AW38:AW38, "P")+COUNTIF('Detailed Attendance'!BE38:BE38, "P")+COUNTIF('Detailed Attendance'!BQ38:BQ38, "P")+COUNTIF('Detailed Attendance'!BY38:BY38, "P")+COUNTIF('Detailed Attendance'!CN38:CN38, "P")+COUNTIF('Detailed Attendance'!CV38:CV38, "P")+COUNTIF('Detailed Attendance'!DK38:DK38, "P")+COUNTIF('Detailed Attendance'!DS38:DS38, "P")+COUNTIF('Detailed Attendance'!EH38:EH38, "P")+COUNTIF('Detailed Attendance'!EP38:EP38, "P")+COUNTIF('Detailed Attendance'!FB38:FB38, "P")+COUNTIF('Detailed Attendance'!FJ38:FJ38, "P")+COUNTIF('Detailed Attendance'!FR38:FR38, "P")+COUNTIF('Detailed Attendance'!FZ38:FZ38, "P")</f>
        <v/>
      </c>
      <c r="H36" s="46">
        <f>COUNTIF('Detailed Attendance'!I38:I38, "A")+COUNTIF('Detailed Attendance'!Q38:Q38, "A")+COUNTIF('Detailed Attendance'!AC38:AC38, "A")+COUNTIF('Detailed Attendance'!AK38:AK38, "A")+COUNTIF('Detailed Attendance'!AW38:AW38, "A")+COUNTIF('Detailed Attendance'!BE38:BE38, "A")+COUNTIF('Detailed Attendance'!BQ38:BQ38, "A")+COUNTIF('Detailed Attendance'!BY38:BY38, "A")+COUNTIF('Detailed Attendance'!CN38:CN38, "A")+COUNTIF('Detailed Attendance'!CV38:CV38, "A")+COUNTIF('Detailed Attendance'!DK38:DK38, "A")+COUNTIF('Detailed Attendance'!DS38:DS38, "A")+COUNTIF('Detailed Attendance'!EH38:EH38, "A")+COUNTIF('Detailed Attendance'!EP38:EP38, "A")+COUNTIF('Detailed Attendance'!FB38:FB38, "A")+COUNTIF('Detailed Attendance'!FJ38:FJ38, "A")+COUNTIF('Detailed Attendance'!FR38:FR38, "A")+COUNTIF('Detailed Attendance'!FZ38:FZ38, "A")</f>
        <v/>
      </c>
      <c r="I36" s="72">
        <f>IF((G36+H36)=0, "", G36/(G36+H36))</f>
        <v/>
      </c>
      <c r="J36" s="46">
        <f>COUNTIF('Detailed Attendance'!L38:L38, "P")+COUNTIF('Detailed Attendance'!P38:P38, "P")+COUNTIF('Detailed Attendance'!AF38:AF38, "P")+COUNTIF('Detailed Attendance'!AJ38:AJ38, "P")+COUNTIF('Detailed Attendance'!AZ38:AZ38, "P")+COUNTIF('Detailed Attendance'!BD38:BD38, "P")+COUNTIF('Detailed Attendance'!BT38:BT38, "P")+COUNTIF('Detailed Attendance'!BX38:BX38, "P")+COUNTIF('Detailed Attendance'!CQ38:CQ38, "P")+COUNTIF('Detailed Attendance'!CU38:CU38, "P")+COUNTIF('Detailed Attendance'!DN38:DN38, "P")+COUNTIF('Detailed Attendance'!DR38:DR38, "P")+COUNTIF('Detailed Attendance'!EK38:EK38, "P")+COUNTIF('Detailed Attendance'!EO38:EO38, "P")+COUNTIF('Detailed Attendance'!FE38:FE38, "P")+COUNTIF('Detailed Attendance'!FI38:FI38, "P")+COUNTIF('Detailed Attendance'!FU38:FU38, "P")+COUNTIF('Detailed Attendance'!FY38:FY38, "P")</f>
        <v/>
      </c>
      <c r="K36" s="46">
        <f>COUNTIF('Detailed Attendance'!L38:L38, "A")+COUNTIF('Detailed Attendance'!P38:P38, "A")+COUNTIF('Detailed Attendance'!AF38:AF38, "A")+COUNTIF('Detailed Attendance'!AJ38:AJ38, "A")+COUNTIF('Detailed Attendance'!AZ38:AZ38, "A")+COUNTIF('Detailed Attendance'!BD38:BD38, "A")+COUNTIF('Detailed Attendance'!BT38:BT38, "A")+COUNTIF('Detailed Attendance'!BX38:BX38, "A")+COUNTIF('Detailed Attendance'!CQ38:CQ38, "A")+COUNTIF('Detailed Attendance'!CU38:CU38, "A")+COUNTIF('Detailed Attendance'!DN38:DN38, "A")+COUNTIF('Detailed Attendance'!DR38:DR38, "A")+COUNTIF('Detailed Attendance'!EK38:EK38, "A")+COUNTIF('Detailed Attendance'!EO38:EO38, "A")+COUNTIF('Detailed Attendance'!FE38:FE38, "A")+COUNTIF('Detailed Attendance'!FI38:FI38, "A")+COUNTIF('Detailed Attendance'!FU38:FU38, "A")+COUNTIF('Detailed Attendance'!FY38:FY38, "A")</f>
        <v/>
      </c>
      <c r="L36" s="72">
        <f>IF((J36+K36)=0, "", J36/(J36+K36))</f>
        <v/>
      </c>
      <c r="M36" s="46">
        <f>COUNTIF('Detailed Attendance'!D38:D38, "P")+COUNTIF('Detailed Attendance'!T38:T38, "P")+COUNTIF('Detailed Attendance'!AN38:AN38, "P")+COUNTIF('Detailed Attendance'!AR38:AR38, "P")+COUNTIF('Detailed Attendance'!BH38:BH38, "P")+COUNTIF('Detailed Attendance'!CB38:CB38, "P")+COUNTIF('Detailed Attendance'!CF38:CF38, "P")+COUNTIF('Detailed Attendance'!CY38:CY38, "P")+COUNTIF('Detailed Attendance'!DC38:DC38, "P")+COUNTIF('Detailed Attendance'!DV38:DV38, "P")+COUNTIF('Detailed Attendance'!DZ38:DZ38, "P")+COUNTIF('Detailed Attendance'!ES38:ES38, "P")+COUNTIF('Detailed Attendance'!GC38:GC38, "P")+COUNTIF('Detailed Attendance'!GG38:GG38, "P")</f>
        <v/>
      </c>
      <c r="N36" s="46">
        <f>COUNTIF('Detailed Attendance'!D38:D38, "A")+COUNTIF('Detailed Attendance'!T38:T38, "A")+COUNTIF('Detailed Attendance'!AN38:AN38, "A")+COUNTIF('Detailed Attendance'!AR38:AR38, "A")+COUNTIF('Detailed Attendance'!BH38:BH38, "A")+COUNTIF('Detailed Attendance'!CB38:CB38, "A")+COUNTIF('Detailed Attendance'!CF38:CF38, "A")+COUNTIF('Detailed Attendance'!CY38:CY38, "A")+COUNTIF('Detailed Attendance'!DC38:DC38, "A")+COUNTIF('Detailed Attendance'!DV38:DV38, "A")+COUNTIF('Detailed Attendance'!DZ38:DZ38, "A")+COUNTIF('Detailed Attendance'!ES38:ES38, "A")+COUNTIF('Detailed Attendance'!GC38:GC38, "A")+COUNTIF('Detailed Attendance'!GG38:GG38, "A")</f>
        <v/>
      </c>
      <c r="O36" s="72">
        <f>IF((M36+N36)=0, "", M36/(M36+N36))</f>
        <v/>
      </c>
      <c r="P36" s="46">
        <f>COUNTIF('Detailed Attendance'!M38:M38, "P")+COUNTIF('Detailed Attendance'!U38:U38, "P")+COUNTIF('Detailed Attendance'!AG38:AG38, "P")+COUNTIF('Detailed Attendance'!AO38:AO38, "P")+COUNTIF('Detailed Attendance'!BA38:BA38, "P")+COUNTIF('Detailed Attendance'!BI38:BI38, "P")+COUNTIF('Detailed Attendance'!BU38:BU38, "P")+COUNTIF('Detailed Attendance'!CC38:CC38, "P")+COUNTIF('Detailed Attendance'!CR38:CR38, "P")+COUNTIF('Detailed Attendance'!CZ38:CZ38, "P")+COUNTIF('Detailed Attendance'!DO38:DO38, "P")+COUNTIF('Detailed Attendance'!DW38:DW38, "P")+COUNTIF('Detailed Attendance'!EL38:EL38, "P")+COUNTIF('Detailed Attendance'!ET38:ET38, "P")+COUNTIF('Detailed Attendance'!FF38:FF38, "P")+COUNTIF('Detailed Attendance'!FV38:FV38, "P")+COUNTIF('Detailed Attendance'!GD38:GD38, "P")</f>
        <v/>
      </c>
      <c r="Q36" s="46">
        <f>COUNTIF('Detailed Attendance'!M38:M38, "A")+COUNTIF('Detailed Attendance'!U38:U38, "A")+COUNTIF('Detailed Attendance'!AG38:AG38, "A")+COUNTIF('Detailed Attendance'!AO38:AO38, "A")+COUNTIF('Detailed Attendance'!BA38:BA38, "A")+COUNTIF('Detailed Attendance'!BI38:BI38, "A")+COUNTIF('Detailed Attendance'!BU38:BU38, "A")+COUNTIF('Detailed Attendance'!CC38:CC38, "A")+COUNTIF('Detailed Attendance'!CR38:CR38, "A")+COUNTIF('Detailed Attendance'!CZ38:CZ38, "A")+COUNTIF('Detailed Attendance'!DO38:DO38, "A")+COUNTIF('Detailed Attendance'!DW38:DW38, "A")+COUNTIF('Detailed Attendance'!EL38:EL38, "A")+COUNTIF('Detailed Attendance'!ET38:ET38, "A")+COUNTIF('Detailed Attendance'!FF38:FF38, "A")+COUNTIF('Detailed Attendance'!FV38:FV38, "A")+COUNTIF('Detailed Attendance'!GD38:GD38, "A")</f>
        <v/>
      </c>
      <c r="R36" s="72">
        <f>IF((P36+Q36)=0, "", P36/(P36+Q36))</f>
        <v/>
      </c>
      <c r="S36" s="46">
        <f>COUNTIF('Detailed Attendance'!CH38:CH38, "P")+COUNTIF('Detailed Attendance'!DE38:DE38, "P")+COUNTIF('Detailed Attendance'!EB38:EB38, "P")+COUNTIF('Detailed Attendance'!GI38:GI38, "P")</f>
        <v/>
      </c>
      <c r="T36" s="46">
        <f>COUNTIF('Detailed Attendance'!CH38:CH38, "A")+COUNTIF('Detailed Attendance'!DE38:DE38, "A")+COUNTIF('Detailed Attendance'!EB38:EB38, "A")+COUNTIF('Detailed Attendance'!GI38:GI38, "A")</f>
        <v/>
      </c>
      <c r="U36" s="73">
        <f>IF((S36+T36)=0, "", S36/(S36+T36))</f>
        <v/>
      </c>
      <c r="V36" s="46">
        <f>COUNTIF('Detailed Attendance'!V38:V38, "P")+COUNTIF('Detailed Attendance'!AP38:AP38, "P")+COUNTIF('Detailed Attendance'!BJ38:BJ38, "P")+COUNTIF('Detailed Attendance'!CD38:CD38, "P")+COUNTIF('Detailed Attendance'!DA38:DA38, "P")+COUNTIF('Detailed Attendance'!DX38:DX38, "P")+COUNTIF('Detailed Attendance'!EU38:EU38, "P")+COUNTIF('Detailed Attendance'!GE38:GE38, "P")</f>
        <v/>
      </c>
      <c r="W36" s="46">
        <f>COUNTIF('Detailed Attendance'!V38:V38, "A")+COUNTIF('Detailed Attendance'!AP38:AP38, "A")+COUNTIF('Detailed Attendance'!BJ38:BJ38, "A")+COUNTIF('Detailed Attendance'!CD38:CD38, "A")+COUNTIF('Detailed Attendance'!DA38:DA38, "A")+COUNTIF('Detailed Attendance'!DX38:DX38, "A")+COUNTIF('Detailed Attendance'!EU38:EU38, "A")+COUNTIF('Detailed Attendance'!GE38:GE38, "A")</f>
        <v/>
      </c>
      <c r="X36" s="73">
        <f>IF((V36+W36)=0, "", V36/(V36+W36))</f>
        <v/>
      </c>
      <c r="Y36" s="46">
        <f>COUNTIF('Detailed Attendance'!E38:E38, "P")+COUNTIF('Detailed Attendance'!Y38:Y38, "P")+COUNTIF('Detailed Attendance'!AS38:AS38, "P")+COUNTIF('Detailed Attendance'!BM38:BM38, "P")+COUNTIF('Detailed Attendance'!CJ38:CJ38, "P")+COUNTIF('Detailed Attendance'!DG38:DG38, "P")+COUNTIF('Detailed Attendance'!ED38:ED38, "P")+COUNTIF('Detailed Attendance'!EX38:EX38, "P")+COUNTIF('Detailed Attendance'!FN38:FN38, "P")</f>
        <v/>
      </c>
      <c r="Z36" s="46">
        <f>COUNTIF('Detailed Attendance'!E38:E38, "A")+COUNTIF('Detailed Attendance'!Y38:Y38, "A")+COUNTIF('Detailed Attendance'!AS38:AS38, "A")+COUNTIF('Detailed Attendance'!BM38:BM38, "A")+COUNTIF('Detailed Attendance'!CJ38:CJ38, "A")+COUNTIF('Detailed Attendance'!DG38:DG38, "A")+COUNTIF('Detailed Attendance'!ED38:ED38, "A")+COUNTIF('Detailed Attendance'!EX38:EX38, "A")+COUNTIF('Detailed Attendance'!FN38:FN38, "A")</f>
        <v/>
      </c>
      <c r="AA36" s="73">
        <f>IF((Y36+Z36)=0, "", Y36/(Y36+Z36))</f>
        <v/>
      </c>
      <c r="AB36" s="46">
        <f>S36+V36+Y36</f>
        <v/>
      </c>
      <c r="AC36" s="46">
        <f>T36+W36+Z36</f>
        <v/>
      </c>
      <c r="AD36" s="73">
        <f>IF((AB36+AC36)=0, "", AB36/(AB36+AC36))</f>
        <v/>
      </c>
      <c r="AE36" s="46" t="inlineStr">
        <is>
          <t>Batch 1</t>
        </is>
      </c>
    </row>
    <row r="37" ht="14.25" customHeight="1" s="34">
      <c r="A37" s="46" t="n">
        <v>36</v>
      </c>
      <c r="B37" s="46" t="inlineStr">
        <is>
          <t>325106410036</t>
        </is>
      </c>
      <c r="C37" s="46" t="inlineStr">
        <is>
          <t>OBEDU PALLE</t>
        </is>
      </c>
      <c r="D37" s="46">
        <f>COUNTIF('Detailed Attendance'!R39:R39, "P")+COUNTIF('Detailed Attendance'!X39:X39, "P")+COUNTIF('Detailed Attendance'!AL39:AL39, "P")+COUNTIF('Detailed Attendance'!BF39:BF39, "P")+COUNTIF('Detailed Attendance'!BL39:BL39, "P")+COUNTIF('Detailed Attendance'!BZ39:BZ39, "P")+COUNTIF('Detailed Attendance'!CI39:CI39, "P")+COUNTIF('Detailed Attendance'!CW39:CW39, "P")+COUNTIF('Detailed Attendance'!DF39:DF39, "P")+COUNTIF('Detailed Attendance'!DT39:DT39, "P")+COUNTIF('Detailed Attendance'!EC39:EC39, "P")+COUNTIF('Detailed Attendance'!EQ39:EQ39, "P")+COUNTIF('Detailed Attendance'!EW39:EW39, "P")+COUNTIF('Detailed Attendance'!FK39:FK39, "P")+COUNTIF('Detailed Attendance'!FM39:FM39, "P")+COUNTIF('Detailed Attendance'!GA39:GA39, "P")</f>
        <v/>
      </c>
      <c r="E37" s="46">
        <f>COUNTIF('Detailed Attendance'!R39:R39, "A")+COUNTIF('Detailed Attendance'!X39:X39, "A")+COUNTIF('Detailed Attendance'!AL39:AL39, "A")+COUNTIF('Detailed Attendance'!BF39:BF39, "A")+COUNTIF('Detailed Attendance'!BL39:BL39, "A")+COUNTIF('Detailed Attendance'!BZ39:BZ39, "A")+COUNTIF('Detailed Attendance'!CI39:CI39, "A")+COUNTIF('Detailed Attendance'!CW39:CW39, "A")+COUNTIF('Detailed Attendance'!DF39:DF39, "A")+COUNTIF('Detailed Attendance'!DT39:DT39, "A")+COUNTIF('Detailed Attendance'!EC39:EC39, "A")+COUNTIF('Detailed Attendance'!EQ39:EQ39, "A")+COUNTIF('Detailed Attendance'!EW39:EW39, "A")+COUNTIF('Detailed Attendance'!FK39:FK39, "A")+COUNTIF('Detailed Attendance'!FM39:FM39, "A")+COUNTIF('Detailed Attendance'!GA39:GA39, "A")</f>
        <v/>
      </c>
      <c r="F37" s="72">
        <f>IF((D37+E37)=0, "", D37/(D37+E37))</f>
        <v/>
      </c>
      <c r="G37" s="46">
        <f>COUNTIF('Detailed Attendance'!I39:I39, "P")+COUNTIF('Detailed Attendance'!Q39:Q39, "P")+COUNTIF('Detailed Attendance'!AC39:AC39, "P")+COUNTIF('Detailed Attendance'!AK39:AK39, "P")+COUNTIF('Detailed Attendance'!AW39:AW39, "P")+COUNTIF('Detailed Attendance'!BE39:BE39, "P")+COUNTIF('Detailed Attendance'!BQ39:BQ39, "P")+COUNTIF('Detailed Attendance'!BY39:BY39, "P")+COUNTIF('Detailed Attendance'!CN39:CN39, "P")+COUNTIF('Detailed Attendance'!CV39:CV39, "P")+COUNTIF('Detailed Attendance'!DK39:DK39, "P")+COUNTIF('Detailed Attendance'!DS39:DS39, "P")+COUNTIF('Detailed Attendance'!EH39:EH39, "P")+COUNTIF('Detailed Attendance'!EP39:EP39, "P")+COUNTIF('Detailed Attendance'!FB39:FB39, "P")+COUNTIF('Detailed Attendance'!FJ39:FJ39, "P")+COUNTIF('Detailed Attendance'!FR39:FR39, "P")+COUNTIF('Detailed Attendance'!FZ39:FZ39, "P")</f>
        <v/>
      </c>
      <c r="H37" s="46">
        <f>COUNTIF('Detailed Attendance'!I39:I39, "A")+COUNTIF('Detailed Attendance'!Q39:Q39, "A")+COUNTIF('Detailed Attendance'!AC39:AC39, "A")+COUNTIF('Detailed Attendance'!AK39:AK39, "A")+COUNTIF('Detailed Attendance'!AW39:AW39, "A")+COUNTIF('Detailed Attendance'!BE39:BE39, "A")+COUNTIF('Detailed Attendance'!BQ39:BQ39, "A")+COUNTIF('Detailed Attendance'!BY39:BY39, "A")+COUNTIF('Detailed Attendance'!CN39:CN39, "A")+COUNTIF('Detailed Attendance'!CV39:CV39, "A")+COUNTIF('Detailed Attendance'!DK39:DK39, "A")+COUNTIF('Detailed Attendance'!DS39:DS39, "A")+COUNTIF('Detailed Attendance'!EH39:EH39, "A")+COUNTIF('Detailed Attendance'!EP39:EP39, "A")+COUNTIF('Detailed Attendance'!FB39:FB39, "A")+COUNTIF('Detailed Attendance'!FJ39:FJ39, "A")+COUNTIF('Detailed Attendance'!FR39:FR39, "A")+COUNTIF('Detailed Attendance'!FZ39:FZ39, "A")</f>
        <v/>
      </c>
      <c r="I37" s="72">
        <f>IF((G37+H37)=0, "", G37/(G37+H37))</f>
        <v/>
      </c>
      <c r="J37" s="46">
        <f>COUNTIF('Detailed Attendance'!L39:L39, "P")+COUNTIF('Detailed Attendance'!P39:P39, "P")+COUNTIF('Detailed Attendance'!AF39:AF39, "P")+COUNTIF('Detailed Attendance'!AJ39:AJ39, "P")+COUNTIF('Detailed Attendance'!AZ39:AZ39, "P")+COUNTIF('Detailed Attendance'!BD39:BD39, "P")+COUNTIF('Detailed Attendance'!BT39:BT39, "P")+COUNTIF('Detailed Attendance'!BX39:BX39, "P")+COUNTIF('Detailed Attendance'!CQ39:CQ39, "P")+COUNTIF('Detailed Attendance'!CU39:CU39, "P")+COUNTIF('Detailed Attendance'!DN39:DN39, "P")+COUNTIF('Detailed Attendance'!DR39:DR39, "P")+COUNTIF('Detailed Attendance'!EK39:EK39, "P")+COUNTIF('Detailed Attendance'!EO39:EO39, "P")+COUNTIF('Detailed Attendance'!FE39:FE39, "P")+COUNTIF('Detailed Attendance'!FI39:FI39, "P")+COUNTIF('Detailed Attendance'!FU39:FU39, "P")+COUNTIF('Detailed Attendance'!FY39:FY39, "P")</f>
        <v/>
      </c>
      <c r="K37" s="46">
        <f>COUNTIF('Detailed Attendance'!L39:L39, "A")+COUNTIF('Detailed Attendance'!P39:P39, "A")+COUNTIF('Detailed Attendance'!AF39:AF39, "A")+COUNTIF('Detailed Attendance'!AJ39:AJ39, "A")+COUNTIF('Detailed Attendance'!AZ39:AZ39, "A")+COUNTIF('Detailed Attendance'!BD39:BD39, "A")+COUNTIF('Detailed Attendance'!BT39:BT39, "A")+COUNTIF('Detailed Attendance'!BX39:BX39, "A")+COUNTIF('Detailed Attendance'!CQ39:CQ39, "A")+COUNTIF('Detailed Attendance'!CU39:CU39, "A")+COUNTIF('Detailed Attendance'!DN39:DN39, "A")+COUNTIF('Detailed Attendance'!DR39:DR39, "A")+COUNTIF('Detailed Attendance'!EK39:EK39, "A")+COUNTIF('Detailed Attendance'!EO39:EO39, "A")+COUNTIF('Detailed Attendance'!FE39:FE39, "A")+COUNTIF('Detailed Attendance'!FI39:FI39, "A")+COUNTIF('Detailed Attendance'!FU39:FU39, "A")+COUNTIF('Detailed Attendance'!FY39:FY39, "A")</f>
        <v/>
      </c>
      <c r="L37" s="72">
        <f>IF((J37+K37)=0, "", J37/(J37+K37))</f>
        <v/>
      </c>
      <c r="M37" s="46">
        <f>COUNTIF('Detailed Attendance'!D39:D39, "P")+COUNTIF('Detailed Attendance'!T39:T39, "P")+COUNTIF('Detailed Attendance'!AN39:AN39, "P")+COUNTIF('Detailed Attendance'!AR39:AR39, "P")+COUNTIF('Detailed Attendance'!BH39:BH39, "P")+COUNTIF('Detailed Attendance'!CB39:CB39, "P")+COUNTIF('Detailed Attendance'!CF39:CF39, "P")+COUNTIF('Detailed Attendance'!CY39:CY39, "P")+COUNTIF('Detailed Attendance'!DC39:DC39, "P")+COUNTIF('Detailed Attendance'!DV39:DV39, "P")+COUNTIF('Detailed Attendance'!DZ39:DZ39, "P")+COUNTIF('Detailed Attendance'!ES39:ES39, "P")+COUNTIF('Detailed Attendance'!GC39:GC39, "P")+COUNTIF('Detailed Attendance'!GG39:GG39, "P")</f>
        <v/>
      </c>
      <c r="N37" s="46">
        <f>COUNTIF('Detailed Attendance'!D39:D39, "A")+COUNTIF('Detailed Attendance'!T39:T39, "A")+COUNTIF('Detailed Attendance'!AN39:AN39, "A")+COUNTIF('Detailed Attendance'!AR39:AR39, "A")+COUNTIF('Detailed Attendance'!BH39:BH39, "A")+COUNTIF('Detailed Attendance'!CB39:CB39, "A")+COUNTIF('Detailed Attendance'!CF39:CF39, "A")+COUNTIF('Detailed Attendance'!CY39:CY39, "A")+COUNTIF('Detailed Attendance'!DC39:DC39, "A")+COUNTIF('Detailed Attendance'!DV39:DV39, "A")+COUNTIF('Detailed Attendance'!DZ39:DZ39, "A")+COUNTIF('Detailed Attendance'!ES39:ES39, "A")+COUNTIF('Detailed Attendance'!GC39:GC39, "A")+COUNTIF('Detailed Attendance'!GG39:GG39, "A")</f>
        <v/>
      </c>
      <c r="O37" s="72">
        <f>IF((M37+N37)=0, "", M37/(M37+N37))</f>
        <v/>
      </c>
      <c r="P37" s="46">
        <f>COUNTIF('Detailed Attendance'!M39:M39, "P")+COUNTIF('Detailed Attendance'!U39:U39, "P")+COUNTIF('Detailed Attendance'!AG39:AG39, "P")+COUNTIF('Detailed Attendance'!AO39:AO39, "P")+COUNTIF('Detailed Attendance'!BA39:BA39, "P")+COUNTIF('Detailed Attendance'!BI39:BI39, "P")+COUNTIF('Detailed Attendance'!BU39:BU39, "P")+COUNTIF('Detailed Attendance'!CC39:CC39, "P")+COUNTIF('Detailed Attendance'!CR39:CR39, "P")+COUNTIF('Detailed Attendance'!CZ39:CZ39, "P")+COUNTIF('Detailed Attendance'!DO39:DO39, "P")+COUNTIF('Detailed Attendance'!DW39:DW39, "P")+COUNTIF('Detailed Attendance'!EL39:EL39, "P")+COUNTIF('Detailed Attendance'!ET39:ET39, "P")+COUNTIF('Detailed Attendance'!FF39:FF39, "P")+COUNTIF('Detailed Attendance'!FV39:FV39, "P")+COUNTIF('Detailed Attendance'!GD39:GD39, "P")</f>
        <v/>
      </c>
      <c r="Q37" s="46">
        <f>COUNTIF('Detailed Attendance'!M39:M39, "A")+COUNTIF('Detailed Attendance'!U39:U39, "A")+COUNTIF('Detailed Attendance'!AG39:AG39, "A")+COUNTIF('Detailed Attendance'!AO39:AO39, "A")+COUNTIF('Detailed Attendance'!BA39:BA39, "A")+COUNTIF('Detailed Attendance'!BI39:BI39, "A")+COUNTIF('Detailed Attendance'!BU39:BU39, "A")+COUNTIF('Detailed Attendance'!CC39:CC39, "A")+COUNTIF('Detailed Attendance'!CR39:CR39, "A")+COUNTIF('Detailed Attendance'!CZ39:CZ39, "A")+COUNTIF('Detailed Attendance'!DO39:DO39, "A")+COUNTIF('Detailed Attendance'!DW39:DW39, "A")+COUNTIF('Detailed Attendance'!EL39:EL39, "A")+COUNTIF('Detailed Attendance'!ET39:ET39, "A")+COUNTIF('Detailed Attendance'!FF39:FF39, "A")+COUNTIF('Detailed Attendance'!FV39:FV39, "A")+COUNTIF('Detailed Attendance'!GD39:GD39, "A")</f>
        <v/>
      </c>
      <c r="R37" s="72">
        <f>IF((P37+Q37)=0, "", P37/(P37+Q37))</f>
        <v/>
      </c>
      <c r="S37" s="46">
        <f>COUNTIF('Detailed Attendance'!CH39:CH39, "P")+COUNTIF('Detailed Attendance'!DE39:DE39, "P")+COUNTIF('Detailed Attendance'!EB39:EB39, "P")+COUNTIF('Detailed Attendance'!GI39:GI39, "P")</f>
        <v/>
      </c>
      <c r="T37" s="46">
        <f>COUNTIF('Detailed Attendance'!CH39:CH39, "A")+COUNTIF('Detailed Attendance'!DE39:DE39, "A")+COUNTIF('Detailed Attendance'!EB39:EB39, "A")+COUNTIF('Detailed Attendance'!GI39:GI39, "A")</f>
        <v/>
      </c>
      <c r="U37" s="73">
        <f>IF((S37+T37)=0, "", S37/(S37+T37))</f>
        <v/>
      </c>
      <c r="V37" s="46">
        <f>COUNTIF('Detailed Attendance'!V39:V39, "P")+COUNTIF('Detailed Attendance'!AP39:AP39, "P")+COUNTIF('Detailed Attendance'!BJ39:BJ39, "P")+COUNTIF('Detailed Attendance'!CD39:CD39, "P")+COUNTIF('Detailed Attendance'!DA39:DA39, "P")+COUNTIF('Detailed Attendance'!DX39:DX39, "P")+COUNTIF('Detailed Attendance'!EU39:EU39, "P")+COUNTIF('Detailed Attendance'!GE39:GE39, "P")</f>
        <v/>
      </c>
      <c r="W37" s="46">
        <f>COUNTIF('Detailed Attendance'!V39:V39, "A")+COUNTIF('Detailed Attendance'!AP39:AP39, "A")+COUNTIF('Detailed Attendance'!BJ39:BJ39, "A")+COUNTIF('Detailed Attendance'!CD39:CD39, "A")+COUNTIF('Detailed Attendance'!DA39:DA39, "A")+COUNTIF('Detailed Attendance'!DX39:DX39, "A")+COUNTIF('Detailed Attendance'!EU39:EU39, "A")+COUNTIF('Detailed Attendance'!GE39:GE39, "A")</f>
        <v/>
      </c>
      <c r="X37" s="73">
        <f>IF((V37+W37)=0, "", V37/(V37+W37))</f>
        <v/>
      </c>
      <c r="Y37" s="46">
        <f>COUNTIF('Detailed Attendance'!E39:E39, "P")+COUNTIF('Detailed Attendance'!Y39:Y39, "P")+COUNTIF('Detailed Attendance'!AS39:AS39, "P")+COUNTIF('Detailed Attendance'!BM39:BM39, "P")+COUNTIF('Detailed Attendance'!CJ39:CJ39, "P")+COUNTIF('Detailed Attendance'!DG39:DG39, "P")+COUNTIF('Detailed Attendance'!ED39:ED39, "P")+COUNTIF('Detailed Attendance'!EX39:EX39, "P")+COUNTIF('Detailed Attendance'!FN39:FN39, "P")</f>
        <v/>
      </c>
      <c r="Z37" s="46">
        <f>COUNTIF('Detailed Attendance'!E39:E39, "A")+COUNTIF('Detailed Attendance'!Y39:Y39, "A")+COUNTIF('Detailed Attendance'!AS39:AS39, "A")+COUNTIF('Detailed Attendance'!BM39:BM39, "A")+COUNTIF('Detailed Attendance'!CJ39:CJ39, "A")+COUNTIF('Detailed Attendance'!DG39:DG39, "A")+COUNTIF('Detailed Attendance'!ED39:ED39, "A")+COUNTIF('Detailed Attendance'!EX39:EX39, "A")+COUNTIF('Detailed Attendance'!FN39:FN39, "A")</f>
        <v/>
      </c>
      <c r="AA37" s="73">
        <f>IF((Y37+Z37)=0, "", Y37/(Y37+Z37))</f>
        <v/>
      </c>
      <c r="AB37" s="46">
        <f>S37+V37+Y37</f>
        <v/>
      </c>
      <c r="AC37" s="46">
        <f>T37+W37+Z37</f>
        <v/>
      </c>
      <c r="AD37" s="73">
        <f>IF((AB37+AC37)=0, "", AB37/(AB37+AC37))</f>
        <v/>
      </c>
      <c r="AE37" s="46" t="inlineStr">
        <is>
          <t>Batch 1</t>
        </is>
      </c>
    </row>
    <row r="38" ht="14.25" customHeight="1" s="34">
      <c r="A38" s="46" t="n">
        <v>37</v>
      </c>
      <c r="B38" s="46" t="inlineStr">
        <is>
          <t>325106410037</t>
        </is>
      </c>
      <c r="C38" s="46" t="inlineStr">
        <is>
          <t>VINAY KUMAR PANCHADI</t>
        </is>
      </c>
      <c r="D38" s="46">
        <f>COUNTIF('Detailed Attendance'!R40:R40, "P")+COUNTIF('Detailed Attendance'!X40:X40, "P")+COUNTIF('Detailed Attendance'!AL40:AL40, "P")+COUNTIF('Detailed Attendance'!BF40:BF40, "P")+COUNTIF('Detailed Attendance'!BL40:BL40, "P")+COUNTIF('Detailed Attendance'!BZ40:BZ40, "P")+COUNTIF('Detailed Attendance'!CI40:CI40, "P")+COUNTIF('Detailed Attendance'!CW40:CW40, "P")+COUNTIF('Detailed Attendance'!DF40:DF40, "P")+COUNTIF('Detailed Attendance'!DT40:DT40, "P")+COUNTIF('Detailed Attendance'!EC40:EC40, "P")+COUNTIF('Detailed Attendance'!EQ40:EQ40, "P")+COUNTIF('Detailed Attendance'!EW40:EW40, "P")+COUNTIF('Detailed Attendance'!FK40:FK40, "P")+COUNTIF('Detailed Attendance'!FM40:FM40, "P")+COUNTIF('Detailed Attendance'!GA40:GA40, "P")</f>
        <v/>
      </c>
      <c r="E38" s="46">
        <f>COUNTIF('Detailed Attendance'!R40:R40, "A")+COUNTIF('Detailed Attendance'!X40:X40, "A")+COUNTIF('Detailed Attendance'!AL40:AL40, "A")+COUNTIF('Detailed Attendance'!BF40:BF40, "A")+COUNTIF('Detailed Attendance'!BL40:BL40, "A")+COUNTIF('Detailed Attendance'!BZ40:BZ40, "A")+COUNTIF('Detailed Attendance'!CI40:CI40, "A")+COUNTIF('Detailed Attendance'!CW40:CW40, "A")+COUNTIF('Detailed Attendance'!DF40:DF40, "A")+COUNTIF('Detailed Attendance'!DT40:DT40, "A")+COUNTIF('Detailed Attendance'!EC40:EC40, "A")+COUNTIF('Detailed Attendance'!EQ40:EQ40, "A")+COUNTIF('Detailed Attendance'!EW40:EW40, "A")+COUNTIF('Detailed Attendance'!FK40:FK40, "A")+COUNTIF('Detailed Attendance'!FM40:FM40, "A")+COUNTIF('Detailed Attendance'!GA40:GA40, "A")</f>
        <v/>
      </c>
      <c r="F38" s="72">
        <f>IF((D38+E38)=0, "", D38/(D38+E38))</f>
        <v/>
      </c>
      <c r="G38" s="46">
        <f>COUNTIF('Detailed Attendance'!I40:I40, "P")+COUNTIF('Detailed Attendance'!Q40:Q40, "P")+COUNTIF('Detailed Attendance'!AC40:AC40, "P")+COUNTIF('Detailed Attendance'!AK40:AK40, "P")+COUNTIF('Detailed Attendance'!AW40:AW40, "P")+COUNTIF('Detailed Attendance'!BE40:BE40, "P")+COUNTIF('Detailed Attendance'!BQ40:BQ40, "P")+COUNTIF('Detailed Attendance'!BY40:BY40, "P")+COUNTIF('Detailed Attendance'!CN40:CN40, "P")+COUNTIF('Detailed Attendance'!CV40:CV40, "P")+COUNTIF('Detailed Attendance'!DK40:DK40, "P")+COUNTIF('Detailed Attendance'!DS40:DS40, "P")+COUNTIF('Detailed Attendance'!EH40:EH40, "P")+COUNTIF('Detailed Attendance'!EP40:EP40, "P")+COUNTIF('Detailed Attendance'!FB40:FB40, "P")+COUNTIF('Detailed Attendance'!FJ40:FJ40, "P")+COUNTIF('Detailed Attendance'!FR40:FR40, "P")+COUNTIF('Detailed Attendance'!FZ40:FZ40, "P")</f>
        <v/>
      </c>
      <c r="H38" s="46">
        <f>COUNTIF('Detailed Attendance'!I40:I40, "A")+COUNTIF('Detailed Attendance'!Q40:Q40, "A")+COUNTIF('Detailed Attendance'!AC40:AC40, "A")+COUNTIF('Detailed Attendance'!AK40:AK40, "A")+COUNTIF('Detailed Attendance'!AW40:AW40, "A")+COUNTIF('Detailed Attendance'!BE40:BE40, "A")+COUNTIF('Detailed Attendance'!BQ40:BQ40, "A")+COUNTIF('Detailed Attendance'!BY40:BY40, "A")+COUNTIF('Detailed Attendance'!CN40:CN40, "A")+COUNTIF('Detailed Attendance'!CV40:CV40, "A")+COUNTIF('Detailed Attendance'!DK40:DK40, "A")+COUNTIF('Detailed Attendance'!DS40:DS40, "A")+COUNTIF('Detailed Attendance'!EH40:EH40, "A")+COUNTIF('Detailed Attendance'!EP40:EP40, "A")+COUNTIF('Detailed Attendance'!FB40:FB40, "A")+COUNTIF('Detailed Attendance'!FJ40:FJ40, "A")+COUNTIF('Detailed Attendance'!FR40:FR40, "A")+COUNTIF('Detailed Attendance'!FZ40:FZ40, "A")</f>
        <v/>
      </c>
      <c r="I38" s="72">
        <f>IF((G38+H38)=0, "", G38/(G38+H38))</f>
        <v/>
      </c>
      <c r="J38" s="46">
        <f>COUNTIF('Detailed Attendance'!L40:L40, "P")+COUNTIF('Detailed Attendance'!P40:P40, "P")+COUNTIF('Detailed Attendance'!AF40:AF40, "P")+COUNTIF('Detailed Attendance'!AJ40:AJ40, "P")+COUNTIF('Detailed Attendance'!AZ40:AZ40, "P")+COUNTIF('Detailed Attendance'!BD40:BD40, "P")+COUNTIF('Detailed Attendance'!BT40:BT40, "P")+COUNTIF('Detailed Attendance'!BX40:BX40, "P")+COUNTIF('Detailed Attendance'!CQ40:CQ40, "P")+COUNTIF('Detailed Attendance'!CU40:CU40, "P")+COUNTIF('Detailed Attendance'!DN40:DN40, "P")+COUNTIF('Detailed Attendance'!DR40:DR40, "P")+COUNTIF('Detailed Attendance'!EK40:EK40, "P")+COUNTIF('Detailed Attendance'!EO40:EO40, "P")+COUNTIF('Detailed Attendance'!FE40:FE40, "P")+COUNTIF('Detailed Attendance'!FI40:FI40, "P")+COUNTIF('Detailed Attendance'!FU40:FU40, "P")+COUNTIF('Detailed Attendance'!FY40:FY40, "P")</f>
        <v/>
      </c>
      <c r="K38" s="46">
        <f>COUNTIF('Detailed Attendance'!L40:L40, "A")+COUNTIF('Detailed Attendance'!P40:P40, "A")+COUNTIF('Detailed Attendance'!AF40:AF40, "A")+COUNTIF('Detailed Attendance'!AJ40:AJ40, "A")+COUNTIF('Detailed Attendance'!AZ40:AZ40, "A")+COUNTIF('Detailed Attendance'!BD40:BD40, "A")+COUNTIF('Detailed Attendance'!BT40:BT40, "A")+COUNTIF('Detailed Attendance'!BX40:BX40, "A")+COUNTIF('Detailed Attendance'!CQ40:CQ40, "A")+COUNTIF('Detailed Attendance'!CU40:CU40, "A")+COUNTIF('Detailed Attendance'!DN40:DN40, "A")+COUNTIF('Detailed Attendance'!DR40:DR40, "A")+COUNTIF('Detailed Attendance'!EK40:EK40, "A")+COUNTIF('Detailed Attendance'!EO40:EO40, "A")+COUNTIF('Detailed Attendance'!FE40:FE40, "A")+COUNTIF('Detailed Attendance'!FI40:FI40, "A")+COUNTIF('Detailed Attendance'!FU40:FU40, "A")+COUNTIF('Detailed Attendance'!FY40:FY40, "A")</f>
        <v/>
      </c>
      <c r="L38" s="72">
        <f>IF((J38+K38)=0, "", J38/(J38+K38))</f>
        <v/>
      </c>
      <c r="M38" s="46">
        <f>COUNTIF('Detailed Attendance'!D40:D40, "P")+COUNTIF('Detailed Attendance'!T40:T40, "P")+COUNTIF('Detailed Attendance'!AN40:AN40, "P")+COUNTIF('Detailed Attendance'!AR40:AR40, "P")+COUNTIF('Detailed Attendance'!BH40:BH40, "P")+COUNTIF('Detailed Attendance'!CB40:CB40, "P")+COUNTIF('Detailed Attendance'!CF40:CF40, "P")+COUNTIF('Detailed Attendance'!CY40:CY40, "P")+COUNTIF('Detailed Attendance'!DC40:DC40, "P")+COUNTIF('Detailed Attendance'!DV40:DV40, "P")+COUNTIF('Detailed Attendance'!DZ40:DZ40, "P")+COUNTIF('Detailed Attendance'!ES40:ES40, "P")+COUNTIF('Detailed Attendance'!GC40:GC40, "P")+COUNTIF('Detailed Attendance'!GG40:GG40, "P")</f>
        <v/>
      </c>
      <c r="N38" s="46">
        <f>COUNTIF('Detailed Attendance'!D40:D40, "A")+COUNTIF('Detailed Attendance'!T40:T40, "A")+COUNTIF('Detailed Attendance'!AN40:AN40, "A")+COUNTIF('Detailed Attendance'!AR40:AR40, "A")+COUNTIF('Detailed Attendance'!BH40:BH40, "A")+COUNTIF('Detailed Attendance'!CB40:CB40, "A")+COUNTIF('Detailed Attendance'!CF40:CF40, "A")+COUNTIF('Detailed Attendance'!CY40:CY40, "A")+COUNTIF('Detailed Attendance'!DC40:DC40, "A")+COUNTIF('Detailed Attendance'!DV40:DV40, "A")+COUNTIF('Detailed Attendance'!DZ40:DZ40, "A")+COUNTIF('Detailed Attendance'!ES40:ES40, "A")+COUNTIF('Detailed Attendance'!GC40:GC40, "A")+COUNTIF('Detailed Attendance'!GG40:GG40, "A")</f>
        <v/>
      </c>
      <c r="O38" s="72">
        <f>IF((M38+N38)=0, "", M38/(M38+N38))</f>
        <v/>
      </c>
      <c r="P38" s="46">
        <f>COUNTIF('Detailed Attendance'!M40:M40, "P")+COUNTIF('Detailed Attendance'!U40:U40, "P")+COUNTIF('Detailed Attendance'!AG40:AG40, "P")+COUNTIF('Detailed Attendance'!AO40:AO40, "P")+COUNTIF('Detailed Attendance'!BA40:BA40, "P")+COUNTIF('Detailed Attendance'!BI40:BI40, "P")+COUNTIF('Detailed Attendance'!BU40:BU40, "P")+COUNTIF('Detailed Attendance'!CC40:CC40, "P")+COUNTIF('Detailed Attendance'!CR40:CR40, "P")+COUNTIF('Detailed Attendance'!CZ40:CZ40, "P")+COUNTIF('Detailed Attendance'!DO40:DO40, "P")+COUNTIF('Detailed Attendance'!DW40:DW40, "P")+COUNTIF('Detailed Attendance'!EL40:EL40, "P")+COUNTIF('Detailed Attendance'!ET40:ET40, "P")+COUNTIF('Detailed Attendance'!FF40:FF40, "P")+COUNTIF('Detailed Attendance'!FV40:FV40, "P")+COUNTIF('Detailed Attendance'!GD40:GD40, "P")</f>
        <v/>
      </c>
      <c r="Q38" s="46">
        <f>COUNTIF('Detailed Attendance'!M40:M40, "A")+COUNTIF('Detailed Attendance'!U40:U40, "A")+COUNTIF('Detailed Attendance'!AG40:AG40, "A")+COUNTIF('Detailed Attendance'!AO40:AO40, "A")+COUNTIF('Detailed Attendance'!BA40:BA40, "A")+COUNTIF('Detailed Attendance'!BI40:BI40, "A")+COUNTIF('Detailed Attendance'!BU40:BU40, "A")+COUNTIF('Detailed Attendance'!CC40:CC40, "A")+COUNTIF('Detailed Attendance'!CR40:CR40, "A")+COUNTIF('Detailed Attendance'!CZ40:CZ40, "A")+COUNTIF('Detailed Attendance'!DO40:DO40, "A")+COUNTIF('Detailed Attendance'!DW40:DW40, "A")+COUNTIF('Detailed Attendance'!EL40:EL40, "A")+COUNTIF('Detailed Attendance'!ET40:ET40, "A")+COUNTIF('Detailed Attendance'!FF40:FF40, "A")+COUNTIF('Detailed Attendance'!FV40:FV40, "A")+COUNTIF('Detailed Attendance'!GD40:GD40, "A")</f>
        <v/>
      </c>
      <c r="R38" s="72">
        <f>IF((P38+Q38)=0, "", P38/(P38+Q38))</f>
        <v/>
      </c>
      <c r="S38" s="46">
        <f>COUNTIF('Detailed Attendance'!CH40:CH40, "P")+COUNTIF('Detailed Attendance'!DE40:DE40, "P")+COUNTIF('Detailed Attendance'!EB40:EB40, "P")+COUNTIF('Detailed Attendance'!GI40:GI40, "P")</f>
        <v/>
      </c>
      <c r="T38" s="46">
        <f>COUNTIF('Detailed Attendance'!CH40:CH40, "A")+COUNTIF('Detailed Attendance'!DE40:DE40, "A")+COUNTIF('Detailed Attendance'!EB40:EB40, "A")+COUNTIF('Detailed Attendance'!GI40:GI40, "A")</f>
        <v/>
      </c>
      <c r="U38" s="73">
        <f>IF((S38+T38)=0, "", S38/(S38+T38))</f>
        <v/>
      </c>
      <c r="V38" s="46">
        <f>COUNTIF('Detailed Attendance'!V40:V40, "P")+COUNTIF('Detailed Attendance'!AP40:AP40, "P")+COUNTIF('Detailed Attendance'!BJ40:BJ40, "P")+COUNTIF('Detailed Attendance'!CD40:CD40, "P")+COUNTIF('Detailed Attendance'!DA40:DA40, "P")+COUNTIF('Detailed Attendance'!DX40:DX40, "P")+COUNTIF('Detailed Attendance'!EU40:EU40, "P")+COUNTIF('Detailed Attendance'!GE40:GE40, "P")</f>
        <v/>
      </c>
      <c r="W38" s="46">
        <f>COUNTIF('Detailed Attendance'!V40:V40, "A")+COUNTIF('Detailed Attendance'!AP40:AP40, "A")+COUNTIF('Detailed Attendance'!BJ40:BJ40, "A")+COUNTIF('Detailed Attendance'!CD40:CD40, "A")+COUNTIF('Detailed Attendance'!DA40:DA40, "A")+COUNTIF('Detailed Attendance'!DX40:DX40, "A")+COUNTIF('Detailed Attendance'!EU40:EU40, "A")+COUNTIF('Detailed Attendance'!GE40:GE40, "A")</f>
        <v/>
      </c>
      <c r="X38" s="73">
        <f>IF((V38+W38)=0, "", V38/(V38+W38))</f>
        <v/>
      </c>
      <c r="Y38" s="46">
        <f>COUNTIF('Detailed Attendance'!E40:E40, "P")+COUNTIF('Detailed Attendance'!Y40:Y40, "P")+COUNTIF('Detailed Attendance'!AS40:AS40, "P")+COUNTIF('Detailed Attendance'!BM40:BM40, "P")+COUNTIF('Detailed Attendance'!CJ40:CJ40, "P")+COUNTIF('Detailed Attendance'!DG40:DG40, "P")+COUNTIF('Detailed Attendance'!ED40:ED40, "P")+COUNTIF('Detailed Attendance'!EX40:EX40, "P")+COUNTIF('Detailed Attendance'!FN40:FN40, "P")</f>
        <v/>
      </c>
      <c r="Z38" s="46">
        <f>COUNTIF('Detailed Attendance'!E40:E40, "A")+COUNTIF('Detailed Attendance'!Y40:Y40, "A")+COUNTIF('Detailed Attendance'!AS40:AS40, "A")+COUNTIF('Detailed Attendance'!BM40:BM40, "A")+COUNTIF('Detailed Attendance'!CJ40:CJ40, "A")+COUNTIF('Detailed Attendance'!DG40:DG40, "A")+COUNTIF('Detailed Attendance'!ED40:ED40, "A")+COUNTIF('Detailed Attendance'!EX40:EX40, "A")+COUNTIF('Detailed Attendance'!FN40:FN40, "A")</f>
        <v/>
      </c>
      <c r="AA38" s="73">
        <f>IF((Y38+Z38)=0, "", Y38/(Y38+Z38))</f>
        <v/>
      </c>
      <c r="AB38" s="46">
        <f>S38+V38+Y38</f>
        <v/>
      </c>
      <c r="AC38" s="46">
        <f>T38+W38+Z38</f>
        <v/>
      </c>
      <c r="AD38" s="73">
        <f>IF((AB38+AC38)=0, "", AB38/(AB38+AC38))</f>
        <v/>
      </c>
      <c r="AE38" s="46" t="inlineStr">
        <is>
          <t>Batch 1</t>
        </is>
      </c>
    </row>
    <row r="39" ht="14.25" customHeight="1" s="34">
      <c r="A39" s="46" t="n">
        <v>38</v>
      </c>
      <c r="B39" s="46" t="inlineStr">
        <is>
          <t>325106410038</t>
        </is>
      </c>
      <c r="C39" s="46" t="inlineStr">
        <is>
          <t>KARTIKA HEMANTH REDDY POTAMSETTY</t>
        </is>
      </c>
      <c r="D39" s="46">
        <f>COUNTIF('Detailed Attendance'!R41:R41, "P")+COUNTIF('Detailed Attendance'!X41:X41, "P")+COUNTIF('Detailed Attendance'!AL41:AL41, "P")+COUNTIF('Detailed Attendance'!BF41:BF41, "P")+COUNTIF('Detailed Attendance'!BL41:BL41, "P")+COUNTIF('Detailed Attendance'!BZ41:BZ41, "P")+COUNTIF('Detailed Attendance'!CI41:CI41, "P")+COUNTIF('Detailed Attendance'!CW41:CW41, "P")+COUNTIF('Detailed Attendance'!DF41:DF41, "P")+COUNTIF('Detailed Attendance'!DT41:DT41, "P")+COUNTIF('Detailed Attendance'!EC41:EC41, "P")+COUNTIF('Detailed Attendance'!EQ41:EQ41, "P")+COUNTIF('Detailed Attendance'!EW41:EW41, "P")+COUNTIF('Detailed Attendance'!FK41:FK41, "P")+COUNTIF('Detailed Attendance'!FM41:FM41, "P")+COUNTIF('Detailed Attendance'!GA41:GA41, "P")</f>
        <v/>
      </c>
      <c r="E39" s="46">
        <f>COUNTIF('Detailed Attendance'!R41:R41, "A")+COUNTIF('Detailed Attendance'!X41:X41, "A")+COUNTIF('Detailed Attendance'!AL41:AL41, "A")+COUNTIF('Detailed Attendance'!BF41:BF41, "A")+COUNTIF('Detailed Attendance'!BL41:BL41, "A")+COUNTIF('Detailed Attendance'!BZ41:BZ41, "A")+COUNTIF('Detailed Attendance'!CI41:CI41, "A")+COUNTIF('Detailed Attendance'!CW41:CW41, "A")+COUNTIF('Detailed Attendance'!DF41:DF41, "A")+COUNTIF('Detailed Attendance'!DT41:DT41, "A")+COUNTIF('Detailed Attendance'!EC41:EC41, "A")+COUNTIF('Detailed Attendance'!EQ41:EQ41, "A")+COUNTIF('Detailed Attendance'!EW41:EW41, "A")+COUNTIF('Detailed Attendance'!FK41:FK41, "A")+COUNTIF('Detailed Attendance'!FM41:FM41, "A")+COUNTIF('Detailed Attendance'!GA41:GA41, "A")</f>
        <v/>
      </c>
      <c r="F39" s="72">
        <f>IF((D39+E39)=0, "", D39/(D39+E39))</f>
        <v/>
      </c>
      <c r="G39" s="46">
        <f>COUNTIF('Detailed Attendance'!I41:I41, "P")+COUNTIF('Detailed Attendance'!Q41:Q41, "P")+COUNTIF('Detailed Attendance'!AC41:AC41, "P")+COUNTIF('Detailed Attendance'!AK41:AK41, "P")+COUNTIF('Detailed Attendance'!AW41:AW41, "P")+COUNTIF('Detailed Attendance'!BE41:BE41, "P")+COUNTIF('Detailed Attendance'!BQ41:BQ41, "P")+COUNTIF('Detailed Attendance'!BY41:BY41, "P")+COUNTIF('Detailed Attendance'!CN41:CN41, "P")+COUNTIF('Detailed Attendance'!CV41:CV41, "P")+COUNTIF('Detailed Attendance'!DK41:DK41, "P")+COUNTIF('Detailed Attendance'!DS41:DS41, "P")+COUNTIF('Detailed Attendance'!EH41:EH41, "P")+COUNTIF('Detailed Attendance'!EP41:EP41, "P")+COUNTIF('Detailed Attendance'!FB41:FB41, "P")+COUNTIF('Detailed Attendance'!FJ41:FJ41, "P")+COUNTIF('Detailed Attendance'!FR41:FR41, "P")+COUNTIF('Detailed Attendance'!FZ41:FZ41, "P")</f>
        <v/>
      </c>
      <c r="H39" s="46">
        <f>COUNTIF('Detailed Attendance'!I41:I41, "A")+COUNTIF('Detailed Attendance'!Q41:Q41, "A")+COUNTIF('Detailed Attendance'!AC41:AC41, "A")+COUNTIF('Detailed Attendance'!AK41:AK41, "A")+COUNTIF('Detailed Attendance'!AW41:AW41, "A")+COUNTIF('Detailed Attendance'!BE41:BE41, "A")+COUNTIF('Detailed Attendance'!BQ41:BQ41, "A")+COUNTIF('Detailed Attendance'!BY41:BY41, "A")+COUNTIF('Detailed Attendance'!CN41:CN41, "A")+COUNTIF('Detailed Attendance'!CV41:CV41, "A")+COUNTIF('Detailed Attendance'!DK41:DK41, "A")+COUNTIF('Detailed Attendance'!DS41:DS41, "A")+COUNTIF('Detailed Attendance'!EH41:EH41, "A")+COUNTIF('Detailed Attendance'!EP41:EP41, "A")+COUNTIF('Detailed Attendance'!FB41:FB41, "A")+COUNTIF('Detailed Attendance'!FJ41:FJ41, "A")+COUNTIF('Detailed Attendance'!FR41:FR41, "A")+COUNTIF('Detailed Attendance'!FZ41:FZ41, "A")</f>
        <v/>
      </c>
      <c r="I39" s="72">
        <f>IF((G39+H39)=0, "", G39/(G39+H39))</f>
        <v/>
      </c>
      <c r="J39" s="46">
        <f>COUNTIF('Detailed Attendance'!L41:L41, "P")+COUNTIF('Detailed Attendance'!P41:P41, "P")+COUNTIF('Detailed Attendance'!AF41:AF41, "P")+COUNTIF('Detailed Attendance'!AJ41:AJ41, "P")+COUNTIF('Detailed Attendance'!AZ41:AZ41, "P")+COUNTIF('Detailed Attendance'!BD41:BD41, "P")+COUNTIF('Detailed Attendance'!BT41:BT41, "P")+COUNTIF('Detailed Attendance'!BX41:BX41, "P")+COUNTIF('Detailed Attendance'!CQ41:CQ41, "P")+COUNTIF('Detailed Attendance'!CU41:CU41, "P")+COUNTIF('Detailed Attendance'!DN41:DN41, "P")+COUNTIF('Detailed Attendance'!DR41:DR41, "P")+COUNTIF('Detailed Attendance'!EK41:EK41, "P")+COUNTIF('Detailed Attendance'!EO41:EO41, "P")+COUNTIF('Detailed Attendance'!FE41:FE41, "P")+COUNTIF('Detailed Attendance'!FI41:FI41, "P")+COUNTIF('Detailed Attendance'!FU41:FU41, "P")+COUNTIF('Detailed Attendance'!FY41:FY41, "P")</f>
        <v/>
      </c>
      <c r="K39" s="46">
        <f>COUNTIF('Detailed Attendance'!L41:L41, "A")+COUNTIF('Detailed Attendance'!P41:P41, "A")+COUNTIF('Detailed Attendance'!AF41:AF41, "A")+COUNTIF('Detailed Attendance'!AJ41:AJ41, "A")+COUNTIF('Detailed Attendance'!AZ41:AZ41, "A")+COUNTIF('Detailed Attendance'!BD41:BD41, "A")+COUNTIF('Detailed Attendance'!BT41:BT41, "A")+COUNTIF('Detailed Attendance'!BX41:BX41, "A")+COUNTIF('Detailed Attendance'!CQ41:CQ41, "A")+COUNTIF('Detailed Attendance'!CU41:CU41, "A")+COUNTIF('Detailed Attendance'!DN41:DN41, "A")+COUNTIF('Detailed Attendance'!DR41:DR41, "A")+COUNTIF('Detailed Attendance'!EK41:EK41, "A")+COUNTIF('Detailed Attendance'!EO41:EO41, "A")+COUNTIF('Detailed Attendance'!FE41:FE41, "A")+COUNTIF('Detailed Attendance'!FI41:FI41, "A")+COUNTIF('Detailed Attendance'!FU41:FU41, "A")+COUNTIF('Detailed Attendance'!FY41:FY41, "A")</f>
        <v/>
      </c>
      <c r="L39" s="72">
        <f>IF((J39+K39)=0, "", J39/(J39+K39))</f>
        <v/>
      </c>
      <c r="M39" s="46">
        <f>COUNTIF('Detailed Attendance'!D41:D41, "P")+COUNTIF('Detailed Attendance'!T41:T41, "P")+COUNTIF('Detailed Attendance'!AN41:AN41, "P")+COUNTIF('Detailed Attendance'!AR41:AR41, "P")+COUNTIF('Detailed Attendance'!BH41:BH41, "P")+COUNTIF('Detailed Attendance'!CB41:CB41, "P")+COUNTIF('Detailed Attendance'!CF41:CF41, "P")+COUNTIF('Detailed Attendance'!CY41:CY41, "P")+COUNTIF('Detailed Attendance'!DC41:DC41, "P")+COUNTIF('Detailed Attendance'!DV41:DV41, "P")+COUNTIF('Detailed Attendance'!DZ41:DZ41, "P")+COUNTIF('Detailed Attendance'!ES41:ES41, "P")+COUNTIF('Detailed Attendance'!GC41:GC41, "P")+COUNTIF('Detailed Attendance'!GG41:GG41, "P")</f>
        <v/>
      </c>
      <c r="N39" s="46">
        <f>COUNTIF('Detailed Attendance'!D41:D41, "A")+COUNTIF('Detailed Attendance'!T41:T41, "A")+COUNTIF('Detailed Attendance'!AN41:AN41, "A")+COUNTIF('Detailed Attendance'!AR41:AR41, "A")+COUNTIF('Detailed Attendance'!BH41:BH41, "A")+COUNTIF('Detailed Attendance'!CB41:CB41, "A")+COUNTIF('Detailed Attendance'!CF41:CF41, "A")+COUNTIF('Detailed Attendance'!CY41:CY41, "A")+COUNTIF('Detailed Attendance'!DC41:DC41, "A")+COUNTIF('Detailed Attendance'!DV41:DV41, "A")+COUNTIF('Detailed Attendance'!DZ41:DZ41, "A")+COUNTIF('Detailed Attendance'!ES41:ES41, "A")+COUNTIF('Detailed Attendance'!GC41:GC41, "A")+COUNTIF('Detailed Attendance'!GG41:GG41, "A")</f>
        <v/>
      </c>
      <c r="O39" s="72">
        <f>IF((M39+N39)=0, "", M39/(M39+N39))</f>
        <v/>
      </c>
      <c r="P39" s="46">
        <f>COUNTIF('Detailed Attendance'!M41:M41, "P")+COUNTIF('Detailed Attendance'!U41:U41, "P")+COUNTIF('Detailed Attendance'!AG41:AG41, "P")+COUNTIF('Detailed Attendance'!AO41:AO41, "P")+COUNTIF('Detailed Attendance'!BA41:BA41, "P")+COUNTIF('Detailed Attendance'!BI41:BI41, "P")+COUNTIF('Detailed Attendance'!BU41:BU41, "P")+COUNTIF('Detailed Attendance'!CC41:CC41, "P")+COUNTIF('Detailed Attendance'!CR41:CR41, "P")+COUNTIF('Detailed Attendance'!CZ41:CZ41, "P")+COUNTIF('Detailed Attendance'!DO41:DO41, "P")+COUNTIF('Detailed Attendance'!DW41:DW41, "P")+COUNTIF('Detailed Attendance'!EL41:EL41, "P")+COUNTIF('Detailed Attendance'!ET41:ET41, "P")+COUNTIF('Detailed Attendance'!FF41:FF41, "P")+COUNTIF('Detailed Attendance'!FV41:FV41, "P")+COUNTIF('Detailed Attendance'!GD41:GD41, "P")</f>
        <v/>
      </c>
      <c r="Q39" s="46">
        <f>COUNTIF('Detailed Attendance'!M41:M41, "A")+COUNTIF('Detailed Attendance'!U41:U41, "A")+COUNTIF('Detailed Attendance'!AG41:AG41, "A")+COUNTIF('Detailed Attendance'!AO41:AO41, "A")+COUNTIF('Detailed Attendance'!BA41:BA41, "A")+COUNTIF('Detailed Attendance'!BI41:BI41, "A")+COUNTIF('Detailed Attendance'!BU41:BU41, "A")+COUNTIF('Detailed Attendance'!CC41:CC41, "A")+COUNTIF('Detailed Attendance'!CR41:CR41, "A")+COUNTIF('Detailed Attendance'!CZ41:CZ41, "A")+COUNTIF('Detailed Attendance'!DO41:DO41, "A")+COUNTIF('Detailed Attendance'!DW41:DW41, "A")+COUNTIF('Detailed Attendance'!EL41:EL41, "A")+COUNTIF('Detailed Attendance'!ET41:ET41, "A")+COUNTIF('Detailed Attendance'!FF41:FF41, "A")+COUNTIF('Detailed Attendance'!FV41:FV41, "A")+COUNTIF('Detailed Attendance'!GD41:GD41, "A")</f>
        <v/>
      </c>
      <c r="R39" s="72">
        <f>IF((P39+Q39)=0, "", P39/(P39+Q39))</f>
        <v/>
      </c>
      <c r="S39" s="46">
        <f>COUNTIF('Detailed Attendance'!CH41:CH41, "P")+COUNTIF('Detailed Attendance'!DE41:DE41, "P")+COUNTIF('Detailed Attendance'!EB41:EB41, "P")+COUNTIF('Detailed Attendance'!GI41:GI41, "P")</f>
        <v/>
      </c>
      <c r="T39" s="46">
        <f>COUNTIF('Detailed Attendance'!CH41:CH41, "A")+COUNTIF('Detailed Attendance'!DE41:DE41, "A")+COUNTIF('Detailed Attendance'!EB41:EB41, "A")+COUNTIF('Detailed Attendance'!GI41:GI41, "A")</f>
        <v/>
      </c>
      <c r="U39" s="73">
        <f>IF((S39+T39)=0, "", S39/(S39+T39))</f>
        <v/>
      </c>
      <c r="V39" s="46">
        <f>COUNTIF('Detailed Attendance'!V41:V41, "P")+COUNTIF('Detailed Attendance'!AP41:AP41, "P")+COUNTIF('Detailed Attendance'!BJ41:BJ41, "P")+COUNTIF('Detailed Attendance'!CD41:CD41, "P")+COUNTIF('Detailed Attendance'!DA41:DA41, "P")+COUNTIF('Detailed Attendance'!DX41:DX41, "P")+COUNTIF('Detailed Attendance'!EU41:EU41, "P")+COUNTIF('Detailed Attendance'!GE41:GE41, "P")</f>
        <v/>
      </c>
      <c r="W39" s="46">
        <f>COUNTIF('Detailed Attendance'!V41:V41, "A")+COUNTIF('Detailed Attendance'!AP41:AP41, "A")+COUNTIF('Detailed Attendance'!BJ41:BJ41, "A")+COUNTIF('Detailed Attendance'!CD41:CD41, "A")+COUNTIF('Detailed Attendance'!DA41:DA41, "A")+COUNTIF('Detailed Attendance'!DX41:DX41, "A")+COUNTIF('Detailed Attendance'!EU41:EU41, "A")+COUNTIF('Detailed Attendance'!GE41:GE41, "A")</f>
        <v/>
      </c>
      <c r="X39" s="73">
        <f>IF((V39+W39)=0, "", V39/(V39+W39))</f>
        <v/>
      </c>
      <c r="Y39" s="46">
        <f>COUNTIF('Detailed Attendance'!E41:E41, "P")+COUNTIF('Detailed Attendance'!Y41:Y41, "P")+COUNTIF('Detailed Attendance'!AS41:AS41, "P")+COUNTIF('Detailed Attendance'!BM41:BM41, "P")+COUNTIF('Detailed Attendance'!CJ41:CJ41, "P")+COUNTIF('Detailed Attendance'!DG41:DG41, "P")+COUNTIF('Detailed Attendance'!ED41:ED41, "P")+COUNTIF('Detailed Attendance'!EX41:EX41, "P")+COUNTIF('Detailed Attendance'!FN41:FN41, "P")</f>
        <v/>
      </c>
      <c r="Z39" s="46">
        <f>COUNTIF('Detailed Attendance'!E41:E41, "A")+COUNTIF('Detailed Attendance'!Y41:Y41, "A")+COUNTIF('Detailed Attendance'!AS41:AS41, "A")+COUNTIF('Detailed Attendance'!BM41:BM41, "A")+COUNTIF('Detailed Attendance'!CJ41:CJ41, "A")+COUNTIF('Detailed Attendance'!DG41:DG41, "A")+COUNTIF('Detailed Attendance'!ED41:ED41, "A")+COUNTIF('Detailed Attendance'!EX41:EX41, "A")+COUNTIF('Detailed Attendance'!FN41:FN41, "A")</f>
        <v/>
      </c>
      <c r="AA39" s="73">
        <f>IF((Y39+Z39)=0, "", Y39/(Y39+Z39))</f>
        <v/>
      </c>
      <c r="AB39" s="46">
        <f>S39+V39+Y39</f>
        <v/>
      </c>
      <c r="AC39" s="46">
        <f>T39+W39+Z39</f>
        <v/>
      </c>
      <c r="AD39" s="73">
        <f>IF((AB39+AC39)=0, "", AB39/(AB39+AC39))</f>
        <v/>
      </c>
      <c r="AE39" s="46" t="inlineStr">
        <is>
          <t>Batch 1</t>
        </is>
      </c>
    </row>
    <row r="40" ht="14.25" customHeight="1" s="34">
      <c r="A40" s="46" t="n">
        <v>39</v>
      </c>
      <c r="B40" s="46" t="inlineStr">
        <is>
          <t>325106410039</t>
        </is>
      </c>
      <c r="C40" s="46" t="inlineStr">
        <is>
          <t>PRUDHVI POTUPUREDDI</t>
        </is>
      </c>
      <c r="D40" s="46">
        <f>COUNTIF('Detailed Attendance'!R42:R42, "P")+COUNTIF('Detailed Attendance'!X42:X42, "P")+COUNTIF('Detailed Attendance'!AL42:AL42, "P")+COUNTIF('Detailed Attendance'!BF42:BF42, "P")+COUNTIF('Detailed Attendance'!BL42:BL42, "P")+COUNTIF('Detailed Attendance'!BZ42:BZ42, "P")+COUNTIF('Detailed Attendance'!CI42:CI42, "P")+COUNTIF('Detailed Attendance'!CW42:CW42, "P")+COUNTIF('Detailed Attendance'!DF42:DF42, "P")+COUNTIF('Detailed Attendance'!DT42:DT42, "P")+COUNTIF('Detailed Attendance'!EC42:EC42, "P")+COUNTIF('Detailed Attendance'!EQ42:EQ42, "P")+COUNTIF('Detailed Attendance'!EW42:EW42, "P")+COUNTIF('Detailed Attendance'!FK42:FK42, "P")+COUNTIF('Detailed Attendance'!FM42:FM42, "P")+COUNTIF('Detailed Attendance'!GA42:GA42, "P")</f>
        <v/>
      </c>
      <c r="E40" s="46">
        <f>COUNTIF('Detailed Attendance'!R42:R42, "A")+COUNTIF('Detailed Attendance'!X42:X42, "A")+COUNTIF('Detailed Attendance'!AL42:AL42, "A")+COUNTIF('Detailed Attendance'!BF42:BF42, "A")+COUNTIF('Detailed Attendance'!BL42:BL42, "A")+COUNTIF('Detailed Attendance'!BZ42:BZ42, "A")+COUNTIF('Detailed Attendance'!CI42:CI42, "A")+COUNTIF('Detailed Attendance'!CW42:CW42, "A")+COUNTIF('Detailed Attendance'!DF42:DF42, "A")+COUNTIF('Detailed Attendance'!DT42:DT42, "A")+COUNTIF('Detailed Attendance'!EC42:EC42, "A")+COUNTIF('Detailed Attendance'!EQ42:EQ42, "A")+COUNTIF('Detailed Attendance'!EW42:EW42, "A")+COUNTIF('Detailed Attendance'!FK42:FK42, "A")+COUNTIF('Detailed Attendance'!FM42:FM42, "A")+COUNTIF('Detailed Attendance'!GA42:GA42, "A")</f>
        <v/>
      </c>
      <c r="F40" s="72">
        <f>IF((D40+E40)=0, "", D40/(D40+E40))</f>
        <v/>
      </c>
      <c r="G40" s="46">
        <f>COUNTIF('Detailed Attendance'!I42:I42, "P")+COUNTIF('Detailed Attendance'!Q42:Q42, "P")+COUNTIF('Detailed Attendance'!AC42:AC42, "P")+COUNTIF('Detailed Attendance'!AK42:AK42, "P")+COUNTIF('Detailed Attendance'!AW42:AW42, "P")+COUNTIF('Detailed Attendance'!BE42:BE42, "P")+COUNTIF('Detailed Attendance'!BQ42:BQ42, "P")+COUNTIF('Detailed Attendance'!BY42:BY42, "P")+COUNTIF('Detailed Attendance'!CN42:CN42, "P")+COUNTIF('Detailed Attendance'!CV42:CV42, "P")+COUNTIF('Detailed Attendance'!DK42:DK42, "P")+COUNTIF('Detailed Attendance'!DS42:DS42, "P")+COUNTIF('Detailed Attendance'!EH42:EH42, "P")+COUNTIF('Detailed Attendance'!EP42:EP42, "P")+COUNTIF('Detailed Attendance'!FB42:FB42, "P")+COUNTIF('Detailed Attendance'!FJ42:FJ42, "P")+COUNTIF('Detailed Attendance'!FR42:FR42, "P")+COUNTIF('Detailed Attendance'!FZ42:FZ42, "P")</f>
        <v/>
      </c>
      <c r="H40" s="46">
        <f>COUNTIF('Detailed Attendance'!I42:I42, "A")+COUNTIF('Detailed Attendance'!Q42:Q42, "A")+COUNTIF('Detailed Attendance'!AC42:AC42, "A")+COUNTIF('Detailed Attendance'!AK42:AK42, "A")+COUNTIF('Detailed Attendance'!AW42:AW42, "A")+COUNTIF('Detailed Attendance'!BE42:BE42, "A")+COUNTIF('Detailed Attendance'!BQ42:BQ42, "A")+COUNTIF('Detailed Attendance'!BY42:BY42, "A")+COUNTIF('Detailed Attendance'!CN42:CN42, "A")+COUNTIF('Detailed Attendance'!CV42:CV42, "A")+COUNTIF('Detailed Attendance'!DK42:DK42, "A")+COUNTIF('Detailed Attendance'!DS42:DS42, "A")+COUNTIF('Detailed Attendance'!EH42:EH42, "A")+COUNTIF('Detailed Attendance'!EP42:EP42, "A")+COUNTIF('Detailed Attendance'!FB42:FB42, "A")+COUNTIF('Detailed Attendance'!FJ42:FJ42, "A")+COUNTIF('Detailed Attendance'!FR42:FR42, "A")+COUNTIF('Detailed Attendance'!FZ42:FZ42, "A")</f>
        <v/>
      </c>
      <c r="I40" s="72">
        <f>IF((G40+H40)=0, "", G40/(G40+H40))</f>
        <v/>
      </c>
      <c r="J40" s="46">
        <f>COUNTIF('Detailed Attendance'!L42:L42, "P")+COUNTIF('Detailed Attendance'!P42:P42, "P")+COUNTIF('Detailed Attendance'!AF42:AF42, "P")+COUNTIF('Detailed Attendance'!AJ42:AJ42, "P")+COUNTIF('Detailed Attendance'!AZ42:AZ42, "P")+COUNTIF('Detailed Attendance'!BD42:BD42, "P")+COUNTIF('Detailed Attendance'!BT42:BT42, "P")+COUNTIF('Detailed Attendance'!BX42:BX42, "P")+COUNTIF('Detailed Attendance'!CQ42:CQ42, "P")+COUNTIF('Detailed Attendance'!CU42:CU42, "P")+COUNTIF('Detailed Attendance'!DN42:DN42, "P")+COUNTIF('Detailed Attendance'!DR42:DR42, "P")+COUNTIF('Detailed Attendance'!EK42:EK42, "P")+COUNTIF('Detailed Attendance'!EO42:EO42, "P")+COUNTIF('Detailed Attendance'!FE42:FE42, "P")+COUNTIF('Detailed Attendance'!FI42:FI42, "P")+COUNTIF('Detailed Attendance'!FU42:FU42, "P")+COUNTIF('Detailed Attendance'!FY42:FY42, "P")</f>
        <v/>
      </c>
      <c r="K40" s="46">
        <f>COUNTIF('Detailed Attendance'!L42:L42, "A")+COUNTIF('Detailed Attendance'!P42:P42, "A")+COUNTIF('Detailed Attendance'!AF42:AF42, "A")+COUNTIF('Detailed Attendance'!AJ42:AJ42, "A")+COUNTIF('Detailed Attendance'!AZ42:AZ42, "A")+COUNTIF('Detailed Attendance'!BD42:BD42, "A")+COUNTIF('Detailed Attendance'!BT42:BT42, "A")+COUNTIF('Detailed Attendance'!BX42:BX42, "A")+COUNTIF('Detailed Attendance'!CQ42:CQ42, "A")+COUNTIF('Detailed Attendance'!CU42:CU42, "A")+COUNTIF('Detailed Attendance'!DN42:DN42, "A")+COUNTIF('Detailed Attendance'!DR42:DR42, "A")+COUNTIF('Detailed Attendance'!EK42:EK42, "A")+COUNTIF('Detailed Attendance'!EO42:EO42, "A")+COUNTIF('Detailed Attendance'!FE42:FE42, "A")+COUNTIF('Detailed Attendance'!FI42:FI42, "A")+COUNTIF('Detailed Attendance'!FU42:FU42, "A")+COUNTIF('Detailed Attendance'!FY42:FY42, "A")</f>
        <v/>
      </c>
      <c r="L40" s="72">
        <f>IF((J40+K40)=0, "", J40/(J40+K40))</f>
        <v/>
      </c>
      <c r="M40" s="46">
        <f>COUNTIF('Detailed Attendance'!D42:D42, "P")+COUNTIF('Detailed Attendance'!T42:T42, "P")+COUNTIF('Detailed Attendance'!AN42:AN42, "P")+COUNTIF('Detailed Attendance'!AR42:AR42, "P")+COUNTIF('Detailed Attendance'!BH42:BH42, "P")+COUNTIF('Detailed Attendance'!CB42:CB42, "P")+COUNTIF('Detailed Attendance'!CF42:CF42, "P")+COUNTIF('Detailed Attendance'!CY42:CY42, "P")+COUNTIF('Detailed Attendance'!DC42:DC42, "P")+COUNTIF('Detailed Attendance'!DV42:DV42, "P")+COUNTIF('Detailed Attendance'!DZ42:DZ42, "P")+COUNTIF('Detailed Attendance'!ES42:ES42, "P")+COUNTIF('Detailed Attendance'!GC42:GC42, "P")+COUNTIF('Detailed Attendance'!GG42:GG42, "P")</f>
        <v/>
      </c>
      <c r="N40" s="46">
        <f>COUNTIF('Detailed Attendance'!D42:D42, "A")+COUNTIF('Detailed Attendance'!T42:T42, "A")+COUNTIF('Detailed Attendance'!AN42:AN42, "A")+COUNTIF('Detailed Attendance'!AR42:AR42, "A")+COUNTIF('Detailed Attendance'!BH42:BH42, "A")+COUNTIF('Detailed Attendance'!CB42:CB42, "A")+COUNTIF('Detailed Attendance'!CF42:CF42, "A")+COUNTIF('Detailed Attendance'!CY42:CY42, "A")+COUNTIF('Detailed Attendance'!DC42:DC42, "A")+COUNTIF('Detailed Attendance'!DV42:DV42, "A")+COUNTIF('Detailed Attendance'!DZ42:DZ42, "A")+COUNTIF('Detailed Attendance'!ES42:ES42, "A")+COUNTIF('Detailed Attendance'!GC42:GC42, "A")+COUNTIF('Detailed Attendance'!GG42:GG42, "A")</f>
        <v/>
      </c>
      <c r="O40" s="72">
        <f>IF((M40+N40)=0, "", M40/(M40+N40))</f>
        <v/>
      </c>
      <c r="P40" s="46">
        <f>COUNTIF('Detailed Attendance'!M42:M42, "P")+COUNTIF('Detailed Attendance'!U42:U42, "P")+COUNTIF('Detailed Attendance'!AG42:AG42, "P")+COUNTIF('Detailed Attendance'!AO42:AO42, "P")+COUNTIF('Detailed Attendance'!BA42:BA42, "P")+COUNTIF('Detailed Attendance'!BI42:BI42, "P")+COUNTIF('Detailed Attendance'!BU42:BU42, "P")+COUNTIF('Detailed Attendance'!CC42:CC42, "P")+COUNTIF('Detailed Attendance'!CR42:CR42, "P")+COUNTIF('Detailed Attendance'!CZ42:CZ42, "P")+COUNTIF('Detailed Attendance'!DO42:DO42, "P")+COUNTIF('Detailed Attendance'!DW42:DW42, "P")+COUNTIF('Detailed Attendance'!EL42:EL42, "P")+COUNTIF('Detailed Attendance'!ET42:ET42, "P")+COUNTIF('Detailed Attendance'!FF42:FF42, "P")+COUNTIF('Detailed Attendance'!FV42:FV42, "P")+COUNTIF('Detailed Attendance'!GD42:GD42, "P")</f>
        <v/>
      </c>
      <c r="Q40" s="46">
        <f>COUNTIF('Detailed Attendance'!M42:M42, "A")+COUNTIF('Detailed Attendance'!U42:U42, "A")+COUNTIF('Detailed Attendance'!AG42:AG42, "A")+COUNTIF('Detailed Attendance'!AO42:AO42, "A")+COUNTIF('Detailed Attendance'!BA42:BA42, "A")+COUNTIF('Detailed Attendance'!BI42:BI42, "A")+COUNTIF('Detailed Attendance'!BU42:BU42, "A")+COUNTIF('Detailed Attendance'!CC42:CC42, "A")+COUNTIF('Detailed Attendance'!CR42:CR42, "A")+COUNTIF('Detailed Attendance'!CZ42:CZ42, "A")+COUNTIF('Detailed Attendance'!DO42:DO42, "A")+COUNTIF('Detailed Attendance'!DW42:DW42, "A")+COUNTIF('Detailed Attendance'!EL42:EL42, "A")+COUNTIF('Detailed Attendance'!ET42:ET42, "A")+COUNTIF('Detailed Attendance'!FF42:FF42, "A")+COUNTIF('Detailed Attendance'!FV42:FV42, "A")+COUNTIF('Detailed Attendance'!GD42:GD42, "A")</f>
        <v/>
      </c>
      <c r="R40" s="72">
        <f>IF((P40+Q40)=0, "", P40/(P40+Q40))</f>
        <v/>
      </c>
      <c r="S40" s="46">
        <f>COUNTIF('Detailed Attendance'!CH42:CH42, "P")+COUNTIF('Detailed Attendance'!DE42:DE42, "P")+COUNTIF('Detailed Attendance'!EB42:EB42, "P")+COUNTIF('Detailed Attendance'!GI42:GI42, "P")</f>
        <v/>
      </c>
      <c r="T40" s="46">
        <f>COUNTIF('Detailed Attendance'!CH42:CH42, "A")+COUNTIF('Detailed Attendance'!DE42:DE42, "A")+COUNTIF('Detailed Attendance'!EB42:EB42, "A")+COUNTIF('Detailed Attendance'!GI42:GI42, "A")</f>
        <v/>
      </c>
      <c r="U40" s="73">
        <f>IF((S40+T40)=0, "", S40/(S40+T40))</f>
        <v/>
      </c>
      <c r="V40" s="46">
        <f>COUNTIF('Detailed Attendance'!V42:V42, "P")+COUNTIF('Detailed Attendance'!AP42:AP42, "P")+COUNTIF('Detailed Attendance'!BJ42:BJ42, "P")+COUNTIF('Detailed Attendance'!CD42:CD42, "P")+COUNTIF('Detailed Attendance'!DA42:DA42, "P")+COUNTIF('Detailed Attendance'!DX42:DX42, "P")+COUNTIF('Detailed Attendance'!EU42:EU42, "P")+COUNTIF('Detailed Attendance'!GE42:GE42, "P")</f>
        <v/>
      </c>
      <c r="W40" s="46">
        <f>COUNTIF('Detailed Attendance'!V42:V42, "A")+COUNTIF('Detailed Attendance'!AP42:AP42, "A")+COUNTIF('Detailed Attendance'!BJ42:BJ42, "A")+COUNTIF('Detailed Attendance'!CD42:CD42, "A")+COUNTIF('Detailed Attendance'!DA42:DA42, "A")+COUNTIF('Detailed Attendance'!DX42:DX42, "A")+COUNTIF('Detailed Attendance'!EU42:EU42, "A")+COUNTIF('Detailed Attendance'!GE42:GE42, "A")</f>
        <v/>
      </c>
      <c r="X40" s="73">
        <f>IF((V40+W40)=0, "", V40/(V40+W40))</f>
        <v/>
      </c>
      <c r="Y40" s="46">
        <f>COUNTIF('Detailed Attendance'!E42:E42, "P")+COUNTIF('Detailed Attendance'!Y42:Y42, "P")+COUNTIF('Detailed Attendance'!AS42:AS42, "P")+COUNTIF('Detailed Attendance'!BM42:BM42, "P")+COUNTIF('Detailed Attendance'!CJ42:CJ42, "P")+COUNTIF('Detailed Attendance'!DG42:DG42, "P")+COUNTIF('Detailed Attendance'!ED42:ED42, "P")+COUNTIF('Detailed Attendance'!EX42:EX42, "P")+COUNTIF('Detailed Attendance'!FN42:FN42, "P")</f>
        <v/>
      </c>
      <c r="Z40" s="46">
        <f>COUNTIF('Detailed Attendance'!E42:E42, "A")+COUNTIF('Detailed Attendance'!Y42:Y42, "A")+COUNTIF('Detailed Attendance'!AS42:AS42, "A")+COUNTIF('Detailed Attendance'!BM42:BM42, "A")+COUNTIF('Detailed Attendance'!CJ42:CJ42, "A")+COUNTIF('Detailed Attendance'!DG42:DG42, "A")+COUNTIF('Detailed Attendance'!ED42:ED42, "A")+COUNTIF('Detailed Attendance'!EX42:EX42, "A")+COUNTIF('Detailed Attendance'!FN42:FN42, "A")</f>
        <v/>
      </c>
      <c r="AA40" s="73">
        <f>IF((Y40+Z40)=0, "", Y40/(Y40+Z40))</f>
        <v/>
      </c>
      <c r="AB40" s="46">
        <f>S40+V40+Y40</f>
        <v/>
      </c>
      <c r="AC40" s="46">
        <f>T40+W40+Z40</f>
        <v/>
      </c>
      <c r="AD40" s="73">
        <f>IF((AB40+AC40)=0, "", AB40/(AB40+AC40))</f>
        <v/>
      </c>
      <c r="AE40" s="46" t="inlineStr">
        <is>
          <t>Batch 1</t>
        </is>
      </c>
    </row>
    <row r="41" ht="14.25" customHeight="1" s="34">
      <c r="A41" s="46" t="n">
        <v>40</v>
      </c>
      <c r="B41" s="46" t="inlineStr">
        <is>
          <t>325106410040</t>
        </is>
      </c>
      <c r="C41" s="46" t="inlineStr">
        <is>
          <t>JAYANTH PRATTIPATI</t>
        </is>
      </c>
      <c r="D41" s="46">
        <f>COUNTIF('Detailed Attendance'!R43:R43, "P")+COUNTIF('Detailed Attendance'!X43:X43, "P")+COUNTIF('Detailed Attendance'!AL43:AL43, "P")+COUNTIF('Detailed Attendance'!BF43:BF43, "P")+COUNTIF('Detailed Attendance'!BL43:BL43, "P")+COUNTIF('Detailed Attendance'!BZ43:BZ43, "P")+COUNTIF('Detailed Attendance'!CI43:CI43, "P")+COUNTIF('Detailed Attendance'!CW43:CW43, "P")+COUNTIF('Detailed Attendance'!DF43:DF43, "P")+COUNTIF('Detailed Attendance'!DT43:DT43, "P")+COUNTIF('Detailed Attendance'!EC43:EC43, "P")+COUNTIF('Detailed Attendance'!EQ43:EQ43, "P")+COUNTIF('Detailed Attendance'!EW43:EW43, "P")+COUNTIF('Detailed Attendance'!FK43:FK43, "P")+COUNTIF('Detailed Attendance'!FM43:FM43, "P")+COUNTIF('Detailed Attendance'!GA43:GA43, "P")</f>
        <v/>
      </c>
      <c r="E41" s="46">
        <f>COUNTIF('Detailed Attendance'!R43:R43, "A")+COUNTIF('Detailed Attendance'!X43:X43, "A")+COUNTIF('Detailed Attendance'!AL43:AL43, "A")+COUNTIF('Detailed Attendance'!BF43:BF43, "A")+COUNTIF('Detailed Attendance'!BL43:BL43, "A")+COUNTIF('Detailed Attendance'!BZ43:BZ43, "A")+COUNTIF('Detailed Attendance'!CI43:CI43, "A")+COUNTIF('Detailed Attendance'!CW43:CW43, "A")+COUNTIF('Detailed Attendance'!DF43:DF43, "A")+COUNTIF('Detailed Attendance'!DT43:DT43, "A")+COUNTIF('Detailed Attendance'!EC43:EC43, "A")+COUNTIF('Detailed Attendance'!EQ43:EQ43, "A")+COUNTIF('Detailed Attendance'!EW43:EW43, "A")+COUNTIF('Detailed Attendance'!FK43:FK43, "A")+COUNTIF('Detailed Attendance'!FM43:FM43, "A")+COUNTIF('Detailed Attendance'!GA43:GA43, "A")</f>
        <v/>
      </c>
      <c r="F41" s="72">
        <f>IF((D41+E41)=0, "", D41/(D41+E41))</f>
        <v/>
      </c>
      <c r="G41" s="46">
        <f>COUNTIF('Detailed Attendance'!I43:I43, "P")+COUNTIF('Detailed Attendance'!Q43:Q43, "P")+COUNTIF('Detailed Attendance'!AC43:AC43, "P")+COUNTIF('Detailed Attendance'!AK43:AK43, "P")+COUNTIF('Detailed Attendance'!AW43:AW43, "P")+COUNTIF('Detailed Attendance'!BE43:BE43, "P")+COUNTIF('Detailed Attendance'!BQ43:BQ43, "P")+COUNTIF('Detailed Attendance'!BY43:BY43, "P")+COUNTIF('Detailed Attendance'!CN43:CN43, "P")+COUNTIF('Detailed Attendance'!CV43:CV43, "P")+COUNTIF('Detailed Attendance'!DK43:DK43, "P")+COUNTIF('Detailed Attendance'!DS43:DS43, "P")+COUNTIF('Detailed Attendance'!EH43:EH43, "P")+COUNTIF('Detailed Attendance'!EP43:EP43, "P")+COUNTIF('Detailed Attendance'!FB43:FB43, "P")+COUNTIF('Detailed Attendance'!FJ43:FJ43, "P")+COUNTIF('Detailed Attendance'!FR43:FR43, "P")+COUNTIF('Detailed Attendance'!FZ43:FZ43, "P")</f>
        <v/>
      </c>
      <c r="H41" s="46">
        <f>COUNTIF('Detailed Attendance'!I43:I43, "A")+COUNTIF('Detailed Attendance'!Q43:Q43, "A")+COUNTIF('Detailed Attendance'!AC43:AC43, "A")+COUNTIF('Detailed Attendance'!AK43:AK43, "A")+COUNTIF('Detailed Attendance'!AW43:AW43, "A")+COUNTIF('Detailed Attendance'!BE43:BE43, "A")+COUNTIF('Detailed Attendance'!BQ43:BQ43, "A")+COUNTIF('Detailed Attendance'!BY43:BY43, "A")+COUNTIF('Detailed Attendance'!CN43:CN43, "A")+COUNTIF('Detailed Attendance'!CV43:CV43, "A")+COUNTIF('Detailed Attendance'!DK43:DK43, "A")+COUNTIF('Detailed Attendance'!DS43:DS43, "A")+COUNTIF('Detailed Attendance'!EH43:EH43, "A")+COUNTIF('Detailed Attendance'!EP43:EP43, "A")+COUNTIF('Detailed Attendance'!FB43:FB43, "A")+COUNTIF('Detailed Attendance'!FJ43:FJ43, "A")+COUNTIF('Detailed Attendance'!FR43:FR43, "A")+COUNTIF('Detailed Attendance'!FZ43:FZ43, "A")</f>
        <v/>
      </c>
      <c r="I41" s="72">
        <f>IF((G41+H41)=0, "", G41/(G41+H41))</f>
        <v/>
      </c>
      <c r="J41" s="46">
        <f>COUNTIF('Detailed Attendance'!L43:L43, "P")+COUNTIF('Detailed Attendance'!P43:P43, "P")+COUNTIF('Detailed Attendance'!AF43:AF43, "P")+COUNTIF('Detailed Attendance'!AJ43:AJ43, "P")+COUNTIF('Detailed Attendance'!AZ43:AZ43, "P")+COUNTIF('Detailed Attendance'!BD43:BD43, "P")+COUNTIF('Detailed Attendance'!BT43:BT43, "P")+COUNTIF('Detailed Attendance'!BX43:BX43, "P")+COUNTIF('Detailed Attendance'!CQ43:CQ43, "P")+COUNTIF('Detailed Attendance'!CU43:CU43, "P")+COUNTIF('Detailed Attendance'!DN43:DN43, "P")+COUNTIF('Detailed Attendance'!DR43:DR43, "P")+COUNTIF('Detailed Attendance'!EK43:EK43, "P")+COUNTIF('Detailed Attendance'!EO43:EO43, "P")+COUNTIF('Detailed Attendance'!FE43:FE43, "P")+COUNTIF('Detailed Attendance'!FI43:FI43, "P")+COUNTIF('Detailed Attendance'!FU43:FU43, "P")+COUNTIF('Detailed Attendance'!FY43:FY43, "P")</f>
        <v/>
      </c>
      <c r="K41" s="46">
        <f>COUNTIF('Detailed Attendance'!L43:L43, "A")+COUNTIF('Detailed Attendance'!P43:P43, "A")+COUNTIF('Detailed Attendance'!AF43:AF43, "A")+COUNTIF('Detailed Attendance'!AJ43:AJ43, "A")+COUNTIF('Detailed Attendance'!AZ43:AZ43, "A")+COUNTIF('Detailed Attendance'!BD43:BD43, "A")+COUNTIF('Detailed Attendance'!BT43:BT43, "A")+COUNTIF('Detailed Attendance'!BX43:BX43, "A")+COUNTIF('Detailed Attendance'!CQ43:CQ43, "A")+COUNTIF('Detailed Attendance'!CU43:CU43, "A")+COUNTIF('Detailed Attendance'!DN43:DN43, "A")+COUNTIF('Detailed Attendance'!DR43:DR43, "A")+COUNTIF('Detailed Attendance'!EK43:EK43, "A")+COUNTIF('Detailed Attendance'!EO43:EO43, "A")+COUNTIF('Detailed Attendance'!FE43:FE43, "A")+COUNTIF('Detailed Attendance'!FI43:FI43, "A")+COUNTIF('Detailed Attendance'!FU43:FU43, "A")+COUNTIF('Detailed Attendance'!FY43:FY43, "A")</f>
        <v/>
      </c>
      <c r="L41" s="72">
        <f>IF((J41+K41)=0, "", J41/(J41+K41))</f>
        <v/>
      </c>
      <c r="M41" s="46">
        <f>COUNTIF('Detailed Attendance'!D43:D43, "P")+COUNTIF('Detailed Attendance'!T43:T43, "P")+COUNTIF('Detailed Attendance'!AN43:AN43, "P")+COUNTIF('Detailed Attendance'!AR43:AR43, "P")+COUNTIF('Detailed Attendance'!BH43:BH43, "P")+COUNTIF('Detailed Attendance'!CB43:CB43, "P")+COUNTIF('Detailed Attendance'!CF43:CF43, "P")+COUNTIF('Detailed Attendance'!CY43:CY43, "P")+COUNTIF('Detailed Attendance'!DC43:DC43, "P")+COUNTIF('Detailed Attendance'!DV43:DV43, "P")+COUNTIF('Detailed Attendance'!DZ43:DZ43, "P")+COUNTIF('Detailed Attendance'!ES43:ES43, "P")+COUNTIF('Detailed Attendance'!GC43:GC43, "P")+COUNTIF('Detailed Attendance'!GG43:GG43, "P")</f>
        <v/>
      </c>
      <c r="N41" s="46">
        <f>COUNTIF('Detailed Attendance'!D43:D43, "A")+COUNTIF('Detailed Attendance'!T43:T43, "A")+COUNTIF('Detailed Attendance'!AN43:AN43, "A")+COUNTIF('Detailed Attendance'!AR43:AR43, "A")+COUNTIF('Detailed Attendance'!BH43:BH43, "A")+COUNTIF('Detailed Attendance'!CB43:CB43, "A")+COUNTIF('Detailed Attendance'!CF43:CF43, "A")+COUNTIF('Detailed Attendance'!CY43:CY43, "A")+COUNTIF('Detailed Attendance'!DC43:DC43, "A")+COUNTIF('Detailed Attendance'!DV43:DV43, "A")+COUNTIF('Detailed Attendance'!DZ43:DZ43, "A")+COUNTIF('Detailed Attendance'!ES43:ES43, "A")+COUNTIF('Detailed Attendance'!GC43:GC43, "A")+COUNTIF('Detailed Attendance'!GG43:GG43, "A")</f>
        <v/>
      </c>
      <c r="O41" s="72">
        <f>IF((M41+N41)=0, "", M41/(M41+N41))</f>
        <v/>
      </c>
      <c r="P41" s="46">
        <f>COUNTIF('Detailed Attendance'!M43:M43, "P")+COUNTIF('Detailed Attendance'!U43:U43, "P")+COUNTIF('Detailed Attendance'!AG43:AG43, "P")+COUNTIF('Detailed Attendance'!AO43:AO43, "P")+COUNTIF('Detailed Attendance'!BA43:BA43, "P")+COUNTIF('Detailed Attendance'!BI43:BI43, "P")+COUNTIF('Detailed Attendance'!BU43:BU43, "P")+COUNTIF('Detailed Attendance'!CC43:CC43, "P")+COUNTIF('Detailed Attendance'!CR43:CR43, "P")+COUNTIF('Detailed Attendance'!CZ43:CZ43, "P")+COUNTIF('Detailed Attendance'!DO43:DO43, "P")+COUNTIF('Detailed Attendance'!DW43:DW43, "P")+COUNTIF('Detailed Attendance'!EL43:EL43, "P")+COUNTIF('Detailed Attendance'!ET43:ET43, "P")+COUNTIF('Detailed Attendance'!FF43:FF43, "P")+COUNTIF('Detailed Attendance'!FV43:FV43, "P")+COUNTIF('Detailed Attendance'!GD43:GD43, "P")</f>
        <v/>
      </c>
      <c r="Q41" s="46">
        <f>COUNTIF('Detailed Attendance'!M43:M43, "A")+COUNTIF('Detailed Attendance'!U43:U43, "A")+COUNTIF('Detailed Attendance'!AG43:AG43, "A")+COUNTIF('Detailed Attendance'!AO43:AO43, "A")+COUNTIF('Detailed Attendance'!BA43:BA43, "A")+COUNTIF('Detailed Attendance'!BI43:BI43, "A")+COUNTIF('Detailed Attendance'!BU43:BU43, "A")+COUNTIF('Detailed Attendance'!CC43:CC43, "A")+COUNTIF('Detailed Attendance'!CR43:CR43, "A")+COUNTIF('Detailed Attendance'!CZ43:CZ43, "A")+COUNTIF('Detailed Attendance'!DO43:DO43, "A")+COUNTIF('Detailed Attendance'!DW43:DW43, "A")+COUNTIF('Detailed Attendance'!EL43:EL43, "A")+COUNTIF('Detailed Attendance'!ET43:ET43, "A")+COUNTIF('Detailed Attendance'!FF43:FF43, "A")+COUNTIF('Detailed Attendance'!FV43:FV43, "A")+COUNTIF('Detailed Attendance'!GD43:GD43, "A")</f>
        <v/>
      </c>
      <c r="R41" s="72">
        <f>IF((P41+Q41)=0, "", P41/(P41+Q41))</f>
        <v/>
      </c>
      <c r="S41" s="46">
        <f>COUNTIF('Detailed Attendance'!CH43:CH43, "P")+COUNTIF('Detailed Attendance'!DE43:DE43, "P")+COUNTIF('Detailed Attendance'!EB43:EB43, "P")+COUNTIF('Detailed Attendance'!GI43:GI43, "P")</f>
        <v/>
      </c>
      <c r="T41" s="46">
        <f>COUNTIF('Detailed Attendance'!CH43:CH43, "A")+COUNTIF('Detailed Attendance'!DE43:DE43, "A")+COUNTIF('Detailed Attendance'!EB43:EB43, "A")+COUNTIF('Detailed Attendance'!GI43:GI43, "A")</f>
        <v/>
      </c>
      <c r="U41" s="73">
        <f>IF((S41+T41)=0, "", S41/(S41+T41))</f>
        <v/>
      </c>
      <c r="V41" s="46">
        <f>COUNTIF('Detailed Attendance'!V43:V43, "P")+COUNTIF('Detailed Attendance'!AP43:AP43, "P")+COUNTIF('Detailed Attendance'!BJ43:BJ43, "P")+COUNTIF('Detailed Attendance'!CD43:CD43, "P")+COUNTIF('Detailed Attendance'!DA43:DA43, "P")+COUNTIF('Detailed Attendance'!DX43:DX43, "P")+COUNTIF('Detailed Attendance'!EU43:EU43, "P")+COUNTIF('Detailed Attendance'!GE43:GE43, "P")</f>
        <v/>
      </c>
      <c r="W41" s="46">
        <f>COUNTIF('Detailed Attendance'!V43:V43, "A")+COUNTIF('Detailed Attendance'!AP43:AP43, "A")+COUNTIF('Detailed Attendance'!BJ43:BJ43, "A")+COUNTIF('Detailed Attendance'!CD43:CD43, "A")+COUNTIF('Detailed Attendance'!DA43:DA43, "A")+COUNTIF('Detailed Attendance'!DX43:DX43, "A")+COUNTIF('Detailed Attendance'!EU43:EU43, "A")+COUNTIF('Detailed Attendance'!GE43:GE43, "A")</f>
        <v/>
      </c>
      <c r="X41" s="73">
        <f>IF((V41+W41)=0, "", V41/(V41+W41))</f>
        <v/>
      </c>
      <c r="Y41" s="46">
        <f>COUNTIF('Detailed Attendance'!E43:E43, "P")+COUNTIF('Detailed Attendance'!Y43:Y43, "P")+COUNTIF('Detailed Attendance'!AS43:AS43, "P")+COUNTIF('Detailed Attendance'!BM43:BM43, "P")+COUNTIF('Detailed Attendance'!CJ43:CJ43, "P")+COUNTIF('Detailed Attendance'!DG43:DG43, "P")+COUNTIF('Detailed Attendance'!ED43:ED43, "P")+COUNTIF('Detailed Attendance'!EX43:EX43, "P")+COUNTIF('Detailed Attendance'!FN43:FN43, "P")</f>
        <v/>
      </c>
      <c r="Z41" s="46">
        <f>COUNTIF('Detailed Attendance'!E43:E43, "A")+COUNTIF('Detailed Attendance'!Y43:Y43, "A")+COUNTIF('Detailed Attendance'!AS43:AS43, "A")+COUNTIF('Detailed Attendance'!BM43:BM43, "A")+COUNTIF('Detailed Attendance'!CJ43:CJ43, "A")+COUNTIF('Detailed Attendance'!DG43:DG43, "A")+COUNTIF('Detailed Attendance'!ED43:ED43, "A")+COUNTIF('Detailed Attendance'!EX43:EX43, "A")+COUNTIF('Detailed Attendance'!FN43:FN43, "A")</f>
        <v/>
      </c>
      <c r="AA41" s="73">
        <f>IF((Y41+Z41)=0, "", Y41/(Y41+Z41))</f>
        <v/>
      </c>
      <c r="AB41" s="46">
        <f>S41+V41+Y41</f>
        <v/>
      </c>
      <c r="AC41" s="46">
        <f>T41+W41+Z41</f>
        <v/>
      </c>
      <c r="AD41" s="73">
        <f>IF((AB41+AC41)=0, "", AB41/(AB41+AC41))</f>
        <v/>
      </c>
      <c r="AE41" s="46" t="inlineStr">
        <is>
          <t>Batch 1</t>
        </is>
      </c>
    </row>
    <row r="42" ht="14.25" customHeight="1" s="34">
      <c r="A42" s="46" t="n">
        <v>41</v>
      </c>
      <c r="B42" s="46" t="inlineStr">
        <is>
          <t>325106410041</t>
        </is>
      </c>
      <c r="C42" s="46" t="inlineStr">
        <is>
          <t>PAVAN SAI PUVVALA</t>
        </is>
      </c>
      <c r="D42" s="46">
        <f>COUNTIF('Detailed Attendance'!R44:R44, "P")+COUNTIF('Detailed Attendance'!X44:X44, "P")+COUNTIF('Detailed Attendance'!AL44:AL44, "P")+COUNTIF('Detailed Attendance'!BF44:BF44, "P")+COUNTIF('Detailed Attendance'!BL44:BL44, "P")+COUNTIF('Detailed Attendance'!BZ44:BZ44, "P")+COUNTIF('Detailed Attendance'!CI44:CI44, "P")+COUNTIF('Detailed Attendance'!CW44:CW44, "P")+COUNTIF('Detailed Attendance'!DF44:DF44, "P")+COUNTIF('Detailed Attendance'!DT44:DT44, "P")+COUNTIF('Detailed Attendance'!EC44:EC44, "P")+COUNTIF('Detailed Attendance'!EQ44:EQ44, "P")+COUNTIF('Detailed Attendance'!EW44:EW44, "P")+COUNTIF('Detailed Attendance'!FK44:FK44, "P")+COUNTIF('Detailed Attendance'!FM44:FM44, "P")+COUNTIF('Detailed Attendance'!GA44:GA44, "P")</f>
        <v/>
      </c>
      <c r="E42" s="46">
        <f>COUNTIF('Detailed Attendance'!R44:R44, "A")+COUNTIF('Detailed Attendance'!X44:X44, "A")+COUNTIF('Detailed Attendance'!AL44:AL44, "A")+COUNTIF('Detailed Attendance'!BF44:BF44, "A")+COUNTIF('Detailed Attendance'!BL44:BL44, "A")+COUNTIF('Detailed Attendance'!BZ44:BZ44, "A")+COUNTIF('Detailed Attendance'!CI44:CI44, "A")+COUNTIF('Detailed Attendance'!CW44:CW44, "A")+COUNTIF('Detailed Attendance'!DF44:DF44, "A")+COUNTIF('Detailed Attendance'!DT44:DT44, "A")+COUNTIF('Detailed Attendance'!EC44:EC44, "A")+COUNTIF('Detailed Attendance'!EQ44:EQ44, "A")+COUNTIF('Detailed Attendance'!EW44:EW44, "A")+COUNTIF('Detailed Attendance'!FK44:FK44, "A")+COUNTIF('Detailed Attendance'!FM44:FM44, "A")+COUNTIF('Detailed Attendance'!GA44:GA44, "A")</f>
        <v/>
      </c>
      <c r="F42" s="72">
        <f>IF((D42+E42)=0, "", D42/(D42+E42))</f>
        <v/>
      </c>
      <c r="G42" s="46">
        <f>COUNTIF('Detailed Attendance'!I44:I44, "P")+COUNTIF('Detailed Attendance'!Q44:Q44, "P")+COUNTIF('Detailed Attendance'!AC44:AC44, "P")+COUNTIF('Detailed Attendance'!AK44:AK44, "P")+COUNTIF('Detailed Attendance'!AW44:AW44, "P")+COUNTIF('Detailed Attendance'!BE44:BE44, "P")+COUNTIF('Detailed Attendance'!BQ44:BQ44, "P")+COUNTIF('Detailed Attendance'!BY44:BY44, "P")+COUNTIF('Detailed Attendance'!CN44:CN44, "P")+COUNTIF('Detailed Attendance'!CV44:CV44, "P")+COUNTIF('Detailed Attendance'!DK44:DK44, "P")+COUNTIF('Detailed Attendance'!DS44:DS44, "P")+COUNTIF('Detailed Attendance'!EH44:EH44, "P")+COUNTIF('Detailed Attendance'!EP44:EP44, "P")+COUNTIF('Detailed Attendance'!FB44:FB44, "P")+COUNTIF('Detailed Attendance'!FJ44:FJ44, "P")+COUNTIF('Detailed Attendance'!FR44:FR44, "P")+COUNTIF('Detailed Attendance'!FZ44:FZ44, "P")</f>
        <v/>
      </c>
      <c r="H42" s="46">
        <f>COUNTIF('Detailed Attendance'!I44:I44, "A")+COUNTIF('Detailed Attendance'!Q44:Q44, "A")+COUNTIF('Detailed Attendance'!AC44:AC44, "A")+COUNTIF('Detailed Attendance'!AK44:AK44, "A")+COUNTIF('Detailed Attendance'!AW44:AW44, "A")+COUNTIF('Detailed Attendance'!BE44:BE44, "A")+COUNTIF('Detailed Attendance'!BQ44:BQ44, "A")+COUNTIF('Detailed Attendance'!BY44:BY44, "A")+COUNTIF('Detailed Attendance'!CN44:CN44, "A")+COUNTIF('Detailed Attendance'!CV44:CV44, "A")+COUNTIF('Detailed Attendance'!DK44:DK44, "A")+COUNTIF('Detailed Attendance'!DS44:DS44, "A")+COUNTIF('Detailed Attendance'!EH44:EH44, "A")+COUNTIF('Detailed Attendance'!EP44:EP44, "A")+COUNTIF('Detailed Attendance'!FB44:FB44, "A")+COUNTIF('Detailed Attendance'!FJ44:FJ44, "A")+COUNTIF('Detailed Attendance'!FR44:FR44, "A")+COUNTIF('Detailed Attendance'!FZ44:FZ44, "A")</f>
        <v/>
      </c>
      <c r="I42" s="72">
        <f>IF((G42+H42)=0, "", G42/(G42+H42))</f>
        <v/>
      </c>
      <c r="J42" s="46">
        <f>COUNTIF('Detailed Attendance'!L44:L44, "P")+COUNTIF('Detailed Attendance'!P44:P44, "P")+COUNTIF('Detailed Attendance'!AF44:AF44, "P")+COUNTIF('Detailed Attendance'!AJ44:AJ44, "P")+COUNTIF('Detailed Attendance'!AZ44:AZ44, "P")+COUNTIF('Detailed Attendance'!BD44:BD44, "P")+COUNTIF('Detailed Attendance'!BT44:BT44, "P")+COUNTIF('Detailed Attendance'!BX44:BX44, "P")+COUNTIF('Detailed Attendance'!CQ44:CQ44, "P")+COUNTIF('Detailed Attendance'!CU44:CU44, "P")+COUNTIF('Detailed Attendance'!DN44:DN44, "P")+COUNTIF('Detailed Attendance'!DR44:DR44, "P")+COUNTIF('Detailed Attendance'!EK44:EK44, "P")+COUNTIF('Detailed Attendance'!EO44:EO44, "P")+COUNTIF('Detailed Attendance'!FE44:FE44, "P")+COUNTIF('Detailed Attendance'!FI44:FI44, "P")+COUNTIF('Detailed Attendance'!FU44:FU44, "P")+COUNTIF('Detailed Attendance'!FY44:FY44, "P")</f>
        <v/>
      </c>
      <c r="K42" s="46">
        <f>COUNTIF('Detailed Attendance'!L44:L44, "A")+COUNTIF('Detailed Attendance'!P44:P44, "A")+COUNTIF('Detailed Attendance'!AF44:AF44, "A")+COUNTIF('Detailed Attendance'!AJ44:AJ44, "A")+COUNTIF('Detailed Attendance'!AZ44:AZ44, "A")+COUNTIF('Detailed Attendance'!BD44:BD44, "A")+COUNTIF('Detailed Attendance'!BT44:BT44, "A")+COUNTIF('Detailed Attendance'!BX44:BX44, "A")+COUNTIF('Detailed Attendance'!CQ44:CQ44, "A")+COUNTIF('Detailed Attendance'!CU44:CU44, "A")+COUNTIF('Detailed Attendance'!DN44:DN44, "A")+COUNTIF('Detailed Attendance'!DR44:DR44, "A")+COUNTIF('Detailed Attendance'!EK44:EK44, "A")+COUNTIF('Detailed Attendance'!EO44:EO44, "A")+COUNTIF('Detailed Attendance'!FE44:FE44, "A")+COUNTIF('Detailed Attendance'!FI44:FI44, "A")+COUNTIF('Detailed Attendance'!FU44:FU44, "A")+COUNTIF('Detailed Attendance'!FY44:FY44, "A")</f>
        <v/>
      </c>
      <c r="L42" s="72">
        <f>IF((J42+K42)=0, "", J42/(J42+K42))</f>
        <v/>
      </c>
      <c r="M42" s="46">
        <f>COUNTIF('Detailed Attendance'!D44:D44, "P")+COUNTIF('Detailed Attendance'!T44:T44, "P")+COUNTIF('Detailed Attendance'!AN44:AN44, "P")+COUNTIF('Detailed Attendance'!AR44:AR44, "P")+COUNTIF('Detailed Attendance'!BH44:BH44, "P")+COUNTIF('Detailed Attendance'!CB44:CB44, "P")+COUNTIF('Detailed Attendance'!CF44:CF44, "P")+COUNTIF('Detailed Attendance'!CY44:CY44, "P")+COUNTIF('Detailed Attendance'!DC44:DC44, "P")+COUNTIF('Detailed Attendance'!DV44:DV44, "P")+COUNTIF('Detailed Attendance'!DZ44:DZ44, "P")+COUNTIF('Detailed Attendance'!ES44:ES44, "P")+COUNTIF('Detailed Attendance'!GC44:GC44, "P")+COUNTIF('Detailed Attendance'!GG44:GG44, "P")</f>
        <v/>
      </c>
      <c r="N42" s="46">
        <f>COUNTIF('Detailed Attendance'!D44:D44, "A")+COUNTIF('Detailed Attendance'!T44:T44, "A")+COUNTIF('Detailed Attendance'!AN44:AN44, "A")+COUNTIF('Detailed Attendance'!AR44:AR44, "A")+COUNTIF('Detailed Attendance'!BH44:BH44, "A")+COUNTIF('Detailed Attendance'!CB44:CB44, "A")+COUNTIF('Detailed Attendance'!CF44:CF44, "A")+COUNTIF('Detailed Attendance'!CY44:CY44, "A")+COUNTIF('Detailed Attendance'!DC44:DC44, "A")+COUNTIF('Detailed Attendance'!DV44:DV44, "A")+COUNTIF('Detailed Attendance'!DZ44:DZ44, "A")+COUNTIF('Detailed Attendance'!ES44:ES44, "A")+COUNTIF('Detailed Attendance'!GC44:GC44, "A")+COUNTIF('Detailed Attendance'!GG44:GG44, "A")</f>
        <v/>
      </c>
      <c r="O42" s="72">
        <f>IF((M42+N42)=0, "", M42/(M42+N42))</f>
        <v/>
      </c>
      <c r="P42" s="46">
        <f>COUNTIF('Detailed Attendance'!M44:M44, "P")+COUNTIF('Detailed Attendance'!U44:U44, "P")+COUNTIF('Detailed Attendance'!AG44:AG44, "P")+COUNTIF('Detailed Attendance'!AO44:AO44, "P")+COUNTIF('Detailed Attendance'!BA44:BA44, "P")+COUNTIF('Detailed Attendance'!BI44:BI44, "P")+COUNTIF('Detailed Attendance'!BU44:BU44, "P")+COUNTIF('Detailed Attendance'!CC44:CC44, "P")+COUNTIF('Detailed Attendance'!CR44:CR44, "P")+COUNTIF('Detailed Attendance'!CZ44:CZ44, "P")+COUNTIF('Detailed Attendance'!DO44:DO44, "P")+COUNTIF('Detailed Attendance'!DW44:DW44, "P")+COUNTIF('Detailed Attendance'!EL44:EL44, "P")+COUNTIF('Detailed Attendance'!ET44:ET44, "P")+COUNTIF('Detailed Attendance'!FF44:FF44, "P")+COUNTIF('Detailed Attendance'!FV44:FV44, "P")+COUNTIF('Detailed Attendance'!GD44:GD44, "P")</f>
        <v/>
      </c>
      <c r="Q42" s="46">
        <f>COUNTIF('Detailed Attendance'!M44:M44, "A")+COUNTIF('Detailed Attendance'!U44:U44, "A")+COUNTIF('Detailed Attendance'!AG44:AG44, "A")+COUNTIF('Detailed Attendance'!AO44:AO44, "A")+COUNTIF('Detailed Attendance'!BA44:BA44, "A")+COUNTIF('Detailed Attendance'!BI44:BI44, "A")+COUNTIF('Detailed Attendance'!BU44:BU44, "A")+COUNTIF('Detailed Attendance'!CC44:CC44, "A")+COUNTIF('Detailed Attendance'!CR44:CR44, "A")+COUNTIF('Detailed Attendance'!CZ44:CZ44, "A")+COUNTIF('Detailed Attendance'!DO44:DO44, "A")+COUNTIF('Detailed Attendance'!DW44:DW44, "A")+COUNTIF('Detailed Attendance'!EL44:EL44, "A")+COUNTIF('Detailed Attendance'!ET44:ET44, "A")+COUNTIF('Detailed Attendance'!FF44:FF44, "A")+COUNTIF('Detailed Attendance'!FV44:FV44, "A")+COUNTIF('Detailed Attendance'!GD44:GD44, "A")</f>
        <v/>
      </c>
      <c r="R42" s="72">
        <f>IF((P42+Q42)=0, "", P42/(P42+Q42))</f>
        <v/>
      </c>
      <c r="S42" s="46">
        <f>COUNTIF('Detailed Attendance'!CH44:CH44, "P")+COUNTIF('Detailed Attendance'!DE44:DE44, "P")+COUNTIF('Detailed Attendance'!EB44:EB44, "P")+COUNTIF('Detailed Attendance'!GI44:GI44, "P")</f>
        <v/>
      </c>
      <c r="T42" s="46">
        <f>COUNTIF('Detailed Attendance'!CH44:CH44, "A")+COUNTIF('Detailed Attendance'!DE44:DE44, "A")+COUNTIF('Detailed Attendance'!EB44:EB44, "A")+COUNTIF('Detailed Attendance'!GI44:GI44, "A")</f>
        <v/>
      </c>
      <c r="U42" s="73">
        <f>IF((S42+T42)=0, "", S42/(S42+T42))</f>
        <v/>
      </c>
      <c r="V42" s="46">
        <f>COUNTIF('Detailed Attendance'!V44:V44, "P")+COUNTIF('Detailed Attendance'!AP44:AP44, "P")+COUNTIF('Detailed Attendance'!BJ44:BJ44, "P")+COUNTIF('Detailed Attendance'!CD44:CD44, "P")+COUNTIF('Detailed Attendance'!DA44:DA44, "P")+COUNTIF('Detailed Attendance'!DX44:DX44, "P")+COUNTIF('Detailed Attendance'!EU44:EU44, "P")+COUNTIF('Detailed Attendance'!GE44:GE44, "P")</f>
        <v/>
      </c>
      <c r="W42" s="46">
        <f>COUNTIF('Detailed Attendance'!V44:V44, "A")+COUNTIF('Detailed Attendance'!AP44:AP44, "A")+COUNTIF('Detailed Attendance'!BJ44:BJ44, "A")+COUNTIF('Detailed Attendance'!CD44:CD44, "A")+COUNTIF('Detailed Attendance'!DA44:DA44, "A")+COUNTIF('Detailed Attendance'!DX44:DX44, "A")+COUNTIF('Detailed Attendance'!EU44:EU44, "A")+COUNTIF('Detailed Attendance'!GE44:GE44, "A")</f>
        <v/>
      </c>
      <c r="X42" s="73">
        <f>IF((V42+W42)=0, "", V42/(V42+W42))</f>
        <v/>
      </c>
      <c r="Y42" s="46">
        <f>COUNTIF('Detailed Attendance'!E44:E44, "P")+COUNTIF('Detailed Attendance'!Y44:Y44, "P")+COUNTIF('Detailed Attendance'!AS44:AS44, "P")+COUNTIF('Detailed Attendance'!BM44:BM44, "P")+COUNTIF('Detailed Attendance'!CJ44:CJ44, "P")+COUNTIF('Detailed Attendance'!DG44:DG44, "P")+COUNTIF('Detailed Attendance'!ED44:ED44, "P")+COUNTIF('Detailed Attendance'!EX44:EX44, "P")+COUNTIF('Detailed Attendance'!FN44:FN44, "P")</f>
        <v/>
      </c>
      <c r="Z42" s="46">
        <f>COUNTIF('Detailed Attendance'!E44:E44, "A")+COUNTIF('Detailed Attendance'!Y44:Y44, "A")+COUNTIF('Detailed Attendance'!AS44:AS44, "A")+COUNTIF('Detailed Attendance'!BM44:BM44, "A")+COUNTIF('Detailed Attendance'!CJ44:CJ44, "A")+COUNTIF('Detailed Attendance'!DG44:DG44, "A")+COUNTIF('Detailed Attendance'!ED44:ED44, "A")+COUNTIF('Detailed Attendance'!EX44:EX44, "A")+COUNTIF('Detailed Attendance'!FN44:FN44, "A")</f>
        <v/>
      </c>
      <c r="AA42" s="73">
        <f>IF((Y42+Z42)=0, "", Y42/(Y42+Z42))</f>
        <v/>
      </c>
      <c r="AB42" s="46">
        <f>S42+V42+Y42</f>
        <v/>
      </c>
      <c r="AC42" s="46">
        <f>T42+W42+Z42</f>
        <v/>
      </c>
      <c r="AD42" s="73">
        <f>IF((AB42+AC42)=0, "", AB42/(AB42+AC42))</f>
        <v/>
      </c>
      <c r="AE42" s="46" t="inlineStr">
        <is>
          <t>Batch 1</t>
        </is>
      </c>
    </row>
    <row r="43" ht="14.25" customHeight="1" s="34">
      <c r="A43" s="46" t="n">
        <v>42</v>
      </c>
      <c r="B43" s="46" t="inlineStr">
        <is>
          <t>325106410042</t>
        </is>
      </c>
      <c r="C43" s="46" t="inlineStr">
        <is>
          <t>SHANMUKHA RAO REDDI</t>
        </is>
      </c>
      <c r="D43" s="46">
        <f>COUNTIF('Detailed Attendance'!R45:R45, "P")+COUNTIF('Detailed Attendance'!X45:X45, "P")+COUNTIF('Detailed Attendance'!AL45:AL45, "P")+COUNTIF('Detailed Attendance'!BF45:BF45, "P")+COUNTIF('Detailed Attendance'!BL45:BL45, "P")+COUNTIF('Detailed Attendance'!BZ45:BZ45, "P")+COUNTIF('Detailed Attendance'!CI45:CI45, "P")+COUNTIF('Detailed Attendance'!CW45:CW45, "P")+COUNTIF('Detailed Attendance'!DF45:DF45, "P")+COUNTIF('Detailed Attendance'!DT45:DT45, "P")+COUNTIF('Detailed Attendance'!EC45:EC45, "P")+COUNTIF('Detailed Attendance'!EQ45:EQ45, "P")+COUNTIF('Detailed Attendance'!EW45:EW45, "P")+COUNTIF('Detailed Attendance'!FK45:FK45, "P")+COUNTIF('Detailed Attendance'!FM45:FM45, "P")+COUNTIF('Detailed Attendance'!GA45:GA45, "P")</f>
        <v/>
      </c>
      <c r="E43" s="46">
        <f>COUNTIF('Detailed Attendance'!R45:R45, "A")+COUNTIF('Detailed Attendance'!X45:X45, "A")+COUNTIF('Detailed Attendance'!AL45:AL45, "A")+COUNTIF('Detailed Attendance'!BF45:BF45, "A")+COUNTIF('Detailed Attendance'!BL45:BL45, "A")+COUNTIF('Detailed Attendance'!BZ45:BZ45, "A")+COUNTIF('Detailed Attendance'!CI45:CI45, "A")+COUNTIF('Detailed Attendance'!CW45:CW45, "A")+COUNTIF('Detailed Attendance'!DF45:DF45, "A")+COUNTIF('Detailed Attendance'!DT45:DT45, "A")+COUNTIF('Detailed Attendance'!EC45:EC45, "A")+COUNTIF('Detailed Attendance'!EQ45:EQ45, "A")+COUNTIF('Detailed Attendance'!EW45:EW45, "A")+COUNTIF('Detailed Attendance'!FK45:FK45, "A")+COUNTIF('Detailed Attendance'!FM45:FM45, "A")+COUNTIF('Detailed Attendance'!GA45:GA45, "A")</f>
        <v/>
      </c>
      <c r="F43" s="72">
        <f>IF((D43+E43)=0, "", D43/(D43+E43))</f>
        <v/>
      </c>
      <c r="G43" s="46">
        <f>COUNTIF('Detailed Attendance'!I45:I45, "P")+COUNTIF('Detailed Attendance'!Q45:Q45, "P")+COUNTIF('Detailed Attendance'!AC45:AC45, "P")+COUNTIF('Detailed Attendance'!AK45:AK45, "P")+COUNTIF('Detailed Attendance'!AW45:AW45, "P")+COUNTIF('Detailed Attendance'!BE45:BE45, "P")+COUNTIF('Detailed Attendance'!BQ45:BQ45, "P")+COUNTIF('Detailed Attendance'!BY45:BY45, "P")+COUNTIF('Detailed Attendance'!CN45:CN45, "P")+COUNTIF('Detailed Attendance'!CV45:CV45, "P")+COUNTIF('Detailed Attendance'!DK45:DK45, "P")+COUNTIF('Detailed Attendance'!DS45:DS45, "P")+COUNTIF('Detailed Attendance'!EH45:EH45, "P")+COUNTIF('Detailed Attendance'!EP45:EP45, "P")+COUNTIF('Detailed Attendance'!FB45:FB45, "P")+COUNTIF('Detailed Attendance'!FJ45:FJ45, "P")+COUNTIF('Detailed Attendance'!FR45:FR45, "P")+COUNTIF('Detailed Attendance'!FZ45:FZ45, "P")</f>
        <v/>
      </c>
      <c r="H43" s="46">
        <f>COUNTIF('Detailed Attendance'!I45:I45, "A")+COUNTIF('Detailed Attendance'!Q45:Q45, "A")+COUNTIF('Detailed Attendance'!AC45:AC45, "A")+COUNTIF('Detailed Attendance'!AK45:AK45, "A")+COUNTIF('Detailed Attendance'!AW45:AW45, "A")+COUNTIF('Detailed Attendance'!BE45:BE45, "A")+COUNTIF('Detailed Attendance'!BQ45:BQ45, "A")+COUNTIF('Detailed Attendance'!BY45:BY45, "A")+COUNTIF('Detailed Attendance'!CN45:CN45, "A")+COUNTIF('Detailed Attendance'!CV45:CV45, "A")+COUNTIF('Detailed Attendance'!DK45:DK45, "A")+COUNTIF('Detailed Attendance'!DS45:DS45, "A")+COUNTIF('Detailed Attendance'!EH45:EH45, "A")+COUNTIF('Detailed Attendance'!EP45:EP45, "A")+COUNTIF('Detailed Attendance'!FB45:FB45, "A")+COUNTIF('Detailed Attendance'!FJ45:FJ45, "A")+COUNTIF('Detailed Attendance'!FR45:FR45, "A")+COUNTIF('Detailed Attendance'!FZ45:FZ45, "A")</f>
        <v/>
      </c>
      <c r="I43" s="72">
        <f>IF((G43+H43)=0, "", G43/(G43+H43))</f>
        <v/>
      </c>
      <c r="J43" s="46">
        <f>COUNTIF('Detailed Attendance'!L45:L45, "P")+COUNTIF('Detailed Attendance'!P45:P45, "P")+COUNTIF('Detailed Attendance'!AF45:AF45, "P")+COUNTIF('Detailed Attendance'!AJ45:AJ45, "P")+COUNTIF('Detailed Attendance'!AZ45:AZ45, "P")+COUNTIF('Detailed Attendance'!BD45:BD45, "P")+COUNTIF('Detailed Attendance'!BT45:BT45, "P")+COUNTIF('Detailed Attendance'!BX45:BX45, "P")+COUNTIF('Detailed Attendance'!CQ45:CQ45, "P")+COUNTIF('Detailed Attendance'!CU45:CU45, "P")+COUNTIF('Detailed Attendance'!DN45:DN45, "P")+COUNTIF('Detailed Attendance'!DR45:DR45, "P")+COUNTIF('Detailed Attendance'!EK45:EK45, "P")+COUNTIF('Detailed Attendance'!EO45:EO45, "P")+COUNTIF('Detailed Attendance'!FE45:FE45, "P")+COUNTIF('Detailed Attendance'!FI45:FI45, "P")+COUNTIF('Detailed Attendance'!FU45:FU45, "P")+COUNTIF('Detailed Attendance'!FY45:FY45, "P")</f>
        <v/>
      </c>
      <c r="K43" s="46">
        <f>COUNTIF('Detailed Attendance'!L45:L45, "A")+COUNTIF('Detailed Attendance'!P45:P45, "A")+COUNTIF('Detailed Attendance'!AF45:AF45, "A")+COUNTIF('Detailed Attendance'!AJ45:AJ45, "A")+COUNTIF('Detailed Attendance'!AZ45:AZ45, "A")+COUNTIF('Detailed Attendance'!BD45:BD45, "A")+COUNTIF('Detailed Attendance'!BT45:BT45, "A")+COUNTIF('Detailed Attendance'!BX45:BX45, "A")+COUNTIF('Detailed Attendance'!CQ45:CQ45, "A")+COUNTIF('Detailed Attendance'!CU45:CU45, "A")+COUNTIF('Detailed Attendance'!DN45:DN45, "A")+COUNTIF('Detailed Attendance'!DR45:DR45, "A")+COUNTIF('Detailed Attendance'!EK45:EK45, "A")+COUNTIF('Detailed Attendance'!EO45:EO45, "A")+COUNTIF('Detailed Attendance'!FE45:FE45, "A")+COUNTIF('Detailed Attendance'!FI45:FI45, "A")+COUNTIF('Detailed Attendance'!FU45:FU45, "A")+COUNTIF('Detailed Attendance'!FY45:FY45, "A")</f>
        <v/>
      </c>
      <c r="L43" s="72">
        <f>IF((J43+K43)=0, "", J43/(J43+K43))</f>
        <v/>
      </c>
      <c r="M43" s="46">
        <f>COUNTIF('Detailed Attendance'!D45:D45, "P")+COUNTIF('Detailed Attendance'!T45:T45, "P")+COUNTIF('Detailed Attendance'!AN45:AN45, "P")+COUNTIF('Detailed Attendance'!AR45:AR45, "P")+COUNTIF('Detailed Attendance'!BH45:BH45, "P")+COUNTIF('Detailed Attendance'!CB45:CB45, "P")+COUNTIF('Detailed Attendance'!CF45:CF45, "P")+COUNTIF('Detailed Attendance'!CY45:CY45, "P")+COUNTIF('Detailed Attendance'!DC45:DC45, "P")+COUNTIF('Detailed Attendance'!DV45:DV45, "P")+COUNTIF('Detailed Attendance'!DZ45:DZ45, "P")+COUNTIF('Detailed Attendance'!ES45:ES45, "P")+COUNTIF('Detailed Attendance'!GC45:GC45, "P")+COUNTIF('Detailed Attendance'!GG45:GG45, "P")</f>
        <v/>
      </c>
      <c r="N43" s="46">
        <f>COUNTIF('Detailed Attendance'!D45:D45, "A")+COUNTIF('Detailed Attendance'!T45:T45, "A")+COUNTIF('Detailed Attendance'!AN45:AN45, "A")+COUNTIF('Detailed Attendance'!AR45:AR45, "A")+COUNTIF('Detailed Attendance'!BH45:BH45, "A")+COUNTIF('Detailed Attendance'!CB45:CB45, "A")+COUNTIF('Detailed Attendance'!CF45:CF45, "A")+COUNTIF('Detailed Attendance'!CY45:CY45, "A")+COUNTIF('Detailed Attendance'!DC45:DC45, "A")+COUNTIF('Detailed Attendance'!DV45:DV45, "A")+COUNTIF('Detailed Attendance'!DZ45:DZ45, "A")+COUNTIF('Detailed Attendance'!ES45:ES45, "A")+COUNTIF('Detailed Attendance'!GC45:GC45, "A")+COUNTIF('Detailed Attendance'!GG45:GG45, "A")</f>
        <v/>
      </c>
      <c r="O43" s="72">
        <f>IF((M43+N43)=0, "", M43/(M43+N43))</f>
        <v/>
      </c>
      <c r="P43" s="46">
        <f>COUNTIF('Detailed Attendance'!M45:M45, "P")+COUNTIF('Detailed Attendance'!U45:U45, "P")+COUNTIF('Detailed Attendance'!AG45:AG45, "P")+COUNTIF('Detailed Attendance'!AO45:AO45, "P")+COUNTIF('Detailed Attendance'!BA45:BA45, "P")+COUNTIF('Detailed Attendance'!BI45:BI45, "P")+COUNTIF('Detailed Attendance'!BU45:BU45, "P")+COUNTIF('Detailed Attendance'!CC45:CC45, "P")+COUNTIF('Detailed Attendance'!CR45:CR45, "P")+COUNTIF('Detailed Attendance'!CZ45:CZ45, "P")+COUNTIF('Detailed Attendance'!DO45:DO45, "P")+COUNTIF('Detailed Attendance'!DW45:DW45, "P")+COUNTIF('Detailed Attendance'!EL45:EL45, "P")+COUNTIF('Detailed Attendance'!ET45:ET45, "P")+COUNTIF('Detailed Attendance'!FF45:FF45, "P")+COUNTIF('Detailed Attendance'!FV45:FV45, "P")+COUNTIF('Detailed Attendance'!GD45:GD45, "P")</f>
        <v/>
      </c>
      <c r="Q43" s="46">
        <f>COUNTIF('Detailed Attendance'!M45:M45, "A")+COUNTIF('Detailed Attendance'!U45:U45, "A")+COUNTIF('Detailed Attendance'!AG45:AG45, "A")+COUNTIF('Detailed Attendance'!AO45:AO45, "A")+COUNTIF('Detailed Attendance'!BA45:BA45, "A")+COUNTIF('Detailed Attendance'!BI45:BI45, "A")+COUNTIF('Detailed Attendance'!BU45:BU45, "A")+COUNTIF('Detailed Attendance'!CC45:CC45, "A")+COUNTIF('Detailed Attendance'!CR45:CR45, "A")+COUNTIF('Detailed Attendance'!CZ45:CZ45, "A")+COUNTIF('Detailed Attendance'!DO45:DO45, "A")+COUNTIF('Detailed Attendance'!DW45:DW45, "A")+COUNTIF('Detailed Attendance'!EL45:EL45, "A")+COUNTIF('Detailed Attendance'!ET45:ET45, "A")+COUNTIF('Detailed Attendance'!FF45:FF45, "A")+COUNTIF('Detailed Attendance'!FV45:FV45, "A")+COUNTIF('Detailed Attendance'!GD45:GD45, "A")</f>
        <v/>
      </c>
      <c r="R43" s="72">
        <f>IF((P43+Q43)=0, "", P43/(P43+Q43))</f>
        <v/>
      </c>
      <c r="S43" s="46">
        <f>COUNTIF('Detailed Attendance'!V45:V45, "P")+COUNTIF('Detailed Attendance'!AP45:AP45, "P")+COUNTIF('Detailed Attendance'!BJ45:BJ45, "P")+COUNTIF('Detailed Attendance'!CD45:CD45, "P")+COUNTIF('Detailed Attendance'!DA45:DA45, "P")+COUNTIF('Detailed Attendance'!DX45:DX45, "P")+COUNTIF('Detailed Attendance'!EU45:EU45, "P")+COUNTIF('Detailed Attendance'!GE45:GE45, "P")</f>
        <v/>
      </c>
      <c r="T43" s="46">
        <f>COUNTIF('Detailed Attendance'!V45:V45, "A")+COUNTIF('Detailed Attendance'!AP45:AP45, "A")+COUNTIF('Detailed Attendance'!BJ45:BJ45, "A")+COUNTIF('Detailed Attendance'!CD45:CD45, "A")+COUNTIF('Detailed Attendance'!DA45:DA45, "A")+COUNTIF('Detailed Attendance'!DX45:DX45, "A")+COUNTIF('Detailed Attendance'!EU45:EU45, "A")+COUNTIF('Detailed Attendance'!GE45:GE45, "A")</f>
        <v/>
      </c>
      <c r="U43" s="73">
        <f>IF((S43+T43)=0, "", S43/(S43+T43))</f>
        <v/>
      </c>
      <c r="V43" s="46">
        <f>COUNTIF('Detailed Attendance'!CH45:CH45, "P")+COUNTIF('Detailed Attendance'!DE45:DE45, "P")+COUNTIF('Detailed Attendance'!EB45:EB45, "P")+COUNTIF('Detailed Attendance'!GI45:GI45, "P")</f>
        <v/>
      </c>
      <c r="W43" s="46">
        <f>COUNTIF('Detailed Attendance'!CH45:CH45, "A")+COUNTIF('Detailed Attendance'!DE45:DE45, "A")+COUNTIF('Detailed Attendance'!EB45:EB45, "A")+COUNTIF('Detailed Attendance'!GI45:GI45, "A")</f>
        <v/>
      </c>
      <c r="X43" s="73">
        <f>IF((V43+W43)=0, "", V43/(V43+W43))</f>
        <v/>
      </c>
      <c r="Y43" s="46">
        <f>COUNTIF('Detailed Attendance'!CG45:CG45, "P")+COUNTIF('Detailed Attendance'!DD45:DD45, "P")+COUNTIF('Detailed Attendance'!EA45:EA45, "P")+COUNTIF('Detailed Attendance'!GH45:GH45, "P")</f>
        <v/>
      </c>
      <c r="Z43" s="46">
        <f>COUNTIF('Detailed Attendance'!CG45:CG45, "A")+COUNTIF('Detailed Attendance'!DD45:DD45, "A")+COUNTIF('Detailed Attendance'!EA45:EA45, "A")+COUNTIF('Detailed Attendance'!GH45:GH45, "A")</f>
        <v/>
      </c>
      <c r="AA43" s="73">
        <f>IF((Y43+Z43)=0, "", Y43/(Y43+Z43))</f>
        <v/>
      </c>
      <c r="AB43" s="46">
        <f>S43+V43+Y43</f>
        <v/>
      </c>
      <c r="AC43" s="46">
        <f>T43+W43+Z43</f>
        <v/>
      </c>
      <c r="AD43" s="73">
        <f>IF((AB43+AC43)=0, "", AB43/(AB43+AC43))</f>
        <v/>
      </c>
      <c r="AE43" s="46" t="inlineStr">
        <is>
          <t>Batch 2</t>
        </is>
      </c>
    </row>
    <row r="44" ht="14.25" customHeight="1" s="34">
      <c r="A44" s="46" t="n">
        <v>43</v>
      </c>
      <c r="B44" s="46" t="inlineStr">
        <is>
          <t>325106410043</t>
        </is>
      </c>
      <c r="C44" s="46" t="inlineStr">
        <is>
          <t>YASWANTH DURGA PRAVEEN REVADI</t>
        </is>
      </c>
      <c r="D44" s="46">
        <f>COUNTIF('Detailed Attendance'!R46:R46, "P")+COUNTIF('Detailed Attendance'!X46:X46, "P")+COUNTIF('Detailed Attendance'!AL46:AL46, "P")+COUNTIF('Detailed Attendance'!BF46:BF46, "P")+COUNTIF('Detailed Attendance'!BL46:BL46, "P")+COUNTIF('Detailed Attendance'!BZ46:BZ46, "P")+COUNTIF('Detailed Attendance'!CI46:CI46, "P")+COUNTIF('Detailed Attendance'!CW46:CW46, "P")+COUNTIF('Detailed Attendance'!DF46:DF46, "P")+COUNTIF('Detailed Attendance'!DT46:DT46, "P")+COUNTIF('Detailed Attendance'!EC46:EC46, "P")+COUNTIF('Detailed Attendance'!EQ46:EQ46, "P")+COUNTIF('Detailed Attendance'!EW46:EW46, "P")+COUNTIF('Detailed Attendance'!FK46:FK46, "P")+COUNTIF('Detailed Attendance'!FM46:FM46, "P")+COUNTIF('Detailed Attendance'!GA46:GA46, "P")</f>
        <v/>
      </c>
      <c r="E44" s="46">
        <f>COUNTIF('Detailed Attendance'!R46:R46, "A")+COUNTIF('Detailed Attendance'!X46:X46, "A")+COUNTIF('Detailed Attendance'!AL46:AL46, "A")+COUNTIF('Detailed Attendance'!BF46:BF46, "A")+COUNTIF('Detailed Attendance'!BL46:BL46, "A")+COUNTIF('Detailed Attendance'!BZ46:BZ46, "A")+COUNTIF('Detailed Attendance'!CI46:CI46, "A")+COUNTIF('Detailed Attendance'!CW46:CW46, "A")+COUNTIF('Detailed Attendance'!DF46:DF46, "A")+COUNTIF('Detailed Attendance'!DT46:DT46, "A")+COUNTIF('Detailed Attendance'!EC46:EC46, "A")+COUNTIF('Detailed Attendance'!EQ46:EQ46, "A")+COUNTIF('Detailed Attendance'!EW46:EW46, "A")+COUNTIF('Detailed Attendance'!FK46:FK46, "A")+COUNTIF('Detailed Attendance'!FM46:FM46, "A")+COUNTIF('Detailed Attendance'!GA46:GA46, "A")</f>
        <v/>
      </c>
      <c r="F44" s="72">
        <f>IF((D44+E44)=0, "", D44/(D44+E44))</f>
        <v/>
      </c>
      <c r="G44" s="46">
        <f>COUNTIF('Detailed Attendance'!I46:I46, "P")+COUNTIF('Detailed Attendance'!Q46:Q46, "P")+COUNTIF('Detailed Attendance'!AC46:AC46, "P")+COUNTIF('Detailed Attendance'!AK46:AK46, "P")+COUNTIF('Detailed Attendance'!AW46:AW46, "P")+COUNTIF('Detailed Attendance'!BE46:BE46, "P")+COUNTIF('Detailed Attendance'!BQ46:BQ46, "P")+COUNTIF('Detailed Attendance'!BY46:BY46, "P")+COUNTIF('Detailed Attendance'!CN46:CN46, "P")+COUNTIF('Detailed Attendance'!CV46:CV46, "P")+COUNTIF('Detailed Attendance'!DK46:DK46, "P")+COUNTIF('Detailed Attendance'!DS46:DS46, "P")+COUNTIF('Detailed Attendance'!EH46:EH46, "P")+COUNTIF('Detailed Attendance'!EP46:EP46, "P")+COUNTIF('Detailed Attendance'!FB46:FB46, "P")+COUNTIF('Detailed Attendance'!FJ46:FJ46, "P")+COUNTIF('Detailed Attendance'!FR46:FR46, "P")+COUNTIF('Detailed Attendance'!FZ46:FZ46, "P")</f>
        <v/>
      </c>
      <c r="H44" s="46">
        <f>COUNTIF('Detailed Attendance'!I46:I46, "A")+COUNTIF('Detailed Attendance'!Q46:Q46, "A")+COUNTIF('Detailed Attendance'!AC46:AC46, "A")+COUNTIF('Detailed Attendance'!AK46:AK46, "A")+COUNTIF('Detailed Attendance'!AW46:AW46, "A")+COUNTIF('Detailed Attendance'!BE46:BE46, "A")+COUNTIF('Detailed Attendance'!BQ46:BQ46, "A")+COUNTIF('Detailed Attendance'!BY46:BY46, "A")+COUNTIF('Detailed Attendance'!CN46:CN46, "A")+COUNTIF('Detailed Attendance'!CV46:CV46, "A")+COUNTIF('Detailed Attendance'!DK46:DK46, "A")+COUNTIF('Detailed Attendance'!DS46:DS46, "A")+COUNTIF('Detailed Attendance'!EH46:EH46, "A")+COUNTIF('Detailed Attendance'!EP46:EP46, "A")+COUNTIF('Detailed Attendance'!FB46:FB46, "A")+COUNTIF('Detailed Attendance'!FJ46:FJ46, "A")+COUNTIF('Detailed Attendance'!FR46:FR46, "A")+COUNTIF('Detailed Attendance'!FZ46:FZ46, "A")</f>
        <v/>
      </c>
      <c r="I44" s="72">
        <f>IF((G44+H44)=0, "", G44/(G44+H44))</f>
        <v/>
      </c>
      <c r="J44" s="46">
        <f>COUNTIF('Detailed Attendance'!L46:L46, "P")+COUNTIF('Detailed Attendance'!P46:P46, "P")+COUNTIF('Detailed Attendance'!AF46:AF46, "P")+COUNTIF('Detailed Attendance'!AJ46:AJ46, "P")+COUNTIF('Detailed Attendance'!AZ46:AZ46, "P")+COUNTIF('Detailed Attendance'!BD46:BD46, "P")+COUNTIF('Detailed Attendance'!BT46:BT46, "P")+COUNTIF('Detailed Attendance'!BX46:BX46, "P")+COUNTIF('Detailed Attendance'!CQ46:CQ46, "P")+COUNTIF('Detailed Attendance'!CU46:CU46, "P")+COUNTIF('Detailed Attendance'!DN46:DN46, "P")+COUNTIF('Detailed Attendance'!DR46:DR46, "P")+COUNTIF('Detailed Attendance'!EK46:EK46, "P")+COUNTIF('Detailed Attendance'!EO46:EO46, "P")+COUNTIF('Detailed Attendance'!FE46:FE46, "P")+COUNTIF('Detailed Attendance'!FI46:FI46, "P")+COUNTIF('Detailed Attendance'!FU46:FU46, "P")+COUNTIF('Detailed Attendance'!FY46:FY46, "P")</f>
        <v/>
      </c>
      <c r="K44" s="46">
        <f>COUNTIF('Detailed Attendance'!L46:L46, "A")+COUNTIF('Detailed Attendance'!P46:P46, "A")+COUNTIF('Detailed Attendance'!AF46:AF46, "A")+COUNTIF('Detailed Attendance'!AJ46:AJ46, "A")+COUNTIF('Detailed Attendance'!AZ46:AZ46, "A")+COUNTIF('Detailed Attendance'!BD46:BD46, "A")+COUNTIF('Detailed Attendance'!BT46:BT46, "A")+COUNTIF('Detailed Attendance'!BX46:BX46, "A")+COUNTIF('Detailed Attendance'!CQ46:CQ46, "A")+COUNTIF('Detailed Attendance'!CU46:CU46, "A")+COUNTIF('Detailed Attendance'!DN46:DN46, "A")+COUNTIF('Detailed Attendance'!DR46:DR46, "A")+COUNTIF('Detailed Attendance'!EK46:EK46, "A")+COUNTIF('Detailed Attendance'!EO46:EO46, "A")+COUNTIF('Detailed Attendance'!FE46:FE46, "A")+COUNTIF('Detailed Attendance'!FI46:FI46, "A")+COUNTIF('Detailed Attendance'!FU46:FU46, "A")+COUNTIF('Detailed Attendance'!FY46:FY46, "A")</f>
        <v/>
      </c>
      <c r="L44" s="72">
        <f>IF((J44+K44)=0, "", J44/(J44+K44))</f>
        <v/>
      </c>
      <c r="M44" s="46">
        <f>COUNTIF('Detailed Attendance'!D46:D46, "P")+COUNTIF('Detailed Attendance'!T46:T46, "P")+COUNTIF('Detailed Attendance'!AN46:AN46, "P")+COUNTIF('Detailed Attendance'!AR46:AR46, "P")+COUNTIF('Detailed Attendance'!BH46:BH46, "P")+COUNTIF('Detailed Attendance'!CB46:CB46, "P")+COUNTIF('Detailed Attendance'!CF46:CF46, "P")+COUNTIF('Detailed Attendance'!CY46:CY46, "P")+COUNTIF('Detailed Attendance'!DC46:DC46, "P")+COUNTIF('Detailed Attendance'!DV46:DV46, "P")+COUNTIF('Detailed Attendance'!DZ46:DZ46, "P")+COUNTIF('Detailed Attendance'!ES46:ES46, "P")+COUNTIF('Detailed Attendance'!GC46:GC46, "P")+COUNTIF('Detailed Attendance'!GG46:GG46, "P")</f>
        <v/>
      </c>
      <c r="N44" s="46">
        <f>COUNTIF('Detailed Attendance'!D46:D46, "A")+COUNTIF('Detailed Attendance'!T46:T46, "A")+COUNTIF('Detailed Attendance'!AN46:AN46, "A")+COUNTIF('Detailed Attendance'!AR46:AR46, "A")+COUNTIF('Detailed Attendance'!BH46:BH46, "A")+COUNTIF('Detailed Attendance'!CB46:CB46, "A")+COUNTIF('Detailed Attendance'!CF46:CF46, "A")+COUNTIF('Detailed Attendance'!CY46:CY46, "A")+COUNTIF('Detailed Attendance'!DC46:DC46, "A")+COUNTIF('Detailed Attendance'!DV46:DV46, "A")+COUNTIF('Detailed Attendance'!DZ46:DZ46, "A")+COUNTIF('Detailed Attendance'!ES46:ES46, "A")+COUNTIF('Detailed Attendance'!GC46:GC46, "A")+COUNTIF('Detailed Attendance'!GG46:GG46, "A")</f>
        <v/>
      </c>
      <c r="O44" s="72">
        <f>IF((M44+N44)=0, "", M44/(M44+N44))</f>
        <v/>
      </c>
      <c r="P44" s="46">
        <f>COUNTIF('Detailed Attendance'!M46:M46, "P")+COUNTIF('Detailed Attendance'!U46:U46, "P")+COUNTIF('Detailed Attendance'!AG46:AG46, "P")+COUNTIF('Detailed Attendance'!AO46:AO46, "P")+COUNTIF('Detailed Attendance'!BA46:BA46, "P")+COUNTIF('Detailed Attendance'!BI46:BI46, "P")+COUNTIF('Detailed Attendance'!BU46:BU46, "P")+COUNTIF('Detailed Attendance'!CC46:CC46, "P")+COUNTIF('Detailed Attendance'!CR46:CR46, "P")+COUNTIF('Detailed Attendance'!CZ46:CZ46, "P")+COUNTIF('Detailed Attendance'!DO46:DO46, "P")+COUNTIF('Detailed Attendance'!DW46:DW46, "P")+COUNTIF('Detailed Attendance'!EL46:EL46, "P")+COUNTIF('Detailed Attendance'!ET46:ET46, "P")+COUNTIF('Detailed Attendance'!FF46:FF46, "P")+COUNTIF('Detailed Attendance'!FV46:FV46, "P")+COUNTIF('Detailed Attendance'!GD46:GD46, "P")</f>
        <v/>
      </c>
      <c r="Q44" s="46">
        <f>COUNTIF('Detailed Attendance'!M46:M46, "A")+COUNTIF('Detailed Attendance'!U46:U46, "A")+COUNTIF('Detailed Attendance'!AG46:AG46, "A")+COUNTIF('Detailed Attendance'!AO46:AO46, "A")+COUNTIF('Detailed Attendance'!BA46:BA46, "A")+COUNTIF('Detailed Attendance'!BI46:BI46, "A")+COUNTIF('Detailed Attendance'!BU46:BU46, "A")+COUNTIF('Detailed Attendance'!CC46:CC46, "A")+COUNTIF('Detailed Attendance'!CR46:CR46, "A")+COUNTIF('Detailed Attendance'!CZ46:CZ46, "A")+COUNTIF('Detailed Attendance'!DO46:DO46, "A")+COUNTIF('Detailed Attendance'!DW46:DW46, "A")+COUNTIF('Detailed Attendance'!EL46:EL46, "A")+COUNTIF('Detailed Attendance'!ET46:ET46, "A")+COUNTIF('Detailed Attendance'!FF46:FF46, "A")+COUNTIF('Detailed Attendance'!FV46:FV46, "A")+COUNTIF('Detailed Attendance'!GD46:GD46, "A")</f>
        <v/>
      </c>
      <c r="R44" s="72">
        <f>IF((P44+Q44)=0, "", P44/(P44+Q44))</f>
        <v/>
      </c>
      <c r="S44" s="46">
        <f>COUNTIF('Detailed Attendance'!V46:V46, "P")+COUNTIF('Detailed Attendance'!AP46:AP46, "P")+COUNTIF('Detailed Attendance'!BJ46:BJ46, "P")+COUNTIF('Detailed Attendance'!CD46:CD46, "P")+COUNTIF('Detailed Attendance'!DA46:DA46, "P")+COUNTIF('Detailed Attendance'!DX46:DX46, "P")+COUNTIF('Detailed Attendance'!EU46:EU46, "P")+COUNTIF('Detailed Attendance'!GE46:GE46, "P")</f>
        <v/>
      </c>
      <c r="T44" s="46">
        <f>COUNTIF('Detailed Attendance'!V46:V46, "A")+COUNTIF('Detailed Attendance'!AP46:AP46, "A")+COUNTIF('Detailed Attendance'!BJ46:BJ46, "A")+COUNTIF('Detailed Attendance'!CD46:CD46, "A")+COUNTIF('Detailed Attendance'!DA46:DA46, "A")+COUNTIF('Detailed Attendance'!DX46:DX46, "A")+COUNTIF('Detailed Attendance'!EU46:EU46, "A")+COUNTIF('Detailed Attendance'!GE46:GE46, "A")</f>
        <v/>
      </c>
      <c r="U44" s="73">
        <f>IF((S44+T44)=0, "", S44/(S44+T44))</f>
        <v/>
      </c>
      <c r="V44" s="46">
        <f>COUNTIF('Detailed Attendance'!CH46:CH46, "P")+COUNTIF('Detailed Attendance'!DE46:DE46, "P")+COUNTIF('Detailed Attendance'!EB46:EB46, "P")+COUNTIF('Detailed Attendance'!GI46:GI46, "P")</f>
        <v/>
      </c>
      <c r="W44" s="46">
        <f>COUNTIF('Detailed Attendance'!CH46:CH46, "A")+COUNTIF('Detailed Attendance'!DE46:DE46, "A")+COUNTIF('Detailed Attendance'!EB46:EB46, "A")+COUNTIF('Detailed Attendance'!GI46:GI46, "A")</f>
        <v/>
      </c>
      <c r="X44" s="73">
        <f>IF((V44+W44)=0, "", V44/(V44+W44))</f>
        <v/>
      </c>
      <c r="Y44" s="46">
        <f>COUNTIF('Detailed Attendance'!CG46:CG46, "P")+COUNTIF('Detailed Attendance'!DD46:DD46, "P")+COUNTIF('Detailed Attendance'!EA46:EA46, "P")+COUNTIF('Detailed Attendance'!GH46:GH46, "P")</f>
        <v/>
      </c>
      <c r="Z44" s="46">
        <f>COUNTIF('Detailed Attendance'!CG46:CG46, "A")+COUNTIF('Detailed Attendance'!DD46:DD46, "A")+COUNTIF('Detailed Attendance'!EA46:EA46, "A")+COUNTIF('Detailed Attendance'!GH46:GH46, "A")</f>
        <v/>
      </c>
      <c r="AA44" s="73">
        <f>IF((Y44+Z44)=0, "", Y44/(Y44+Z44))</f>
        <v/>
      </c>
      <c r="AB44" s="46">
        <f>S44+V44+Y44</f>
        <v/>
      </c>
      <c r="AC44" s="46">
        <f>T44+W44+Z44</f>
        <v/>
      </c>
      <c r="AD44" s="73">
        <f>IF((AB44+AC44)=0, "", AB44/(AB44+AC44))</f>
        <v/>
      </c>
      <c r="AE44" s="46" t="inlineStr">
        <is>
          <t>Batch 2</t>
        </is>
      </c>
    </row>
    <row r="45" ht="14.25" customHeight="1" s="34">
      <c r="A45" s="46" t="n">
        <v>44</v>
      </c>
      <c r="B45" s="46" t="inlineStr">
        <is>
          <t>325106410044</t>
        </is>
      </c>
      <c r="C45" s="46" t="inlineStr">
        <is>
          <t>TANUSREE ROUTHU</t>
        </is>
      </c>
      <c r="D45" s="46">
        <f>COUNTIF('Detailed Attendance'!R47:R47, "P")+COUNTIF('Detailed Attendance'!X47:X47, "P")+COUNTIF('Detailed Attendance'!AL47:AL47, "P")+COUNTIF('Detailed Attendance'!BF47:BF47, "P")+COUNTIF('Detailed Attendance'!BL47:BL47, "P")+COUNTIF('Detailed Attendance'!BZ47:BZ47, "P")+COUNTIF('Detailed Attendance'!CI47:CI47, "P")+COUNTIF('Detailed Attendance'!CW47:CW47, "P")+COUNTIF('Detailed Attendance'!DF47:DF47, "P")+COUNTIF('Detailed Attendance'!DT47:DT47, "P")+COUNTIF('Detailed Attendance'!EC47:EC47, "P")+COUNTIF('Detailed Attendance'!EQ47:EQ47, "P")+COUNTIF('Detailed Attendance'!EW47:EW47, "P")+COUNTIF('Detailed Attendance'!FK47:FK47, "P")+COUNTIF('Detailed Attendance'!FM47:FM47, "P")+COUNTIF('Detailed Attendance'!GA47:GA47, "P")</f>
        <v/>
      </c>
      <c r="E45" s="46">
        <f>COUNTIF('Detailed Attendance'!R47:R47, "A")+COUNTIF('Detailed Attendance'!X47:X47, "A")+COUNTIF('Detailed Attendance'!AL47:AL47, "A")+COUNTIF('Detailed Attendance'!BF47:BF47, "A")+COUNTIF('Detailed Attendance'!BL47:BL47, "A")+COUNTIF('Detailed Attendance'!BZ47:BZ47, "A")+COUNTIF('Detailed Attendance'!CI47:CI47, "A")+COUNTIF('Detailed Attendance'!CW47:CW47, "A")+COUNTIF('Detailed Attendance'!DF47:DF47, "A")+COUNTIF('Detailed Attendance'!DT47:DT47, "A")+COUNTIF('Detailed Attendance'!EC47:EC47, "A")+COUNTIF('Detailed Attendance'!EQ47:EQ47, "A")+COUNTIF('Detailed Attendance'!EW47:EW47, "A")+COUNTIF('Detailed Attendance'!FK47:FK47, "A")+COUNTIF('Detailed Attendance'!FM47:FM47, "A")+COUNTIF('Detailed Attendance'!GA47:GA47, "A")</f>
        <v/>
      </c>
      <c r="F45" s="72">
        <f>IF((D45+E45)=0, "", D45/(D45+E45))</f>
        <v/>
      </c>
      <c r="G45" s="46">
        <f>COUNTIF('Detailed Attendance'!I47:I47, "P")+COUNTIF('Detailed Attendance'!Q47:Q47, "P")+COUNTIF('Detailed Attendance'!AC47:AC47, "P")+COUNTIF('Detailed Attendance'!AK47:AK47, "P")+COUNTIF('Detailed Attendance'!AW47:AW47, "P")+COUNTIF('Detailed Attendance'!BE47:BE47, "P")+COUNTIF('Detailed Attendance'!BQ47:BQ47, "P")+COUNTIF('Detailed Attendance'!BY47:BY47, "P")+COUNTIF('Detailed Attendance'!CN47:CN47, "P")+COUNTIF('Detailed Attendance'!CV47:CV47, "P")+COUNTIF('Detailed Attendance'!DK47:DK47, "P")+COUNTIF('Detailed Attendance'!DS47:DS47, "P")+COUNTIF('Detailed Attendance'!EH47:EH47, "P")+COUNTIF('Detailed Attendance'!EP47:EP47, "P")+COUNTIF('Detailed Attendance'!FB47:FB47, "P")+COUNTIF('Detailed Attendance'!FJ47:FJ47, "P")+COUNTIF('Detailed Attendance'!FR47:FR47, "P")+COUNTIF('Detailed Attendance'!FZ47:FZ47, "P")</f>
        <v/>
      </c>
      <c r="H45" s="46">
        <f>COUNTIF('Detailed Attendance'!I47:I47, "A")+COUNTIF('Detailed Attendance'!Q47:Q47, "A")+COUNTIF('Detailed Attendance'!AC47:AC47, "A")+COUNTIF('Detailed Attendance'!AK47:AK47, "A")+COUNTIF('Detailed Attendance'!AW47:AW47, "A")+COUNTIF('Detailed Attendance'!BE47:BE47, "A")+COUNTIF('Detailed Attendance'!BQ47:BQ47, "A")+COUNTIF('Detailed Attendance'!BY47:BY47, "A")+COUNTIF('Detailed Attendance'!CN47:CN47, "A")+COUNTIF('Detailed Attendance'!CV47:CV47, "A")+COUNTIF('Detailed Attendance'!DK47:DK47, "A")+COUNTIF('Detailed Attendance'!DS47:DS47, "A")+COUNTIF('Detailed Attendance'!EH47:EH47, "A")+COUNTIF('Detailed Attendance'!EP47:EP47, "A")+COUNTIF('Detailed Attendance'!FB47:FB47, "A")+COUNTIF('Detailed Attendance'!FJ47:FJ47, "A")+COUNTIF('Detailed Attendance'!FR47:FR47, "A")+COUNTIF('Detailed Attendance'!FZ47:FZ47, "A")</f>
        <v/>
      </c>
      <c r="I45" s="72">
        <f>IF((G45+H45)=0, "", G45/(G45+H45))</f>
        <v/>
      </c>
      <c r="J45" s="46">
        <f>COUNTIF('Detailed Attendance'!L47:L47, "P")+COUNTIF('Detailed Attendance'!P47:P47, "P")+COUNTIF('Detailed Attendance'!AF47:AF47, "P")+COUNTIF('Detailed Attendance'!AJ47:AJ47, "P")+COUNTIF('Detailed Attendance'!AZ47:AZ47, "P")+COUNTIF('Detailed Attendance'!BD47:BD47, "P")+COUNTIF('Detailed Attendance'!BT47:BT47, "P")+COUNTIF('Detailed Attendance'!BX47:BX47, "P")+COUNTIF('Detailed Attendance'!CQ47:CQ47, "P")+COUNTIF('Detailed Attendance'!CU47:CU47, "P")+COUNTIF('Detailed Attendance'!DN47:DN47, "P")+COUNTIF('Detailed Attendance'!DR47:DR47, "P")+COUNTIF('Detailed Attendance'!EK47:EK47, "P")+COUNTIF('Detailed Attendance'!EO47:EO47, "P")+COUNTIF('Detailed Attendance'!FE47:FE47, "P")+COUNTIF('Detailed Attendance'!FI47:FI47, "P")+COUNTIF('Detailed Attendance'!FU47:FU47, "P")+COUNTIF('Detailed Attendance'!FY47:FY47, "P")</f>
        <v/>
      </c>
      <c r="K45" s="46">
        <f>COUNTIF('Detailed Attendance'!L47:L47, "A")+COUNTIF('Detailed Attendance'!P47:P47, "A")+COUNTIF('Detailed Attendance'!AF47:AF47, "A")+COUNTIF('Detailed Attendance'!AJ47:AJ47, "A")+COUNTIF('Detailed Attendance'!AZ47:AZ47, "A")+COUNTIF('Detailed Attendance'!BD47:BD47, "A")+COUNTIF('Detailed Attendance'!BT47:BT47, "A")+COUNTIF('Detailed Attendance'!BX47:BX47, "A")+COUNTIF('Detailed Attendance'!CQ47:CQ47, "A")+COUNTIF('Detailed Attendance'!CU47:CU47, "A")+COUNTIF('Detailed Attendance'!DN47:DN47, "A")+COUNTIF('Detailed Attendance'!DR47:DR47, "A")+COUNTIF('Detailed Attendance'!EK47:EK47, "A")+COUNTIF('Detailed Attendance'!EO47:EO47, "A")+COUNTIF('Detailed Attendance'!FE47:FE47, "A")+COUNTIF('Detailed Attendance'!FI47:FI47, "A")+COUNTIF('Detailed Attendance'!FU47:FU47, "A")+COUNTIF('Detailed Attendance'!FY47:FY47, "A")</f>
        <v/>
      </c>
      <c r="L45" s="72">
        <f>IF((J45+K45)=0, "", J45/(J45+K45))</f>
        <v/>
      </c>
      <c r="M45" s="46">
        <f>COUNTIF('Detailed Attendance'!D47:D47, "P")+COUNTIF('Detailed Attendance'!T47:T47, "P")+COUNTIF('Detailed Attendance'!AN47:AN47, "P")+COUNTIF('Detailed Attendance'!AR47:AR47, "P")+COUNTIF('Detailed Attendance'!BH47:BH47, "P")+COUNTIF('Detailed Attendance'!CB47:CB47, "P")+COUNTIF('Detailed Attendance'!CF47:CF47, "P")+COUNTIF('Detailed Attendance'!CY47:CY47, "P")+COUNTIF('Detailed Attendance'!DC47:DC47, "P")+COUNTIF('Detailed Attendance'!DV47:DV47, "P")+COUNTIF('Detailed Attendance'!DZ47:DZ47, "P")+COUNTIF('Detailed Attendance'!ES47:ES47, "P")+COUNTIF('Detailed Attendance'!GC47:GC47, "P")+COUNTIF('Detailed Attendance'!GG47:GG47, "P")</f>
        <v/>
      </c>
      <c r="N45" s="46">
        <f>COUNTIF('Detailed Attendance'!D47:D47, "A")+COUNTIF('Detailed Attendance'!T47:T47, "A")+COUNTIF('Detailed Attendance'!AN47:AN47, "A")+COUNTIF('Detailed Attendance'!AR47:AR47, "A")+COUNTIF('Detailed Attendance'!BH47:BH47, "A")+COUNTIF('Detailed Attendance'!CB47:CB47, "A")+COUNTIF('Detailed Attendance'!CF47:CF47, "A")+COUNTIF('Detailed Attendance'!CY47:CY47, "A")+COUNTIF('Detailed Attendance'!DC47:DC47, "A")+COUNTIF('Detailed Attendance'!DV47:DV47, "A")+COUNTIF('Detailed Attendance'!DZ47:DZ47, "A")+COUNTIF('Detailed Attendance'!ES47:ES47, "A")+COUNTIF('Detailed Attendance'!GC47:GC47, "A")+COUNTIF('Detailed Attendance'!GG47:GG47, "A")</f>
        <v/>
      </c>
      <c r="O45" s="72">
        <f>IF((M45+N45)=0, "", M45/(M45+N45))</f>
        <v/>
      </c>
      <c r="P45" s="46">
        <f>COUNTIF('Detailed Attendance'!M47:M47, "P")+COUNTIF('Detailed Attendance'!U47:U47, "P")+COUNTIF('Detailed Attendance'!AG47:AG47, "P")+COUNTIF('Detailed Attendance'!AO47:AO47, "P")+COUNTIF('Detailed Attendance'!BA47:BA47, "P")+COUNTIF('Detailed Attendance'!BI47:BI47, "P")+COUNTIF('Detailed Attendance'!BU47:BU47, "P")+COUNTIF('Detailed Attendance'!CC47:CC47, "P")+COUNTIF('Detailed Attendance'!CR47:CR47, "P")+COUNTIF('Detailed Attendance'!CZ47:CZ47, "P")+COUNTIF('Detailed Attendance'!DO47:DO47, "P")+COUNTIF('Detailed Attendance'!DW47:DW47, "P")+COUNTIF('Detailed Attendance'!EL47:EL47, "P")+COUNTIF('Detailed Attendance'!ET47:ET47, "P")+COUNTIF('Detailed Attendance'!FF47:FF47, "P")+COUNTIF('Detailed Attendance'!FV47:FV47, "P")+COUNTIF('Detailed Attendance'!GD47:GD47, "P")</f>
        <v/>
      </c>
      <c r="Q45" s="46">
        <f>COUNTIF('Detailed Attendance'!M47:M47, "A")+COUNTIF('Detailed Attendance'!U47:U47, "A")+COUNTIF('Detailed Attendance'!AG47:AG47, "A")+COUNTIF('Detailed Attendance'!AO47:AO47, "A")+COUNTIF('Detailed Attendance'!BA47:BA47, "A")+COUNTIF('Detailed Attendance'!BI47:BI47, "A")+COUNTIF('Detailed Attendance'!BU47:BU47, "A")+COUNTIF('Detailed Attendance'!CC47:CC47, "A")+COUNTIF('Detailed Attendance'!CR47:CR47, "A")+COUNTIF('Detailed Attendance'!CZ47:CZ47, "A")+COUNTIF('Detailed Attendance'!DO47:DO47, "A")+COUNTIF('Detailed Attendance'!DW47:DW47, "A")+COUNTIF('Detailed Attendance'!EL47:EL47, "A")+COUNTIF('Detailed Attendance'!ET47:ET47, "A")+COUNTIF('Detailed Attendance'!FF47:FF47, "A")+COUNTIF('Detailed Attendance'!FV47:FV47, "A")+COUNTIF('Detailed Attendance'!GD47:GD47, "A")</f>
        <v/>
      </c>
      <c r="R45" s="72">
        <f>IF((P45+Q45)=0, "", P45/(P45+Q45))</f>
        <v/>
      </c>
      <c r="S45" s="46">
        <f>COUNTIF('Detailed Attendance'!V47:V47, "P")+COUNTIF('Detailed Attendance'!AP47:AP47, "P")+COUNTIF('Detailed Attendance'!BJ47:BJ47, "P")+COUNTIF('Detailed Attendance'!CD47:CD47, "P")+COUNTIF('Detailed Attendance'!DA47:DA47, "P")+COUNTIF('Detailed Attendance'!DX47:DX47, "P")+COUNTIF('Detailed Attendance'!EU47:EU47, "P")+COUNTIF('Detailed Attendance'!GE47:GE47, "P")</f>
        <v/>
      </c>
      <c r="T45" s="46">
        <f>COUNTIF('Detailed Attendance'!V47:V47, "A")+COUNTIF('Detailed Attendance'!AP47:AP47, "A")+COUNTIF('Detailed Attendance'!BJ47:BJ47, "A")+COUNTIF('Detailed Attendance'!CD47:CD47, "A")+COUNTIF('Detailed Attendance'!DA47:DA47, "A")+COUNTIF('Detailed Attendance'!DX47:DX47, "A")+COUNTIF('Detailed Attendance'!EU47:EU47, "A")+COUNTIF('Detailed Attendance'!GE47:GE47, "A")</f>
        <v/>
      </c>
      <c r="U45" s="73">
        <f>IF((S45+T45)=0, "", S45/(S45+T45))</f>
        <v/>
      </c>
      <c r="V45" s="46">
        <f>COUNTIF('Detailed Attendance'!CH47:CH47, "P")+COUNTIF('Detailed Attendance'!DE47:DE47, "P")+COUNTIF('Detailed Attendance'!EB47:EB47, "P")+COUNTIF('Detailed Attendance'!GI47:GI47, "P")</f>
        <v/>
      </c>
      <c r="W45" s="46">
        <f>COUNTIF('Detailed Attendance'!CH47:CH47, "A")+COUNTIF('Detailed Attendance'!DE47:DE47, "A")+COUNTIF('Detailed Attendance'!EB47:EB47, "A")+COUNTIF('Detailed Attendance'!GI47:GI47, "A")</f>
        <v/>
      </c>
      <c r="X45" s="73">
        <f>IF((V45+W45)=0, "", V45/(V45+W45))</f>
        <v/>
      </c>
      <c r="Y45" s="46">
        <f>COUNTIF('Detailed Attendance'!CG47:CG47, "P")+COUNTIF('Detailed Attendance'!DD47:DD47, "P")+COUNTIF('Detailed Attendance'!EA47:EA47, "P")+COUNTIF('Detailed Attendance'!GH47:GH47, "P")</f>
        <v/>
      </c>
      <c r="Z45" s="46">
        <f>COUNTIF('Detailed Attendance'!CG47:CG47, "A")+COUNTIF('Detailed Attendance'!DD47:DD47, "A")+COUNTIF('Detailed Attendance'!EA47:EA47, "A")+COUNTIF('Detailed Attendance'!GH47:GH47, "A")</f>
        <v/>
      </c>
      <c r="AA45" s="73">
        <f>IF((Y45+Z45)=0, "", Y45/(Y45+Z45))</f>
        <v/>
      </c>
      <c r="AB45" s="46">
        <f>S45+V45+Y45</f>
        <v/>
      </c>
      <c r="AC45" s="46">
        <f>T45+W45+Z45</f>
        <v/>
      </c>
      <c r="AD45" s="73">
        <f>IF((AB45+AC45)=0, "", AB45/(AB45+AC45))</f>
        <v/>
      </c>
      <c r="AE45" s="46" t="inlineStr">
        <is>
          <t>Batch 2</t>
        </is>
      </c>
    </row>
    <row r="46" ht="14.25" customHeight="1" s="34">
      <c r="A46" s="46" t="n">
        <v>45</v>
      </c>
      <c r="B46" s="46" t="inlineStr">
        <is>
          <t>325106410045</t>
        </is>
      </c>
      <c r="C46" s="46" t="inlineStr">
        <is>
          <t>MOHANA LASYA SABBAVARAPU</t>
        </is>
      </c>
      <c r="D46" s="46">
        <f>COUNTIF('Detailed Attendance'!R48:R48, "P")+COUNTIF('Detailed Attendance'!X48:X48, "P")+COUNTIF('Detailed Attendance'!AL48:AL48, "P")+COUNTIF('Detailed Attendance'!BF48:BF48, "P")+COUNTIF('Detailed Attendance'!BL48:BL48, "P")+COUNTIF('Detailed Attendance'!BZ48:BZ48, "P")+COUNTIF('Detailed Attendance'!CI48:CI48, "P")+COUNTIF('Detailed Attendance'!CW48:CW48, "P")+COUNTIF('Detailed Attendance'!DF48:DF48, "P")+COUNTIF('Detailed Attendance'!DT48:DT48, "P")+COUNTIF('Detailed Attendance'!EC48:EC48, "P")+COUNTIF('Detailed Attendance'!EQ48:EQ48, "P")+COUNTIF('Detailed Attendance'!EW48:EW48, "P")+COUNTIF('Detailed Attendance'!FK48:FK48, "P")+COUNTIF('Detailed Attendance'!FM48:FM48, "P")+COUNTIF('Detailed Attendance'!GA48:GA48, "P")</f>
        <v/>
      </c>
      <c r="E46" s="46">
        <f>COUNTIF('Detailed Attendance'!R48:R48, "A")+COUNTIF('Detailed Attendance'!X48:X48, "A")+COUNTIF('Detailed Attendance'!AL48:AL48, "A")+COUNTIF('Detailed Attendance'!BF48:BF48, "A")+COUNTIF('Detailed Attendance'!BL48:BL48, "A")+COUNTIF('Detailed Attendance'!BZ48:BZ48, "A")+COUNTIF('Detailed Attendance'!CI48:CI48, "A")+COUNTIF('Detailed Attendance'!CW48:CW48, "A")+COUNTIF('Detailed Attendance'!DF48:DF48, "A")+COUNTIF('Detailed Attendance'!DT48:DT48, "A")+COUNTIF('Detailed Attendance'!EC48:EC48, "A")+COUNTIF('Detailed Attendance'!EQ48:EQ48, "A")+COUNTIF('Detailed Attendance'!EW48:EW48, "A")+COUNTIF('Detailed Attendance'!FK48:FK48, "A")+COUNTIF('Detailed Attendance'!FM48:FM48, "A")+COUNTIF('Detailed Attendance'!GA48:GA48, "A")</f>
        <v/>
      </c>
      <c r="F46" s="72">
        <f>IF((D46+E46)=0, "", D46/(D46+E46))</f>
        <v/>
      </c>
      <c r="G46" s="46">
        <f>COUNTIF('Detailed Attendance'!I48:I48, "P")+COUNTIF('Detailed Attendance'!Q48:Q48, "P")+COUNTIF('Detailed Attendance'!AC48:AC48, "P")+COUNTIF('Detailed Attendance'!AK48:AK48, "P")+COUNTIF('Detailed Attendance'!AW48:AW48, "P")+COUNTIF('Detailed Attendance'!BE48:BE48, "P")+COUNTIF('Detailed Attendance'!BQ48:BQ48, "P")+COUNTIF('Detailed Attendance'!BY48:BY48, "P")+COUNTIF('Detailed Attendance'!CN48:CN48, "P")+COUNTIF('Detailed Attendance'!CV48:CV48, "P")+COUNTIF('Detailed Attendance'!DK48:DK48, "P")+COUNTIF('Detailed Attendance'!DS48:DS48, "P")+COUNTIF('Detailed Attendance'!EH48:EH48, "P")+COUNTIF('Detailed Attendance'!EP48:EP48, "P")+COUNTIF('Detailed Attendance'!FB48:FB48, "P")+COUNTIF('Detailed Attendance'!FJ48:FJ48, "P")+COUNTIF('Detailed Attendance'!FR48:FR48, "P")+COUNTIF('Detailed Attendance'!FZ48:FZ48, "P")</f>
        <v/>
      </c>
      <c r="H46" s="46">
        <f>COUNTIF('Detailed Attendance'!I48:I48, "A")+COUNTIF('Detailed Attendance'!Q48:Q48, "A")+COUNTIF('Detailed Attendance'!AC48:AC48, "A")+COUNTIF('Detailed Attendance'!AK48:AK48, "A")+COUNTIF('Detailed Attendance'!AW48:AW48, "A")+COUNTIF('Detailed Attendance'!BE48:BE48, "A")+COUNTIF('Detailed Attendance'!BQ48:BQ48, "A")+COUNTIF('Detailed Attendance'!BY48:BY48, "A")+COUNTIF('Detailed Attendance'!CN48:CN48, "A")+COUNTIF('Detailed Attendance'!CV48:CV48, "A")+COUNTIF('Detailed Attendance'!DK48:DK48, "A")+COUNTIF('Detailed Attendance'!DS48:DS48, "A")+COUNTIF('Detailed Attendance'!EH48:EH48, "A")+COUNTIF('Detailed Attendance'!EP48:EP48, "A")+COUNTIF('Detailed Attendance'!FB48:FB48, "A")+COUNTIF('Detailed Attendance'!FJ48:FJ48, "A")+COUNTIF('Detailed Attendance'!FR48:FR48, "A")+COUNTIF('Detailed Attendance'!FZ48:FZ48, "A")</f>
        <v/>
      </c>
      <c r="I46" s="72">
        <f>IF((G46+H46)=0, "", G46/(G46+H46))</f>
        <v/>
      </c>
      <c r="J46" s="46">
        <f>COUNTIF('Detailed Attendance'!L48:L48, "P")+COUNTIF('Detailed Attendance'!P48:P48, "P")+COUNTIF('Detailed Attendance'!AF48:AF48, "P")+COUNTIF('Detailed Attendance'!AJ48:AJ48, "P")+COUNTIF('Detailed Attendance'!AZ48:AZ48, "P")+COUNTIF('Detailed Attendance'!BD48:BD48, "P")+COUNTIF('Detailed Attendance'!BT48:BT48, "P")+COUNTIF('Detailed Attendance'!BX48:BX48, "P")+COUNTIF('Detailed Attendance'!CQ48:CQ48, "P")+COUNTIF('Detailed Attendance'!CU48:CU48, "P")+COUNTIF('Detailed Attendance'!DN48:DN48, "P")+COUNTIF('Detailed Attendance'!DR48:DR48, "P")+COUNTIF('Detailed Attendance'!EK48:EK48, "P")+COUNTIF('Detailed Attendance'!EO48:EO48, "P")+COUNTIF('Detailed Attendance'!FE48:FE48, "P")+COUNTIF('Detailed Attendance'!FI48:FI48, "P")+COUNTIF('Detailed Attendance'!FU48:FU48, "P")+COUNTIF('Detailed Attendance'!FY48:FY48, "P")</f>
        <v/>
      </c>
      <c r="K46" s="46">
        <f>COUNTIF('Detailed Attendance'!L48:L48, "A")+COUNTIF('Detailed Attendance'!P48:P48, "A")+COUNTIF('Detailed Attendance'!AF48:AF48, "A")+COUNTIF('Detailed Attendance'!AJ48:AJ48, "A")+COUNTIF('Detailed Attendance'!AZ48:AZ48, "A")+COUNTIF('Detailed Attendance'!BD48:BD48, "A")+COUNTIF('Detailed Attendance'!BT48:BT48, "A")+COUNTIF('Detailed Attendance'!BX48:BX48, "A")+COUNTIF('Detailed Attendance'!CQ48:CQ48, "A")+COUNTIF('Detailed Attendance'!CU48:CU48, "A")+COUNTIF('Detailed Attendance'!DN48:DN48, "A")+COUNTIF('Detailed Attendance'!DR48:DR48, "A")+COUNTIF('Detailed Attendance'!EK48:EK48, "A")+COUNTIF('Detailed Attendance'!EO48:EO48, "A")+COUNTIF('Detailed Attendance'!FE48:FE48, "A")+COUNTIF('Detailed Attendance'!FI48:FI48, "A")+COUNTIF('Detailed Attendance'!FU48:FU48, "A")+COUNTIF('Detailed Attendance'!FY48:FY48, "A")</f>
        <v/>
      </c>
      <c r="L46" s="72">
        <f>IF((J46+K46)=0, "", J46/(J46+K46))</f>
        <v/>
      </c>
      <c r="M46" s="46">
        <f>COUNTIF('Detailed Attendance'!D48:D48, "P")+COUNTIF('Detailed Attendance'!T48:T48, "P")+COUNTIF('Detailed Attendance'!AN48:AN48, "P")+COUNTIF('Detailed Attendance'!AR48:AR48, "P")+COUNTIF('Detailed Attendance'!BH48:BH48, "P")+COUNTIF('Detailed Attendance'!CB48:CB48, "P")+COUNTIF('Detailed Attendance'!CF48:CF48, "P")+COUNTIF('Detailed Attendance'!CY48:CY48, "P")+COUNTIF('Detailed Attendance'!DC48:DC48, "P")+COUNTIF('Detailed Attendance'!DV48:DV48, "P")+COUNTIF('Detailed Attendance'!DZ48:DZ48, "P")+COUNTIF('Detailed Attendance'!ES48:ES48, "P")+COUNTIF('Detailed Attendance'!GC48:GC48, "P")+COUNTIF('Detailed Attendance'!GG48:GG48, "P")</f>
        <v/>
      </c>
      <c r="N46" s="46">
        <f>COUNTIF('Detailed Attendance'!D48:D48, "A")+COUNTIF('Detailed Attendance'!T48:T48, "A")+COUNTIF('Detailed Attendance'!AN48:AN48, "A")+COUNTIF('Detailed Attendance'!AR48:AR48, "A")+COUNTIF('Detailed Attendance'!BH48:BH48, "A")+COUNTIF('Detailed Attendance'!CB48:CB48, "A")+COUNTIF('Detailed Attendance'!CF48:CF48, "A")+COUNTIF('Detailed Attendance'!CY48:CY48, "A")+COUNTIF('Detailed Attendance'!DC48:DC48, "A")+COUNTIF('Detailed Attendance'!DV48:DV48, "A")+COUNTIF('Detailed Attendance'!DZ48:DZ48, "A")+COUNTIF('Detailed Attendance'!ES48:ES48, "A")+COUNTIF('Detailed Attendance'!GC48:GC48, "A")+COUNTIF('Detailed Attendance'!GG48:GG48, "A")</f>
        <v/>
      </c>
      <c r="O46" s="72">
        <f>IF((M46+N46)=0, "", M46/(M46+N46))</f>
        <v/>
      </c>
      <c r="P46" s="46">
        <f>COUNTIF('Detailed Attendance'!M48:M48, "P")+COUNTIF('Detailed Attendance'!U48:U48, "P")+COUNTIF('Detailed Attendance'!AG48:AG48, "P")+COUNTIF('Detailed Attendance'!AO48:AO48, "P")+COUNTIF('Detailed Attendance'!BA48:BA48, "P")+COUNTIF('Detailed Attendance'!BI48:BI48, "P")+COUNTIF('Detailed Attendance'!BU48:BU48, "P")+COUNTIF('Detailed Attendance'!CC48:CC48, "P")+COUNTIF('Detailed Attendance'!CR48:CR48, "P")+COUNTIF('Detailed Attendance'!CZ48:CZ48, "P")+COUNTIF('Detailed Attendance'!DO48:DO48, "P")+COUNTIF('Detailed Attendance'!DW48:DW48, "P")+COUNTIF('Detailed Attendance'!EL48:EL48, "P")+COUNTIF('Detailed Attendance'!ET48:ET48, "P")+COUNTIF('Detailed Attendance'!FF48:FF48, "P")+COUNTIF('Detailed Attendance'!FV48:FV48, "P")+COUNTIF('Detailed Attendance'!GD48:GD48, "P")</f>
        <v/>
      </c>
      <c r="Q46" s="46">
        <f>COUNTIF('Detailed Attendance'!M48:M48, "A")+COUNTIF('Detailed Attendance'!U48:U48, "A")+COUNTIF('Detailed Attendance'!AG48:AG48, "A")+COUNTIF('Detailed Attendance'!AO48:AO48, "A")+COUNTIF('Detailed Attendance'!BA48:BA48, "A")+COUNTIF('Detailed Attendance'!BI48:BI48, "A")+COUNTIF('Detailed Attendance'!BU48:BU48, "A")+COUNTIF('Detailed Attendance'!CC48:CC48, "A")+COUNTIF('Detailed Attendance'!CR48:CR48, "A")+COUNTIF('Detailed Attendance'!CZ48:CZ48, "A")+COUNTIF('Detailed Attendance'!DO48:DO48, "A")+COUNTIF('Detailed Attendance'!DW48:DW48, "A")+COUNTIF('Detailed Attendance'!EL48:EL48, "A")+COUNTIF('Detailed Attendance'!ET48:ET48, "A")+COUNTIF('Detailed Attendance'!FF48:FF48, "A")+COUNTIF('Detailed Attendance'!FV48:FV48, "A")+COUNTIF('Detailed Attendance'!GD48:GD48, "A")</f>
        <v/>
      </c>
      <c r="R46" s="72">
        <f>IF((P46+Q46)=0, "", P46/(P46+Q46))</f>
        <v/>
      </c>
      <c r="S46" s="46">
        <f>COUNTIF('Detailed Attendance'!V48:V48, "P")+COUNTIF('Detailed Attendance'!AP48:AP48, "P")+COUNTIF('Detailed Attendance'!BJ48:BJ48, "P")+COUNTIF('Detailed Attendance'!CD48:CD48, "P")+COUNTIF('Detailed Attendance'!DA48:DA48, "P")+COUNTIF('Detailed Attendance'!DX48:DX48, "P")+COUNTIF('Detailed Attendance'!EU48:EU48, "P")+COUNTIF('Detailed Attendance'!GE48:GE48, "P")</f>
        <v/>
      </c>
      <c r="T46" s="46">
        <f>COUNTIF('Detailed Attendance'!V48:V48, "A")+COUNTIF('Detailed Attendance'!AP48:AP48, "A")+COUNTIF('Detailed Attendance'!BJ48:BJ48, "A")+COUNTIF('Detailed Attendance'!CD48:CD48, "A")+COUNTIF('Detailed Attendance'!DA48:DA48, "A")+COUNTIF('Detailed Attendance'!DX48:DX48, "A")+COUNTIF('Detailed Attendance'!EU48:EU48, "A")+COUNTIF('Detailed Attendance'!GE48:GE48, "A")</f>
        <v/>
      </c>
      <c r="U46" s="73">
        <f>IF((S46+T46)=0, "", S46/(S46+T46))</f>
        <v/>
      </c>
      <c r="V46" s="46">
        <f>COUNTIF('Detailed Attendance'!CH48:CH48, "P")+COUNTIF('Detailed Attendance'!DE48:DE48, "P")+COUNTIF('Detailed Attendance'!EB48:EB48, "P")+COUNTIF('Detailed Attendance'!GI48:GI48, "P")</f>
        <v/>
      </c>
      <c r="W46" s="46">
        <f>COUNTIF('Detailed Attendance'!CH48:CH48, "A")+COUNTIF('Detailed Attendance'!DE48:DE48, "A")+COUNTIF('Detailed Attendance'!EB48:EB48, "A")+COUNTIF('Detailed Attendance'!GI48:GI48, "A")</f>
        <v/>
      </c>
      <c r="X46" s="73">
        <f>IF((V46+W46)=0, "", V46/(V46+W46))</f>
        <v/>
      </c>
      <c r="Y46" s="46">
        <f>COUNTIF('Detailed Attendance'!CG48:CG48, "P")+COUNTIF('Detailed Attendance'!DD48:DD48, "P")+COUNTIF('Detailed Attendance'!EA48:EA48, "P")+COUNTIF('Detailed Attendance'!GH48:GH48, "P")</f>
        <v/>
      </c>
      <c r="Z46" s="46">
        <f>COUNTIF('Detailed Attendance'!CG48:CG48, "A")+COUNTIF('Detailed Attendance'!DD48:DD48, "A")+COUNTIF('Detailed Attendance'!EA48:EA48, "A")+COUNTIF('Detailed Attendance'!GH48:GH48, "A")</f>
        <v/>
      </c>
      <c r="AA46" s="73">
        <f>IF((Y46+Z46)=0, "", Y46/(Y46+Z46))</f>
        <v/>
      </c>
      <c r="AB46" s="46">
        <f>S46+V46+Y46</f>
        <v/>
      </c>
      <c r="AC46" s="46">
        <f>T46+W46+Z46</f>
        <v/>
      </c>
      <c r="AD46" s="73">
        <f>IF((AB46+AC46)=0, "", AB46/(AB46+AC46))</f>
        <v/>
      </c>
      <c r="AE46" s="46" t="inlineStr">
        <is>
          <t>Batch 2</t>
        </is>
      </c>
    </row>
    <row r="47" ht="14.25" customHeight="1" s="34">
      <c r="A47" s="46" t="n">
        <v>46</v>
      </c>
      <c r="B47" s="46" t="inlineStr">
        <is>
          <t>325106410046</t>
        </is>
      </c>
      <c r="C47" s="46" t="inlineStr">
        <is>
          <t>RONY JOEL</t>
        </is>
      </c>
      <c r="D47" s="46">
        <f>COUNTIF('Detailed Attendance'!R49:R49, "P")+COUNTIF('Detailed Attendance'!X49:X49, "P")+COUNTIF('Detailed Attendance'!AL49:AL49, "P")+COUNTIF('Detailed Attendance'!BF49:BF49, "P")+COUNTIF('Detailed Attendance'!BL49:BL49, "P")+COUNTIF('Detailed Attendance'!BZ49:BZ49, "P")+COUNTIF('Detailed Attendance'!CI49:CI49, "P")+COUNTIF('Detailed Attendance'!CW49:CW49, "P")+COUNTIF('Detailed Attendance'!DF49:DF49, "P")+COUNTIF('Detailed Attendance'!DT49:DT49, "P")+COUNTIF('Detailed Attendance'!EC49:EC49, "P")+COUNTIF('Detailed Attendance'!EQ49:EQ49, "P")+COUNTIF('Detailed Attendance'!EW49:EW49, "P")+COUNTIF('Detailed Attendance'!FK49:FK49, "P")+COUNTIF('Detailed Attendance'!FM49:FM49, "P")+COUNTIF('Detailed Attendance'!GA49:GA49, "P")</f>
        <v/>
      </c>
      <c r="E47" s="46">
        <f>COUNTIF('Detailed Attendance'!R49:R49, "A")+COUNTIF('Detailed Attendance'!X49:X49, "A")+COUNTIF('Detailed Attendance'!AL49:AL49, "A")+COUNTIF('Detailed Attendance'!BF49:BF49, "A")+COUNTIF('Detailed Attendance'!BL49:BL49, "A")+COUNTIF('Detailed Attendance'!BZ49:BZ49, "A")+COUNTIF('Detailed Attendance'!CI49:CI49, "A")+COUNTIF('Detailed Attendance'!CW49:CW49, "A")+COUNTIF('Detailed Attendance'!DF49:DF49, "A")+COUNTIF('Detailed Attendance'!DT49:DT49, "A")+COUNTIF('Detailed Attendance'!EC49:EC49, "A")+COUNTIF('Detailed Attendance'!EQ49:EQ49, "A")+COUNTIF('Detailed Attendance'!EW49:EW49, "A")+COUNTIF('Detailed Attendance'!FK49:FK49, "A")+COUNTIF('Detailed Attendance'!FM49:FM49, "A")+COUNTIF('Detailed Attendance'!GA49:GA49, "A")</f>
        <v/>
      </c>
      <c r="F47" s="72">
        <f>IF((D47+E47)=0, "", D47/(D47+E47))</f>
        <v/>
      </c>
      <c r="G47" s="46">
        <f>COUNTIF('Detailed Attendance'!I49:I49, "P")+COUNTIF('Detailed Attendance'!Q49:Q49, "P")+COUNTIF('Detailed Attendance'!AC49:AC49, "P")+COUNTIF('Detailed Attendance'!AK49:AK49, "P")+COUNTIF('Detailed Attendance'!AW49:AW49, "P")+COUNTIF('Detailed Attendance'!BE49:BE49, "P")+COUNTIF('Detailed Attendance'!BQ49:BQ49, "P")+COUNTIF('Detailed Attendance'!BY49:BY49, "P")+COUNTIF('Detailed Attendance'!CN49:CN49, "P")+COUNTIF('Detailed Attendance'!CV49:CV49, "P")+COUNTIF('Detailed Attendance'!DK49:DK49, "P")+COUNTIF('Detailed Attendance'!DS49:DS49, "P")+COUNTIF('Detailed Attendance'!EH49:EH49, "P")+COUNTIF('Detailed Attendance'!EP49:EP49, "P")+COUNTIF('Detailed Attendance'!FB49:FB49, "P")+COUNTIF('Detailed Attendance'!FJ49:FJ49, "P")+COUNTIF('Detailed Attendance'!FR49:FR49, "P")+COUNTIF('Detailed Attendance'!FZ49:FZ49, "P")</f>
        <v/>
      </c>
      <c r="H47" s="46">
        <f>COUNTIF('Detailed Attendance'!I49:I49, "A")+COUNTIF('Detailed Attendance'!Q49:Q49, "A")+COUNTIF('Detailed Attendance'!AC49:AC49, "A")+COUNTIF('Detailed Attendance'!AK49:AK49, "A")+COUNTIF('Detailed Attendance'!AW49:AW49, "A")+COUNTIF('Detailed Attendance'!BE49:BE49, "A")+COUNTIF('Detailed Attendance'!BQ49:BQ49, "A")+COUNTIF('Detailed Attendance'!BY49:BY49, "A")+COUNTIF('Detailed Attendance'!CN49:CN49, "A")+COUNTIF('Detailed Attendance'!CV49:CV49, "A")+COUNTIF('Detailed Attendance'!DK49:DK49, "A")+COUNTIF('Detailed Attendance'!DS49:DS49, "A")+COUNTIF('Detailed Attendance'!EH49:EH49, "A")+COUNTIF('Detailed Attendance'!EP49:EP49, "A")+COUNTIF('Detailed Attendance'!FB49:FB49, "A")+COUNTIF('Detailed Attendance'!FJ49:FJ49, "A")+COUNTIF('Detailed Attendance'!FR49:FR49, "A")+COUNTIF('Detailed Attendance'!FZ49:FZ49, "A")</f>
        <v/>
      </c>
      <c r="I47" s="72">
        <f>IF((G47+H47)=0, "", G47/(G47+H47))</f>
        <v/>
      </c>
      <c r="J47" s="46">
        <f>COUNTIF('Detailed Attendance'!L49:L49, "P")+COUNTIF('Detailed Attendance'!P49:P49, "P")+COUNTIF('Detailed Attendance'!AF49:AF49, "P")+COUNTIF('Detailed Attendance'!AJ49:AJ49, "P")+COUNTIF('Detailed Attendance'!AZ49:AZ49, "P")+COUNTIF('Detailed Attendance'!BD49:BD49, "P")+COUNTIF('Detailed Attendance'!BT49:BT49, "P")+COUNTIF('Detailed Attendance'!BX49:BX49, "P")+COUNTIF('Detailed Attendance'!CQ49:CQ49, "P")+COUNTIF('Detailed Attendance'!CU49:CU49, "P")+COUNTIF('Detailed Attendance'!DN49:DN49, "P")+COUNTIF('Detailed Attendance'!DR49:DR49, "P")+COUNTIF('Detailed Attendance'!EK49:EK49, "P")+COUNTIF('Detailed Attendance'!EO49:EO49, "P")+COUNTIF('Detailed Attendance'!FE49:FE49, "P")+COUNTIF('Detailed Attendance'!FI49:FI49, "P")+COUNTIF('Detailed Attendance'!FU49:FU49, "P")+COUNTIF('Detailed Attendance'!FY49:FY49, "P")</f>
        <v/>
      </c>
      <c r="K47" s="46">
        <f>COUNTIF('Detailed Attendance'!L49:L49, "A")+COUNTIF('Detailed Attendance'!P49:P49, "A")+COUNTIF('Detailed Attendance'!AF49:AF49, "A")+COUNTIF('Detailed Attendance'!AJ49:AJ49, "A")+COUNTIF('Detailed Attendance'!AZ49:AZ49, "A")+COUNTIF('Detailed Attendance'!BD49:BD49, "A")+COUNTIF('Detailed Attendance'!BT49:BT49, "A")+COUNTIF('Detailed Attendance'!BX49:BX49, "A")+COUNTIF('Detailed Attendance'!CQ49:CQ49, "A")+COUNTIF('Detailed Attendance'!CU49:CU49, "A")+COUNTIF('Detailed Attendance'!DN49:DN49, "A")+COUNTIF('Detailed Attendance'!DR49:DR49, "A")+COUNTIF('Detailed Attendance'!EK49:EK49, "A")+COUNTIF('Detailed Attendance'!EO49:EO49, "A")+COUNTIF('Detailed Attendance'!FE49:FE49, "A")+COUNTIF('Detailed Attendance'!FI49:FI49, "A")+COUNTIF('Detailed Attendance'!FU49:FU49, "A")+COUNTIF('Detailed Attendance'!FY49:FY49, "A")</f>
        <v/>
      </c>
      <c r="L47" s="72">
        <f>IF((J47+K47)=0, "", J47/(J47+K47))</f>
        <v/>
      </c>
      <c r="M47" s="46">
        <f>COUNTIF('Detailed Attendance'!D49:D49, "P")+COUNTIF('Detailed Attendance'!T49:T49, "P")+COUNTIF('Detailed Attendance'!AN49:AN49, "P")+COUNTIF('Detailed Attendance'!AR49:AR49, "P")+COUNTIF('Detailed Attendance'!BH49:BH49, "P")+COUNTIF('Detailed Attendance'!CB49:CB49, "P")+COUNTIF('Detailed Attendance'!CF49:CF49, "P")+COUNTIF('Detailed Attendance'!CY49:CY49, "P")+COUNTIF('Detailed Attendance'!DC49:DC49, "P")+COUNTIF('Detailed Attendance'!DV49:DV49, "P")+COUNTIF('Detailed Attendance'!DZ49:DZ49, "P")+COUNTIF('Detailed Attendance'!ES49:ES49, "P")+COUNTIF('Detailed Attendance'!GC49:GC49, "P")+COUNTIF('Detailed Attendance'!GG49:GG49, "P")</f>
        <v/>
      </c>
      <c r="N47" s="46">
        <f>COUNTIF('Detailed Attendance'!D49:D49, "A")+COUNTIF('Detailed Attendance'!T49:T49, "A")+COUNTIF('Detailed Attendance'!AN49:AN49, "A")+COUNTIF('Detailed Attendance'!AR49:AR49, "A")+COUNTIF('Detailed Attendance'!BH49:BH49, "A")+COUNTIF('Detailed Attendance'!CB49:CB49, "A")+COUNTIF('Detailed Attendance'!CF49:CF49, "A")+COUNTIF('Detailed Attendance'!CY49:CY49, "A")+COUNTIF('Detailed Attendance'!DC49:DC49, "A")+COUNTIF('Detailed Attendance'!DV49:DV49, "A")+COUNTIF('Detailed Attendance'!DZ49:DZ49, "A")+COUNTIF('Detailed Attendance'!ES49:ES49, "A")+COUNTIF('Detailed Attendance'!GC49:GC49, "A")+COUNTIF('Detailed Attendance'!GG49:GG49, "A")</f>
        <v/>
      </c>
      <c r="O47" s="72">
        <f>IF((M47+N47)=0, "", M47/(M47+N47))</f>
        <v/>
      </c>
      <c r="P47" s="46">
        <f>COUNTIF('Detailed Attendance'!M49:M49, "P")+COUNTIF('Detailed Attendance'!U49:U49, "P")+COUNTIF('Detailed Attendance'!AG49:AG49, "P")+COUNTIF('Detailed Attendance'!AO49:AO49, "P")+COUNTIF('Detailed Attendance'!BA49:BA49, "P")+COUNTIF('Detailed Attendance'!BI49:BI49, "P")+COUNTIF('Detailed Attendance'!BU49:BU49, "P")+COUNTIF('Detailed Attendance'!CC49:CC49, "P")+COUNTIF('Detailed Attendance'!CR49:CR49, "P")+COUNTIF('Detailed Attendance'!CZ49:CZ49, "P")+COUNTIF('Detailed Attendance'!DO49:DO49, "P")+COUNTIF('Detailed Attendance'!DW49:DW49, "P")+COUNTIF('Detailed Attendance'!EL49:EL49, "P")+COUNTIF('Detailed Attendance'!ET49:ET49, "P")+COUNTIF('Detailed Attendance'!FF49:FF49, "P")+COUNTIF('Detailed Attendance'!FV49:FV49, "P")+COUNTIF('Detailed Attendance'!GD49:GD49, "P")</f>
        <v/>
      </c>
      <c r="Q47" s="46">
        <f>COUNTIF('Detailed Attendance'!M49:M49, "A")+COUNTIF('Detailed Attendance'!U49:U49, "A")+COUNTIF('Detailed Attendance'!AG49:AG49, "A")+COUNTIF('Detailed Attendance'!AO49:AO49, "A")+COUNTIF('Detailed Attendance'!BA49:BA49, "A")+COUNTIF('Detailed Attendance'!BI49:BI49, "A")+COUNTIF('Detailed Attendance'!BU49:BU49, "A")+COUNTIF('Detailed Attendance'!CC49:CC49, "A")+COUNTIF('Detailed Attendance'!CR49:CR49, "A")+COUNTIF('Detailed Attendance'!CZ49:CZ49, "A")+COUNTIF('Detailed Attendance'!DO49:DO49, "A")+COUNTIF('Detailed Attendance'!DW49:DW49, "A")+COUNTIF('Detailed Attendance'!EL49:EL49, "A")+COUNTIF('Detailed Attendance'!ET49:ET49, "A")+COUNTIF('Detailed Attendance'!FF49:FF49, "A")+COUNTIF('Detailed Attendance'!FV49:FV49, "A")+COUNTIF('Detailed Attendance'!GD49:GD49, "A")</f>
        <v/>
      </c>
      <c r="R47" s="72">
        <f>IF((P47+Q47)=0, "", P47/(P47+Q47))</f>
        <v/>
      </c>
      <c r="S47" s="46">
        <f>COUNTIF('Detailed Attendance'!V49:V49, "P")+COUNTIF('Detailed Attendance'!AP49:AP49, "P")+COUNTIF('Detailed Attendance'!BJ49:BJ49, "P")+COUNTIF('Detailed Attendance'!CD49:CD49, "P")+COUNTIF('Detailed Attendance'!DA49:DA49, "P")+COUNTIF('Detailed Attendance'!DX49:DX49, "P")+COUNTIF('Detailed Attendance'!EU49:EU49, "P")+COUNTIF('Detailed Attendance'!GE49:GE49, "P")</f>
        <v/>
      </c>
      <c r="T47" s="46">
        <f>COUNTIF('Detailed Attendance'!V49:V49, "A")+COUNTIF('Detailed Attendance'!AP49:AP49, "A")+COUNTIF('Detailed Attendance'!BJ49:BJ49, "A")+COUNTIF('Detailed Attendance'!CD49:CD49, "A")+COUNTIF('Detailed Attendance'!DA49:DA49, "A")+COUNTIF('Detailed Attendance'!DX49:DX49, "A")+COUNTIF('Detailed Attendance'!EU49:EU49, "A")+COUNTIF('Detailed Attendance'!GE49:GE49, "A")</f>
        <v/>
      </c>
      <c r="U47" s="73">
        <f>IF((S47+T47)=0, "", S47/(S47+T47))</f>
        <v/>
      </c>
      <c r="V47" s="46">
        <f>COUNTIF('Detailed Attendance'!CH49:CH49, "P")+COUNTIF('Detailed Attendance'!DE49:DE49, "P")+COUNTIF('Detailed Attendance'!EB49:EB49, "P")+COUNTIF('Detailed Attendance'!GI49:GI49, "P")</f>
        <v/>
      </c>
      <c r="W47" s="46">
        <f>COUNTIF('Detailed Attendance'!CH49:CH49, "A")+COUNTIF('Detailed Attendance'!DE49:DE49, "A")+COUNTIF('Detailed Attendance'!EB49:EB49, "A")+COUNTIF('Detailed Attendance'!GI49:GI49, "A")</f>
        <v/>
      </c>
      <c r="X47" s="73">
        <f>IF((V47+W47)=0, "", V47/(V47+W47))</f>
        <v/>
      </c>
      <c r="Y47" s="46">
        <f>COUNTIF('Detailed Attendance'!CG49:CG49, "P")+COUNTIF('Detailed Attendance'!DD49:DD49, "P")+COUNTIF('Detailed Attendance'!EA49:EA49, "P")+COUNTIF('Detailed Attendance'!GH49:GH49, "P")</f>
        <v/>
      </c>
      <c r="Z47" s="46">
        <f>COUNTIF('Detailed Attendance'!CG49:CG49, "A")+COUNTIF('Detailed Attendance'!DD49:DD49, "A")+COUNTIF('Detailed Attendance'!EA49:EA49, "A")+COUNTIF('Detailed Attendance'!GH49:GH49, "A")</f>
        <v/>
      </c>
      <c r="AA47" s="73">
        <f>IF((Y47+Z47)=0, "", Y47/(Y47+Z47))</f>
        <v/>
      </c>
      <c r="AB47" s="46">
        <f>S47+V47+Y47</f>
        <v/>
      </c>
      <c r="AC47" s="46">
        <f>T47+W47+Z47</f>
        <v/>
      </c>
      <c r="AD47" s="73">
        <f>IF((AB47+AC47)=0, "", AB47/(AB47+AC47))</f>
        <v/>
      </c>
      <c r="AE47" s="46" t="inlineStr">
        <is>
          <t>Batch 2</t>
        </is>
      </c>
    </row>
    <row r="48" ht="14.25" customHeight="1" s="34">
      <c r="A48" s="46" t="n">
        <v>47</v>
      </c>
      <c r="B48" s="46" t="inlineStr">
        <is>
          <t>325106410047</t>
        </is>
      </c>
      <c r="C48" s="46" t="inlineStr">
        <is>
          <t>NAGA HASINI SAYIMPU</t>
        </is>
      </c>
      <c r="D48" s="46">
        <f>COUNTIF('Detailed Attendance'!R50:R50, "P")+COUNTIF('Detailed Attendance'!X50:X50, "P")+COUNTIF('Detailed Attendance'!AL50:AL50, "P")+COUNTIF('Detailed Attendance'!BF50:BF50, "P")+COUNTIF('Detailed Attendance'!BL50:BL50, "P")+COUNTIF('Detailed Attendance'!BZ50:BZ50, "P")+COUNTIF('Detailed Attendance'!CI50:CI50, "P")+COUNTIF('Detailed Attendance'!CW50:CW50, "P")+COUNTIF('Detailed Attendance'!DF50:DF50, "P")+COUNTIF('Detailed Attendance'!DT50:DT50, "P")+COUNTIF('Detailed Attendance'!EC50:EC50, "P")+COUNTIF('Detailed Attendance'!EQ50:EQ50, "P")+COUNTIF('Detailed Attendance'!EW50:EW50, "P")+COUNTIF('Detailed Attendance'!FK50:FK50, "P")+COUNTIF('Detailed Attendance'!FM50:FM50, "P")+COUNTIF('Detailed Attendance'!GA50:GA50, "P")</f>
        <v/>
      </c>
      <c r="E48" s="46">
        <f>COUNTIF('Detailed Attendance'!R50:R50, "A")+COUNTIF('Detailed Attendance'!X50:X50, "A")+COUNTIF('Detailed Attendance'!AL50:AL50, "A")+COUNTIF('Detailed Attendance'!BF50:BF50, "A")+COUNTIF('Detailed Attendance'!BL50:BL50, "A")+COUNTIF('Detailed Attendance'!BZ50:BZ50, "A")+COUNTIF('Detailed Attendance'!CI50:CI50, "A")+COUNTIF('Detailed Attendance'!CW50:CW50, "A")+COUNTIF('Detailed Attendance'!DF50:DF50, "A")+COUNTIF('Detailed Attendance'!DT50:DT50, "A")+COUNTIF('Detailed Attendance'!EC50:EC50, "A")+COUNTIF('Detailed Attendance'!EQ50:EQ50, "A")+COUNTIF('Detailed Attendance'!EW50:EW50, "A")+COUNTIF('Detailed Attendance'!FK50:FK50, "A")+COUNTIF('Detailed Attendance'!FM50:FM50, "A")+COUNTIF('Detailed Attendance'!GA50:GA50, "A")</f>
        <v/>
      </c>
      <c r="F48" s="72">
        <f>IF((D48+E48)=0, "", D48/(D48+E48))</f>
        <v/>
      </c>
      <c r="G48" s="46">
        <f>COUNTIF('Detailed Attendance'!I50:I50, "P")+COUNTIF('Detailed Attendance'!Q50:Q50, "P")+COUNTIF('Detailed Attendance'!AC50:AC50, "P")+COUNTIF('Detailed Attendance'!AK50:AK50, "P")+COUNTIF('Detailed Attendance'!AW50:AW50, "P")+COUNTIF('Detailed Attendance'!BE50:BE50, "P")+COUNTIF('Detailed Attendance'!BQ50:BQ50, "P")+COUNTIF('Detailed Attendance'!BY50:BY50, "P")+COUNTIF('Detailed Attendance'!CN50:CN50, "P")+COUNTIF('Detailed Attendance'!CV50:CV50, "P")+COUNTIF('Detailed Attendance'!DK50:DK50, "P")+COUNTIF('Detailed Attendance'!DS50:DS50, "P")+COUNTIF('Detailed Attendance'!EH50:EH50, "P")+COUNTIF('Detailed Attendance'!EP50:EP50, "P")+COUNTIF('Detailed Attendance'!FB50:FB50, "P")+COUNTIF('Detailed Attendance'!FJ50:FJ50, "P")+COUNTIF('Detailed Attendance'!FR50:FR50, "P")+COUNTIF('Detailed Attendance'!FZ50:FZ50, "P")</f>
        <v/>
      </c>
      <c r="H48" s="46">
        <f>COUNTIF('Detailed Attendance'!I50:I50, "A")+COUNTIF('Detailed Attendance'!Q50:Q50, "A")+COUNTIF('Detailed Attendance'!AC50:AC50, "A")+COUNTIF('Detailed Attendance'!AK50:AK50, "A")+COUNTIF('Detailed Attendance'!AW50:AW50, "A")+COUNTIF('Detailed Attendance'!BE50:BE50, "A")+COUNTIF('Detailed Attendance'!BQ50:BQ50, "A")+COUNTIF('Detailed Attendance'!BY50:BY50, "A")+COUNTIF('Detailed Attendance'!CN50:CN50, "A")+COUNTIF('Detailed Attendance'!CV50:CV50, "A")+COUNTIF('Detailed Attendance'!DK50:DK50, "A")+COUNTIF('Detailed Attendance'!DS50:DS50, "A")+COUNTIF('Detailed Attendance'!EH50:EH50, "A")+COUNTIF('Detailed Attendance'!EP50:EP50, "A")+COUNTIF('Detailed Attendance'!FB50:FB50, "A")+COUNTIF('Detailed Attendance'!FJ50:FJ50, "A")+COUNTIF('Detailed Attendance'!FR50:FR50, "A")+COUNTIF('Detailed Attendance'!FZ50:FZ50, "A")</f>
        <v/>
      </c>
      <c r="I48" s="72">
        <f>IF((G48+H48)=0, "", G48/(G48+H48))</f>
        <v/>
      </c>
      <c r="J48" s="46">
        <f>COUNTIF('Detailed Attendance'!L50:L50, "P")+COUNTIF('Detailed Attendance'!P50:P50, "P")+COUNTIF('Detailed Attendance'!AF50:AF50, "P")+COUNTIF('Detailed Attendance'!AJ50:AJ50, "P")+COUNTIF('Detailed Attendance'!AZ50:AZ50, "P")+COUNTIF('Detailed Attendance'!BD50:BD50, "P")+COUNTIF('Detailed Attendance'!BT50:BT50, "P")+COUNTIF('Detailed Attendance'!BX50:BX50, "P")+COUNTIF('Detailed Attendance'!CQ50:CQ50, "P")+COUNTIF('Detailed Attendance'!CU50:CU50, "P")+COUNTIF('Detailed Attendance'!DN50:DN50, "P")+COUNTIF('Detailed Attendance'!DR50:DR50, "P")+COUNTIF('Detailed Attendance'!EK50:EK50, "P")+COUNTIF('Detailed Attendance'!EO50:EO50, "P")+COUNTIF('Detailed Attendance'!FE50:FE50, "P")+COUNTIF('Detailed Attendance'!FI50:FI50, "P")+COUNTIF('Detailed Attendance'!FU50:FU50, "P")+COUNTIF('Detailed Attendance'!FY50:FY50, "P")</f>
        <v/>
      </c>
      <c r="K48" s="46">
        <f>COUNTIF('Detailed Attendance'!L50:L50, "A")+COUNTIF('Detailed Attendance'!P50:P50, "A")+COUNTIF('Detailed Attendance'!AF50:AF50, "A")+COUNTIF('Detailed Attendance'!AJ50:AJ50, "A")+COUNTIF('Detailed Attendance'!AZ50:AZ50, "A")+COUNTIF('Detailed Attendance'!BD50:BD50, "A")+COUNTIF('Detailed Attendance'!BT50:BT50, "A")+COUNTIF('Detailed Attendance'!BX50:BX50, "A")+COUNTIF('Detailed Attendance'!CQ50:CQ50, "A")+COUNTIF('Detailed Attendance'!CU50:CU50, "A")+COUNTIF('Detailed Attendance'!DN50:DN50, "A")+COUNTIF('Detailed Attendance'!DR50:DR50, "A")+COUNTIF('Detailed Attendance'!EK50:EK50, "A")+COUNTIF('Detailed Attendance'!EO50:EO50, "A")+COUNTIF('Detailed Attendance'!FE50:FE50, "A")+COUNTIF('Detailed Attendance'!FI50:FI50, "A")+COUNTIF('Detailed Attendance'!FU50:FU50, "A")+COUNTIF('Detailed Attendance'!FY50:FY50, "A")</f>
        <v/>
      </c>
      <c r="L48" s="72">
        <f>IF((J48+K48)=0, "", J48/(J48+K48))</f>
        <v/>
      </c>
      <c r="M48" s="46">
        <f>COUNTIF('Detailed Attendance'!D50:D50, "P")+COUNTIF('Detailed Attendance'!T50:T50, "P")+COUNTIF('Detailed Attendance'!AN50:AN50, "P")+COUNTIF('Detailed Attendance'!AR50:AR50, "P")+COUNTIF('Detailed Attendance'!BH50:BH50, "P")+COUNTIF('Detailed Attendance'!CB50:CB50, "P")+COUNTIF('Detailed Attendance'!CF50:CF50, "P")+COUNTIF('Detailed Attendance'!CY50:CY50, "P")+COUNTIF('Detailed Attendance'!DC50:DC50, "P")+COUNTIF('Detailed Attendance'!DV50:DV50, "P")+COUNTIF('Detailed Attendance'!DZ50:DZ50, "P")+COUNTIF('Detailed Attendance'!ES50:ES50, "P")+COUNTIF('Detailed Attendance'!GC50:GC50, "P")+COUNTIF('Detailed Attendance'!GG50:GG50, "P")</f>
        <v/>
      </c>
      <c r="N48" s="46">
        <f>COUNTIF('Detailed Attendance'!D50:D50, "A")+COUNTIF('Detailed Attendance'!T50:T50, "A")+COUNTIF('Detailed Attendance'!AN50:AN50, "A")+COUNTIF('Detailed Attendance'!AR50:AR50, "A")+COUNTIF('Detailed Attendance'!BH50:BH50, "A")+COUNTIF('Detailed Attendance'!CB50:CB50, "A")+COUNTIF('Detailed Attendance'!CF50:CF50, "A")+COUNTIF('Detailed Attendance'!CY50:CY50, "A")+COUNTIF('Detailed Attendance'!DC50:DC50, "A")+COUNTIF('Detailed Attendance'!DV50:DV50, "A")+COUNTIF('Detailed Attendance'!DZ50:DZ50, "A")+COUNTIF('Detailed Attendance'!ES50:ES50, "A")+COUNTIF('Detailed Attendance'!GC50:GC50, "A")+COUNTIF('Detailed Attendance'!GG50:GG50, "A")</f>
        <v/>
      </c>
      <c r="O48" s="72">
        <f>IF((M48+N48)=0, "", M48/(M48+N48))</f>
        <v/>
      </c>
      <c r="P48" s="46">
        <f>COUNTIF('Detailed Attendance'!M50:M50, "P")+COUNTIF('Detailed Attendance'!U50:U50, "P")+COUNTIF('Detailed Attendance'!AG50:AG50, "P")+COUNTIF('Detailed Attendance'!AO50:AO50, "P")+COUNTIF('Detailed Attendance'!BA50:BA50, "P")+COUNTIF('Detailed Attendance'!BI50:BI50, "P")+COUNTIF('Detailed Attendance'!BU50:BU50, "P")+COUNTIF('Detailed Attendance'!CC50:CC50, "P")+COUNTIF('Detailed Attendance'!CR50:CR50, "P")+COUNTIF('Detailed Attendance'!CZ50:CZ50, "P")+COUNTIF('Detailed Attendance'!DO50:DO50, "P")+COUNTIF('Detailed Attendance'!DW50:DW50, "P")+COUNTIF('Detailed Attendance'!EL50:EL50, "P")+COUNTIF('Detailed Attendance'!ET50:ET50, "P")+COUNTIF('Detailed Attendance'!FF50:FF50, "P")+COUNTIF('Detailed Attendance'!FV50:FV50, "P")+COUNTIF('Detailed Attendance'!GD50:GD50, "P")</f>
        <v/>
      </c>
      <c r="Q48" s="46">
        <f>COUNTIF('Detailed Attendance'!M50:M50, "A")+COUNTIF('Detailed Attendance'!U50:U50, "A")+COUNTIF('Detailed Attendance'!AG50:AG50, "A")+COUNTIF('Detailed Attendance'!AO50:AO50, "A")+COUNTIF('Detailed Attendance'!BA50:BA50, "A")+COUNTIF('Detailed Attendance'!BI50:BI50, "A")+COUNTIF('Detailed Attendance'!BU50:BU50, "A")+COUNTIF('Detailed Attendance'!CC50:CC50, "A")+COUNTIF('Detailed Attendance'!CR50:CR50, "A")+COUNTIF('Detailed Attendance'!CZ50:CZ50, "A")+COUNTIF('Detailed Attendance'!DO50:DO50, "A")+COUNTIF('Detailed Attendance'!DW50:DW50, "A")+COUNTIF('Detailed Attendance'!EL50:EL50, "A")+COUNTIF('Detailed Attendance'!ET50:ET50, "A")+COUNTIF('Detailed Attendance'!FF50:FF50, "A")+COUNTIF('Detailed Attendance'!FV50:FV50, "A")+COUNTIF('Detailed Attendance'!GD50:GD50, "A")</f>
        <v/>
      </c>
      <c r="R48" s="72">
        <f>IF((P48+Q48)=0, "", P48/(P48+Q48))</f>
        <v/>
      </c>
      <c r="S48" s="46">
        <f>COUNTIF('Detailed Attendance'!V50:V50, "P")+COUNTIF('Detailed Attendance'!AP50:AP50, "P")+COUNTIF('Detailed Attendance'!BJ50:BJ50, "P")+COUNTIF('Detailed Attendance'!CD50:CD50, "P")+COUNTIF('Detailed Attendance'!DA50:DA50, "P")+COUNTIF('Detailed Attendance'!DX50:DX50, "P")+COUNTIF('Detailed Attendance'!EU50:EU50, "P")+COUNTIF('Detailed Attendance'!GE50:GE50, "P")</f>
        <v/>
      </c>
      <c r="T48" s="46">
        <f>COUNTIF('Detailed Attendance'!V50:V50, "A")+COUNTIF('Detailed Attendance'!AP50:AP50, "A")+COUNTIF('Detailed Attendance'!BJ50:BJ50, "A")+COUNTIF('Detailed Attendance'!CD50:CD50, "A")+COUNTIF('Detailed Attendance'!DA50:DA50, "A")+COUNTIF('Detailed Attendance'!DX50:DX50, "A")+COUNTIF('Detailed Attendance'!EU50:EU50, "A")+COUNTIF('Detailed Attendance'!GE50:GE50, "A")</f>
        <v/>
      </c>
      <c r="U48" s="73">
        <f>IF((S48+T48)=0, "", S48/(S48+T48))</f>
        <v/>
      </c>
      <c r="V48" s="46">
        <f>COUNTIF('Detailed Attendance'!CH50:CH50, "P")+COUNTIF('Detailed Attendance'!DE50:DE50, "P")+COUNTIF('Detailed Attendance'!EB50:EB50, "P")+COUNTIF('Detailed Attendance'!GI50:GI50, "P")</f>
        <v/>
      </c>
      <c r="W48" s="46">
        <f>COUNTIF('Detailed Attendance'!CH50:CH50, "A")+COUNTIF('Detailed Attendance'!DE50:DE50, "A")+COUNTIF('Detailed Attendance'!EB50:EB50, "A")+COUNTIF('Detailed Attendance'!GI50:GI50, "A")</f>
        <v/>
      </c>
      <c r="X48" s="73">
        <f>IF((V48+W48)=0, "", V48/(V48+W48))</f>
        <v/>
      </c>
      <c r="Y48" s="46">
        <f>COUNTIF('Detailed Attendance'!CG50:CG50, "P")+COUNTIF('Detailed Attendance'!DD50:DD50, "P")+COUNTIF('Detailed Attendance'!EA50:EA50, "P")+COUNTIF('Detailed Attendance'!GH50:GH50, "P")</f>
        <v/>
      </c>
      <c r="Z48" s="46">
        <f>COUNTIF('Detailed Attendance'!CG50:CG50, "A")+COUNTIF('Detailed Attendance'!DD50:DD50, "A")+COUNTIF('Detailed Attendance'!EA50:EA50, "A")+COUNTIF('Detailed Attendance'!GH50:GH50, "A")</f>
        <v/>
      </c>
      <c r="AA48" s="73">
        <f>IF((Y48+Z48)=0, "", Y48/(Y48+Z48))</f>
        <v/>
      </c>
      <c r="AB48" s="46">
        <f>S48+V48+Y48</f>
        <v/>
      </c>
      <c r="AC48" s="46">
        <f>T48+W48+Z48</f>
        <v/>
      </c>
      <c r="AD48" s="73">
        <f>IF((AB48+AC48)=0, "", AB48/(AB48+AC48))</f>
        <v/>
      </c>
      <c r="AE48" s="46" t="inlineStr">
        <is>
          <t>Batch 2</t>
        </is>
      </c>
    </row>
    <row r="49" ht="14.25" customHeight="1" s="34">
      <c r="A49" s="46" t="n">
        <v>48</v>
      </c>
      <c r="B49" s="46" t="inlineStr">
        <is>
          <t>325106410048</t>
        </is>
      </c>
      <c r="C49" s="46" t="inlineStr">
        <is>
          <t>SHEHNAAZ BEGUM SHAIK</t>
        </is>
      </c>
      <c r="D49" s="46">
        <f>COUNTIF('Detailed Attendance'!R51:R51, "P")+COUNTIF('Detailed Attendance'!X51:X51, "P")+COUNTIF('Detailed Attendance'!AL51:AL51, "P")+COUNTIF('Detailed Attendance'!BF51:BF51, "P")+COUNTIF('Detailed Attendance'!BL51:BL51, "P")+COUNTIF('Detailed Attendance'!BZ51:BZ51, "P")+COUNTIF('Detailed Attendance'!CI51:CI51, "P")+COUNTIF('Detailed Attendance'!CW51:CW51, "P")+COUNTIF('Detailed Attendance'!DF51:DF51, "P")+COUNTIF('Detailed Attendance'!DT51:DT51, "P")+COUNTIF('Detailed Attendance'!EC51:EC51, "P")+COUNTIF('Detailed Attendance'!EQ51:EQ51, "P")+COUNTIF('Detailed Attendance'!EW51:EW51, "P")+COUNTIF('Detailed Attendance'!FK51:FK51, "P")+COUNTIF('Detailed Attendance'!FM51:FM51, "P")+COUNTIF('Detailed Attendance'!GA51:GA51, "P")</f>
        <v/>
      </c>
      <c r="E49" s="46">
        <f>COUNTIF('Detailed Attendance'!R51:R51, "A")+COUNTIF('Detailed Attendance'!X51:X51, "A")+COUNTIF('Detailed Attendance'!AL51:AL51, "A")+COUNTIF('Detailed Attendance'!BF51:BF51, "A")+COUNTIF('Detailed Attendance'!BL51:BL51, "A")+COUNTIF('Detailed Attendance'!BZ51:BZ51, "A")+COUNTIF('Detailed Attendance'!CI51:CI51, "A")+COUNTIF('Detailed Attendance'!CW51:CW51, "A")+COUNTIF('Detailed Attendance'!DF51:DF51, "A")+COUNTIF('Detailed Attendance'!DT51:DT51, "A")+COUNTIF('Detailed Attendance'!EC51:EC51, "A")+COUNTIF('Detailed Attendance'!EQ51:EQ51, "A")+COUNTIF('Detailed Attendance'!EW51:EW51, "A")+COUNTIF('Detailed Attendance'!FK51:FK51, "A")+COUNTIF('Detailed Attendance'!FM51:FM51, "A")+COUNTIF('Detailed Attendance'!GA51:GA51, "A")</f>
        <v/>
      </c>
      <c r="F49" s="72">
        <f>IF((D49+E49)=0, "", D49/(D49+E49))</f>
        <v/>
      </c>
      <c r="G49" s="46">
        <f>COUNTIF('Detailed Attendance'!I51:I51, "P")+COUNTIF('Detailed Attendance'!Q51:Q51, "P")+COUNTIF('Detailed Attendance'!AC51:AC51, "P")+COUNTIF('Detailed Attendance'!AK51:AK51, "P")+COUNTIF('Detailed Attendance'!AW51:AW51, "P")+COUNTIF('Detailed Attendance'!BE51:BE51, "P")+COUNTIF('Detailed Attendance'!BQ51:BQ51, "P")+COUNTIF('Detailed Attendance'!BY51:BY51, "P")+COUNTIF('Detailed Attendance'!CN51:CN51, "P")+COUNTIF('Detailed Attendance'!CV51:CV51, "P")+COUNTIF('Detailed Attendance'!DK51:DK51, "P")+COUNTIF('Detailed Attendance'!DS51:DS51, "P")+COUNTIF('Detailed Attendance'!EH51:EH51, "P")+COUNTIF('Detailed Attendance'!EP51:EP51, "P")+COUNTIF('Detailed Attendance'!FB51:FB51, "P")+COUNTIF('Detailed Attendance'!FJ51:FJ51, "P")+COUNTIF('Detailed Attendance'!FR51:FR51, "P")+COUNTIF('Detailed Attendance'!FZ51:FZ51, "P")</f>
        <v/>
      </c>
      <c r="H49" s="46">
        <f>COUNTIF('Detailed Attendance'!I51:I51, "A")+COUNTIF('Detailed Attendance'!Q51:Q51, "A")+COUNTIF('Detailed Attendance'!AC51:AC51, "A")+COUNTIF('Detailed Attendance'!AK51:AK51, "A")+COUNTIF('Detailed Attendance'!AW51:AW51, "A")+COUNTIF('Detailed Attendance'!BE51:BE51, "A")+COUNTIF('Detailed Attendance'!BQ51:BQ51, "A")+COUNTIF('Detailed Attendance'!BY51:BY51, "A")+COUNTIF('Detailed Attendance'!CN51:CN51, "A")+COUNTIF('Detailed Attendance'!CV51:CV51, "A")+COUNTIF('Detailed Attendance'!DK51:DK51, "A")+COUNTIF('Detailed Attendance'!DS51:DS51, "A")+COUNTIF('Detailed Attendance'!EH51:EH51, "A")+COUNTIF('Detailed Attendance'!EP51:EP51, "A")+COUNTIF('Detailed Attendance'!FB51:FB51, "A")+COUNTIF('Detailed Attendance'!FJ51:FJ51, "A")+COUNTIF('Detailed Attendance'!FR51:FR51, "A")+COUNTIF('Detailed Attendance'!FZ51:FZ51, "A")</f>
        <v/>
      </c>
      <c r="I49" s="72">
        <f>IF((G49+H49)=0, "", G49/(G49+H49))</f>
        <v/>
      </c>
      <c r="J49" s="46">
        <f>COUNTIF('Detailed Attendance'!L51:L51, "P")+COUNTIF('Detailed Attendance'!P51:P51, "P")+COUNTIF('Detailed Attendance'!AF51:AF51, "P")+COUNTIF('Detailed Attendance'!AJ51:AJ51, "P")+COUNTIF('Detailed Attendance'!AZ51:AZ51, "P")+COUNTIF('Detailed Attendance'!BD51:BD51, "P")+COUNTIF('Detailed Attendance'!BT51:BT51, "P")+COUNTIF('Detailed Attendance'!BX51:BX51, "P")+COUNTIF('Detailed Attendance'!CQ51:CQ51, "P")+COUNTIF('Detailed Attendance'!CU51:CU51, "P")+COUNTIF('Detailed Attendance'!DN51:DN51, "P")+COUNTIF('Detailed Attendance'!DR51:DR51, "P")+COUNTIF('Detailed Attendance'!EK51:EK51, "P")+COUNTIF('Detailed Attendance'!EO51:EO51, "P")+COUNTIF('Detailed Attendance'!FE51:FE51, "P")+COUNTIF('Detailed Attendance'!FI51:FI51, "P")+COUNTIF('Detailed Attendance'!FU51:FU51, "P")+COUNTIF('Detailed Attendance'!FY51:FY51, "P")</f>
        <v/>
      </c>
      <c r="K49" s="46">
        <f>COUNTIF('Detailed Attendance'!L51:L51, "A")+COUNTIF('Detailed Attendance'!P51:P51, "A")+COUNTIF('Detailed Attendance'!AF51:AF51, "A")+COUNTIF('Detailed Attendance'!AJ51:AJ51, "A")+COUNTIF('Detailed Attendance'!AZ51:AZ51, "A")+COUNTIF('Detailed Attendance'!BD51:BD51, "A")+COUNTIF('Detailed Attendance'!BT51:BT51, "A")+COUNTIF('Detailed Attendance'!BX51:BX51, "A")+COUNTIF('Detailed Attendance'!CQ51:CQ51, "A")+COUNTIF('Detailed Attendance'!CU51:CU51, "A")+COUNTIF('Detailed Attendance'!DN51:DN51, "A")+COUNTIF('Detailed Attendance'!DR51:DR51, "A")+COUNTIF('Detailed Attendance'!EK51:EK51, "A")+COUNTIF('Detailed Attendance'!EO51:EO51, "A")+COUNTIF('Detailed Attendance'!FE51:FE51, "A")+COUNTIF('Detailed Attendance'!FI51:FI51, "A")+COUNTIF('Detailed Attendance'!FU51:FU51, "A")+COUNTIF('Detailed Attendance'!FY51:FY51, "A")</f>
        <v/>
      </c>
      <c r="L49" s="72">
        <f>IF((J49+K49)=0, "", J49/(J49+K49))</f>
        <v/>
      </c>
      <c r="M49" s="46">
        <f>COUNTIF('Detailed Attendance'!D51:D51, "P")+COUNTIF('Detailed Attendance'!T51:T51, "P")+COUNTIF('Detailed Attendance'!AN51:AN51, "P")+COUNTIF('Detailed Attendance'!AR51:AR51, "P")+COUNTIF('Detailed Attendance'!BH51:BH51, "P")+COUNTIF('Detailed Attendance'!CB51:CB51, "P")+COUNTIF('Detailed Attendance'!CF51:CF51, "P")+COUNTIF('Detailed Attendance'!CY51:CY51, "P")+COUNTIF('Detailed Attendance'!DC51:DC51, "P")+COUNTIF('Detailed Attendance'!DV51:DV51, "P")+COUNTIF('Detailed Attendance'!DZ51:DZ51, "P")+COUNTIF('Detailed Attendance'!ES51:ES51, "P")+COUNTIF('Detailed Attendance'!GC51:GC51, "P")+COUNTIF('Detailed Attendance'!GG51:GG51, "P")</f>
        <v/>
      </c>
      <c r="N49" s="46">
        <f>COUNTIF('Detailed Attendance'!D51:D51, "A")+COUNTIF('Detailed Attendance'!T51:T51, "A")+COUNTIF('Detailed Attendance'!AN51:AN51, "A")+COUNTIF('Detailed Attendance'!AR51:AR51, "A")+COUNTIF('Detailed Attendance'!BH51:BH51, "A")+COUNTIF('Detailed Attendance'!CB51:CB51, "A")+COUNTIF('Detailed Attendance'!CF51:CF51, "A")+COUNTIF('Detailed Attendance'!CY51:CY51, "A")+COUNTIF('Detailed Attendance'!DC51:DC51, "A")+COUNTIF('Detailed Attendance'!DV51:DV51, "A")+COUNTIF('Detailed Attendance'!DZ51:DZ51, "A")+COUNTIF('Detailed Attendance'!ES51:ES51, "A")+COUNTIF('Detailed Attendance'!GC51:GC51, "A")+COUNTIF('Detailed Attendance'!GG51:GG51, "A")</f>
        <v/>
      </c>
      <c r="O49" s="72">
        <f>IF((M49+N49)=0, "", M49/(M49+N49))</f>
        <v/>
      </c>
      <c r="P49" s="46">
        <f>COUNTIF('Detailed Attendance'!M51:M51, "P")+COUNTIF('Detailed Attendance'!U51:U51, "P")+COUNTIF('Detailed Attendance'!AG51:AG51, "P")+COUNTIF('Detailed Attendance'!AO51:AO51, "P")+COUNTIF('Detailed Attendance'!BA51:BA51, "P")+COUNTIF('Detailed Attendance'!BI51:BI51, "P")+COUNTIF('Detailed Attendance'!BU51:BU51, "P")+COUNTIF('Detailed Attendance'!CC51:CC51, "P")+COUNTIF('Detailed Attendance'!CR51:CR51, "P")+COUNTIF('Detailed Attendance'!CZ51:CZ51, "P")+COUNTIF('Detailed Attendance'!DO51:DO51, "P")+COUNTIF('Detailed Attendance'!DW51:DW51, "P")+COUNTIF('Detailed Attendance'!EL51:EL51, "P")+COUNTIF('Detailed Attendance'!ET51:ET51, "P")+COUNTIF('Detailed Attendance'!FF51:FF51, "P")+COUNTIF('Detailed Attendance'!FV51:FV51, "P")+COUNTIF('Detailed Attendance'!GD51:GD51, "P")</f>
        <v/>
      </c>
      <c r="Q49" s="46">
        <f>COUNTIF('Detailed Attendance'!M51:M51, "A")+COUNTIF('Detailed Attendance'!U51:U51, "A")+COUNTIF('Detailed Attendance'!AG51:AG51, "A")+COUNTIF('Detailed Attendance'!AO51:AO51, "A")+COUNTIF('Detailed Attendance'!BA51:BA51, "A")+COUNTIF('Detailed Attendance'!BI51:BI51, "A")+COUNTIF('Detailed Attendance'!BU51:BU51, "A")+COUNTIF('Detailed Attendance'!CC51:CC51, "A")+COUNTIF('Detailed Attendance'!CR51:CR51, "A")+COUNTIF('Detailed Attendance'!CZ51:CZ51, "A")+COUNTIF('Detailed Attendance'!DO51:DO51, "A")+COUNTIF('Detailed Attendance'!DW51:DW51, "A")+COUNTIF('Detailed Attendance'!EL51:EL51, "A")+COUNTIF('Detailed Attendance'!ET51:ET51, "A")+COUNTIF('Detailed Attendance'!FF51:FF51, "A")+COUNTIF('Detailed Attendance'!FV51:FV51, "A")+COUNTIF('Detailed Attendance'!GD51:GD51, "A")</f>
        <v/>
      </c>
      <c r="R49" s="72">
        <f>IF((P49+Q49)=0, "", P49/(P49+Q49))</f>
        <v/>
      </c>
      <c r="S49" s="46">
        <f>COUNTIF('Detailed Attendance'!V51:V51, "P")+COUNTIF('Detailed Attendance'!AP51:AP51, "P")+COUNTIF('Detailed Attendance'!BJ51:BJ51, "P")+COUNTIF('Detailed Attendance'!CD51:CD51, "P")+COUNTIF('Detailed Attendance'!DA51:DA51, "P")+COUNTIF('Detailed Attendance'!DX51:DX51, "P")+COUNTIF('Detailed Attendance'!EU51:EU51, "P")+COUNTIF('Detailed Attendance'!GE51:GE51, "P")</f>
        <v/>
      </c>
      <c r="T49" s="46">
        <f>COUNTIF('Detailed Attendance'!V51:V51, "A")+COUNTIF('Detailed Attendance'!AP51:AP51, "A")+COUNTIF('Detailed Attendance'!BJ51:BJ51, "A")+COUNTIF('Detailed Attendance'!CD51:CD51, "A")+COUNTIF('Detailed Attendance'!DA51:DA51, "A")+COUNTIF('Detailed Attendance'!DX51:DX51, "A")+COUNTIF('Detailed Attendance'!EU51:EU51, "A")+COUNTIF('Detailed Attendance'!GE51:GE51, "A")</f>
        <v/>
      </c>
      <c r="U49" s="73">
        <f>IF((S49+T49)=0, "", S49/(S49+T49))</f>
        <v/>
      </c>
      <c r="V49" s="46">
        <f>COUNTIF('Detailed Attendance'!CH51:CH51, "P")+COUNTIF('Detailed Attendance'!DE51:DE51, "P")+COUNTIF('Detailed Attendance'!EB51:EB51, "P")+COUNTIF('Detailed Attendance'!GI51:GI51, "P")</f>
        <v/>
      </c>
      <c r="W49" s="46">
        <f>COUNTIF('Detailed Attendance'!CH51:CH51, "A")+COUNTIF('Detailed Attendance'!DE51:DE51, "A")+COUNTIF('Detailed Attendance'!EB51:EB51, "A")+COUNTIF('Detailed Attendance'!GI51:GI51, "A")</f>
        <v/>
      </c>
      <c r="X49" s="73">
        <f>IF((V49+W49)=0, "", V49/(V49+W49))</f>
        <v/>
      </c>
      <c r="Y49" s="46">
        <f>COUNTIF('Detailed Attendance'!CG51:CG51, "P")+COUNTIF('Detailed Attendance'!DD51:DD51, "P")+COUNTIF('Detailed Attendance'!EA51:EA51, "P")+COUNTIF('Detailed Attendance'!GH51:GH51, "P")</f>
        <v/>
      </c>
      <c r="Z49" s="46">
        <f>COUNTIF('Detailed Attendance'!CG51:CG51, "A")+COUNTIF('Detailed Attendance'!DD51:DD51, "A")+COUNTIF('Detailed Attendance'!EA51:EA51, "A")+COUNTIF('Detailed Attendance'!GH51:GH51, "A")</f>
        <v/>
      </c>
      <c r="AA49" s="73">
        <f>IF((Y49+Z49)=0, "", Y49/(Y49+Z49))</f>
        <v/>
      </c>
      <c r="AB49" s="46">
        <f>S49+V49+Y49</f>
        <v/>
      </c>
      <c r="AC49" s="46">
        <f>T49+W49+Z49</f>
        <v/>
      </c>
      <c r="AD49" s="73">
        <f>IF((AB49+AC49)=0, "", AB49/(AB49+AC49))</f>
        <v/>
      </c>
      <c r="AE49" s="46" t="inlineStr">
        <is>
          <t>Batch 2</t>
        </is>
      </c>
    </row>
    <row r="50" ht="14.25" customHeight="1" s="34">
      <c r="A50" s="46" t="n">
        <v>49</v>
      </c>
      <c r="B50" s="46" t="inlineStr">
        <is>
          <t>325106410049</t>
        </is>
      </c>
      <c r="C50" s="46" t="inlineStr">
        <is>
          <t>SONALI SIMHADRI</t>
        </is>
      </c>
      <c r="D50" s="46">
        <f>COUNTIF('Detailed Attendance'!R52:R52, "P")+COUNTIF('Detailed Attendance'!X52:X52, "P")+COUNTIF('Detailed Attendance'!AL52:AL52, "P")+COUNTIF('Detailed Attendance'!BF52:BF52, "P")+COUNTIF('Detailed Attendance'!BL52:BL52, "P")+COUNTIF('Detailed Attendance'!BZ52:BZ52, "P")+COUNTIF('Detailed Attendance'!CI52:CI52, "P")+COUNTIF('Detailed Attendance'!CW52:CW52, "P")+COUNTIF('Detailed Attendance'!DF52:DF52, "P")+COUNTIF('Detailed Attendance'!DT52:DT52, "P")+COUNTIF('Detailed Attendance'!EC52:EC52, "P")+COUNTIF('Detailed Attendance'!EQ52:EQ52, "P")+COUNTIF('Detailed Attendance'!EW52:EW52, "P")+COUNTIF('Detailed Attendance'!FK52:FK52, "P")+COUNTIF('Detailed Attendance'!FM52:FM52, "P")+COUNTIF('Detailed Attendance'!GA52:GA52, "P")</f>
        <v/>
      </c>
      <c r="E50" s="46">
        <f>COUNTIF('Detailed Attendance'!R52:R52, "A")+COUNTIF('Detailed Attendance'!X52:X52, "A")+COUNTIF('Detailed Attendance'!AL52:AL52, "A")+COUNTIF('Detailed Attendance'!BF52:BF52, "A")+COUNTIF('Detailed Attendance'!BL52:BL52, "A")+COUNTIF('Detailed Attendance'!BZ52:BZ52, "A")+COUNTIF('Detailed Attendance'!CI52:CI52, "A")+COUNTIF('Detailed Attendance'!CW52:CW52, "A")+COUNTIF('Detailed Attendance'!DF52:DF52, "A")+COUNTIF('Detailed Attendance'!DT52:DT52, "A")+COUNTIF('Detailed Attendance'!EC52:EC52, "A")+COUNTIF('Detailed Attendance'!EQ52:EQ52, "A")+COUNTIF('Detailed Attendance'!EW52:EW52, "A")+COUNTIF('Detailed Attendance'!FK52:FK52, "A")+COUNTIF('Detailed Attendance'!FM52:FM52, "A")+COUNTIF('Detailed Attendance'!GA52:GA52, "A")</f>
        <v/>
      </c>
      <c r="F50" s="72">
        <f>IF((D50+E50)=0, "", D50/(D50+E50))</f>
        <v/>
      </c>
      <c r="G50" s="46">
        <f>COUNTIF('Detailed Attendance'!I52:I52, "P")+COUNTIF('Detailed Attendance'!Q52:Q52, "P")+COUNTIF('Detailed Attendance'!AC52:AC52, "P")+COUNTIF('Detailed Attendance'!AK52:AK52, "P")+COUNTIF('Detailed Attendance'!AW52:AW52, "P")+COUNTIF('Detailed Attendance'!BE52:BE52, "P")+COUNTIF('Detailed Attendance'!BQ52:BQ52, "P")+COUNTIF('Detailed Attendance'!BY52:BY52, "P")+COUNTIF('Detailed Attendance'!CN52:CN52, "P")+COUNTIF('Detailed Attendance'!CV52:CV52, "P")+COUNTIF('Detailed Attendance'!DK52:DK52, "P")+COUNTIF('Detailed Attendance'!DS52:DS52, "P")+COUNTIF('Detailed Attendance'!EH52:EH52, "P")+COUNTIF('Detailed Attendance'!EP52:EP52, "P")+COUNTIF('Detailed Attendance'!FB52:FB52, "P")+COUNTIF('Detailed Attendance'!FJ52:FJ52, "P")+COUNTIF('Detailed Attendance'!FR52:FR52, "P")+COUNTIF('Detailed Attendance'!FZ52:FZ52, "P")</f>
        <v/>
      </c>
      <c r="H50" s="46">
        <f>COUNTIF('Detailed Attendance'!I52:I52, "A")+COUNTIF('Detailed Attendance'!Q52:Q52, "A")+COUNTIF('Detailed Attendance'!AC52:AC52, "A")+COUNTIF('Detailed Attendance'!AK52:AK52, "A")+COUNTIF('Detailed Attendance'!AW52:AW52, "A")+COUNTIF('Detailed Attendance'!BE52:BE52, "A")+COUNTIF('Detailed Attendance'!BQ52:BQ52, "A")+COUNTIF('Detailed Attendance'!BY52:BY52, "A")+COUNTIF('Detailed Attendance'!CN52:CN52, "A")+COUNTIF('Detailed Attendance'!CV52:CV52, "A")+COUNTIF('Detailed Attendance'!DK52:DK52, "A")+COUNTIF('Detailed Attendance'!DS52:DS52, "A")+COUNTIF('Detailed Attendance'!EH52:EH52, "A")+COUNTIF('Detailed Attendance'!EP52:EP52, "A")+COUNTIF('Detailed Attendance'!FB52:FB52, "A")+COUNTIF('Detailed Attendance'!FJ52:FJ52, "A")+COUNTIF('Detailed Attendance'!FR52:FR52, "A")+COUNTIF('Detailed Attendance'!FZ52:FZ52, "A")</f>
        <v/>
      </c>
      <c r="I50" s="72">
        <f>IF((G50+H50)=0, "", G50/(G50+H50))</f>
        <v/>
      </c>
      <c r="J50" s="46">
        <f>COUNTIF('Detailed Attendance'!L52:L52, "P")+COUNTIF('Detailed Attendance'!P52:P52, "P")+COUNTIF('Detailed Attendance'!AF52:AF52, "P")+COUNTIF('Detailed Attendance'!AJ52:AJ52, "P")+COUNTIF('Detailed Attendance'!AZ52:AZ52, "P")+COUNTIF('Detailed Attendance'!BD52:BD52, "P")+COUNTIF('Detailed Attendance'!BT52:BT52, "P")+COUNTIF('Detailed Attendance'!BX52:BX52, "P")+COUNTIF('Detailed Attendance'!CQ52:CQ52, "P")+COUNTIF('Detailed Attendance'!CU52:CU52, "P")+COUNTIF('Detailed Attendance'!DN52:DN52, "P")+COUNTIF('Detailed Attendance'!DR52:DR52, "P")+COUNTIF('Detailed Attendance'!EK52:EK52, "P")+COUNTIF('Detailed Attendance'!EO52:EO52, "P")+COUNTIF('Detailed Attendance'!FE52:FE52, "P")+COUNTIF('Detailed Attendance'!FI52:FI52, "P")+COUNTIF('Detailed Attendance'!FU52:FU52, "P")+COUNTIF('Detailed Attendance'!FY52:FY52, "P")</f>
        <v/>
      </c>
      <c r="K50" s="46">
        <f>COUNTIF('Detailed Attendance'!L52:L52, "A")+COUNTIF('Detailed Attendance'!P52:P52, "A")+COUNTIF('Detailed Attendance'!AF52:AF52, "A")+COUNTIF('Detailed Attendance'!AJ52:AJ52, "A")+COUNTIF('Detailed Attendance'!AZ52:AZ52, "A")+COUNTIF('Detailed Attendance'!BD52:BD52, "A")+COUNTIF('Detailed Attendance'!BT52:BT52, "A")+COUNTIF('Detailed Attendance'!BX52:BX52, "A")+COUNTIF('Detailed Attendance'!CQ52:CQ52, "A")+COUNTIF('Detailed Attendance'!CU52:CU52, "A")+COUNTIF('Detailed Attendance'!DN52:DN52, "A")+COUNTIF('Detailed Attendance'!DR52:DR52, "A")+COUNTIF('Detailed Attendance'!EK52:EK52, "A")+COUNTIF('Detailed Attendance'!EO52:EO52, "A")+COUNTIF('Detailed Attendance'!FE52:FE52, "A")+COUNTIF('Detailed Attendance'!FI52:FI52, "A")+COUNTIF('Detailed Attendance'!FU52:FU52, "A")+COUNTIF('Detailed Attendance'!FY52:FY52, "A")</f>
        <v/>
      </c>
      <c r="L50" s="72">
        <f>IF((J50+K50)=0, "", J50/(J50+K50))</f>
        <v/>
      </c>
      <c r="M50" s="46">
        <f>COUNTIF('Detailed Attendance'!D52:D52, "P")+COUNTIF('Detailed Attendance'!T52:T52, "P")+COUNTIF('Detailed Attendance'!AN52:AN52, "P")+COUNTIF('Detailed Attendance'!AR52:AR52, "P")+COUNTIF('Detailed Attendance'!BH52:BH52, "P")+COUNTIF('Detailed Attendance'!CB52:CB52, "P")+COUNTIF('Detailed Attendance'!CF52:CF52, "P")+COUNTIF('Detailed Attendance'!CY52:CY52, "P")+COUNTIF('Detailed Attendance'!DC52:DC52, "P")+COUNTIF('Detailed Attendance'!DV52:DV52, "P")+COUNTIF('Detailed Attendance'!DZ52:DZ52, "P")+COUNTIF('Detailed Attendance'!ES52:ES52, "P")+COUNTIF('Detailed Attendance'!GC52:GC52, "P")+COUNTIF('Detailed Attendance'!GG52:GG52, "P")</f>
        <v/>
      </c>
      <c r="N50" s="46">
        <f>COUNTIF('Detailed Attendance'!D52:D52, "A")+COUNTIF('Detailed Attendance'!T52:T52, "A")+COUNTIF('Detailed Attendance'!AN52:AN52, "A")+COUNTIF('Detailed Attendance'!AR52:AR52, "A")+COUNTIF('Detailed Attendance'!BH52:BH52, "A")+COUNTIF('Detailed Attendance'!CB52:CB52, "A")+COUNTIF('Detailed Attendance'!CF52:CF52, "A")+COUNTIF('Detailed Attendance'!CY52:CY52, "A")+COUNTIF('Detailed Attendance'!DC52:DC52, "A")+COUNTIF('Detailed Attendance'!DV52:DV52, "A")+COUNTIF('Detailed Attendance'!DZ52:DZ52, "A")+COUNTIF('Detailed Attendance'!ES52:ES52, "A")+COUNTIF('Detailed Attendance'!GC52:GC52, "A")+COUNTIF('Detailed Attendance'!GG52:GG52, "A")</f>
        <v/>
      </c>
      <c r="O50" s="72">
        <f>IF((M50+N50)=0, "", M50/(M50+N50))</f>
        <v/>
      </c>
      <c r="P50" s="46">
        <f>COUNTIF('Detailed Attendance'!M52:M52, "P")+COUNTIF('Detailed Attendance'!U52:U52, "P")+COUNTIF('Detailed Attendance'!AG52:AG52, "P")+COUNTIF('Detailed Attendance'!AO52:AO52, "P")+COUNTIF('Detailed Attendance'!BA52:BA52, "P")+COUNTIF('Detailed Attendance'!BI52:BI52, "P")+COUNTIF('Detailed Attendance'!BU52:BU52, "P")+COUNTIF('Detailed Attendance'!CC52:CC52, "P")+COUNTIF('Detailed Attendance'!CR52:CR52, "P")+COUNTIF('Detailed Attendance'!CZ52:CZ52, "P")+COUNTIF('Detailed Attendance'!DO52:DO52, "P")+COUNTIF('Detailed Attendance'!DW52:DW52, "P")+COUNTIF('Detailed Attendance'!EL52:EL52, "P")+COUNTIF('Detailed Attendance'!ET52:ET52, "P")+COUNTIF('Detailed Attendance'!FF52:FF52, "P")+COUNTIF('Detailed Attendance'!FV52:FV52, "P")+COUNTIF('Detailed Attendance'!GD52:GD52, "P")</f>
        <v/>
      </c>
      <c r="Q50" s="46">
        <f>COUNTIF('Detailed Attendance'!M52:M52, "A")+COUNTIF('Detailed Attendance'!U52:U52, "A")+COUNTIF('Detailed Attendance'!AG52:AG52, "A")+COUNTIF('Detailed Attendance'!AO52:AO52, "A")+COUNTIF('Detailed Attendance'!BA52:BA52, "A")+COUNTIF('Detailed Attendance'!BI52:BI52, "A")+COUNTIF('Detailed Attendance'!BU52:BU52, "A")+COUNTIF('Detailed Attendance'!CC52:CC52, "A")+COUNTIF('Detailed Attendance'!CR52:CR52, "A")+COUNTIF('Detailed Attendance'!CZ52:CZ52, "A")+COUNTIF('Detailed Attendance'!DO52:DO52, "A")+COUNTIF('Detailed Attendance'!DW52:DW52, "A")+COUNTIF('Detailed Attendance'!EL52:EL52, "A")+COUNTIF('Detailed Attendance'!ET52:ET52, "A")+COUNTIF('Detailed Attendance'!FF52:FF52, "A")+COUNTIF('Detailed Attendance'!FV52:FV52, "A")+COUNTIF('Detailed Attendance'!GD52:GD52, "A")</f>
        <v/>
      </c>
      <c r="R50" s="72">
        <f>IF((P50+Q50)=0, "", P50/(P50+Q50))</f>
        <v/>
      </c>
      <c r="S50" s="46">
        <f>COUNTIF('Detailed Attendance'!V52:V52, "P")+COUNTIF('Detailed Attendance'!AP52:AP52, "P")+COUNTIF('Detailed Attendance'!BJ52:BJ52, "P")+COUNTIF('Detailed Attendance'!CD52:CD52, "P")+COUNTIF('Detailed Attendance'!DA52:DA52, "P")+COUNTIF('Detailed Attendance'!DX52:DX52, "P")+COUNTIF('Detailed Attendance'!EU52:EU52, "P")+COUNTIF('Detailed Attendance'!GE52:GE52, "P")</f>
        <v/>
      </c>
      <c r="T50" s="46">
        <f>COUNTIF('Detailed Attendance'!V52:V52, "A")+COUNTIF('Detailed Attendance'!AP52:AP52, "A")+COUNTIF('Detailed Attendance'!BJ52:BJ52, "A")+COUNTIF('Detailed Attendance'!CD52:CD52, "A")+COUNTIF('Detailed Attendance'!DA52:DA52, "A")+COUNTIF('Detailed Attendance'!DX52:DX52, "A")+COUNTIF('Detailed Attendance'!EU52:EU52, "A")+COUNTIF('Detailed Attendance'!GE52:GE52, "A")</f>
        <v/>
      </c>
      <c r="U50" s="73">
        <f>IF((S50+T50)=0, "", S50/(S50+T50))</f>
        <v/>
      </c>
      <c r="V50" s="46">
        <f>COUNTIF('Detailed Attendance'!CH52:CH52, "P")+COUNTIF('Detailed Attendance'!DE52:DE52, "P")+COUNTIF('Detailed Attendance'!EB52:EB52, "P")+COUNTIF('Detailed Attendance'!GI52:GI52, "P")</f>
        <v/>
      </c>
      <c r="W50" s="46">
        <f>COUNTIF('Detailed Attendance'!CH52:CH52, "A")+COUNTIF('Detailed Attendance'!DE52:DE52, "A")+COUNTIF('Detailed Attendance'!EB52:EB52, "A")+COUNTIF('Detailed Attendance'!GI52:GI52, "A")</f>
        <v/>
      </c>
      <c r="X50" s="73">
        <f>IF((V50+W50)=0, "", V50/(V50+W50))</f>
        <v/>
      </c>
      <c r="Y50" s="46">
        <f>COUNTIF('Detailed Attendance'!CG52:CG52, "P")+COUNTIF('Detailed Attendance'!DD52:DD52, "P")+COUNTIF('Detailed Attendance'!EA52:EA52, "P")+COUNTIF('Detailed Attendance'!GH52:GH52, "P")</f>
        <v/>
      </c>
      <c r="Z50" s="46">
        <f>COUNTIF('Detailed Attendance'!CG52:CG52, "A")+COUNTIF('Detailed Attendance'!DD52:DD52, "A")+COUNTIF('Detailed Attendance'!EA52:EA52, "A")+COUNTIF('Detailed Attendance'!GH52:GH52, "A")</f>
        <v/>
      </c>
      <c r="AA50" s="73">
        <f>IF((Y50+Z50)=0, "", Y50/(Y50+Z50))</f>
        <v/>
      </c>
      <c r="AB50" s="46">
        <f>S50+V50+Y50</f>
        <v/>
      </c>
      <c r="AC50" s="46">
        <f>T50+W50+Z50</f>
        <v/>
      </c>
      <c r="AD50" s="73">
        <f>IF((AB50+AC50)=0, "", AB50/(AB50+AC50))</f>
        <v/>
      </c>
      <c r="AE50" s="46" t="inlineStr">
        <is>
          <t>Batch 2</t>
        </is>
      </c>
    </row>
    <row r="51" ht="14.25" customHeight="1" s="34">
      <c r="A51" s="46" t="n">
        <v>50</v>
      </c>
      <c r="B51" s="46" t="inlineStr">
        <is>
          <t>325106410050</t>
        </is>
      </c>
      <c r="C51" s="46" t="inlineStr">
        <is>
          <t>MOHAN TEJA TALUPULA</t>
        </is>
      </c>
      <c r="D51" s="46">
        <f>COUNTIF('Detailed Attendance'!R53:R53, "P")+COUNTIF('Detailed Attendance'!X53:X53, "P")+COUNTIF('Detailed Attendance'!AL53:AL53, "P")+COUNTIF('Detailed Attendance'!BF53:BF53, "P")+COUNTIF('Detailed Attendance'!BL53:BL53, "P")+COUNTIF('Detailed Attendance'!BZ53:BZ53, "P")+COUNTIF('Detailed Attendance'!CI53:CI53, "P")+COUNTIF('Detailed Attendance'!CW53:CW53, "P")+COUNTIF('Detailed Attendance'!DF53:DF53, "P")+COUNTIF('Detailed Attendance'!DT53:DT53, "P")+COUNTIF('Detailed Attendance'!EC53:EC53, "P")+COUNTIF('Detailed Attendance'!EQ53:EQ53, "P")+COUNTIF('Detailed Attendance'!EW53:EW53, "P")+COUNTIF('Detailed Attendance'!FK53:FK53, "P")+COUNTIF('Detailed Attendance'!FM53:FM53, "P")+COUNTIF('Detailed Attendance'!GA53:GA53, "P")</f>
        <v/>
      </c>
      <c r="E51" s="46">
        <f>COUNTIF('Detailed Attendance'!R53:R53, "A")+COUNTIF('Detailed Attendance'!X53:X53, "A")+COUNTIF('Detailed Attendance'!AL53:AL53, "A")+COUNTIF('Detailed Attendance'!BF53:BF53, "A")+COUNTIF('Detailed Attendance'!BL53:BL53, "A")+COUNTIF('Detailed Attendance'!BZ53:BZ53, "A")+COUNTIF('Detailed Attendance'!CI53:CI53, "A")+COUNTIF('Detailed Attendance'!CW53:CW53, "A")+COUNTIF('Detailed Attendance'!DF53:DF53, "A")+COUNTIF('Detailed Attendance'!DT53:DT53, "A")+COUNTIF('Detailed Attendance'!EC53:EC53, "A")+COUNTIF('Detailed Attendance'!EQ53:EQ53, "A")+COUNTIF('Detailed Attendance'!EW53:EW53, "A")+COUNTIF('Detailed Attendance'!FK53:FK53, "A")+COUNTIF('Detailed Attendance'!FM53:FM53, "A")+COUNTIF('Detailed Attendance'!GA53:GA53, "A")</f>
        <v/>
      </c>
      <c r="F51" s="72">
        <f>IF((D51+E51)=0, "", D51/(D51+E51))</f>
        <v/>
      </c>
      <c r="G51" s="46">
        <f>COUNTIF('Detailed Attendance'!I53:I53, "P")+COUNTIF('Detailed Attendance'!Q53:Q53, "P")+COUNTIF('Detailed Attendance'!AC53:AC53, "P")+COUNTIF('Detailed Attendance'!AK53:AK53, "P")+COUNTIF('Detailed Attendance'!AW53:AW53, "P")+COUNTIF('Detailed Attendance'!BE53:BE53, "P")+COUNTIF('Detailed Attendance'!BQ53:BQ53, "P")+COUNTIF('Detailed Attendance'!BY53:BY53, "P")+COUNTIF('Detailed Attendance'!CN53:CN53, "P")+COUNTIF('Detailed Attendance'!CV53:CV53, "P")+COUNTIF('Detailed Attendance'!DK53:DK53, "P")+COUNTIF('Detailed Attendance'!DS53:DS53, "P")+COUNTIF('Detailed Attendance'!EH53:EH53, "P")+COUNTIF('Detailed Attendance'!EP53:EP53, "P")+COUNTIF('Detailed Attendance'!FB53:FB53, "P")+COUNTIF('Detailed Attendance'!FJ53:FJ53, "P")+COUNTIF('Detailed Attendance'!FR53:FR53, "P")+COUNTIF('Detailed Attendance'!FZ53:FZ53, "P")</f>
        <v/>
      </c>
      <c r="H51" s="46">
        <f>COUNTIF('Detailed Attendance'!I53:I53, "A")+COUNTIF('Detailed Attendance'!Q53:Q53, "A")+COUNTIF('Detailed Attendance'!AC53:AC53, "A")+COUNTIF('Detailed Attendance'!AK53:AK53, "A")+COUNTIF('Detailed Attendance'!AW53:AW53, "A")+COUNTIF('Detailed Attendance'!BE53:BE53, "A")+COUNTIF('Detailed Attendance'!BQ53:BQ53, "A")+COUNTIF('Detailed Attendance'!BY53:BY53, "A")+COUNTIF('Detailed Attendance'!CN53:CN53, "A")+COUNTIF('Detailed Attendance'!CV53:CV53, "A")+COUNTIF('Detailed Attendance'!DK53:DK53, "A")+COUNTIF('Detailed Attendance'!DS53:DS53, "A")+COUNTIF('Detailed Attendance'!EH53:EH53, "A")+COUNTIF('Detailed Attendance'!EP53:EP53, "A")+COUNTIF('Detailed Attendance'!FB53:FB53, "A")+COUNTIF('Detailed Attendance'!FJ53:FJ53, "A")+COUNTIF('Detailed Attendance'!FR53:FR53, "A")+COUNTIF('Detailed Attendance'!FZ53:FZ53, "A")</f>
        <v/>
      </c>
      <c r="I51" s="72">
        <f>IF((G51+H51)=0, "", G51/(G51+H51))</f>
        <v/>
      </c>
      <c r="J51" s="46">
        <f>COUNTIF('Detailed Attendance'!L53:L53, "P")+COUNTIF('Detailed Attendance'!P53:P53, "P")+COUNTIF('Detailed Attendance'!AF53:AF53, "P")+COUNTIF('Detailed Attendance'!AJ53:AJ53, "P")+COUNTIF('Detailed Attendance'!AZ53:AZ53, "P")+COUNTIF('Detailed Attendance'!BD53:BD53, "P")+COUNTIF('Detailed Attendance'!BT53:BT53, "P")+COUNTIF('Detailed Attendance'!BX53:BX53, "P")+COUNTIF('Detailed Attendance'!CQ53:CQ53, "P")+COUNTIF('Detailed Attendance'!CU53:CU53, "P")+COUNTIF('Detailed Attendance'!DN53:DN53, "P")+COUNTIF('Detailed Attendance'!DR53:DR53, "P")+COUNTIF('Detailed Attendance'!EK53:EK53, "P")+COUNTIF('Detailed Attendance'!EO53:EO53, "P")+COUNTIF('Detailed Attendance'!FE53:FE53, "P")+COUNTIF('Detailed Attendance'!FI53:FI53, "P")+COUNTIF('Detailed Attendance'!FU53:FU53, "P")+COUNTIF('Detailed Attendance'!FY53:FY53, "P")</f>
        <v/>
      </c>
      <c r="K51" s="46">
        <f>COUNTIF('Detailed Attendance'!L53:L53, "A")+COUNTIF('Detailed Attendance'!P53:P53, "A")+COUNTIF('Detailed Attendance'!AF53:AF53, "A")+COUNTIF('Detailed Attendance'!AJ53:AJ53, "A")+COUNTIF('Detailed Attendance'!AZ53:AZ53, "A")+COUNTIF('Detailed Attendance'!BD53:BD53, "A")+COUNTIF('Detailed Attendance'!BT53:BT53, "A")+COUNTIF('Detailed Attendance'!BX53:BX53, "A")+COUNTIF('Detailed Attendance'!CQ53:CQ53, "A")+COUNTIF('Detailed Attendance'!CU53:CU53, "A")+COUNTIF('Detailed Attendance'!DN53:DN53, "A")+COUNTIF('Detailed Attendance'!DR53:DR53, "A")+COUNTIF('Detailed Attendance'!EK53:EK53, "A")+COUNTIF('Detailed Attendance'!EO53:EO53, "A")+COUNTIF('Detailed Attendance'!FE53:FE53, "A")+COUNTIF('Detailed Attendance'!FI53:FI53, "A")+COUNTIF('Detailed Attendance'!FU53:FU53, "A")+COUNTIF('Detailed Attendance'!FY53:FY53, "A")</f>
        <v/>
      </c>
      <c r="L51" s="72">
        <f>IF((J51+K51)=0, "", J51/(J51+K51))</f>
        <v/>
      </c>
      <c r="M51" s="46">
        <f>COUNTIF('Detailed Attendance'!D53:D53, "P")+COUNTIF('Detailed Attendance'!T53:T53, "P")+COUNTIF('Detailed Attendance'!AN53:AN53, "P")+COUNTIF('Detailed Attendance'!AR53:AR53, "P")+COUNTIF('Detailed Attendance'!BH53:BH53, "P")+COUNTIF('Detailed Attendance'!CB53:CB53, "P")+COUNTIF('Detailed Attendance'!CF53:CF53, "P")+COUNTIF('Detailed Attendance'!CY53:CY53, "P")+COUNTIF('Detailed Attendance'!DC53:DC53, "P")+COUNTIF('Detailed Attendance'!DV53:DV53, "P")+COUNTIF('Detailed Attendance'!DZ53:DZ53, "P")+COUNTIF('Detailed Attendance'!ES53:ES53, "P")+COUNTIF('Detailed Attendance'!GC53:GC53, "P")+COUNTIF('Detailed Attendance'!GG53:GG53, "P")</f>
        <v/>
      </c>
      <c r="N51" s="46">
        <f>COUNTIF('Detailed Attendance'!D53:D53, "A")+COUNTIF('Detailed Attendance'!T53:T53, "A")+COUNTIF('Detailed Attendance'!AN53:AN53, "A")+COUNTIF('Detailed Attendance'!AR53:AR53, "A")+COUNTIF('Detailed Attendance'!BH53:BH53, "A")+COUNTIF('Detailed Attendance'!CB53:CB53, "A")+COUNTIF('Detailed Attendance'!CF53:CF53, "A")+COUNTIF('Detailed Attendance'!CY53:CY53, "A")+COUNTIF('Detailed Attendance'!DC53:DC53, "A")+COUNTIF('Detailed Attendance'!DV53:DV53, "A")+COUNTIF('Detailed Attendance'!DZ53:DZ53, "A")+COUNTIF('Detailed Attendance'!ES53:ES53, "A")+COUNTIF('Detailed Attendance'!GC53:GC53, "A")+COUNTIF('Detailed Attendance'!GG53:GG53, "A")</f>
        <v/>
      </c>
      <c r="O51" s="72">
        <f>IF((M51+N51)=0, "", M51/(M51+N51))</f>
        <v/>
      </c>
      <c r="P51" s="46">
        <f>COUNTIF('Detailed Attendance'!M53:M53, "P")+COUNTIF('Detailed Attendance'!U53:U53, "P")+COUNTIF('Detailed Attendance'!AG53:AG53, "P")+COUNTIF('Detailed Attendance'!AO53:AO53, "P")+COUNTIF('Detailed Attendance'!BA53:BA53, "P")+COUNTIF('Detailed Attendance'!BI53:BI53, "P")+COUNTIF('Detailed Attendance'!BU53:BU53, "P")+COUNTIF('Detailed Attendance'!CC53:CC53, "P")+COUNTIF('Detailed Attendance'!CR53:CR53, "P")+COUNTIF('Detailed Attendance'!CZ53:CZ53, "P")+COUNTIF('Detailed Attendance'!DO53:DO53, "P")+COUNTIF('Detailed Attendance'!DW53:DW53, "P")+COUNTIF('Detailed Attendance'!EL53:EL53, "P")+COUNTIF('Detailed Attendance'!ET53:ET53, "P")+COUNTIF('Detailed Attendance'!FF53:FF53, "P")+COUNTIF('Detailed Attendance'!FV53:FV53, "P")+COUNTIF('Detailed Attendance'!GD53:GD53, "P")</f>
        <v/>
      </c>
      <c r="Q51" s="46">
        <f>COUNTIF('Detailed Attendance'!M53:M53, "A")+COUNTIF('Detailed Attendance'!U53:U53, "A")+COUNTIF('Detailed Attendance'!AG53:AG53, "A")+COUNTIF('Detailed Attendance'!AO53:AO53, "A")+COUNTIF('Detailed Attendance'!BA53:BA53, "A")+COUNTIF('Detailed Attendance'!BI53:BI53, "A")+COUNTIF('Detailed Attendance'!BU53:BU53, "A")+COUNTIF('Detailed Attendance'!CC53:CC53, "A")+COUNTIF('Detailed Attendance'!CR53:CR53, "A")+COUNTIF('Detailed Attendance'!CZ53:CZ53, "A")+COUNTIF('Detailed Attendance'!DO53:DO53, "A")+COUNTIF('Detailed Attendance'!DW53:DW53, "A")+COUNTIF('Detailed Attendance'!EL53:EL53, "A")+COUNTIF('Detailed Attendance'!ET53:ET53, "A")+COUNTIF('Detailed Attendance'!FF53:FF53, "A")+COUNTIF('Detailed Attendance'!FV53:FV53, "A")+COUNTIF('Detailed Attendance'!GD53:GD53, "A")</f>
        <v/>
      </c>
      <c r="R51" s="72">
        <f>IF((P51+Q51)=0, "", P51/(P51+Q51))</f>
        <v/>
      </c>
      <c r="S51" s="46">
        <f>COUNTIF('Detailed Attendance'!V53:V53, "P")+COUNTIF('Detailed Attendance'!AP53:AP53, "P")+COUNTIF('Detailed Attendance'!BJ53:BJ53, "P")+COUNTIF('Detailed Attendance'!CD53:CD53, "P")+COUNTIF('Detailed Attendance'!DA53:DA53, "P")+COUNTIF('Detailed Attendance'!DX53:DX53, "P")+COUNTIF('Detailed Attendance'!EU53:EU53, "P")+COUNTIF('Detailed Attendance'!GE53:GE53, "P")</f>
        <v/>
      </c>
      <c r="T51" s="46">
        <f>COUNTIF('Detailed Attendance'!V53:V53, "A")+COUNTIF('Detailed Attendance'!AP53:AP53, "A")+COUNTIF('Detailed Attendance'!BJ53:BJ53, "A")+COUNTIF('Detailed Attendance'!CD53:CD53, "A")+COUNTIF('Detailed Attendance'!DA53:DA53, "A")+COUNTIF('Detailed Attendance'!DX53:DX53, "A")+COUNTIF('Detailed Attendance'!EU53:EU53, "A")+COUNTIF('Detailed Attendance'!GE53:GE53, "A")</f>
        <v/>
      </c>
      <c r="U51" s="73">
        <f>IF((S51+T51)=0, "", S51/(S51+T51))</f>
        <v/>
      </c>
      <c r="V51" s="46">
        <f>COUNTIF('Detailed Attendance'!CH53:CH53, "P")+COUNTIF('Detailed Attendance'!DE53:DE53, "P")+COUNTIF('Detailed Attendance'!EB53:EB53, "P")+COUNTIF('Detailed Attendance'!GI53:GI53, "P")</f>
        <v/>
      </c>
      <c r="W51" s="46">
        <f>COUNTIF('Detailed Attendance'!CH53:CH53, "A")+COUNTIF('Detailed Attendance'!DE53:DE53, "A")+COUNTIF('Detailed Attendance'!EB53:EB53, "A")+COUNTIF('Detailed Attendance'!GI53:GI53, "A")</f>
        <v/>
      </c>
      <c r="X51" s="73">
        <f>IF((V51+W51)=0, "", V51/(V51+W51))</f>
        <v/>
      </c>
      <c r="Y51" s="46">
        <f>COUNTIF('Detailed Attendance'!CG53:CG53, "P")+COUNTIF('Detailed Attendance'!DD53:DD53, "P")+COUNTIF('Detailed Attendance'!EA53:EA53, "P")+COUNTIF('Detailed Attendance'!GH53:GH53, "P")</f>
        <v/>
      </c>
      <c r="Z51" s="46">
        <f>COUNTIF('Detailed Attendance'!CG53:CG53, "A")+COUNTIF('Detailed Attendance'!DD53:DD53, "A")+COUNTIF('Detailed Attendance'!EA53:EA53, "A")+COUNTIF('Detailed Attendance'!GH53:GH53, "A")</f>
        <v/>
      </c>
      <c r="AA51" s="73">
        <f>IF((Y51+Z51)=0, "", Y51/(Y51+Z51))</f>
        <v/>
      </c>
      <c r="AB51" s="46">
        <f>S51+V51+Y51</f>
        <v/>
      </c>
      <c r="AC51" s="46">
        <f>T51+W51+Z51</f>
        <v/>
      </c>
      <c r="AD51" s="73">
        <f>IF((AB51+AC51)=0, "", AB51/(AB51+AC51))</f>
        <v/>
      </c>
      <c r="AE51" s="46" t="inlineStr">
        <is>
          <t>Batch 2</t>
        </is>
      </c>
    </row>
    <row r="52" ht="14.25" customHeight="1" s="34">
      <c r="A52" s="46" t="n">
        <v>51</v>
      </c>
      <c r="B52" s="46" t="inlineStr">
        <is>
          <t>325106410051</t>
        </is>
      </c>
      <c r="C52" s="46" t="inlineStr">
        <is>
          <t>VINEETHKUMAR THENNETI</t>
        </is>
      </c>
      <c r="D52" s="46">
        <f>COUNTIF('Detailed Attendance'!R54:R54, "P")+COUNTIF('Detailed Attendance'!X54:X54, "P")+COUNTIF('Detailed Attendance'!AL54:AL54, "P")+COUNTIF('Detailed Attendance'!BF54:BF54, "P")+COUNTIF('Detailed Attendance'!BL54:BL54, "P")+COUNTIF('Detailed Attendance'!BZ54:BZ54, "P")+COUNTIF('Detailed Attendance'!CI54:CI54, "P")+COUNTIF('Detailed Attendance'!CW54:CW54, "P")+COUNTIF('Detailed Attendance'!DF54:DF54, "P")+COUNTIF('Detailed Attendance'!DT54:DT54, "P")+COUNTIF('Detailed Attendance'!EC54:EC54, "P")+COUNTIF('Detailed Attendance'!EQ54:EQ54, "P")+COUNTIF('Detailed Attendance'!EW54:EW54, "P")+COUNTIF('Detailed Attendance'!FK54:FK54, "P")+COUNTIF('Detailed Attendance'!FM54:FM54, "P")+COUNTIF('Detailed Attendance'!GA54:GA54, "P")</f>
        <v/>
      </c>
      <c r="E52" s="46">
        <f>COUNTIF('Detailed Attendance'!R54:R54, "A")+COUNTIF('Detailed Attendance'!X54:X54, "A")+COUNTIF('Detailed Attendance'!AL54:AL54, "A")+COUNTIF('Detailed Attendance'!BF54:BF54, "A")+COUNTIF('Detailed Attendance'!BL54:BL54, "A")+COUNTIF('Detailed Attendance'!BZ54:BZ54, "A")+COUNTIF('Detailed Attendance'!CI54:CI54, "A")+COUNTIF('Detailed Attendance'!CW54:CW54, "A")+COUNTIF('Detailed Attendance'!DF54:DF54, "A")+COUNTIF('Detailed Attendance'!DT54:DT54, "A")+COUNTIF('Detailed Attendance'!EC54:EC54, "A")+COUNTIF('Detailed Attendance'!EQ54:EQ54, "A")+COUNTIF('Detailed Attendance'!EW54:EW54, "A")+COUNTIF('Detailed Attendance'!FK54:FK54, "A")+COUNTIF('Detailed Attendance'!FM54:FM54, "A")+COUNTIF('Detailed Attendance'!GA54:GA54, "A")</f>
        <v/>
      </c>
      <c r="F52" s="72">
        <f>IF((D52+E52)=0, "", D52/(D52+E52))</f>
        <v/>
      </c>
      <c r="G52" s="46">
        <f>COUNTIF('Detailed Attendance'!I54:I54, "P")+COUNTIF('Detailed Attendance'!Q54:Q54, "P")+COUNTIF('Detailed Attendance'!AC54:AC54, "P")+COUNTIF('Detailed Attendance'!AK54:AK54, "P")+COUNTIF('Detailed Attendance'!AW54:AW54, "P")+COUNTIF('Detailed Attendance'!BE54:BE54, "P")+COUNTIF('Detailed Attendance'!BQ54:BQ54, "P")+COUNTIF('Detailed Attendance'!BY54:BY54, "P")+COUNTIF('Detailed Attendance'!CN54:CN54, "P")+COUNTIF('Detailed Attendance'!CV54:CV54, "P")+COUNTIF('Detailed Attendance'!DK54:DK54, "P")+COUNTIF('Detailed Attendance'!DS54:DS54, "P")+COUNTIF('Detailed Attendance'!EH54:EH54, "P")+COUNTIF('Detailed Attendance'!EP54:EP54, "P")+COUNTIF('Detailed Attendance'!FB54:FB54, "P")+COUNTIF('Detailed Attendance'!FJ54:FJ54, "P")+COUNTIF('Detailed Attendance'!FR54:FR54, "P")+COUNTIF('Detailed Attendance'!FZ54:FZ54, "P")</f>
        <v/>
      </c>
      <c r="H52" s="46">
        <f>COUNTIF('Detailed Attendance'!I54:I54, "A")+COUNTIF('Detailed Attendance'!Q54:Q54, "A")+COUNTIF('Detailed Attendance'!AC54:AC54, "A")+COUNTIF('Detailed Attendance'!AK54:AK54, "A")+COUNTIF('Detailed Attendance'!AW54:AW54, "A")+COUNTIF('Detailed Attendance'!BE54:BE54, "A")+COUNTIF('Detailed Attendance'!BQ54:BQ54, "A")+COUNTIF('Detailed Attendance'!BY54:BY54, "A")+COUNTIF('Detailed Attendance'!CN54:CN54, "A")+COUNTIF('Detailed Attendance'!CV54:CV54, "A")+COUNTIF('Detailed Attendance'!DK54:DK54, "A")+COUNTIF('Detailed Attendance'!DS54:DS54, "A")+COUNTIF('Detailed Attendance'!EH54:EH54, "A")+COUNTIF('Detailed Attendance'!EP54:EP54, "A")+COUNTIF('Detailed Attendance'!FB54:FB54, "A")+COUNTIF('Detailed Attendance'!FJ54:FJ54, "A")+COUNTIF('Detailed Attendance'!FR54:FR54, "A")+COUNTIF('Detailed Attendance'!FZ54:FZ54, "A")</f>
        <v/>
      </c>
      <c r="I52" s="72">
        <f>IF((G52+H52)=0, "", G52/(G52+H52))</f>
        <v/>
      </c>
      <c r="J52" s="46">
        <f>COUNTIF('Detailed Attendance'!L54:L54, "P")+COUNTIF('Detailed Attendance'!P54:P54, "P")+COUNTIF('Detailed Attendance'!AF54:AF54, "P")+COUNTIF('Detailed Attendance'!AJ54:AJ54, "P")+COUNTIF('Detailed Attendance'!AZ54:AZ54, "P")+COUNTIF('Detailed Attendance'!BD54:BD54, "P")+COUNTIF('Detailed Attendance'!BT54:BT54, "P")+COUNTIF('Detailed Attendance'!BX54:BX54, "P")+COUNTIF('Detailed Attendance'!CQ54:CQ54, "P")+COUNTIF('Detailed Attendance'!CU54:CU54, "P")+COUNTIF('Detailed Attendance'!DN54:DN54, "P")+COUNTIF('Detailed Attendance'!DR54:DR54, "P")+COUNTIF('Detailed Attendance'!EK54:EK54, "P")+COUNTIF('Detailed Attendance'!EO54:EO54, "P")+COUNTIF('Detailed Attendance'!FE54:FE54, "P")+COUNTIF('Detailed Attendance'!FI54:FI54, "P")+COUNTIF('Detailed Attendance'!FU54:FU54, "P")+COUNTIF('Detailed Attendance'!FY54:FY54, "P")</f>
        <v/>
      </c>
      <c r="K52" s="46">
        <f>COUNTIF('Detailed Attendance'!L54:L54, "A")+COUNTIF('Detailed Attendance'!P54:P54, "A")+COUNTIF('Detailed Attendance'!AF54:AF54, "A")+COUNTIF('Detailed Attendance'!AJ54:AJ54, "A")+COUNTIF('Detailed Attendance'!AZ54:AZ54, "A")+COUNTIF('Detailed Attendance'!BD54:BD54, "A")+COUNTIF('Detailed Attendance'!BT54:BT54, "A")+COUNTIF('Detailed Attendance'!BX54:BX54, "A")+COUNTIF('Detailed Attendance'!CQ54:CQ54, "A")+COUNTIF('Detailed Attendance'!CU54:CU54, "A")+COUNTIF('Detailed Attendance'!DN54:DN54, "A")+COUNTIF('Detailed Attendance'!DR54:DR54, "A")+COUNTIF('Detailed Attendance'!EK54:EK54, "A")+COUNTIF('Detailed Attendance'!EO54:EO54, "A")+COUNTIF('Detailed Attendance'!FE54:FE54, "A")+COUNTIF('Detailed Attendance'!FI54:FI54, "A")+COUNTIF('Detailed Attendance'!FU54:FU54, "A")+COUNTIF('Detailed Attendance'!FY54:FY54, "A")</f>
        <v/>
      </c>
      <c r="L52" s="72">
        <f>IF((J52+K52)=0, "", J52/(J52+K52))</f>
        <v/>
      </c>
      <c r="M52" s="46">
        <f>COUNTIF('Detailed Attendance'!D54:D54, "P")+COUNTIF('Detailed Attendance'!T54:T54, "P")+COUNTIF('Detailed Attendance'!AN54:AN54, "P")+COUNTIF('Detailed Attendance'!AR54:AR54, "P")+COUNTIF('Detailed Attendance'!BH54:BH54, "P")+COUNTIF('Detailed Attendance'!CB54:CB54, "P")+COUNTIF('Detailed Attendance'!CF54:CF54, "P")+COUNTIF('Detailed Attendance'!CY54:CY54, "P")+COUNTIF('Detailed Attendance'!DC54:DC54, "P")+COUNTIF('Detailed Attendance'!DV54:DV54, "P")+COUNTIF('Detailed Attendance'!DZ54:DZ54, "P")+COUNTIF('Detailed Attendance'!ES54:ES54, "P")+COUNTIF('Detailed Attendance'!GC54:GC54, "P")+COUNTIF('Detailed Attendance'!GG54:GG54, "P")</f>
        <v/>
      </c>
      <c r="N52" s="46">
        <f>COUNTIF('Detailed Attendance'!D54:D54, "A")+COUNTIF('Detailed Attendance'!T54:T54, "A")+COUNTIF('Detailed Attendance'!AN54:AN54, "A")+COUNTIF('Detailed Attendance'!AR54:AR54, "A")+COUNTIF('Detailed Attendance'!BH54:BH54, "A")+COUNTIF('Detailed Attendance'!CB54:CB54, "A")+COUNTIF('Detailed Attendance'!CF54:CF54, "A")+COUNTIF('Detailed Attendance'!CY54:CY54, "A")+COUNTIF('Detailed Attendance'!DC54:DC54, "A")+COUNTIF('Detailed Attendance'!DV54:DV54, "A")+COUNTIF('Detailed Attendance'!DZ54:DZ54, "A")+COUNTIF('Detailed Attendance'!ES54:ES54, "A")+COUNTIF('Detailed Attendance'!GC54:GC54, "A")+COUNTIF('Detailed Attendance'!GG54:GG54, "A")</f>
        <v/>
      </c>
      <c r="O52" s="72">
        <f>IF((M52+N52)=0, "", M52/(M52+N52))</f>
        <v/>
      </c>
      <c r="P52" s="46">
        <f>COUNTIF('Detailed Attendance'!M54:M54, "P")+COUNTIF('Detailed Attendance'!U54:U54, "P")+COUNTIF('Detailed Attendance'!AG54:AG54, "P")+COUNTIF('Detailed Attendance'!AO54:AO54, "P")+COUNTIF('Detailed Attendance'!BA54:BA54, "P")+COUNTIF('Detailed Attendance'!BI54:BI54, "P")+COUNTIF('Detailed Attendance'!BU54:BU54, "P")+COUNTIF('Detailed Attendance'!CC54:CC54, "P")+COUNTIF('Detailed Attendance'!CR54:CR54, "P")+COUNTIF('Detailed Attendance'!CZ54:CZ54, "P")+COUNTIF('Detailed Attendance'!DO54:DO54, "P")+COUNTIF('Detailed Attendance'!DW54:DW54, "P")+COUNTIF('Detailed Attendance'!EL54:EL54, "P")+COUNTIF('Detailed Attendance'!ET54:ET54, "P")+COUNTIF('Detailed Attendance'!FF54:FF54, "P")+COUNTIF('Detailed Attendance'!FV54:FV54, "P")+COUNTIF('Detailed Attendance'!GD54:GD54, "P")</f>
        <v/>
      </c>
      <c r="Q52" s="46">
        <f>COUNTIF('Detailed Attendance'!M54:M54, "A")+COUNTIF('Detailed Attendance'!U54:U54, "A")+COUNTIF('Detailed Attendance'!AG54:AG54, "A")+COUNTIF('Detailed Attendance'!AO54:AO54, "A")+COUNTIF('Detailed Attendance'!BA54:BA54, "A")+COUNTIF('Detailed Attendance'!BI54:BI54, "A")+COUNTIF('Detailed Attendance'!BU54:BU54, "A")+COUNTIF('Detailed Attendance'!CC54:CC54, "A")+COUNTIF('Detailed Attendance'!CR54:CR54, "A")+COUNTIF('Detailed Attendance'!CZ54:CZ54, "A")+COUNTIF('Detailed Attendance'!DO54:DO54, "A")+COUNTIF('Detailed Attendance'!DW54:DW54, "A")+COUNTIF('Detailed Attendance'!EL54:EL54, "A")+COUNTIF('Detailed Attendance'!ET54:ET54, "A")+COUNTIF('Detailed Attendance'!FF54:FF54, "A")+COUNTIF('Detailed Attendance'!FV54:FV54, "A")+COUNTIF('Detailed Attendance'!GD54:GD54, "A")</f>
        <v/>
      </c>
      <c r="R52" s="72">
        <f>IF((P52+Q52)=0, "", P52/(P52+Q52))</f>
        <v/>
      </c>
      <c r="S52" s="46">
        <f>COUNTIF('Detailed Attendance'!V54:V54, "P")+COUNTIF('Detailed Attendance'!AP54:AP54, "P")+COUNTIF('Detailed Attendance'!BJ54:BJ54, "P")+COUNTIF('Detailed Attendance'!CD54:CD54, "P")+COUNTIF('Detailed Attendance'!DA54:DA54, "P")+COUNTIF('Detailed Attendance'!DX54:DX54, "P")+COUNTIF('Detailed Attendance'!EU54:EU54, "P")+COUNTIF('Detailed Attendance'!GE54:GE54, "P")</f>
        <v/>
      </c>
      <c r="T52" s="46">
        <f>COUNTIF('Detailed Attendance'!V54:V54, "A")+COUNTIF('Detailed Attendance'!AP54:AP54, "A")+COUNTIF('Detailed Attendance'!BJ54:BJ54, "A")+COUNTIF('Detailed Attendance'!CD54:CD54, "A")+COUNTIF('Detailed Attendance'!DA54:DA54, "A")+COUNTIF('Detailed Attendance'!DX54:DX54, "A")+COUNTIF('Detailed Attendance'!EU54:EU54, "A")+COUNTIF('Detailed Attendance'!GE54:GE54, "A")</f>
        <v/>
      </c>
      <c r="U52" s="73">
        <f>IF((S52+T52)=0, "", S52/(S52+T52))</f>
        <v/>
      </c>
      <c r="V52" s="46">
        <f>COUNTIF('Detailed Attendance'!CH54:CH54, "P")+COUNTIF('Detailed Attendance'!DE54:DE54, "P")+COUNTIF('Detailed Attendance'!EB54:EB54, "P")+COUNTIF('Detailed Attendance'!GI54:GI54, "P")</f>
        <v/>
      </c>
      <c r="W52" s="46">
        <f>COUNTIF('Detailed Attendance'!CH54:CH54, "A")+COUNTIF('Detailed Attendance'!DE54:DE54, "A")+COUNTIF('Detailed Attendance'!EB54:EB54, "A")+COUNTIF('Detailed Attendance'!GI54:GI54, "A")</f>
        <v/>
      </c>
      <c r="X52" s="73">
        <f>IF((V52+W52)=0, "", V52/(V52+W52))</f>
        <v/>
      </c>
      <c r="Y52" s="46">
        <f>COUNTIF('Detailed Attendance'!CG54:CG54, "P")+COUNTIF('Detailed Attendance'!DD54:DD54, "P")+COUNTIF('Detailed Attendance'!EA54:EA54, "P")+COUNTIF('Detailed Attendance'!GH54:GH54, "P")</f>
        <v/>
      </c>
      <c r="Z52" s="46">
        <f>COUNTIF('Detailed Attendance'!CG54:CG54, "A")+COUNTIF('Detailed Attendance'!DD54:DD54, "A")+COUNTIF('Detailed Attendance'!EA54:EA54, "A")+COUNTIF('Detailed Attendance'!GH54:GH54, "A")</f>
        <v/>
      </c>
      <c r="AA52" s="73">
        <f>IF((Y52+Z52)=0, "", Y52/(Y52+Z52))</f>
        <v/>
      </c>
      <c r="AB52" s="46">
        <f>S52+V52+Y52</f>
        <v/>
      </c>
      <c r="AC52" s="46">
        <f>T52+W52+Z52</f>
        <v/>
      </c>
      <c r="AD52" s="73">
        <f>IF((AB52+AC52)=0, "", AB52/(AB52+AC52))</f>
        <v/>
      </c>
      <c r="AE52" s="46" t="inlineStr">
        <is>
          <t>Batch 2</t>
        </is>
      </c>
    </row>
    <row r="53" ht="14.25" customHeight="1" s="34">
      <c r="A53" s="46" t="n">
        <v>52</v>
      </c>
      <c r="B53" s="46" t="inlineStr">
        <is>
          <t>325106410052</t>
        </is>
      </c>
      <c r="C53" s="46" t="inlineStr">
        <is>
          <t>GAYATRI TIPPANA</t>
        </is>
      </c>
      <c r="D53" s="46">
        <f>COUNTIF('Detailed Attendance'!R55:R55, "P")+COUNTIF('Detailed Attendance'!X55:X55, "P")+COUNTIF('Detailed Attendance'!AL55:AL55, "P")+COUNTIF('Detailed Attendance'!BF55:BF55, "P")+COUNTIF('Detailed Attendance'!BL55:BL55, "P")+COUNTIF('Detailed Attendance'!BZ55:BZ55, "P")+COUNTIF('Detailed Attendance'!CI55:CI55, "P")+COUNTIF('Detailed Attendance'!CW55:CW55, "P")+COUNTIF('Detailed Attendance'!DF55:DF55, "P")+COUNTIF('Detailed Attendance'!DT55:DT55, "P")+COUNTIF('Detailed Attendance'!EC55:EC55, "P")+COUNTIF('Detailed Attendance'!EQ55:EQ55, "P")+COUNTIF('Detailed Attendance'!EW55:EW55, "P")+COUNTIF('Detailed Attendance'!FK55:FK55, "P")+COUNTIF('Detailed Attendance'!FM55:FM55, "P")+COUNTIF('Detailed Attendance'!GA55:GA55, "P")</f>
        <v/>
      </c>
      <c r="E53" s="46">
        <f>COUNTIF('Detailed Attendance'!R55:R55, "A")+COUNTIF('Detailed Attendance'!X55:X55, "A")+COUNTIF('Detailed Attendance'!AL55:AL55, "A")+COUNTIF('Detailed Attendance'!BF55:BF55, "A")+COUNTIF('Detailed Attendance'!BL55:BL55, "A")+COUNTIF('Detailed Attendance'!BZ55:BZ55, "A")+COUNTIF('Detailed Attendance'!CI55:CI55, "A")+COUNTIF('Detailed Attendance'!CW55:CW55, "A")+COUNTIF('Detailed Attendance'!DF55:DF55, "A")+COUNTIF('Detailed Attendance'!DT55:DT55, "A")+COUNTIF('Detailed Attendance'!EC55:EC55, "A")+COUNTIF('Detailed Attendance'!EQ55:EQ55, "A")+COUNTIF('Detailed Attendance'!EW55:EW55, "A")+COUNTIF('Detailed Attendance'!FK55:FK55, "A")+COUNTIF('Detailed Attendance'!FM55:FM55, "A")+COUNTIF('Detailed Attendance'!GA55:GA55, "A")</f>
        <v/>
      </c>
      <c r="F53" s="72">
        <f>IF((D53+E53)=0, "", D53/(D53+E53))</f>
        <v/>
      </c>
      <c r="G53" s="46">
        <f>COUNTIF('Detailed Attendance'!I55:I55, "P")+COUNTIF('Detailed Attendance'!Q55:Q55, "P")+COUNTIF('Detailed Attendance'!AC55:AC55, "P")+COUNTIF('Detailed Attendance'!AK55:AK55, "P")+COUNTIF('Detailed Attendance'!AW55:AW55, "P")+COUNTIF('Detailed Attendance'!BE55:BE55, "P")+COUNTIF('Detailed Attendance'!BQ55:BQ55, "P")+COUNTIF('Detailed Attendance'!BY55:BY55, "P")+COUNTIF('Detailed Attendance'!CN55:CN55, "P")+COUNTIF('Detailed Attendance'!CV55:CV55, "P")+COUNTIF('Detailed Attendance'!DK55:DK55, "P")+COUNTIF('Detailed Attendance'!DS55:DS55, "P")+COUNTIF('Detailed Attendance'!EH55:EH55, "P")+COUNTIF('Detailed Attendance'!EP55:EP55, "P")+COUNTIF('Detailed Attendance'!FB55:FB55, "P")+COUNTIF('Detailed Attendance'!FJ55:FJ55, "P")+COUNTIF('Detailed Attendance'!FR55:FR55, "P")+COUNTIF('Detailed Attendance'!FZ55:FZ55, "P")</f>
        <v/>
      </c>
      <c r="H53" s="46">
        <f>COUNTIF('Detailed Attendance'!I55:I55, "A")+COUNTIF('Detailed Attendance'!Q55:Q55, "A")+COUNTIF('Detailed Attendance'!AC55:AC55, "A")+COUNTIF('Detailed Attendance'!AK55:AK55, "A")+COUNTIF('Detailed Attendance'!AW55:AW55, "A")+COUNTIF('Detailed Attendance'!BE55:BE55, "A")+COUNTIF('Detailed Attendance'!BQ55:BQ55, "A")+COUNTIF('Detailed Attendance'!BY55:BY55, "A")+COUNTIF('Detailed Attendance'!CN55:CN55, "A")+COUNTIF('Detailed Attendance'!CV55:CV55, "A")+COUNTIF('Detailed Attendance'!DK55:DK55, "A")+COUNTIF('Detailed Attendance'!DS55:DS55, "A")+COUNTIF('Detailed Attendance'!EH55:EH55, "A")+COUNTIF('Detailed Attendance'!EP55:EP55, "A")+COUNTIF('Detailed Attendance'!FB55:FB55, "A")+COUNTIF('Detailed Attendance'!FJ55:FJ55, "A")+COUNTIF('Detailed Attendance'!FR55:FR55, "A")+COUNTIF('Detailed Attendance'!FZ55:FZ55, "A")</f>
        <v/>
      </c>
      <c r="I53" s="72">
        <f>IF((G53+H53)=0, "", G53/(G53+H53))</f>
        <v/>
      </c>
      <c r="J53" s="46">
        <f>COUNTIF('Detailed Attendance'!L55:L55, "P")+COUNTIF('Detailed Attendance'!P55:P55, "P")+COUNTIF('Detailed Attendance'!AF55:AF55, "P")+COUNTIF('Detailed Attendance'!AJ55:AJ55, "P")+COUNTIF('Detailed Attendance'!AZ55:AZ55, "P")+COUNTIF('Detailed Attendance'!BD55:BD55, "P")+COUNTIF('Detailed Attendance'!BT55:BT55, "P")+COUNTIF('Detailed Attendance'!BX55:BX55, "P")+COUNTIF('Detailed Attendance'!CQ55:CQ55, "P")+COUNTIF('Detailed Attendance'!CU55:CU55, "P")+COUNTIF('Detailed Attendance'!DN55:DN55, "P")+COUNTIF('Detailed Attendance'!DR55:DR55, "P")+COUNTIF('Detailed Attendance'!EK55:EK55, "P")+COUNTIF('Detailed Attendance'!EO55:EO55, "P")+COUNTIF('Detailed Attendance'!FE55:FE55, "P")+COUNTIF('Detailed Attendance'!FI55:FI55, "P")+COUNTIF('Detailed Attendance'!FU55:FU55, "P")+COUNTIF('Detailed Attendance'!FY55:FY55, "P")</f>
        <v/>
      </c>
      <c r="K53" s="46">
        <f>COUNTIF('Detailed Attendance'!L55:L55, "A")+COUNTIF('Detailed Attendance'!P55:P55, "A")+COUNTIF('Detailed Attendance'!AF55:AF55, "A")+COUNTIF('Detailed Attendance'!AJ55:AJ55, "A")+COUNTIF('Detailed Attendance'!AZ55:AZ55, "A")+COUNTIF('Detailed Attendance'!BD55:BD55, "A")+COUNTIF('Detailed Attendance'!BT55:BT55, "A")+COUNTIF('Detailed Attendance'!BX55:BX55, "A")+COUNTIF('Detailed Attendance'!CQ55:CQ55, "A")+COUNTIF('Detailed Attendance'!CU55:CU55, "A")+COUNTIF('Detailed Attendance'!DN55:DN55, "A")+COUNTIF('Detailed Attendance'!DR55:DR55, "A")+COUNTIF('Detailed Attendance'!EK55:EK55, "A")+COUNTIF('Detailed Attendance'!EO55:EO55, "A")+COUNTIF('Detailed Attendance'!FE55:FE55, "A")+COUNTIF('Detailed Attendance'!FI55:FI55, "A")+COUNTIF('Detailed Attendance'!FU55:FU55, "A")+COUNTIF('Detailed Attendance'!FY55:FY55, "A")</f>
        <v/>
      </c>
      <c r="L53" s="72">
        <f>IF((J53+K53)=0, "", J53/(J53+K53))</f>
        <v/>
      </c>
      <c r="M53" s="46">
        <f>COUNTIF('Detailed Attendance'!D55:D55, "P")+COUNTIF('Detailed Attendance'!T55:T55, "P")+COUNTIF('Detailed Attendance'!AN55:AN55, "P")+COUNTIF('Detailed Attendance'!AR55:AR55, "P")+COUNTIF('Detailed Attendance'!BH55:BH55, "P")+COUNTIF('Detailed Attendance'!CB55:CB55, "P")+COUNTIF('Detailed Attendance'!CF55:CF55, "P")+COUNTIF('Detailed Attendance'!CY55:CY55, "P")+COUNTIF('Detailed Attendance'!DC55:DC55, "P")+COUNTIF('Detailed Attendance'!DV55:DV55, "P")+COUNTIF('Detailed Attendance'!DZ55:DZ55, "P")+COUNTIF('Detailed Attendance'!ES55:ES55, "P")+COUNTIF('Detailed Attendance'!GC55:GC55, "P")+COUNTIF('Detailed Attendance'!GG55:GG55, "P")</f>
        <v/>
      </c>
      <c r="N53" s="46">
        <f>COUNTIF('Detailed Attendance'!D55:D55, "A")+COUNTIF('Detailed Attendance'!T55:T55, "A")+COUNTIF('Detailed Attendance'!AN55:AN55, "A")+COUNTIF('Detailed Attendance'!AR55:AR55, "A")+COUNTIF('Detailed Attendance'!BH55:BH55, "A")+COUNTIF('Detailed Attendance'!CB55:CB55, "A")+COUNTIF('Detailed Attendance'!CF55:CF55, "A")+COUNTIF('Detailed Attendance'!CY55:CY55, "A")+COUNTIF('Detailed Attendance'!DC55:DC55, "A")+COUNTIF('Detailed Attendance'!DV55:DV55, "A")+COUNTIF('Detailed Attendance'!DZ55:DZ55, "A")+COUNTIF('Detailed Attendance'!ES55:ES55, "A")+COUNTIF('Detailed Attendance'!GC55:GC55, "A")+COUNTIF('Detailed Attendance'!GG55:GG55, "A")</f>
        <v/>
      </c>
      <c r="O53" s="72">
        <f>IF((M53+N53)=0, "", M53/(M53+N53))</f>
        <v/>
      </c>
      <c r="P53" s="46">
        <f>COUNTIF('Detailed Attendance'!M55:M55, "P")+COUNTIF('Detailed Attendance'!U55:U55, "P")+COUNTIF('Detailed Attendance'!AG55:AG55, "P")+COUNTIF('Detailed Attendance'!AO55:AO55, "P")+COUNTIF('Detailed Attendance'!BA55:BA55, "P")+COUNTIF('Detailed Attendance'!BI55:BI55, "P")+COUNTIF('Detailed Attendance'!BU55:BU55, "P")+COUNTIF('Detailed Attendance'!CC55:CC55, "P")+COUNTIF('Detailed Attendance'!CR55:CR55, "P")+COUNTIF('Detailed Attendance'!CZ55:CZ55, "P")+COUNTIF('Detailed Attendance'!DO55:DO55, "P")+COUNTIF('Detailed Attendance'!DW55:DW55, "P")+COUNTIF('Detailed Attendance'!EL55:EL55, "P")+COUNTIF('Detailed Attendance'!ET55:ET55, "P")+COUNTIF('Detailed Attendance'!FF55:FF55, "P")+COUNTIF('Detailed Attendance'!FV55:FV55, "P")+COUNTIF('Detailed Attendance'!GD55:GD55, "P")</f>
        <v/>
      </c>
      <c r="Q53" s="46">
        <f>COUNTIF('Detailed Attendance'!M55:M55, "A")+COUNTIF('Detailed Attendance'!U55:U55, "A")+COUNTIF('Detailed Attendance'!AG55:AG55, "A")+COUNTIF('Detailed Attendance'!AO55:AO55, "A")+COUNTIF('Detailed Attendance'!BA55:BA55, "A")+COUNTIF('Detailed Attendance'!BI55:BI55, "A")+COUNTIF('Detailed Attendance'!BU55:BU55, "A")+COUNTIF('Detailed Attendance'!CC55:CC55, "A")+COUNTIF('Detailed Attendance'!CR55:CR55, "A")+COUNTIF('Detailed Attendance'!CZ55:CZ55, "A")+COUNTIF('Detailed Attendance'!DO55:DO55, "A")+COUNTIF('Detailed Attendance'!DW55:DW55, "A")+COUNTIF('Detailed Attendance'!EL55:EL55, "A")+COUNTIF('Detailed Attendance'!ET55:ET55, "A")+COUNTIF('Detailed Attendance'!FF55:FF55, "A")+COUNTIF('Detailed Attendance'!FV55:FV55, "A")+COUNTIF('Detailed Attendance'!GD55:GD55, "A")</f>
        <v/>
      </c>
      <c r="R53" s="72">
        <f>IF((P53+Q53)=0, "", P53/(P53+Q53))</f>
        <v/>
      </c>
      <c r="S53" s="46">
        <f>COUNTIF('Detailed Attendance'!V55:V55, "P")+COUNTIF('Detailed Attendance'!AP55:AP55, "P")+COUNTIF('Detailed Attendance'!BJ55:BJ55, "P")+COUNTIF('Detailed Attendance'!CD55:CD55, "P")+COUNTIF('Detailed Attendance'!DA55:DA55, "P")+COUNTIF('Detailed Attendance'!DX55:DX55, "P")+COUNTIF('Detailed Attendance'!EU55:EU55, "P")+COUNTIF('Detailed Attendance'!GE55:GE55, "P")</f>
        <v/>
      </c>
      <c r="T53" s="46">
        <f>COUNTIF('Detailed Attendance'!V55:V55, "A")+COUNTIF('Detailed Attendance'!AP55:AP55, "A")+COUNTIF('Detailed Attendance'!BJ55:BJ55, "A")+COUNTIF('Detailed Attendance'!CD55:CD55, "A")+COUNTIF('Detailed Attendance'!DA55:DA55, "A")+COUNTIF('Detailed Attendance'!DX55:DX55, "A")+COUNTIF('Detailed Attendance'!EU55:EU55, "A")+COUNTIF('Detailed Attendance'!GE55:GE55, "A")</f>
        <v/>
      </c>
      <c r="U53" s="73">
        <f>IF((S53+T53)=0, "", S53/(S53+T53))</f>
        <v/>
      </c>
      <c r="V53" s="46">
        <f>COUNTIF('Detailed Attendance'!CH55:CH55, "P")+COUNTIF('Detailed Attendance'!DE55:DE55, "P")+COUNTIF('Detailed Attendance'!EB55:EB55, "P")+COUNTIF('Detailed Attendance'!GI55:GI55, "P")</f>
        <v/>
      </c>
      <c r="W53" s="46">
        <f>COUNTIF('Detailed Attendance'!CH55:CH55, "A")+COUNTIF('Detailed Attendance'!DE55:DE55, "A")+COUNTIF('Detailed Attendance'!EB55:EB55, "A")+COUNTIF('Detailed Attendance'!GI55:GI55, "A")</f>
        <v/>
      </c>
      <c r="X53" s="73">
        <f>IF((V53+W53)=0, "", V53/(V53+W53))</f>
        <v/>
      </c>
      <c r="Y53" s="46">
        <f>COUNTIF('Detailed Attendance'!CG55:CG55, "P")+COUNTIF('Detailed Attendance'!DD55:DD55, "P")+COUNTIF('Detailed Attendance'!EA55:EA55, "P")+COUNTIF('Detailed Attendance'!GH55:GH55, "P")</f>
        <v/>
      </c>
      <c r="Z53" s="46">
        <f>COUNTIF('Detailed Attendance'!CG55:CG55, "A")+COUNTIF('Detailed Attendance'!DD55:DD55, "A")+COUNTIF('Detailed Attendance'!EA55:EA55, "A")+COUNTIF('Detailed Attendance'!GH55:GH55, "A")</f>
        <v/>
      </c>
      <c r="AA53" s="73">
        <f>IF((Y53+Z53)=0, "", Y53/(Y53+Z53))</f>
        <v/>
      </c>
      <c r="AB53" s="46">
        <f>S53+V53+Y53</f>
        <v/>
      </c>
      <c r="AC53" s="46">
        <f>T53+W53+Z53</f>
        <v/>
      </c>
      <c r="AD53" s="73">
        <f>IF((AB53+AC53)=0, "", AB53/(AB53+AC53))</f>
        <v/>
      </c>
      <c r="AE53" s="46" t="inlineStr">
        <is>
          <t>Batch 2</t>
        </is>
      </c>
    </row>
    <row r="54" ht="14.25" customHeight="1" s="34">
      <c r="A54" s="46" t="n">
        <v>53</v>
      </c>
      <c r="B54" s="46" t="inlineStr">
        <is>
          <t>325106410053</t>
        </is>
      </c>
      <c r="C54" s="46" t="inlineStr">
        <is>
          <t>SURYA VENKATA SRINIVAS TIRANDI</t>
        </is>
      </c>
      <c r="D54" s="46">
        <f>COUNTIF('Detailed Attendance'!R56:R56, "P")+COUNTIF('Detailed Attendance'!X56:X56, "P")+COUNTIF('Detailed Attendance'!AL56:AL56, "P")+COUNTIF('Detailed Attendance'!BF56:BF56, "P")+COUNTIF('Detailed Attendance'!BL56:BL56, "P")+COUNTIF('Detailed Attendance'!BZ56:BZ56, "P")+COUNTIF('Detailed Attendance'!CI56:CI56, "P")+COUNTIF('Detailed Attendance'!CW56:CW56, "P")+COUNTIF('Detailed Attendance'!DF56:DF56, "P")+COUNTIF('Detailed Attendance'!DT56:DT56, "P")+COUNTIF('Detailed Attendance'!EC56:EC56, "P")+COUNTIF('Detailed Attendance'!EQ56:EQ56, "P")+COUNTIF('Detailed Attendance'!EW56:EW56, "P")+COUNTIF('Detailed Attendance'!FK56:FK56, "P")+COUNTIF('Detailed Attendance'!FM56:FM56, "P")+COUNTIF('Detailed Attendance'!GA56:GA56, "P")</f>
        <v/>
      </c>
      <c r="E54" s="46">
        <f>COUNTIF('Detailed Attendance'!R56:R56, "A")+COUNTIF('Detailed Attendance'!X56:X56, "A")+COUNTIF('Detailed Attendance'!AL56:AL56, "A")+COUNTIF('Detailed Attendance'!BF56:BF56, "A")+COUNTIF('Detailed Attendance'!BL56:BL56, "A")+COUNTIF('Detailed Attendance'!BZ56:BZ56, "A")+COUNTIF('Detailed Attendance'!CI56:CI56, "A")+COUNTIF('Detailed Attendance'!CW56:CW56, "A")+COUNTIF('Detailed Attendance'!DF56:DF56, "A")+COUNTIF('Detailed Attendance'!DT56:DT56, "A")+COUNTIF('Detailed Attendance'!EC56:EC56, "A")+COUNTIF('Detailed Attendance'!EQ56:EQ56, "A")+COUNTIF('Detailed Attendance'!EW56:EW56, "A")+COUNTIF('Detailed Attendance'!FK56:FK56, "A")+COUNTIF('Detailed Attendance'!FM56:FM56, "A")+COUNTIF('Detailed Attendance'!GA56:GA56, "A")</f>
        <v/>
      </c>
      <c r="F54" s="72">
        <f>IF((D54+E54)=0, "", D54/(D54+E54))</f>
        <v/>
      </c>
      <c r="G54" s="46">
        <f>COUNTIF('Detailed Attendance'!I56:I56, "P")+COUNTIF('Detailed Attendance'!Q56:Q56, "P")+COUNTIF('Detailed Attendance'!AC56:AC56, "P")+COUNTIF('Detailed Attendance'!AK56:AK56, "P")+COUNTIF('Detailed Attendance'!AW56:AW56, "P")+COUNTIF('Detailed Attendance'!BE56:BE56, "P")+COUNTIF('Detailed Attendance'!BQ56:BQ56, "P")+COUNTIF('Detailed Attendance'!BY56:BY56, "P")+COUNTIF('Detailed Attendance'!CN56:CN56, "P")+COUNTIF('Detailed Attendance'!CV56:CV56, "P")+COUNTIF('Detailed Attendance'!DK56:DK56, "P")+COUNTIF('Detailed Attendance'!DS56:DS56, "P")+COUNTIF('Detailed Attendance'!EH56:EH56, "P")+COUNTIF('Detailed Attendance'!EP56:EP56, "P")+COUNTIF('Detailed Attendance'!FB56:FB56, "P")+COUNTIF('Detailed Attendance'!FJ56:FJ56, "P")+COUNTIF('Detailed Attendance'!FR56:FR56, "P")+COUNTIF('Detailed Attendance'!FZ56:FZ56, "P")</f>
        <v/>
      </c>
      <c r="H54" s="46">
        <f>COUNTIF('Detailed Attendance'!I56:I56, "A")+COUNTIF('Detailed Attendance'!Q56:Q56, "A")+COUNTIF('Detailed Attendance'!AC56:AC56, "A")+COUNTIF('Detailed Attendance'!AK56:AK56, "A")+COUNTIF('Detailed Attendance'!AW56:AW56, "A")+COUNTIF('Detailed Attendance'!BE56:BE56, "A")+COUNTIF('Detailed Attendance'!BQ56:BQ56, "A")+COUNTIF('Detailed Attendance'!BY56:BY56, "A")+COUNTIF('Detailed Attendance'!CN56:CN56, "A")+COUNTIF('Detailed Attendance'!CV56:CV56, "A")+COUNTIF('Detailed Attendance'!DK56:DK56, "A")+COUNTIF('Detailed Attendance'!DS56:DS56, "A")+COUNTIF('Detailed Attendance'!EH56:EH56, "A")+COUNTIF('Detailed Attendance'!EP56:EP56, "A")+COUNTIF('Detailed Attendance'!FB56:FB56, "A")+COUNTIF('Detailed Attendance'!FJ56:FJ56, "A")+COUNTIF('Detailed Attendance'!FR56:FR56, "A")+COUNTIF('Detailed Attendance'!FZ56:FZ56, "A")</f>
        <v/>
      </c>
      <c r="I54" s="72">
        <f>IF((G54+H54)=0, "", G54/(G54+H54))</f>
        <v/>
      </c>
      <c r="J54" s="46">
        <f>COUNTIF('Detailed Attendance'!L56:L56, "P")+COUNTIF('Detailed Attendance'!P56:P56, "P")+COUNTIF('Detailed Attendance'!AF56:AF56, "P")+COUNTIF('Detailed Attendance'!AJ56:AJ56, "P")+COUNTIF('Detailed Attendance'!AZ56:AZ56, "P")+COUNTIF('Detailed Attendance'!BD56:BD56, "P")+COUNTIF('Detailed Attendance'!BT56:BT56, "P")+COUNTIF('Detailed Attendance'!BX56:BX56, "P")+COUNTIF('Detailed Attendance'!CQ56:CQ56, "P")+COUNTIF('Detailed Attendance'!CU56:CU56, "P")+COUNTIF('Detailed Attendance'!DN56:DN56, "P")+COUNTIF('Detailed Attendance'!DR56:DR56, "P")+COUNTIF('Detailed Attendance'!EK56:EK56, "P")+COUNTIF('Detailed Attendance'!EO56:EO56, "P")+COUNTIF('Detailed Attendance'!FE56:FE56, "P")+COUNTIF('Detailed Attendance'!FI56:FI56, "P")+COUNTIF('Detailed Attendance'!FU56:FU56, "P")+COUNTIF('Detailed Attendance'!FY56:FY56, "P")</f>
        <v/>
      </c>
      <c r="K54" s="46">
        <f>COUNTIF('Detailed Attendance'!L56:L56, "A")+COUNTIF('Detailed Attendance'!P56:P56, "A")+COUNTIF('Detailed Attendance'!AF56:AF56, "A")+COUNTIF('Detailed Attendance'!AJ56:AJ56, "A")+COUNTIF('Detailed Attendance'!AZ56:AZ56, "A")+COUNTIF('Detailed Attendance'!BD56:BD56, "A")+COUNTIF('Detailed Attendance'!BT56:BT56, "A")+COUNTIF('Detailed Attendance'!BX56:BX56, "A")+COUNTIF('Detailed Attendance'!CQ56:CQ56, "A")+COUNTIF('Detailed Attendance'!CU56:CU56, "A")+COUNTIF('Detailed Attendance'!DN56:DN56, "A")+COUNTIF('Detailed Attendance'!DR56:DR56, "A")+COUNTIF('Detailed Attendance'!EK56:EK56, "A")+COUNTIF('Detailed Attendance'!EO56:EO56, "A")+COUNTIF('Detailed Attendance'!FE56:FE56, "A")+COUNTIF('Detailed Attendance'!FI56:FI56, "A")+COUNTIF('Detailed Attendance'!FU56:FU56, "A")+COUNTIF('Detailed Attendance'!FY56:FY56, "A")</f>
        <v/>
      </c>
      <c r="L54" s="72">
        <f>IF((J54+K54)=0, "", J54/(J54+K54))</f>
        <v/>
      </c>
      <c r="M54" s="46">
        <f>COUNTIF('Detailed Attendance'!D56:D56, "P")+COUNTIF('Detailed Attendance'!T56:T56, "P")+COUNTIF('Detailed Attendance'!AN56:AN56, "P")+COUNTIF('Detailed Attendance'!AR56:AR56, "P")+COUNTIF('Detailed Attendance'!BH56:BH56, "P")+COUNTIF('Detailed Attendance'!CB56:CB56, "P")+COUNTIF('Detailed Attendance'!CF56:CF56, "P")+COUNTIF('Detailed Attendance'!CY56:CY56, "P")+COUNTIF('Detailed Attendance'!DC56:DC56, "P")+COUNTIF('Detailed Attendance'!DV56:DV56, "P")+COUNTIF('Detailed Attendance'!DZ56:DZ56, "P")+COUNTIF('Detailed Attendance'!ES56:ES56, "P")+COUNTIF('Detailed Attendance'!GC56:GC56, "P")+COUNTIF('Detailed Attendance'!GG56:GG56, "P")</f>
        <v/>
      </c>
      <c r="N54" s="46">
        <f>COUNTIF('Detailed Attendance'!D56:D56, "A")+COUNTIF('Detailed Attendance'!T56:T56, "A")+COUNTIF('Detailed Attendance'!AN56:AN56, "A")+COUNTIF('Detailed Attendance'!AR56:AR56, "A")+COUNTIF('Detailed Attendance'!BH56:BH56, "A")+COUNTIF('Detailed Attendance'!CB56:CB56, "A")+COUNTIF('Detailed Attendance'!CF56:CF56, "A")+COUNTIF('Detailed Attendance'!CY56:CY56, "A")+COUNTIF('Detailed Attendance'!DC56:DC56, "A")+COUNTIF('Detailed Attendance'!DV56:DV56, "A")+COUNTIF('Detailed Attendance'!DZ56:DZ56, "A")+COUNTIF('Detailed Attendance'!ES56:ES56, "A")+COUNTIF('Detailed Attendance'!GC56:GC56, "A")+COUNTIF('Detailed Attendance'!GG56:GG56, "A")</f>
        <v/>
      </c>
      <c r="O54" s="72">
        <f>IF((M54+N54)=0, "", M54/(M54+N54))</f>
        <v/>
      </c>
      <c r="P54" s="46">
        <f>COUNTIF('Detailed Attendance'!M56:M56, "P")+COUNTIF('Detailed Attendance'!U56:U56, "P")+COUNTIF('Detailed Attendance'!AG56:AG56, "P")+COUNTIF('Detailed Attendance'!AO56:AO56, "P")+COUNTIF('Detailed Attendance'!BA56:BA56, "P")+COUNTIF('Detailed Attendance'!BI56:BI56, "P")+COUNTIF('Detailed Attendance'!BU56:BU56, "P")+COUNTIF('Detailed Attendance'!CC56:CC56, "P")+COUNTIF('Detailed Attendance'!CR56:CR56, "P")+COUNTIF('Detailed Attendance'!CZ56:CZ56, "P")+COUNTIF('Detailed Attendance'!DO56:DO56, "P")+COUNTIF('Detailed Attendance'!DW56:DW56, "P")+COUNTIF('Detailed Attendance'!EL56:EL56, "P")+COUNTIF('Detailed Attendance'!ET56:ET56, "P")+COUNTIF('Detailed Attendance'!FF56:FF56, "P")+COUNTIF('Detailed Attendance'!FV56:FV56, "P")+COUNTIF('Detailed Attendance'!GD56:GD56, "P")</f>
        <v/>
      </c>
      <c r="Q54" s="46">
        <f>COUNTIF('Detailed Attendance'!M56:M56, "A")+COUNTIF('Detailed Attendance'!U56:U56, "A")+COUNTIF('Detailed Attendance'!AG56:AG56, "A")+COUNTIF('Detailed Attendance'!AO56:AO56, "A")+COUNTIF('Detailed Attendance'!BA56:BA56, "A")+COUNTIF('Detailed Attendance'!BI56:BI56, "A")+COUNTIF('Detailed Attendance'!BU56:BU56, "A")+COUNTIF('Detailed Attendance'!CC56:CC56, "A")+COUNTIF('Detailed Attendance'!CR56:CR56, "A")+COUNTIF('Detailed Attendance'!CZ56:CZ56, "A")+COUNTIF('Detailed Attendance'!DO56:DO56, "A")+COUNTIF('Detailed Attendance'!DW56:DW56, "A")+COUNTIF('Detailed Attendance'!EL56:EL56, "A")+COUNTIF('Detailed Attendance'!ET56:ET56, "A")+COUNTIF('Detailed Attendance'!FF56:FF56, "A")+COUNTIF('Detailed Attendance'!FV56:FV56, "A")+COUNTIF('Detailed Attendance'!GD56:GD56, "A")</f>
        <v/>
      </c>
      <c r="R54" s="72">
        <f>IF((P54+Q54)=0, "", P54/(P54+Q54))</f>
        <v/>
      </c>
      <c r="S54" s="46">
        <f>COUNTIF('Detailed Attendance'!V56:V56, "P")+COUNTIF('Detailed Attendance'!AP56:AP56, "P")+COUNTIF('Detailed Attendance'!BJ56:BJ56, "P")+COUNTIF('Detailed Attendance'!CD56:CD56, "P")+COUNTIF('Detailed Attendance'!DA56:DA56, "P")+COUNTIF('Detailed Attendance'!DX56:DX56, "P")+COUNTIF('Detailed Attendance'!EU56:EU56, "P")+COUNTIF('Detailed Attendance'!GE56:GE56, "P")</f>
        <v/>
      </c>
      <c r="T54" s="46">
        <f>COUNTIF('Detailed Attendance'!V56:V56, "A")+COUNTIF('Detailed Attendance'!AP56:AP56, "A")+COUNTIF('Detailed Attendance'!BJ56:BJ56, "A")+COUNTIF('Detailed Attendance'!CD56:CD56, "A")+COUNTIF('Detailed Attendance'!DA56:DA56, "A")+COUNTIF('Detailed Attendance'!DX56:DX56, "A")+COUNTIF('Detailed Attendance'!EU56:EU56, "A")+COUNTIF('Detailed Attendance'!GE56:GE56, "A")</f>
        <v/>
      </c>
      <c r="U54" s="73">
        <f>IF((S54+T54)=0, "", S54/(S54+T54))</f>
        <v/>
      </c>
      <c r="V54" s="46">
        <f>COUNTIF('Detailed Attendance'!CH56:CH56, "P")+COUNTIF('Detailed Attendance'!DE56:DE56, "P")+COUNTIF('Detailed Attendance'!EB56:EB56, "P")+COUNTIF('Detailed Attendance'!GI56:GI56, "P")</f>
        <v/>
      </c>
      <c r="W54" s="46">
        <f>COUNTIF('Detailed Attendance'!CH56:CH56, "A")+COUNTIF('Detailed Attendance'!DE56:DE56, "A")+COUNTIF('Detailed Attendance'!EB56:EB56, "A")+COUNTIF('Detailed Attendance'!GI56:GI56, "A")</f>
        <v/>
      </c>
      <c r="X54" s="73">
        <f>IF((V54+W54)=0, "", V54/(V54+W54))</f>
        <v/>
      </c>
      <c r="Y54" s="46">
        <f>COUNTIF('Detailed Attendance'!CG56:CG56, "P")+COUNTIF('Detailed Attendance'!DD56:DD56, "P")+COUNTIF('Detailed Attendance'!EA56:EA56, "P")+COUNTIF('Detailed Attendance'!GH56:GH56, "P")</f>
        <v/>
      </c>
      <c r="Z54" s="46">
        <f>COUNTIF('Detailed Attendance'!CG56:CG56, "A")+COUNTIF('Detailed Attendance'!DD56:DD56, "A")+COUNTIF('Detailed Attendance'!EA56:EA56, "A")+COUNTIF('Detailed Attendance'!GH56:GH56, "A")</f>
        <v/>
      </c>
      <c r="AA54" s="73">
        <f>IF((Y54+Z54)=0, "", Y54/(Y54+Z54))</f>
        <v/>
      </c>
      <c r="AB54" s="46">
        <f>S54+V54+Y54</f>
        <v/>
      </c>
      <c r="AC54" s="46">
        <f>T54+W54+Z54</f>
        <v/>
      </c>
      <c r="AD54" s="73">
        <f>IF((AB54+AC54)=0, "", AB54/(AB54+AC54))</f>
        <v/>
      </c>
      <c r="AE54" s="46" t="inlineStr">
        <is>
          <t>Batch 2</t>
        </is>
      </c>
    </row>
    <row r="55" ht="14.25" customHeight="1" s="34">
      <c r="A55" s="46" t="n">
        <v>54</v>
      </c>
      <c r="B55" s="46" t="inlineStr">
        <is>
          <t>325106410054</t>
        </is>
      </c>
      <c r="C55" s="46" t="inlineStr">
        <is>
          <t>PRANAVI V</t>
        </is>
      </c>
      <c r="D55" s="46">
        <f>COUNTIF('Detailed Attendance'!R57:R57, "P")+COUNTIF('Detailed Attendance'!X57:X57, "P")+COUNTIF('Detailed Attendance'!AL57:AL57, "P")+COUNTIF('Detailed Attendance'!BF57:BF57, "P")+COUNTIF('Detailed Attendance'!BL57:BL57, "P")+COUNTIF('Detailed Attendance'!BZ57:BZ57, "P")+COUNTIF('Detailed Attendance'!CI57:CI57, "P")+COUNTIF('Detailed Attendance'!CW57:CW57, "P")+COUNTIF('Detailed Attendance'!DF57:DF57, "P")+COUNTIF('Detailed Attendance'!DT57:DT57, "P")+COUNTIF('Detailed Attendance'!EC57:EC57, "P")+COUNTIF('Detailed Attendance'!EQ57:EQ57, "P")+COUNTIF('Detailed Attendance'!EW57:EW57, "P")+COUNTIF('Detailed Attendance'!FK57:FK57, "P")+COUNTIF('Detailed Attendance'!FM57:FM57, "P")+COUNTIF('Detailed Attendance'!GA57:GA57, "P")</f>
        <v/>
      </c>
      <c r="E55" s="46">
        <f>COUNTIF('Detailed Attendance'!R57:R57, "A")+COUNTIF('Detailed Attendance'!X57:X57, "A")+COUNTIF('Detailed Attendance'!AL57:AL57, "A")+COUNTIF('Detailed Attendance'!BF57:BF57, "A")+COUNTIF('Detailed Attendance'!BL57:BL57, "A")+COUNTIF('Detailed Attendance'!BZ57:BZ57, "A")+COUNTIF('Detailed Attendance'!CI57:CI57, "A")+COUNTIF('Detailed Attendance'!CW57:CW57, "A")+COUNTIF('Detailed Attendance'!DF57:DF57, "A")+COUNTIF('Detailed Attendance'!DT57:DT57, "A")+COUNTIF('Detailed Attendance'!EC57:EC57, "A")+COUNTIF('Detailed Attendance'!EQ57:EQ57, "A")+COUNTIF('Detailed Attendance'!EW57:EW57, "A")+COUNTIF('Detailed Attendance'!FK57:FK57, "A")+COUNTIF('Detailed Attendance'!FM57:FM57, "A")+COUNTIF('Detailed Attendance'!GA57:GA57, "A")</f>
        <v/>
      </c>
      <c r="F55" s="72">
        <f>IF((D55+E55)=0, "", D55/(D55+E55))</f>
        <v/>
      </c>
      <c r="G55" s="46">
        <f>COUNTIF('Detailed Attendance'!I57:I57, "P")+COUNTIF('Detailed Attendance'!Q57:Q57, "P")+COUNTIF('Detailed Attendance'!AC57:AC57, "P")+COUNTIF('Detailed Attendance'!AK57:AK57, "P")+COUNTIF('Detailed Attendance'!AW57:AW57, "P")+COUNTIF('Detailed Attendance'!BE57:BE57, "P")+COUNTIF('Detailed Attendance'!BQ57:BQ57, "P")+COUNTIF('Detailed Attendance'!BY57:BY57, "P")+COUNTIF('Detailed Attendance'!CN57:CN57, "P")+COUNTIF('Detailed Attendance'!CV57:CV57, "P")+COUNTIF('Detailed Attendance'!DK57:DK57, "P")+COUNTIF('Detailed Attendance'!DS57:DS57, "P")+COUNTIF('Detailed Attendance'!EH57:EH57, "P")+COUNTIF('Detailed Attendance'!EP57:EP57, "P")+COUNTIF('Detailed Attendance'!FB57:FB57, "P")+COUNTIF('Detailed Attendance'!FJ57:FJ57, "P")+COUNTIF('Detailed Attendance'!FR57:FR57, "P")+COUNTIF('Detailed Attendance'!FZ57:FZ57, "P")</f>
        <v/>
      </c>
      <c r="H55" s="46">
        <f>COUNTIF('Detailed Attendance'!I57:I57, "A")+COUNTIF('Detailed Attendance'!Q57:Q57, "A")+COUNTIF('Detailed Attendance'!AC57:AC57, "A")+COUNTIF('Detailed Attendance'!AK57:AK57, "A")+COUNTIF('Detailed Attendance'!AW57:AW57, "A")+COUNTIF('Detailed Attendance'!BE57:BE57, "A")+COUNTIF('Detailed Attendance'!BQ57:BQ57, "A")+COUNTIF('Detailed Attendance'!BY57:BY57, "A")+COUNTIF('Detailed Attendance'!CN57:CN57, "A")+COUNTIF('Detailed Attendance'!CV57:CV57, "A")+COUNTIF('Detailed Attendance'!DK57:DK57, "A")+COUNTIF('Detailed Attendance'!DS57:DS57, "A")+COUNTIF('Detailed Attendance'!EH57:EH57, "A")+COUNTIF('Detailed Attendance'!EP57:EP57, "A")+COUNTIF('Detailed Attendance'!FB57:FB57, "A")+COUNTIF('Detailed Attendance'!FJ57:FJ57, "A")+COUNTIF('Detailed Attendance'!FR57:FR57, "A")+COUNTIF('Detailed Attendance'!FZ57:FZ57, "A")</f>
        <v/>
      </c>
      <c r="I55" s="72">
        <f>IF((G55+H55)=0, "", G55/(G55+H55))</f>
        <v/>
      </c>
      <c r="J55" s="46">
        <f>COUNTIF('Detailed Attendance'!L57:L57, "P")+COUNTIF('Detailed Attendance'!P57:P57, "P")+COUNTIF('Detailed Attendance'!AF57:AF57, "P")+COUNTIF('Detailed Attendance'!AJ57:AJ57, "P")+COUNTIF('Detailed Attendance'!AZ57:AZ57, "P")+COUNTIF('Detailed Attendance'!BD57:BD57, "P")+COUNTIF('Detailed Attendance'!BT57:BT57, "P")+COUNTIF('Detailed Attendance'!BX57:BX57, "P")+COUNTIF('Detailed Attendance'!CQ57:CQ57, "P")+COUNTIF('Detailed Attendance'!CU57:CU57, "P")+COUNTIF('Detailed Attendance'!DN57:DN57, "P")+COUNTIF('Detailed Attendance'!DR57:DR57, "P")+COUNTIF('Detailed Attendance'!EK57:EK57, "P")+COUNTIF('Detailed Attendance'!EO57:EO57, "P")+COUNTIF('Detailed Attendance'!FE57:FE57, "P")+COUNTIF('Detailed Attendance'!FI57:FI57, "P")+COUNTIF('Detailed Attendance'!FU57:FU57, "P")+COUNTIF('Detailed Attendance'!FY57:FY57, "P")</f>
        <v/>
      </c>
      <c r="K55" s="46">
        <f>COUNTIF('Detailed Attendance'!L57:L57, "A")+COUNTIF('Detailed Attendance'!P57:P57, "A")+COUNTIF('Detailed Attendance'!AF57:AF57, "A")+COUNTIF('Detailed Attendance'!AJ57:AJ57, "A")+COUNTIF('Detailed Attendance'!AZ57:AZ57, "A")+COUNTIF('Detailed Attendance'!BD57:BD57, "A")+COUNTIF('Detailed Attendance'!BT57:BT57, "A")+COUNTIF('Detailed Attendance'!BX57:BX57, "A")+COUNTIF('Detailed Attendance'!CQ57:CQ57, "A")+COUNTIF('Detailed Attendance'!CU57:CU57, "A")+COUNTIF('Detailed Attendance'!DN57:DN57, "A")+COUNTIF('Detailed Attendance'!DR57:DR57, "A")+COUNTIF('Detailed Attendance'!EK57:EK57, "A")+COUNTIF('Detailed Attendance'!EO57:EO57, "A")+COUNTIF('Detailed Attendance'!FE57:FE57, "A")+COUNTIF('Detailed Attendance'!FI57:FI57, "A")+COUNTIF('Detailed Attendance'!FU57:FU57, "A")+COUNTIF('Detailed Attendance'!FY57:FY57, "A")</f>
        <v/>
      </c>
      <c r="L55" s="72">
        <f>IF((J55+K55)=0, "", J55/(J55+K55))</f>
        <v/>
      </c>
      <c r="M55" s="46">
        <f>COUNTIF('Detailed Attendance'!D57:D57, "P")+COUNTIF('Detailed Attendance'!T57:T57, "P")+COUNTIF('Detailed Attendance'!AN57:AN57, "P")+COUNTIF('Detailed Attendance'!AR57:AR57, "P")+COUNTIF('Detailed Attendance'!BH57:BH57, "P")+COUNTIF('Detailed Attendance'!CB57:CB57, "P")+COUNTIF('Detailed Attendance'!CF57:CF57, "P")+COUNTIF('Detailed Attendance'!CY57:CY57, "P")+COUNTIF('Detailed Attendance'!DC57:DC57, "P")+COUNTIF('Detailed Attendance'!DV57:DV57, "P")+COUNTIF('Detailed Attendance'!DZ57:DZ57, "P")+COUNTIF('Detailed Attendance'!ES57:ES57, "P")+COUNTIF('Detailed Attendance'!GC57:GC57, "P")+COUNTIF('Detailed Attendance'!GG57:GG57, "P")</f>
        <v/>
      </c>
      <c r="N55" s="46">
        <f>COUNTIF('Detailed Attendance'!D57:D57, "A")+COUNTIF('Detailed Attendance'!T57:T57, "A")+COUNTIF('Detailed Attendance'!AN57:AN57, "A")+COUNTIF('Detailed Attendance'!AR57:AR57, "A")+COUNTIF('Detailed Attendance'!BH57:BH57, "A")+COUNTIF('Detailed Attendance'!CB57:CB57, "A")+COUNTIF('Detailed Attendance'!CF57:CF57, "A")+COUNTIF('Detailed Attendance'!CY57:CY57, "A")+COUNTIF('Detailed Attendance'!DC57:DC57, "A")+COUNTIF('Detailed Attendance'!DV57:DV57, "A")+COUNTIF('Detailed Attendance'!DZ57:DZ57, "A")+COUNTIF('Detailed Attendance'!ES57:ES57, "A")+COUNTIF('Detailed Attendance'!GC57:GC57, "A")+COUNTIF('Detailed Attendance'!GG57:GG57, "A")</f>
        <v/>
      </c>
      <c r="O55" s="72">
        <f>IF((M55+N55)=0, "", M55/(M55+N55))</f>
        <v/>
      </c>
      <c r="P55" s="46">
        <f>COUNTIF('Detailed Attendance'!M57:M57, "P")+COUNTIF('Detailed Attendance'!U57:U57, "P")+COUNTIF('Detailed Attendance'!AG57:AG57, "P")+COUNTIF('Detailed Attendance'!AO57:AO57, "P")+COUNTIF('Detailed Attendance'!BA57:BA57, "P")+COUNTIF('Detailed Attendance'!BI57:BI57, "P")+COUNTIF('Detailed Attendance'!BU57:BU57, "P")+COUNTIF('Detailed Attendance'!CC57:CC57, "P")+COUNTIF('Detailed Attendance'!CR57:CR57, "P")+COUNTIF('Detailed Attendance'!CZ57:CZ57, "P")+COUNTIF('Detailed Attendance'!DO57:DO57, "P")+COUNTIF('Detailed Attendance'!DW57:DW57, "P")+COUNTIF('Detailed Attendance'!EL57:EL57, "P")+COUNTIF('Detailed Attendance'!ET57:ET57, "P")+COUNTIF('Detailed Attendance'!FF57:FF57, "P")+COUNTIF('Detailed Attendance'!FV57:FV57, "P")+COUNTIF('Detailed Attendance'!GD57:GD57, "P")</f>
        <v/>
      </c>
      <c r="Q55" s="46">
        <f>COUNTIF('Detailed Attendance'!M57:M57, "A")+COUNTIF('Detailed Attendance'!U57:U57, "A")+COUNTIF('Detailed Attendance'!AG57:AG57, "A")+COUNTIF('Detailed Attendance'!AO57:AO57, "A")+COUNTIF('Detailed Attendance'!BA57:BA57, "A")+COUNTIF('Detailed Attendance'!BI57:BI57, "A")+COUNTIF('Detailed Attendance'!BU57:BU57, "A")+COUNTIF('Detailed Attendance'!CC57:CC57, "A")+COUNTIF('Detailed Attendance'!CR57:CR57, "A")+COUNTIF('Detailed Attendance'!CZ57:CZ57, "A")+COUNTIF('Detailed Attendance'!DO57:DO57, "A")+COUNTIF('Detailed Attendance'!DW57:DW57, "A")+COUNTIF('Detailed Attendance'!EL57:EL57, "A")+COUNTIF('Detailed Attendance'!ET57:ET57, "A")+COUNTIF('Detailed Attendance'!FF57:FF57, "A")+COUNTIF('Detailed Attendance'!FV57:FV57, "A")+COUNTIF('Detailed Attendance'!GD57:GD57, "A")</f>
        <v/>
      </c>
      <c r="R55" s="72">
        <f>IF((P55+Q55)=0, "", P55/(P55+Q55))</f>
        <v/>
      </c>
      <c r="S55" s="46">
        <f>COUNTIF('Detailed Attendance'!V57:V57, "P")+COUNTIF('Detailed Attendance'!AP57:AP57, "P")+COUNTIF('Detailed Attendance'!BJ57:BJ57, "P")+COUNTIF('Detailed Attendance'!CD57:CD57, "P")+COUNTIF('Detailed Attendance'!DA57:DA57, "P")+COUNTIF('Detailed Attendance'!DX57:DX57, "P")+COUNTIF('Detailed Attendance'!EU57:EU57, "P")+COUNTIF('Detailed Attendance'!GE57:GE57, "P")</f>
        <v/>
      </c>
      <c r="T55" s="46">
        <f>COUNTIF('Detailed Attendance'!V57:V57, "A")+COUNTIF('Detailed Attendance'!AP57:AP57, "A")+COUNTIF('Detailed Attendance'!BJ57:BJ57, "A")+COUNTIF('Detailed Attendance'!CD57:CD57, "A")+COUNTIF('Detailed Attendance'!DA57:DA57, "A")+COUNTIF('Detailed Attendance'!DX57:DX57, "A")+COUNTIF('Detailed Attendance'!EU57:EU57, "A")+COUNTIF('Detailed Attendance'!GE57:GE57, "A")</f>
        <v/>
      </c>
      <c r="U55" s="73">
        <f>IF((S55+T55)=0, "", S55/(S55+T55))</f>
        <v/>
      </c>
      <c r="V55" s="46">
        <f>COUNTIF('Detailed Attendance'!CH57:CH57, "P")+COUNTIF('Detailed Attendance'!DE57:DE57, "P")+COUNTIF('Detailed Attendance'!EB57:EB57, "P")+COUNTIF('Detailed Attendance'!GI57:GI57, "P")</f>
        <v/>
      </c>
      <c r="W55" s="46">
        <f>COUNTIF('Detailed Attendance'!CH57:CH57, "A")+COUNTIF('Detailed Attendance'!DE57:DE57, "A")+COUNTIF('Detailed Attendance'!EB57:EB57, "A")+COUNTIF('Detailed Attendance'!GI57:GI57, "A")</f>
        <v/>
      </c>
      <c r="X55" s="73">
        <f>IF((V55+W55)=0, "", V55/(V55+W55))</f>
        <v/>
      </c>
      <c r="Y55" s="46">
        <f>COUNTIF('Detailed Attendance'!CG57:CG57, "P")+COUNTIF('Detailed Attendance'!DD57:DD57, "P")+COUNTIF('Detailed Attendance'!EA57:EA57, "P")+COUNTIF('Detailed Attendance'!GH57:GH57, "P")</f>
        <v/>
      </c>
      <c r="Z55" s="46">
        <f>COUNTIF('Detailed Attendance'!CG57:CG57, "A")+COUNTIF('Detailed Attendance'!DD57:DD57, "A")+COUNTIF('Detailed Attendance'!EA57:EA57, "A")+COUNTIF('Detailed Attendance'!GH57:GH57, "A")</f>
        <v/>
      </c>
      <c r="AA55" s="73">
        <f>IF((Y55+Z55)=0, "", Y55/(Y55+Z55))</f>
        <v/>
      </c>
      <c r="AB55" s="46">
        <f>S55+V55+Y55</f>
        <v/>
      </c>
      <c r="AC55" s="46">
        <f>T55+W55+Z55</f>
        <v/>
      </c>
      <c r="AD55" s="73">
        <f>IF((AB55+AC55)=0, "", AB55/(AB55+AC55))</f>
        <v/>
      </c>
      <c r="AE55" s="46" t="inlineStr">
        <is>
          <t>Batch 2</t>
        </is>
      </c>
    </row>
    <row r="56" ht="14.25" customHeight="1" s="34">
      <c r="A56" s="46" t="n">
        <v>55</v>
      </c>
      <c r="B56" s="46" t="inlineStr">
        <is>
          <t>325106410055</t>
        </is>
      </c>
      <c r="C56" s="46" t="inlineStr">
        <is>
          <t>JAYANTH RAM ACHYUTH VALLABASETTI</t>
        </is>
      </c>
      <c r="D56" s="46">
        <f>COUNTIF('Detailed Attendance'!R58:R58, "P")+COUNTIF('Detailed Attendance'!X58:X58, "P")+COUNTIF('Detailed Attendance'!AL58:AL58, "P")+COUNTIF('Detailed Attendance'!BF58:BF58, "P")+COUNTIF('Detailed Attendance'!BL58:BL58, "P")+COUNTIF('Detailed Attendance'!BZ58:BZ58, "P")+COUNTIF('Detailed Attendance'!CI58:CI58, "P")+COUNTIF('Detailed Attendance'!CW58:CW58, "P")+COUNTIF('Detailed Attendance'!DF58:DF58, "P")+COUNTIF('Detailed Attendance'!DT58:DT58, "P")+COUNTIF('Detailed Attendance'!EC58:EC58, "P")+COUNTIF('Detailed Attendance'!EQ58:EQ58, "P")+COUNTIF('Detailed Attendance'!EW58:EW58, "P")+COUNTIF('Detailed Attendance'!FK58:FK58, "P")+COUNTIF('Detailed Attendance'!FM58:FM58, "P")+COUNTIF('Detailed Attendance'!GA58:GA58, "P")</f>
        <v/>
      </c>
      <c r="E56" s="46">
        <f>COUNTIF('Detailed Attendance'!R58:R58, "A")+COUNTIF('Detailed Attendance'!X58:X58, "A")+COUNTIF('Detailed Attendance'!AL58:AL58, "A")+COUNTIF('Detailed Attendance'!BF58:BF58, "A")+COUNTIF('Detailed Attendance'!BL58:BL58, "A")+COUNTIF('Detailed Attendance'!BZ58:BZ58, "A")+COUNTIF('Detailed Attendance'!CI58:CI58, "A")+COUNTIF('Detailed Attendance'!CW58:CW58, "A")+COUNTIF('Detailed Attendance'!DF58:DF58, "A")+COUNTIF('Detailed Attendance'!DT58:DT58, "A")+COUNTIF('Detailed Attendance'!EC58:EC58, "A")+COUNTIF('Detailed Attendance'!EQ58:EQ58, "A")+COUNTIF('Detailed Attendance'!EW58:EW58, "A")+COUNTIF('Detailed Attendance'!FK58:FK58, "A")+COUNTIF('Detailed Attendance'!FM58:FM58, "A")+COUNTIF('Detailed Attendance'!GA58:GA58, "A")</f>
        <v/>
      </c>
      <c r="F56" s="72">
        <f>IF((D56+E56)=0, "", D56/(D56+E56))</f>
        <v/>
      </c>
      <c r="G56" s="46">
        <f>COUNTIF('Detailed Attendance'!I58:I58, "P")+COUNTIF('Detailed Attendance'!Q58:Q58, "P")+COUNTIF('Detailed Attendance'!AC58:AC58, "P")+COUNTIF('Detailed Attendance'!AK58:AK58, "P")+COUNTIF('Detailed Attendance'!AW58:AW58, "P")+COUNTIF('Detailed Attendance'!BE58:BE58, "P")+COUNTIF('Detailed Attendance'!BQ58:BQ58, "P")+COUNTIF('Detailed Attendance'!BY58:BY58, "P")+COUNTIF('Detailed Attendance'!CN58:CN58, "P")+COUNTIF('Detailed Attendance'!CV58:CV58, "P")+COUNTIF('Detailed Attendance'!DK58:DK58, "P")+COUNTIF('Detailed Attendance'!DS58:DS58, "P")+COUNTIF('Detailed Attendance'!EH58:EH58, "P")+COUNTIF('Detailed Attendance'!EP58:EP58, "P")+COUNTIF('Detailed Attendance'!FB58:FB58, "P")+COUNTIF('Detailed Attendance'!FJ58:FJ58, "P")+COUNTIF('Detailed Attendance'!FR58:FR58, "P")+COUNTIF('Detailed Attendance'!FZ58:FZ58, "P")</f>
        <v/>
      </c>
      <c r="H56" s="46">
        <f>COUNTIF('Detailed Attendance'!I58:I58, "A")+COUNTIF('Detailed Attendance'!Q58:Q58, "A")+COUNTIF('Detailed Attendance'!AC58:AC58, "A")+COUNTIF('Detailed Attendance'!AK58:AK58, "A")+COUNTIF('Detailed Attendance'!AW58:AW58, "A")+COUNTIF('Detailed Attendance'!BE58:BE58, "A")+COUNTIF('Detailed Attendance'!BQ58:BQ58, "A")+COUNTIF('Detailed Attendance'!BY58:BY58, "A")+COUNTIF('Detailed Attendance'!CN58:CN58, "A")+COUNTIF('Detailed Attendance'!CV58:CV58, "A")+COUNTIF('Detailed Attendance'!DK58:DK58, "A")+COUNTIF('Detailed Attendance'!DS58:DS58, "A")+COUNTIF('Detailed Attendance'!EH58:EH58, "A")+COUNTIF('Detailed Attendance'!EP58:EP58, "A")+COUNTIF('Detailed Attendance'!FB58:FB58, "A")+COUNTIF('Detailed Attendance'!FJ58:FJ58, "A")+COUNTIF('Detailed Attendance'!FR58:FR58, "A")+COUNTIF('Detailed Attendance'!FZ58:FZ58, "A")</f>
        <v/>
      </c>
      <c r="I56" s="72">
        <f>IF((G56+H56)=0, "", G56/(G56+H56))</f>
        <v/>
      </c>
      <c r="J56" s="46">
        <f>COUNTIF('Detailed Attendance'!L58:L58, "P")+COUNTIF('Detailed Attendance'!P58:P58, "P")+COUNTIF('Detailed Attendance'!AF58:AF58, "P")+COUNTIF('Detailed Attendance'!AJ58:AJ58, "P")+COUNTIF('Detailed Attendance'!AZ58:AZ58, "P")+COUNTIF('Detailed Attendance'!BD58:BD58, "P")+COUNTIF('Detailed Attendance'!BT58:BT58, "P")+COUNTIF('Detailed Attendance'!BX58:BX58, "P")+COUNTIF('Detailed Attendance'!CQ58:CQ58, "P")+COUNTIF('Detailed Attendance'!CU58:CU58, "P")+COUNTIF('Detailed Attendance'!DN58:DN58, "P")+COUNTIF('Detailed Attendance'!DR58:DR58, "P")+COUNTIF('Detailed Attendance'!EK58:EK58, "P")+COUNTIF('Detailed Attendance'!EO58:EO58, "P")+COUNTIF('Detailed Attendance'!FE58:FE58, "P")+COUNTIF('Detailed Attendance'!FI58:FI58, "P")+COUNTIF('Detailed Attendance'!FU58:FU58, "P")+COUNTIF('Detailed Attendance'!FY58:FY58, "P")</f>
        <v/>
      </c>
      <c r="K56" s="46">
        <f>COUNTIF('Detailed Attendance'!L58:L58, "A")+COUNTIF('Detailed Attendance'!P58:P58, "A")+COUNTIF('Detailed Attendance'!AF58:AF58, "A")+COUNTIF('Detailed Attendance'!AJ58:AJ58, "A")+COUNTIF('Detailed Attendance'!AZ58:AZ58, "A")+COUNTIF('Detailed Attendance'!BD58:BD58, "A")+COUNTIF('Detailed Attendance'!BT58:BT58, "A")+COUNTIF('Detailed Attendance'!BX58:BX58, "A")+COUNTIF('Detailed Attendance'!CQ58:CQ58, "A")+COUNTIF('Detailed Attendance'!CU58:CU58, "A")+COUNTIF('Detailed Attendance'!DN58:DN58, "A")+COUNTIF('Detailed Attendance'!DR58:DR58, "A")+COUNTIF('Detailed Attendance'!EK58:EK58, "A")+COUNTIF('Detailed Attendance'!EO58:EO58, "A")+COUNTIF('Detailed Attendance'!FE58:FE58, "A")+COUNTIF('Detailed Attendance'!FI58:FI58, "A")+COUNTIF('Detailed Attendance'!FU58:FU58, "A")+COUNTIF('Detailed Attendance'!FY58:FY58, "A")</f>
        <v/>
      </c>
      <c r="L56" s="72">
        <f>IF((J56+K56)=0, "", J56/(J56+K56))</f>
        <v/>
      </c>
      <c r="M56" s="46">
        <f>COUNTIF('Detailed Attendance'!D58:D58, "P")+COUNTIF('Detailed Attendance'!T58:T58, "P")+COUNTIF('Detailed Attendance'!AN58:AN58, "P")+COUNTIF('Detailed Attendance'!AR58:AR58, "P")+COUNTIF('Detailed Attendance'!BH58:BH58, "P")+COUNTIF('Detailed Attendance'!CB58:CB58, "P")+COUNTIF('Detailed Attendance'!CF58:CF58, "P")+COUNTIF('Detailed Attendance'!CY58:CY58, "P")+COUNTIF('Detailed Attendance'!DC58:DC58, "P")+COUNTIF('Detailed Attendance'!DV58:DV58, "P")+COUNTIF('Detailed Attendance'!DZ58:DZ58, "P")+COUNTIF('Detailed Attendance'!ES58:ES58, "P")+COUNTIF('Detailed Attendance'!GC58:GC58, "P")+COUNTIF('Detailed Attendance'!GG58:GG58, "P")</f>
        <v/>
      </c>
      <c r="N56" s="46">
        <f>COUNTIF('Detailed Attendance'!D58:D58, "A")+COUNTIF('Detailed Attendance'!T58:T58, "A")+COUNTIF('Detailed Attendance'!AN58:AN58, "A")+COUNTIF('Detailed Attendance'!AR58:AR58, "A")+COUNTIF('Detailed Attendance'!BH58:BH58, "A")+COUNTIF('Detailed Attendance'!CB58:CB58, "A")+COUNTIF('Detailed Attendance'!CF58:CF58, "A")+COUNTIF('Detailed Attendance'!CY58:CY58, "A")+COUNTIF('Detailed Attendance'!DC58:DC58, "A")+COUNTIF('Detailed Attendance'!DV58:DV58, "A")+COUNTIF('Detailed Attendance'!DZ58:DZ58, "A")+COUNTIF('Detailed Attendance'!ES58:ES58, "A")+COUNTIF('Detailed Attendance'!GC58:GC58, "A")+COUNTIF('Detailed Attendance'!GG58:GG58, "A")</f>
        <v/>
      </c>
      <c r="O56" s="72">
        <f>IF((M56+N56)=0, "", M56/(M56+N56))</f>
        <v/>
      </c>
      <c r="P56" s="46">
        <f>COUNTIF('Detailed Attendance'!M58:M58, "P")+COUNTIF('Detailed Attendance'!U58:U58, "P")+COUNTIF('Detailed Attendance'!AG58:AG58, "P")+COUNTIF('Detailed Attendance'!AO58:AO58, "P")+COUNTIF('Detailed Attendance'!BA58:BA58, "P")+COUNTIF('Detailed Attendance'!BI58:BI58, "P")+COUNTIF('Detailed Attendance'!BU58:BU58, "P")+COUNTIF('Detailed Attendance'!CC58:CC58, "P")+COUNTIF('Detailed Attendance'!CR58:CR58, "P")+COUNTIF('Detailed Attendance'!CZ58:CZ58, "P")+COUNTIF('Detailed Attendance'!DO58:DO58, "P")+COUNTIF('Detailed Attendance'!DW58:DW58, "P")+COUNTIF('Detailed Attendance'!EL58:EL58, "P")+COUNTIF('Detailed Attendance'!ET58:ET58, "P")+COUNTIF('Detailed Attendance'!FF58:FF58, "P")+COUNTIF('Detailed Attendance'!FV58:FV58, "P")+COUNTIF('Detailed Attendance'!GD58:GD58, "P")</f>
        <v/>
      </c>
      <c r="Q56" s="46">
        <f>COUNTIF('Detailed Attendance'!M58:M58, "A")+COUNTIF('Detailed Attendance'!U58:U58, "A")+COUNTIF('Detailed Attendance'!AG58:AG58, "A")+COUNTIF('Detailed Attendance'!AO58:AO58, "A")+COUNTIF('Detailed Attendance'!BA58:BA58, "A")+COUNTIF('Detailed Attendance'!BI58:BI58, "A")+COUNTIF('Detailed Attendance'!BU58:BU58, "A")+COUNTIF('Detailed Attendance'!CC58:CC58, "A")+COUNTIF('Detailed Attendance'!CR58:CR58, "A")+COUNTIF('Detailed Attendance'!CZ58:CZ58, "A")+COUNTIF('Detailed Attendance'!DO58:DO58, "A")+COUNTIF('Detailed Attendance'!DW58:DW58, "A")+COUNTIF('Detailed Attendance'!EL58:EL58, "A")+COUNTIF('Detailed Attendance'!ET58:ET58, "A")+COUNTIF('Detailed Attendance'!FF58:FF58, "A")+COUNTIF('Detailed Attendance'!FV58:FV58, "A")+COUNTIF('Detailed Attendance'!GD58:GD58, "A")</f>
        <v/>
      </c>
      <c r="R56" s="72">
        <f>IF((P56+Q56)=0, "", P56/(P56+Q56))</f>
        <v/>
      </c>
      <c r="S56" s="46">
        <f>COUNTIF('Detailed Attendance'!V58:V58, "P")+COUNTIF('Detailed Attendance'!AP58:AP58, "P")+COUNTIF('Detailed Attendance'!BJ58:BJ58, "P")+COUNTIF('Detailed Attendance'!CD58:CD58, "P")+COUNTIF('Detailed Attendance'!DA58:DA58, "P")+COUNTIF('Detailed Attendance'!DX58:DX58, "P")+COUNTIF('Detailed Attendance'!EU58:EU58, "P")+COUNTIF('Detailed Attendance'!GE58:GE58, "P")</f>
        <v/>
      </c>
      <c r="T56" s="46">
        <f>COUNTIF('Detailed Attendance'!V58:V58, "A")+COUNTIF('Detailed Attendance'!AP58:AP58, "A")+COUNTIF('Detailed Attendance'!BJ58:BJ58, "A")+COUNTIF('Detailed Attendance'!CD58:CD58, "A")+COUNTIF('Detailed Attendance'!DA58:DA58, "A")+COUNTIF('Detailed Attendance'!DX58:DX58, "A")+COUNTIF('Detailed Attendance'!EU58:EU58, "A")+COUNTIF('Detailed Attendance'!GE58:GE58, "A")</f>
        <v/>
      </c>
      <c r="U56" s="73">
        <f>IF((S56+T56)=0, "", S56/(S56+T56))</f>
        <v/>
      </c>
      <c r="V56" s="46">
        <f>COUNTIF('Detailed Attendance'!CH58:CH58, "P")+COUNTIF('Detailed Attendance'!DE58:DE58, "P")+COUNTIF('Detailed Attendance'!EB58:EB58, "P")+COUNTIF('Detailed Attendance'!GI58:GI58, "P")</f>
        <v/>
      </c>
      <c r="W56" s="46">
        <f>COUNTIF('Detailed Attendance'!CH58:CH58, "A")+COUNTIF('Detailed Attendance'!DE58:DE58, "A")+COUNTIF('Detailed Attendance'!EB58:EB58, "A")+COUNTIF('Detailed Attendance'!GI58:GI58, "A")</f>
        <v/>
      </c>
      <c r="X56" s="73">
        <f>IF((V56+W56)=0, "", V56/(V56+W56))</f>
        <v/>
      </c>
      <c r="Y56" s="46">
        <f>COUNTIF('Detailed Attendance'!CG58:CG58, "P")+COUNTIF('Detailed Attendance'!DD58:DD58, "P")+COUNTIF('Detailed Attendance'!EA58:EA58, "P")+COUNTIF('Detailed Attendance'!GH58:GH58, "P")</f>
        <v/>
      </c>
      <c r="Z56" s="46">
        <f>COUNTIF('Detailed Attendance'!CG58:CG58, "A")+COUNTIF('Detailed Attendance'!DD58:DD58, "A")+COUNTIF('Detailed Attendance'!EA58:EA58, "A")+COUNTIF('Detailed Attendance'!GH58:GH58, "A")</f>
        <v/>
      </c>
      <c r="AA56" s="73">
        <f>IF((Y56+Z56)=0, "", Y56/(Y56+Z56))</f>
        <v/>
      </c>
      <c r="AB56" s="46">
        <f>S56+V56+Y56</f>
        <v/>
      </c>
      <c r="AC56" s="46">
        <f>T56+W56+Z56</f>
        <v/>
      </c>
      <c r="AD56" s="73">
        <f>IF((AB56+AC56)=0, "", AB56/(AB56+AC56))</f>
        <v/>
      </c>
      <c r="AE56" s="46" t="inlineStr">
        <is>
          <t>Batch 2</t>
        </is>
      </c>
    </row>
    <row r="57" ht="14.25" customHeight="1" s="34">
      <c r="A57" s="46" t="n">
        <v>56</v>
      </c>
      <c r="B57" s="46" t="inlineStr">
        <is>
          <t>325106410056</t>
        </is>
      </c>
      <c r="C57" s="46" t="inlineStr">
        <is>
          <t>RAKESH VANIMINA</t>
        </is>
      </c>
      <c r="D57" s="46">
        <f>COUNTIF('Detailed Attendance'!R59:R59, "P")+COUNTIF('Detailed Attendance'!X59:X59, "P")+COUNTIF('Detailed Attendance'!AL59:AL59, "P")+COUNTIF('Detailed Attendance'!BF59:BF59, "P")+COUNTIF('Detailed Attendance'!BL59:BL59, "P")+COUNTIF('Detailed Attendance'!BZ59:BZ59, "P")+COUNTIF('Detailed Attendance'!CI59:CI59, "P")+COUNTIF('Detailed Attendance'!CW59:CW59, "P")+COUNTIF('Detailed Attendance'!DF59:DF59, "P")+COUNTIF('Detailed Attendance'!DT59:DT59, "P")+COUNTIF('Detailed Attendance'!EC59:EC59, "P")+COUNTIF('Detailed Attendance'!EQ59:EQ59, "P")+COUNTIF('Detailed Attendance'!EW59:EW59, "P")+COUNTIF('Detailed Attendance'!FK59:FK59, "P")+COUNTIF('Detailed Attendance'!FM59:FM59, "P")+COUNTIF('Detailed Attendance'!GA59:GA59, "P")</f>
        <v/>
      </c>
      <c r="E57" s="46">
        <f>COUNTIF('Detailed Attendance'!R59:R59, "A")+COUNTIF('Detailed Attendance'!X59:X59, "A")+COUNTIF('Detailed Attendance'!AL59:AL59, "A")+COUNTIF('Detailed Attendance'!BF59:BF59, "A")+COUNTIF('Detailed Attendance'!BL59:BL59, "A")+COUNTIF('Detailed Attendance'!BZ59:BZ59, "A")+COUNTIF('Detailed Attendance'!CI59:CI59, "A")+COUNTIF('Detailed Attendance'!CW59:CW59, "A")+COUNTIF('Detailed Attendance'!DF59:DF59, "A")+COUNTIF('Detailed Attendance'!DT59:DT59, "A")+COUNTIF('Detailed Attendance'!EC59:EC59, "A")+COUNTIF('Detailed Attendance'!EQ59:EQ59, "A")+COUNTIF('Detailed Attendance'!EW59:EW59, "A")+COUNTIF('Detailed Attendance'!FK59:FK59, "A")+COUNTIF('Detailed Attendance'!FM59:FM59, "A")+COUNTIF('Detailed Attendance'!GA59:GA59, "A")</f>
        <v/>
      </c>
      <c r="F57" s="72">
        <f>IF((D57+E57)=0, "", D57/(D57+E57))</f>
        <v/>
      </c>
      <c r="G57" s="46">
        <f>COUNTIF('Detailed Attendance'!I59:I59, "P")+COUNTIF('Detailed Attendance'!Q59:Q59, "P")+COUNTIF('Detailed Attendance'!AC59:AC59, "P")+COUNTIF('Detailed Attendance'!AK59:AK59, "P")+COUNTIF('Detailed Attendance'!AW59:AW59, "P")+COUNTIF('Detailed Attendance'!BE59:BE59, "P")+COUNTIF('Detailed Attendance'!BQ59:BQ59, "P")+COUNTIF('Detailed Attendance'!BY59:BY59, "P")+COUNTIF('Detailed Attendance'!CN59:CN59, "P")+COUNTIF('Detailed Attendance'!CV59:CV59, "P")+COUNTIF('Detailed Attendance'!DK59:DK59, "P")+COUNTIF('Detailed Attendance'!DS59:DS59, "P")+COUNTIF('Detailed Attendance'!EH59:EH59, "P")+COUNTIF('Detailed Attendance'!EP59:EP59, "P")+COUNTIF('Detailed Attendance'!FB59:FB59, "P")+COUNTIF('Detailed Attendance'!FJ59:FJ59, "P")+COUNTIF('Detailed Attendance'!FR59:FR59, "P")+COUNTIF('Detailed Attendance'!FZ59:FZ59, "P")</f>
        <v/>
      </c>
      <c r="H57" s="46">
        <f>COUNTIF('Detailed Attendance'!I59:I59, "A")+COUNTIF('Detailed Attendance'!Q59:Q59, "A")+COUNTIF('Detailed Attendance'!AC59:AC59, "A")+COUNTIF('Detailed Attendance'!AK59:AK59, "A")+COUNTIF('Detailed Attendance'!AW59:AW59, "A")+COUNTIF('Detailed Attendance'!BE59:BE59, "A")+COUNTIF('Detailed Attendance'!BQ59:BQ59, "A")+COUNTIF('Detailed Attendance'!BY59:BY59, "A")+COUNTIF('Detailed Attendance'!CN59:CN59, "A")+COUNTIF('Detailed Attendance'!CV59:CV59, "A")+COUNTIF('Detailed Attendance'!DK59:DK59, "A")+COUNTIF('Detailed Attendance'!DS59:DS59, "A")+COUNTIF('Detailed Attendance'!EH59:EH59, "A")+COUNTIF('Detailed Attendance'!EP59:EP59, "A")+COUNTIF('Detailed Attendance'!FB59:FB59, "A")+COUNTIF('Detailed Attendance'!FJ59:FJ59, "A")+COUNTIF('Detailed Attendance'!FR59:FR59, "A")+COUNTIF('Detailed Attendance'!FZ59:FZ59, "A")</f>
        <v/>
      </c>
      <c r="I57" s="72">
        <f>IF((G57+H57)=0, "", G57/(G57+H57))</f>
        <v/>
      </c>
      <c r="J57" s="46">
        <f>COUNTIF('Detailed Attendance'!L59:L59, "P")+COUNTIF('Detailed Attendance'!P59:P59, "P")+COUNTIF('Detailed Attendance'!AF59:AF59, "P")+COUNTIF('Detailed Attendance'!AJ59:AJ59, "P")+COUNTIF('Detailed Attendance'!AZ59:AZ59, "P")+COUNTIF('Detailed Attendance'!BD59:BD59, "P")+COUNTIF('Detailed Attendance'!BT59:BT59, "P")+COUNTIF('Detailed Attendance'!BX59:BX59, "P")+COUNTIF('Detailed Attendance'!CQ59:CQ59, "P")+COUNTIF('Detailed Attendance'!CU59:CU59, "P")+COUNTIF('Detailed Attendance'!DN59:DN59, "P")+COUNTIF('Detailed Attendance'!DR59:DR59, "P")+COUNTIF('Detailed Attendance'!EK59:EK59, "P")+COUNTIF('Detailed Attendance'!EO59:EO59, "P")+COUNTIF('Detailed Attendance'!FE59:FE59, "P")+COUNTIF('Detailed Attendance'!FI59:FI59, "P")+COUNTIF('Detailed Attendance'!FU59:FU59, "P")+COUNTIF('Detailed Attendance'!FY59:FY59, "P")</f>
        <v/>
      </c>
      <c r="K57" s="46">
        <f>COUNTIF('Detailed Attendance'!L59:L59, "A")+COUNTIF('Detailed Attendance'!P59:P59, "A")+COUNTIF('Detailed Attendance'!AF59:AF59, "A")+COUNTIF('Detailed Attendance'!AJ59:AJ59, "A")+COUNTIF('Detailed Attendance'!AZ59:AZ59, "A")+COUNTIF('Detailed Attendance'!BD59:BD59, "A")+COUNTIF('Detailed Attendance'!BT59:BT59, "A")+COUNTIF('Detailed Attendance'!BX59:BX59, "A")+COUNTIF('Detailed Attendance'!CQ59:CQ59, "A")+COUNTIF('Detailed Attendance'!CU59:CU59, "A")+COUNTIF('Detailed Attendance'!DN59:DN59, "A")+COUNTIF('Detailed Attendance'!DR59:DR59, "A")+COUNTIF('Detailed Attendance'!EK59:EK59, "A")+COUNTIF('Detailed Attendance'!EO59:EO59, "A")+COUNTIF('Detailed Attendance'!FE59:FE59, "A")+COUNTIF('Detailed Attendance'!FI59:FI59, "A")+COUNTIF('Detailed Attendance'!FU59:FU59, "A")+COUNTIF('Detailed Attendance'!FY59:FY59, "A")</f>
        <v/>
      </c>
      <c r="L57" s="72">
        <f>IF((J57+K57)=0, "", J57/(J57+K57))</f>
        <v/>
      </c>
      <c r="M57" s="46">
        <f>COUNTIF('Detailed Attendance'!D59:D59, "P")+COUNTIF('Detailed Attendance'!T59:T59, "P")+COUNTIF('Detailed Attendance'!AN59:AN59, "P")+COUNTIF('Detailed Attendance'!AR59:AR59, "P")+COUNTIF('Detailed Attendance'!BH59:BH59, "P")+COUNTIF('Detailed Attendance'!CB59:CB59, "P")+COUNTIF('Detailed Attendance'!CF59:CF59, "P")+COUNTIF('Detailed Attendance'!CY59:CY59, "P")+COUNTIF('Detailed Attendance'!DC59:DC59, "P")+COUNTIF('Detailed Attendance'!DV59:DV59, "P")+COUNTIF('Detailed Attendance'!DZ59:DZ59, "P")+COUNTIF('Detailed Attendance'!ES59:ES59, "P")+COUNTIF('Detailed Attendance'!GC59:GC59, "P")+COUNTIF('Detailed Attendance'!GG59:GG59, "P")</f>
        <v/>
      </c>
      <c r="N57" s="46">
        <f>COUNTIF('Detailed Attendance'!D59:D59, "A")+COUNTIF('Detailed Attendance'!T59:T59, "A")+COUNTIF('Detailed Attendance'!AN59:AN59, "A")+COUNTIF('Detailed Attendance'!AR59:AR59, "A")+COUNTIF('Detailed Attendance'!BH59:BH59, "A")+COUNTIF('Detailed Attendance'!CB59:CB59, "A")+COUNTIF('Detailed Attendance'!CF59:CF59, "A")+COUNTIF('Detailed Attendance'!CY59:CY59, "A")+COUNTIF('Detailed Attendance'!DC59:DC59, "A")+COUNTIF('Detailed Attendance'!DV59:DV59, "A")+COUNTIF('Detailed Attendance'!DZ59:DZ59, "A")+COUNTIF('Detailed Attendance'!ES59:ES59, "A")+COUNTIF('Detailed Attendance'!GC59:GC59, "A")+COUNTIF('Detailed Attendance'!GG59:GG59, "A")</f>
        <v/>
      </c>
      <c r="O57" s="72">
        <f>IF((M57+N57)=0, "", M57/(M57+N57))</f>
        <v/>
      </c>
      <c r="P57" s="46">
        <f>COUNTIF('Detailed Attendance'!M59:M59, "P")+COUNTIF('Detailed Attendance'!U59:U59, "P")+COUNTIF('Detailed Attendance'!AG59:AG59, "P")+COUNTIF('Detailed Attendance'!AO59:AO59, "P")+COUNTIF('Detailed Attendance'!BA59:BA59, "P")+COUNTIF('Detailed Attendance'!BI59:BI59, "P")+COUNTIF('Detailed Attendance'!BU59:BU59, "P")+COUNTIF('Detailed Attendance'!CC59:CC59, "P")+COUNTIF('Detailed Attendance'!CR59:CR59, "P")+COUNTIF('Detailed Attendance'!CZ59:CZ59, "P")+COUNTIF('Detailed Attendance'!DO59:DO59, "P")+COUNTIF('Detailed Attendance'!DW59:DW59, "P")+COUNTIF('Detailed Attendance'!EL59:EL59, "P")+COUNTIF('Detailed Attendance'!ET59:ET59, "P")+COUNTIF('Detailed Attendance'!FF59:FF59, "P")+COUNTIF('Detailed Attendance'!FV59:FV59, "P")+COUNTIF('Detailed Attendance'!GD59:GD59, "P")</f>
        <v/>
      </c>
      <c r="Q57" s="46">
        <f>COUNTIF('Detailed Attendance'!M59:M59, "A")+COUNTIF('Detailed Attendance'!U59:U59, "A")+COUNTIF('Detailed Attendance'!AG59:AG59, "A")+COUNTIF('Detailed Attendance'!AO59:AO59, "A")+COUNTIF('Detailed Attendance'!BA59:BA59, "A")+COUNTIF('Detailed Attendance'!BI59:BI59, "A")+COUNTIF('Detailed Attendance'!BU59:BU59, "A")+COUNTIF('Detailed Attendance'!CC59:CC59, "A")+COUNTIF('Detailed Attendance'!CR59:CR59, "A")+COUNTIF('Detailed Attendance'!CZ59:CZ59, "A")+COUNTIF('Detailed Attendance'!DO59:DO59, "A")+COUNTIF('Detailed Attendance'!DW59:DW59, "A")+COUNTIF('Detailed Attendance'!EL59:EL59, "A")+COUNTIF('Detailed Attendance'!ET59:ET59, "A")+COUNTIF('Detailed Attendance'!FF59:FF59, "A")+COUNTIF('Detailed Attendance'!FV59:FV59, "A")+COUNTIF('Detailed Attendance'!GD59:GD59, "A")</f>
        <v/>
      </c>
      <c r="R57" s="72">
        <f>IF((P57+Q57)=0, "", P57/(P57+Q57))</f>
        <v/>
      </c>
      <c r="S57" s="46">
        <f>COUNTIF('Detailed Attendance'!V59:V59, "P")+COUNTIF('Detailed Attendance'!AP59:AP59, "P")+COUNTIF('Detailed Attendance'!BJ59:BJ59, "P")+COUNTIF('Detailed Attendance'!CD59:CD59, "P")+COUNTIF('Detailed Attendance'!DA59:DA59, "P")+COUNTIF('Detailed Attendance'!DX59:DX59, "P")+COUNTIF('Detailed Attendance'!EU59:EU59, "P")+COUNTIF('Detailed Attendance'!GE59:GE59, "P")</f>
        <v/>
      </c>
      <c r="T57" s="46">
        <f>COUNTIF('Detailed Attendance'!V59:V59, "A")+COUNTIF('Detailed Attendance'!AP59:AP59, "A")+COUNTIF('Detailed Attendance'!BJ59:BJ59, "A")+COUNTIF('Detailed Attendance'!CD59:CD59, "A")+COUNTIF('Detailed Attendance'!DA59:DA59, "A")+COUNTIF('Detailed Attendance'!DX59:DX59, "A")+COUNTIF('Detailed Attendance'!EU59:EU59, "A")+COUNTIF('Detailed Attendance'!GE59:GE59, "A")</f>
        <v/>
      </c>
      <c r="U57" s="73">
        <f>IF((S57+T57)=0, "", S57/(S57+T57))</f>
        <v/>
      </c>
      <c r="V57" s="46">
        <f>COUNTIF('Detailed Attendance'!CH59:CH59, "P")+COUNTIF('Detailed Attendance'!DE59:DE59, "P")+COUNTIF('Detailed Attendance'!EB59:EB59, "P")+COUNTIF('Detailed Attendance'!GI59:GI59, "P")</f>
        <v/>
      </c>
      <c r="W57" s="46">
        <f>COUNTIF('Detailed Attendance'!CH59:CH59, "A")+COUNTIF('Detailed Attendance'!DE59:DE59, "A")+COUNTIF('Detailed Attendance'!EB59:EB59, "A")+COUNTIF('Detailed Attendance'!GI59:GI59, "A")</f>
        <v/>
      </c>
      <c r="X57" s="73">
        <f>IF((V57+W57)=0, "", V57/(V57+W57))</f>
        <v/>
      </c>
      <c r="Y57" s="46">
        <f>COUNTIF('Detailed Attendance'!CG59:CG59, "P")+COUNTIF('Detailed Attendance'!DD59:DD59, "P")+COUNTIF('Detailed Attendance'!EA59:EA59, "P")+COUNTIF('Detailed Attendance'!GH59:GH59, "P")</f>
        <v/>
      </c>
      <c r="Z57" s="46">
        <f>COUNTIF('Detailed Attendance'!CG59:CG59, "A")+COUNTIF('Detailed Attendance'!DD59:DD59, "A")+COUNTIF('Detailed Attendance'!EA59:EA59, "A")+COUNTIF('Detailed Attendance'!GH59:GH59, "A")</f>
        <v/>
      </c>
      <c r="AA57" s="73">
        <f>IF((Y57+Z57)=0, "", Y57/(Y57+Z57))</f>
        <v/>
      </c>
      <c r="AB57" s="46">
        <f>S57+V57+Y57</f>
        <v/>
      </c>
      <c r="AC57" s="46">
        <f>T57+W57+Z57</f>
        <v/>
      </c>
      <c r="AD57" s="73">
        <f>IF((AB57+AC57)=0, "", AB57/(AB57+AC57))</f>
        <v/>
      </c>
      <c r="AE57" s="46" t="inlineStr">
        <is>
          <t>Batch 2</t>
        </is>
      </c>
    </row>
    <row r="58" ht="14.25" customHeight="1" s="34">
      <c r="A58" s="46" t="n">
        <v>57</v>
      </c>
      <c r="B58" s="46" t="inlineStr">
        <is>
          <t>325106410057</t>
        </is>
      </c>
      <c r="C58" s="46" t="inlineStr">
        <is>
          <t>YASWANTH MANIKANTA VATTIPROLU</t>
        </is>
      </c>
      <c r="D58" s="46">
        <f>COUNTIF('Detailed Attendance'!R60:R60, "P")+COUNTIF('Detailed Attendance'!X60:X60, "P")+COUNTIF('Detailed Attendance'!AL60:AL60, "P")+COUNTIF('Detailed Attendance'!BF60:BF60, "P")+COUNTIF('Detailed Attendance'!BL60:BL60, "P")+COUNTIF('Detailed Attendance'!BZ60:BZ60, "P")+COUNTIF('Detailed Attendance'!CI60:CI60, "P")+COUNTIF('Detailed Attendance'!CW60:CW60, "P")+COUNTIF('Detailed Attendance'!DF60:DF60, "P")+COUNTIF('Detailed Attendance'!DT60:DT60, "P")+COUNTIF('Detailed Attendance'!EC60:EC60, "P")+COUNTIF('Detailed Attendance'!EQ60:EQ60, "P")+COUNTIF('Detailed Attendance'!EW60:EW60, "P")+COUNTIF('Detailed Attendance'!FK60:FK60, "P")+COUNTIF('Detailed Attendance'!FM60:FM60, "P")+COUNTIF('Detailed Attendance'!GA60:GA60, "P")</f>
        <v/>
      </c>
      <c r="E58" s="46">
        <f>COUNTIF('Detailed Attendance'!R60:R60, "A")+COUNTIF('Detailed Attendance'!X60:X60, "A")+COUNTIF('Detailed Attendance'!AL60:AL60, "A")+COUNTIF('Detailed Attendance'!BF60:BF60, "A")+COUNTIF('Detailed Attendance'!BL60:BL60, "A")+COUNTIF('Detailed Attendance'!BZ60:BZ60, "A")+COUNTIF('Detailed Attendance'!CI60:CI60, "A")+COUNTIF('Detailed Attendance'!CW60:CW60, "A")+COUNTIF('Detailed Attendance'!DF60:DF60, "A")+COUNTIF('Detailed Attendance'!DT60:DT60, "A")+COUNTIF('Detailed Attendance'!EC60:EC60, "A")+COUNTIF('Detailed Attendance'!EQ60:EQ60, "A")+COUNTIF('Detailed Attendance'!EW60:EW60, "A")+COUNTIF('Detailed Attendance'!FK60:FK60, "A")+COUNTIF('Detailed Attendance'!FM60:FM60, "A")+COUNTIF('Detailed Attendance'!GA60:GA60, "A")</f>
        <v/>
      </c>
      <c r="F58" s="72">
        <f>IF((D58+E58)=0, "", D58/(D58+E58))</f>
        <v/>
      </c>
      <c r="G58" s="46">
        <f>COUNTIF('Detailed Attendance'!I60:I60, "P")+COUNTIF('Detailed Attendance'!Q60:Q60, "P")+COUNTIF('Detailed Attendance'!AC60:AC60, "P")+COUNTIF('Detailed Attendance'!AK60:AK60, "P")+COUNTIF('Detailed Attendance'!AW60:AW60, "P")+COUNTIF('Detailed Attendance'!BE60:BE60, "P")+COUNTIF('Detailed Attendance'!BQ60:BQ60, "P")+COUNTIF('Detailed Attendance'!BY60:BY60, "P")+COUNTIF('Detailed Attendance'!CN60:CN60, "P")+COUNTIF('Detailed Attendance'!CV60:CV60, "P")+COUNTIF('Detailed Attendance'!DK60:DK60, "P")+COUNTIF('Detailed Attendance'!DS60:DS60, "P")+COUNTIF('Detailed Attendance'!EH60:EH60, "P")+COUNTIF('Detailed Attendance'!EP60:EP60, "P")+COUNTIF('Detailed Attendance'!FB60:FB60, "P")+COUNTIF('Detailed Attendance'!FJ60:FJ60, "P")+COUNTIF('Detailed Attendance'!FR60:FR60, "P")+COUNTIF('Detailed Attendance'!FZ60:FZ60, "P")</f>
        <v/>
      </c>
      <c r="H58" s="46">
        <f>COUNTIF('Detailed Attendance'!I60:I60, "A")+COUNTIF('Detailed Attendance'!Q60:Q60, "A")+COUNTIF('Detailed Attendance'!AC60:AC60, "A")+COUNTIF('Detailed Attendance'!AK60:AK60, "A")+COUNTIF('Detailed Attendance'!AW60:AW60, "A")+COUNTIF('Detailed Attendance'!BE60:BE60, "A")+COUNTIF('Detailed Attendance'!BQ60:BQ60, "A")+COUNTIF('Detailed Attendance'!BY60:BY60, "A")+COUNTIF('Detailed Attendance'!CN60:CN60, "A")+COUNTIF('Detailed Attendance'!CV60:CV60, "A")+COUNTIF('Detailed Attendance'!DK60:DK60, "A")+COUNTIF('Detailed Attendance'!DS60:DS60, "A")+COUNTIF('Detailed Attendance'!EH60:EH60, "A")+COUNTIF('Detailed Attendance'!EP60:EP60, "A")+COUNTIF('Detailed Attendance'!FB60:FB60, "A")+COUNTIF('Detailed Attendance'!FJ60:FJ60, "A")+COUNTIF('Detailed Attendance'!FR60:FR60, "A")+COUNTIF('Detailed Attendance'!FZ60:FZ60, "A")</f>
        <v/>
      </c>
      <c r="I58" s="72">
        <f>IF((G58+H58)=0, "", G58/(G58+H58))</f>
        <v/>
      </c>
      <c r="J58" s="46">
        <f>COUNTIF('Detailed Attendance'!L60:L60, "P")+COUNTIF('Detailed Attendance'!P60:P60, "P")+COUNTIF('Detailed Attendance'!AF60:AF60, "P")+COUNTIF('Detailed Attendance'!AJ60:AJ60, "P")+COUNTIF('Detailed Attendance'!AZ60:AZ60, "P")+COUNTIF('Detailed Attendance'!BD60:BD60, "P")+COUNTIF('Detailed Attendance'!BT60:BT60, "P")+COUNTIF('Detailed Attendance'!BX60:BX60, "P")+COUNTIF('Detailed Attendance'!CQ60:CQ60, "P")+COUNTIF('Detailed Attendance'!CU60:CU60, "P")+COUNTIF('Detailed Attendance'!DN60:DN60, "P")+COUNTIF('Detailed Attendance'!DR60:DR60, "P")+COUNTIF('Detailed Attendance'!EK60:EK60, "P")+COUNTIF('Detailed Attendance'!EO60:EO60, "P")+COUNTIF('Detailed Attendance'!FE60:FE60, "P")+COUNTIF('Detailed Attendance'!FI60:FI60, "P")+COUNTIF('Detailed Attendance'!FU60:FU60, "P")+COUNTIF('Detailed Attendance'!FY60:FY60, "P")</f>
        <v/>
      </c>
      <c r="K58" s="46">
        <f>COUNTIF('Detailed Attendance'!L60:L60, "A")+COUNTIF('Detailed Attendance'!P60:P60, "A")+COUNTIF('Detailed Attendance'!AF60:AF60, "A")+COUNTIF('Detailed Attendance'!AJ60:AJ60, "A")+COUNTIF('Detailed Attendance'!AZ60:AZ60, "A")+COUNTIF('Detailed Attendance'!BD60:BD60, "A")+COUNTIF('Detailed Attendance'!BT60:BT60, "A")+COUNTIF('Detailed Attendance'!BX60:BX60, "A")+COUNTIF('Detailed Attendance'!CQ60:CQ60, "A")+COUNTIF('Detailed Attendance'!CU60:CU60, "A")+COUNTIF('Detailed Attendance'!DN60:DN60, "A")+COUNTIF('Detailed Attendance'!DR60:DR60, "A")+COUNTIF('Detailed Attendance'!EK60:EK60, "A")+COUNTIF('Detailed Attendance'!EO60:EO60, "A")+COUNTIF('Detailed Attendance'!FE60:FE60, "A")+COUNTIF('Detailed Attendance'!FI60:FI60, "A")+COUNTIF('Detailed Attendance'!FU60:FU60, "A")+COUNTIF('Detailed Attendance'!FY60:FY60, "A")</f>
        <v/>
      </c>
      <c r="L58" s="72">
        <f>IF((J58+K58)=0, "", J58/(J58+K58))</f>
        <v/>
      </c>
      <c r="M58" s="46">
        <f>COUNTIF('Detailed Attendance'!D60:D60, "P")+COUNTIF('Detailed Attendance'!T60:T60, "P")+COUNTIF('Detailed Attendance'!AN60:AN60, "P")+COUNTIF('Detailed Attendance'!AR60:AR60, "P")+COUNTIF('Detailed Attendance'!BH60:BH60, "P")+COUNTIF('Detailed Attendance'!CB60:CB60, "P")+COUNTIF('Detailed Attendance'!CF60:CF60, "P")+COUNTIF('Detailed Attendance'!CY60:CY60, "P")+COUNTIF('Detailed Attendance'!DC60:DC60, "P")+COUNTIF('Detailed Attendance'!DV60:DV60, "P")+COUNTIF('Detailed Attendance'!DZ60:DZ60, "P")+COUNTIF('Detailed Attendance'!ES60:ES60, "P")+COUNTIF('Detailed Attendance'!GC60:GC60, "P")+COUNTIF('Detailed Attendance'!GG60:GG60, "P")</f>
        <v/>
      </c>
      <c r="N58" s="46">
        <f>COUNTIF('Detailed Attendance'!D60:D60, "A")+COUNTIF('Detailed Attendance'!T60:T60, "A")+COUNTIF('Detailed Attendance'!AN60:AN60, "A")+COUNTIF('Detailed Attendance'!AR60:AR60, "A")+COUNTIF('Detailed Attendance'!BH60:BH60, "A")+COUNTIF('Detailed Attendance'!CB60:CB60, "A")+COUNTIF('Detailed Attendance'!CF60:CF60, "A")+COUNTIF('Detailed Attendance'!CY60:CY60, "A")+COUNTIF('Detailed Attendance'!DC60:DC60, "A")+COUNTIF('Detailed Attendance'!DV60:DV60, "A")+COUNTIF('Detailed Attendance'!DZ60:DZ60, "A")+COUNTIF('Detailed Attendance'!ES60:ES60, "A")+COUNTIF('Detailed Attendance'!GC60:GC60, "A")+COUNTIF('Detailed Attendance'!GG60:GG60, "A")</f>
        <v/>
      </c>
      <c r="O58" s="72">
        <f>IF((M58+N58)=0, "", M58/(M58+N58))</f>
        <v/>
      </c>
      <c r="P58" s="46">
        <f>COUNTIF('Detailed Attendance'!M60:M60, "P")+COUNTIF('Detailed Attendance'!U60:U60, "P")+COUNTIF('Detailed Attendance'!AG60:AG60, "P")+COUNTIF('Detailed Attendance'!AO60:AO60, "P")+COUNTIF('Detailed Attendance'!BA60:BA60, "P")+COUNTIF('Detailed Attendance'!BI60:BI60, "P")+COUNTIF('Detailed Attendance'!BU60:BU60, "P")+COUNTIF('Detailed Attendance'!CC60:CC60, "P")+COUNTIF('Detailed Attendance'!CR60:CR60, "P")+COUNTIF('Detailed Attendance'!CZ60:CZ60, "P")+COUNTIF('Detailed Attendance'!DO60:DO60, "P")+COUNTIF('Detailed Attendance'!DW60:DW60, "P")+COUNTIF('Detailed Attendance'!EL60:EL60, "P")+COUNTIF('Detailed Attendance'!ET60:ET60, "P")+COUNTIF('Detailed Attendance'!FF60:FF60, "P")+COUNTIF('Detailed Attendance'!FV60:FV60, "P")+COUNTIF('Detailed Attendance'!GD60:GD60, "P")</f>
        <v/>
      </c>
      <c r="Q58" s="46">
        <f>COUNTIF('Detailed Attendance'!M60:M60, "A")+COUNTIF('Detailed Attendance'!U60:U60, "A")+COUNTIF('Detailed Attendance'!AG60:AG60, "A")+COUNTIF('Detailed Attendance'!AO60:AO60, "A")+COUNTIF('Detailed Attendance'!BA60:BA60, "A")+COUNTIF('Detailed Attendance'!BI60:BI60, "A")+COUNTIF('Detailed Attendance'!BU60:BU60, "A")+COUNTIF('Detailed Attendance'!CC60:CC60, "A")+COUNTIF('Detailed Attendance'!CR60:CR60, "A")+COUNTIF('Detailed Attendance'!CZ60:CZ60, "A")+COUNTIF('Detailed Attendance'!DO60:DO60, "A")+COUNTIF('Detailed Attendance'!DW60:DW60, "A")+COUNTIF('Detailed Attendance'!EL60:EL60, "A")+COUNTIF('Detailed Attendance'!ET60:ET60, "A")+COUNTIF('Detailed Attendance'!FF60:FF60, "A")+COUNTIF('Detailed Attendance'!FV60:FV60, "A")+COUNTIF('Detailed Attendance'!GD60:GD60, "A")</f>
        <v/>
      </c>
      <c r="R58" s="72">
        <f>IF((P58+Q58)=0, "", P58/(P58+Q58))</f>
        <v/>
      </c>
      <c r="S58" s="46">
        <f>COUNTIF('Detailed Attendance'!V60:V60, "P")+COUNTIF('Detailed Attendance'!AP60:AP60, "P")+COUNTIF('Detailed Attendance'!BJ60:BJ60, "P")+COUNTIF('Detailed Attendance'!CD60:CD60, "P")+COUNTIF('Detailed Attendance'!DA60:DA60, "P")+COUNTIF('Detailed Attendance'!DX60:DX60, "P")+COUNTIF('Detailed Attendance'!EU60:EU60, "P")+COUNTIF('Detailed Attendance'!GE60:GE60, "P")</f>
        <v/>
      </c>
      <c r="T58" s="46">
        <f>COUNTIF('Detailed Attendance'!V60:V60, "A")+COUNTIF('Detailed Attendance'!AP60:AP60, "A")+COUNTIF('Detailed Attendance'!BJ60:BJ60, "A")+COUNTIF('Detailed Attendance'!CD60:CD60, "A")+COUNTIF('Detailed Attendance'!DA60:DA60, "A")+COUNTIF('Detailed Attendance'!DX60:DX60, "A")+COUNTIF('Detailed Attendance'!EU60:EU60, "A")+COUNTIF('Detailed Attendance'!GE60:GE60, "A")</f>
        <v/>
      </c>
      <c r="U58" s="73">
        <f>IF((S58+T58)=0, "", S58/(S58+T58))</f>
        <v/>
      </c>
      <c r="V58" s="46">
        <f>COUNTIF('Detailed Attendance'!CH60:CH60, "P")+COUNTIF('Detailed Attendance'!DE60:DE60, "P")+COUNTIF('Detailed Attendance'!EB60:EB60, "P")+COUNTIF('Detailed Attendance'!GI60:GI60, "P")</f>
        <v/>
      </c>
      <c r="W58" s="46">
        <f>COUNTIF('Detailed Attendance'!CH60:CH60, "A")+COUNTIF('Detailed Attendance'!DE60:DE60, "A")+COUNTIF('Detailed Attendance'!EB60:EB60, "A")+COUNTIF('Detailed Attendance'!GI60:GI60, "A")</f>
        <v/>
      </c>
      <c r="X58" s="73">
        <f>IF((V58+W58)=0, "", V58/(V58+W58))</f>
        <v/>
      </c>
      <c r="Y58" s="46">
        <f>COUNTIF('Detailed Attendance'!CG60:CG60, "P")+COUNTIF('Detailed Attendance'!DD60:DD60, "P")+COUNTIF('Detailed Attendance'!EA60:EA60, "P")+COUNTIF('Detailed Attendance'!GH60:GH60, "P")</f>
        <v/>
      </c>
      <c r="Z58" s="46">
        <f>COUNTIF('Detailed Attendance'!CG60:CG60, "A")+COUNTIF('Detailed Attendance'!DD60:DD60, "A")+COUNTIF('Detailed Attendance'!EA60:EA60, "A")+COUNTIF('Detailed Attendance'!GH60:GH60, "A")</f>
        <v/>
      </c>
      <c r="AA58" s="73">
        <f>IF((Y58+Z58)=0, "", Y58/(Y58+Z58))</f>
        <v/>
      </c>
      <c r="AB58" s="46">
        <f>S58+V58+Y58</f>
        <v/>
      </c>
      <c r="AC58" s="46">
        <f>T58+W58+Z58</f>
        <v/>
      </c>
      <c r="AD58" s="73">
        <f>IF((AB58+AC58)=0, "", AB58/(AB58+AC58))</f>
        <v/>
      </c>
      <c r="AE58" s="46" t="inlineStr">
        <is>
          <t>Batch 2</t>
        </is>
      </c>
    </row>
    <row r="59" ht="14.25" customHeight="1" s="34">
      <c r="A59" s="46" t="n">
        <v>58</v>
      </c>
      <c r="B59" s="46" t="inlineStr">
        <is>
          <t>325106410058</t>
        </is>
      </c>
      <c r="C59" s="46" t="inlineStr">
        <is>
          <t>VEDA VARSHIT GOKAVARAPU</t>
        </is>
      </c>
      <c r="D59" s="46">
        <f>COUNTIF('Detailed Attendance'!R61:R61, "P")+COUNTIF('Detailed Attendance'!X61:X61, "P")+COUNTIF('Detailed Attendance'!AL61:AL61, "P")+COUNTIF('Detailed Attendance'!BF61:BF61, "P")+COUNTIF('Detailed Attendance'!BL61:BL61, "P")+COUNTIF('Detailed Attendance'!BZ61:BZ61, "P")+COUNTIF('Detailed Attendance'!CI61:CI61, "P")+COUNTIF('Detailed Attendance'!CW61:CW61, "P")+COUNTIF('Detailed Attendance'!DF61:DF61, "P")+COUNTIF('Detailed Attendance'!DT61:DT61, "P")+COUNTIF('Detailed Attendance'!EC61:EC61, "P")+COUNTIF('Detailed Attendance'!EQ61:EQ61, "P")+COUNTIF('Detailed Attendance'!EW61:EW61, "P")+COUNTIF('Detailed Attendance'!FK61:FK61, "P")+COUNTIF('Detailed Attendance'!FM61:FM61, "P")+COUNTIF('Detailed Attendance'!GA61:GA61, "P")</f>
        <v/>
      </c>
      <c r="E59" s="46">
        <f>COUNTIF('Detailed Attendance'!R61:R61, "A")+COUNTIF('Detailed Attendance'!X61:X61, "A")+COUNTIF('Detailed Attendance'!AL61:AL61, "A")+COUNTIF('Detailed Attendance'!BF61:BF61, "A")+COUNTIF('Detailed Attendance'!BL61:BL61, "A")+COUNTIF('Detailed Attendance'!BZ61:BZ61, "A")+COUNTIF('Detailed Attendance'!CI61:CI61, "A")+COUNTIF('Detailed Attendance'!CW61:CW61, "A")+COUNTIF('Detailed Attendance'!DF61:DF61, "A")+COUNTIF('Detailed Attendance'!DT61:DT61, "A")+COUNTIF('Detailed Attendance'!EC61:EC61, "A")+COUNTIF('Detailed Attendance'!EQ61:EQ61, "A")+COUNTIF('Detailed Attendance'!EW61:EW61, "A")+COUNTIF('Detailed Attendance'!FK61:FK61, "A")+COUNTIF('Detailed Attendance'!FM61:FM61, "A")+COUNTIF('Detailed Attendance'!GA61:GA61, "A")</f>
        <v/>
      </c>
      <c r="F59" s="72">
        <f>IF((D59+E59)=0, "", D59/(D59+E59))</f>
        <v/>
      </c>
      <c r="G59" s="46">
        <f>COUNTIF('Detailed Attendance'!I61:I61, "P")+COUNTIF('Detailed Attendance'!Q61:Q61, "P")+COUNTIF('Detailed Attendance'!AC61:AC61, "P")+COUNTIF('Detailed Attendance'!AK61:AK61, "P")+COUNTIF('Detailed Attendance'!AW61:AW61, "P")+COUNTIF('Detailed Attendance'!BE61:BE61, "P")+COUNTIF('Detailed Attendance'!BQ61:BQ61, "P")+COUNTIF('Detailed Attendance'!BY61:BY61, "P")+COUNTIF('Detailed Attendance'!CN61:CN61, "P")+COUNTIF('Detailed Attendance'!CV61:CV61, "P")+COUNTIF('Detailed Attendance'!DK61:DK61, "P")+COUNTIF('Detailed Attendance'!DS61:DS61, "P")+COUNTIF('Detailed Attendance'!EH61:EH61, "P")+COUNTIF('Detailed Attendance'!EP61:EP61, "P")+COUNTIF('Detailed Attendance'!FB61:FB61, "P")+COUNTIF('Detailed Attendance'!FJ61:FJ61, "P")+COUNTIF('Detailed Attendance'!FR61:FR61, "P")+COUNTIF('Detailed Attendance'!FZ61:FZ61, "P")</f>
        <v/>
      </c>
      <c r="H59" s="46">
        <f>COUNTIF('Detailed Attendance'!I61:I61, "A")+COUNTIF('Detailed Attendance'!Q61:Q61, "A")+COUNTIF('Detailed Attendance'!AC61:AC61, "A")+COUNTIF('Detailed Attendance'!AK61:AK61, "A")+COUNTIF('Detailed Attendance'!AW61:AW61, "A")+COUNTIF('Detailed Attendance'!BE61:BE61, "A")+COUNTIF('Detailed Attendance'!BQ61:BQ61, "A")+COUNTIF('Detailed Attendance'!BY61:BY61, "A")+COUNTIF('Detailed Attendance'!CN61:CN61, "A")+COUNTIF('Detailed Attendance'!CV61:CV61, "A")+COUNTIF('Detailed Attendance'!DK61:DK61, "A")+COUNTIF('Detailed Attendance'!DS61:DS61, "A")+COUNTIF('Detailed Attendance'!EH61:EH61, "A")+COUNTIF('Detailed Attendance'!EP61:EP61, "A")+COUNTIF('Detailed Attendance'!FB61:FB61, "A")+COUNTIF('Detailed Attendance'!FJ61:FJ61, "A")+COUNTIF('Detailed Attendance'!FR61:FR61, "A")+COUNTIF('Detailed Attendance'!FZ61:FZ61, "A")</f>
        <v/>
      </c>
      <c r="I59" s="72">
        <f>IF((G59+H59)=0, "", G59/(G59+H59))</f>
        <v/>
      </c>
      <c r="J59" s="46">
        <f>COUNTIF('Detailed Attendance'!L61:L61, "P")+COUNTIF('Detailed Attendance'!P61:P61, "P")+COUNTIF('Detailed Attendance'!AF61:AF61, "P")+COUNTIF('Detailed Attendance'!AJ61:AJ61, "P")+COUNTIF('Detailed Attendance'!AZ61:AZ61, "P")+COUNTIF('Detailed Attendance'!BD61:BD61, "P")+COUNTIF('Detailed Attendance'!BT61:BT61, "P")+COUNTIF('Detailed Attendance'!BX61:BX61, "P")+COUNTIF('Detailed Attendance'!CQ61:CQ61, "P")+COUNTIF('Detailed Attendance'!CU61:CU61, "P")+COUNTIF('Detailed Attendance'!DN61:DN61, "P")+COUNTIF('Detailed Attendance'!DR61:DR61, "P")+COUNTIF('Detailed Attendance'!EK61:EK61, "P")+COUNTIF('Detailed Attendance'!EO61:EO61, "P")+COUNTIF('Detailed Attendance'!FE61:FE61, "P")+COUNTIF('Detailed Attendance'!FI61:FI61, "P")+COUNTIF('Detailed Attendance'!FU61:FU61, "P")+COUNTIF('Detailed Attendance'!FY61:FY61, "P")</f>
        <v/>
      </c>
      <c r="K59" s="46">
        <f>COUNTIF('Detailed Attendance'!L61:L61, "A")+COUNTIF('Detailed Attendance'!P61:P61, "A")+COUNTIF('Detailed Attendance'!AF61:AF61, "A")+COUNTIF('Detailed Attendance'!AJ61:AJ61, "A")+COUNTIF('Detailed Attendance'!AZ61:AZ61, "A")+COUNTIF('Detailed Attendance'!BD61:BD61, "A")+COUNTIF('Detailed Attendance'!BT61:BT61, "A")+COUNTIF('Detailed Attendance'!BX61:BX61, "A")+COUNTIF('Detailed Attendance'!CQ61:CQ61, "A")+COUNTIF('Detailed Attendance'!CU61:CU61, "A")+COUNTIF('Detailed Attendance'!DN61:DN61, "A")+COUNTIF('Detailed Attendance'!DR61:DR61, "A")+COUNTIF('Detailed Attendance'!EK61:EK61, "A")+COUNTIF('Detailed Attendance'!EO61:EO61, "A")+COUNTIF('Detailed Attendance'!FE61:FE61, "A")+COUNTIF('Detailed Attendance'!FI61:FI61, "A")+COUNTIF('Detailed Attendance'!FU61:FU61, "A")+COUNTIF('Detailed Attendance'!FY61:FY61, "A")</f>
        <v/>
      </c>
      <c r="L59" s="72">
        <f>IF((J59+K59)=0, "", J59/(J59+K59))</f>
        <v/>
      </c>
      <c r="M59" s="46">
        <f>COUNTIF('Detailed Attendance'!D61:D61, "P")+COUNTIF('Detailed Attendance'!T61:T61, "P")+COUNTIF('Detailed Attendance'!AN61:AN61, "P")+COUNTIF('Detailed Attendance'!AR61:AR61, "P")+COUNTIF('Detailed Attendance'!BH61:BH61, "P")+COUNTIF('Detailed Attendance'!CB61:CB61, "P")+COUNTIF('Detailed Attendance'!CF61:CF61, "P")+COUNTIF('Detailed Attendance'!CY61:CY61, "P")+COUNTIF('Detailed Attendance'!DC61:DC61, "P")+COUNTIF('Detailed Attendance'!DV61:DV61, "P")+COUNTIF('Detailed Attendance'!DZ61:DZ61, "P")+COUNTIF('Detailed Attendance'!ES61:ES61, "P")+COUNTIF('Detailed Attendance'!GC61:GC61, "P")+COUNTIF('Detailed Attendance'!GG61:GG61, "P")</f>
        <v/>
      </c>
      <c r="N59" s="46">
        <f>COUNTIF('Detailed Attendance'!D61:D61, "A")+COUNTIF('Detailed Attendance'!T61:T61, "A")+COUNTIF('Detailed Attendance'!AN61:AN61, "A")+COUNTIF('Detailed Attendance'!AR61:AR61, "A")+COUNTIF('Detailed Attendance'!BH61:BH61, "A")+COUNTIF('Detailed Attendance'!CB61:CB61, "A")+COUNTIF('Detailed Attendance'!CF61:CF61, "A")+COUNTIF('Detailed Attendance'!CY61:CY61, "A")+COUNTIF('Detailed Attendance'!DC61:DC61, "A")+COUNTIF('Detailed Attendance'!DV61:DV61, "A")+COUNTIF('Detailed Attendance'!DZ61:DZ61, "A")+COUNTIF('Detailed Attendance'!ES61:ES61, "A")+COUNTIF('Detailed Attendance'!GC61:GC61, "A")+COUNTIF('Detailed Attendance'!GG61:GG61, "A")</f>
        <v/>
      </c>
      <c r="O59" s="72">
        <f>IF((M59+N59)=0, "", M59/(M59+N59))</f>
        <v/>
      </c>
      <c r="P59" s="46">
        <f>COUNTIF('Detailed Attendance'!M61:M61, "P")+COUNTIF('Detailed Attendance'!U61:U61, "P")+COUNTIF('Detailed Attendance'!AG61:AG61, "P")+COUNTIF('Detailed Attendance'!AO61:AO61, "P")+COUNTIF('Detailed Attendance'!BA61:BA61, "P")+COUNTIF('Detailed Attendance'!BI61:BI61, "P")+COUNTIF('Detailed Attendance'!BU61:BU61, "P")+COUNTIF('Detailed Attendance'!CC61:CC61, "P")+COUNTIF('Detailed Attendance'!CR61:CR61, "P")+COUNTIF('Detailed Attendance'!CZ61:CZ61, "P")+COUNTIF('Detailed Attendance'!DO61:DO61, "P")+COUNTIF('Detailed Attendance'!DW61:DW61, "P")+COUNTIF('Detailed Attendance'!EL61:EL61, "P")+COUNTIF('Detailed Attendance'!ET61:ET61, "P")+COUNTIF('Detailed Attendance'!FF61:FF61, "P")+COUNTIF('Detailed Attendance'!FV61:FV61, "P")+COUNTIF('Detailed Attendance'!GD61:GD61, "P")</f>
        <v/>
      </c>
      <c r="Q59" s="46">
        <f>COUNTIF('Detailed Attendance'!M61:M61, "A")+COUNTIF('Detailed Attendance'!U61:U61, "A")+COUNTIF('Detailed Attendance'!AG61:AG61, "A")+COUNTIF('Detailed Attendance'!AO61:AO61, "A")+COUNTIF('Detailed Attendance'!BA61:BA61, "A")+COUNTIF('Detailed Attendance'!BI61:BI61, "A")+COUNTIF('Detailed Attendance'!BU61:BU61, "A")+COUNTIF('Detailed Attendance'!CC61:CC61, "A")+COUNTIF('Detailed Attendance'!CR61:CR61, "A")+COUNTIF('Detailed Attendance'!CZ61:CZ61, "A")+COUNTIF('Detailed Attendance'!DO61:DO61, "A")+COUNTIF('Detailed Attendance'!DW61:DW61, "A")+COUNTIF('Detailed Attendance'!EL61:EL61, "A")+COUNTIF('Detailed Attendance'!ET61:ET61, "A")+COUNTIF('Detailed Attendance'!FF61:FF61, "A")+COUNTIF('Detailed Attendance'!FV61:FV61, "A")+COUNTIF('Detailed Attendance'!GD61:GD61, "A")</f>
        <v/>
      </c>
      <c r="R59" s="72">
        <f>IF((P59+Q59)=0, "", P59/(P59+Q59))</f>
        <v/>
      </c>
      <c r="S59" s="46">
        <f>COUNTIF('Detailed Attendance'!V61:V61, "P")+COUNTIF('Detailed Attendance'!AP61:AP61, "P")+COUNTIF('Detailed Attendance'!BJ61:BJ61, "P")+COUNTIF('Detailed Attendance'!CD61:CD61, "P")+COUNTIF('Detailed Attendance'!DA61:DA61, "P")+COUNTIF('Detailed Attendance'!DX61:DX61, "P")+COUNTIF('Detailed Attendance'!EU61:EU61, "P")+COUNTIF('Detailed Attendance'!GE61:GE61, "P")</f>
        <v/>
      </c>
      <c r="T59" s="46">
        <f>COUNTIF('Detailed Attendance'!V61:V61, "A")+COUNTIF('Detailed Attendance'!AP61:AP61, "A")+COUNTIF('Detailed Attendance'!BJ61:BJ61, "A")+COUNTIF('Detailed Attendance'!CD61:CD61, "A")+COUNTIF('Detailed Attendance'!DA61:DA61, "A")+COUNTIF('Detailed Attendance'!DX61:DX61, "A")+COUNTIF('Detailed Attendance'!EU61:EU61, "A")+COUNTIF('Detailed Attendance'!GE61:GE61, "A")</f>
        <v/>
      </c>
      <c r="U59" s="73">
        <f>IF((S59+T59)=0, "", S59/(S59+T59))</f>
        <v/>
      </c>
      <c r="V59" s="46">
        <f>COUNTIF('Detailed Attendance'!CH61:CH61, "P")+COUNTIF('Detailed Attendance'!DE61:DE61, "P")+COUNTIF('Detailed Attendance'!EB61:EB61, "P")+COUNTIF('Detailed Attendance'!GI61:GI61, "P")</f>
        <v/>
      </c>
      <c r="W59" s="46">
        <f>COUNTIF('Detailed Attendance'!CH61:CH61, "A")+COUNTIF('Detailed Attendance'!DE61:DE61, "A")+COUNTIF('Detailed Attendance'!EB61:EB61, "A")+COUNTIF('Detailed Attendance'!GI61:GI61, "A")</f>
        <v/>
      </c>
      <c r="X59" s="73">
        <f>IF((V59+W59)=0, "", V59/(V59+W59))</f>
        <v/>
      </c>
      <c r="Y59" s="46">
        <f>COUNTIF('Detailed Attendance'!CG61:CG61, "P")+COUNTIF('Detailed Attendance'!DD61:DD61, "P")+COUNTIF('Detailed Attendance'!EA61:EA61, "P")+COUNTIF('Detailed Attendance'!GH61:GH61, "P")</f>
        <v/>
      </c>
      <c r="Z59" s="46">
        <f>COUNTIF('Detailed Attendance'!CG61:CG61, "A")+COUNTIF('Detailed Attendance'!DD61:DD61, "A")+COUNTIF('Detailed Attendance'!EA61:EA61, "A")+COUNTIF('Detailed Attendance'!GH61:GH61, "A")</f>
        <v/>
      </c>
      <c r="AA59" s="73">
        <f>IF((Y59+Z59)=0, "", Y59/(Y59+Z59))</f>
        <v/>
      </c>
      <c r="AB59" s="46">
        <f>S59+V59+Y59</f>
        <v/>
      </c>
      <c r="AC59" s="46">
        <f>T59+W59+Z59</f>
        <v/>
      </c>
      <c r="AD59" s="73">
        <f>IF((AB59+AC59)=0, "", AB59/(AB59+AC59))</f>
        <v/>
      </c>
      <c r="AE59" s="46" t="inlineStr">
        <is>
          <t>Batch 2</t>
        </is>
      </c>
    </row>
    <row r="60" ht="14.25" customHeight="1" s="34">
      <c r="A60" s="46" t="n">
        <v>59</v>
      </c>
      <c r="B60" s="46" t="inlineStr">
        <is>
          <t>325106410059</t>
        </is>
      </c>
      <c r="C60" s="46" t="inlineStr">
        <is>
          <t>SAI KEERTHANA VEMURI</t>
        </is>
      </c>
      <c r="D60" s="46">
        <f>COUNTIF('Detailed Attendance'!R62:R62, "P")+COUNTIF('Detailed Attendance'!X62:X62, "P")+COUNTIF('Detailed Attendance'!AL62:AL62, "P")+COUNTIF('Detailed Attendance'!BF62:BF62, "P")+COUNTIF('Detailed Attendance'!BL62:BL62, "P")+COUNTIF('Detailed Attendance'!BZ62:BZ62, "P")+COUNTIF('Detailed Attendance'!CI62:CI62, "P")+COUNTIF('Detailed Attendance'!CW62:CW62, "P")+COUNTIF('Detailed Attendance'!DF62:DF62, "P")+COUNTIF('Detailed Attendance'!DT62:DT62, "P")+COUNTIF('Detailed Attendance'!EC62:EC62, "P")+COUNTIF('Detailed Attendance'!EQ62:EQ62, "P")+COUNTIF('Detailed Attendance'!EW62:EW62, "P")+COUNTIF('Detailed Attendance'!FK62:FK62, "P")+COUNTIF('Detailed Attendance'!FM62:FM62, "P")+COUNTIF('Detailed Attendance'!GA62:GA62, "P")</f>
        <v/>
      </c>
      <c r="E60" s="46">
        <f>COUNTIF('Detailed Attendance'!R62:R62, "A")+COUNTIF('Detailed Attendance'!X62:X62, "A")+COUNTIF('Detailed Attendance'!AL62:AL62, "A")+COUNTIF('Detailed Attendance'!BF62:BF62, "A")+COUNTIF('Detailed Attendance'!BL62:BL62, "A")+COUNTIF('Detailed Attendance'!BZ62:BZ62, "A")+COUNTIF('Detailed Attendance'!CI62:CI62, "A")+COUNTIF('Detailed Attendance'!CW62:CW62, "A")+COUNTIF('Detailed Attendance'!DF62:DF62, "A")+COUNTIF('Detailed Attendance'!DT62:DT62, "A")+COUNTIF('Detailed Attendance'!EC62:EC62, "A")+COUNTIF('Detailed Attendance'!EQ62:EQ62, "A")+COUNTIF('Detailed Attendance'!EW62:EW62, "A")+COUNTIF('Detailed Attendance'!FK62:FK62, "A")+COUNTIF('Detailed Attendance'!FM62:FM62, "A")+COUNTIF('Detailed Attendance'!GA62:GA62, "A")</f>
        <v/>
      </c>
      <c r="F60" s="72">
        <f>IF((D60+E60)=0, "", D60/(D60+E60))</f>
        <v/>
      </c>
      <c r="G60" s="46">
        <f>COUNTIF('Detailed Attendance'!I62:I62, "P")+COUNTIF('Detailed Attendance'!Q62:Q62, "P")+COUNTIF('Detailed Attendance'!AC62:AC62, "P")+COUNTIF('Detailed Attendance'!AK62:AK62, "P")+COUNTIF('Detailed Attendance'!AW62:AW62, "P")+COUNTIF('Detailed Attendance'!BE62:BE62, "P")+COUNTIF('Detailed Attendance'!BQ62:BQ62, "P")+COUNTIF('Detailed Attendance'!BY62:BY62, "P")+COUNTIF('Detailed Attendance'!CN62:CN62, "P")+COUNTIF('Detailed Attendance'!CV62:CV62, "P")+COUNTIF('Detailed Attendance'!DK62:DK62, "P")+COUNTIF('Detailed Attendance'!DS62:DS62, "P")+COUNTIF('Detailed Attendance'!EH62:EH62, "P")+COUNTIF('Detailed Attendance'!EP62:EP62, "P")+COUNTIF('Detailed Attendance'!FB62:FB62, "P")+COUNTIF('Detailed Attendance'!FJ62:FJ62, "P")+COUNTIF('Detailed Attendance'!FR62:FR62, "P")+COUNTIF('Detailed Attendance'!FZ62:FZ62, "P")</f>
        <v/>
      </c>
      <c r="H60" s="46">
        <f>COUNTIF('Detailed Attendance'!I62:I62, "A")+COUNTIF('Detailed Attendance'!Q62:Q62, "A")+COUNTIF('Detailed Attendance'!AC62:AC62, "A")+COUNTIF('Detailed Attendance'!AK62:AK62, "A")+COUNTIF('Detailed Attendance'!AW62:AW62, "A")+COUNTIF('Detailed Attendance'!BE62:BE62, "A")+COUNTIF('Detailed Attendance'!BQ62:BQ62, "A")+COUNTIF('Detailed Attendance'!BY62:BY62, "A")+COUNTIF('Detailed Attendance'!CN62:CN62, "A")+COUNTIF('Detailed Attendance'!CV62:CV62, "A")+COUNTIF('Detailed Attendance'!DK62:DK62, "A")+COUNTIF('Detailed Attendance'!DS62:DS62, "A")+COUNTIF('Detailed Attendance'!EH62:EH62, "A")+COUNTIF('Detailed Attendance'!EP62:EP62, "A")+COUNTIF('Detailed Attendance'!FB62:FB62, "A")+COUNTIF('Detailed Attendance'!FJ62:FJ62, "A")+COUNTIF('Detailed Attendance'!FR62:FR62, "A")+COUNTIF('Detailed Attendance'!FZ62:FZ62, "A")</f>
        <v/>
      </c>
      <c r="I60" s="72">
        <f>IF((G60+H60)=0, "", G60/(G60+H60))</f>
        <v/>
      </c>
      <c r="J60" s="46">
        <f>COUNTIF('Detailed Attendance'!L62:L62, "P")+COUNTIF('Detailed Attendance'!P62:P62, "P")+COUNTIF('Detailed Attendance'!AF62:AF62, "P")+COUNTIF('Detailed Attendance'!AJ62:AJ62, "P")+COUNTIF('Detailed Attendance'!AZ62:AZ62, "P")+COUNTIF('Detailed Attendance'!BD62:BD62, "P")+COUNTIF('Detailed Attendance'!BT62:BT62, "P")+COUNTIF('Detailed Attendance'!BX62:BX62, "P")+COUNTIF('Detailed Attendance'!CQ62:CQ62, "P")+COUNTIF('Detailed Attendance'!CU62:CU62, "P")+COUNTIF('Detailed Attendance'!DN62:DN62, "P")+COUNTIF('Detailed Attendance'!DR62:DR62, "P")+COUNTIF('Detailed Attendance'!EK62:EK62, "P")+COUNTIF('Detailed Attendance'!EO62:EO62, "P")+COUNTIF('Detailed Attendance'!FE62:FE62, "P")+COUNTIF('Detailed Attendance'!FI62:FI62, "P")+COUNTIF('Detailed Attendance'!FU62:FU62, "P")+COUNTIF('Detailed Attendance'!FY62:FY62, "P")</f>
        <v/>
      </c>
      <c r="K60" s="46">
        <f>COUNTIF('Detailed Attendance'!L62:L62, "A")+COUNTIF('Detailed Attendance'!P62:P62, "A")+COUNTIF('Detailed Attendance'!AF62:AF62, "A")+COUNTIF('Detailed Attendance'!AJ62:AJ62, "A")+COUNTIF('Detailed Attendance'!AZ62:AZ62, "A")+COUNTIF('Detailed Attendance'!BD62:BD62, "A")+COUNTIF('Detailed Attendance'!BT62:BT62, "A")+COUNTIF('Detailed Attendance'!BX62:BX62, "A")+COUNTIF('Detailed Attendance'!CQ62:CQ62, "A")+COUNTIF('Detailed Attendance'!CU62:CU62, "A")+COUNTIF('Detailed Attendance'!DN62:DN62, "A")+COUNTIF('Detailed Attendance'!DR62:DR62, "A")+COUNTIF('Detailed Attendance'!EK62:EK62, "A")+COUNTIF('Detailed Attendance'!EO62:EO62, "A")+COUNTIF('Detailed Attendance'!FE62:FE62, "A")+COUNTIF('Detailed Attendance'!FI62:FI62, "A")+COUNTIF('Detailed Attendance'!FU62:FU62, "A")+COUNTIF('Detailed Attendance'!FY62:FY62, "A")</f>
        <v/>
      </c>
      <c r="L60" s="72">
        <f>IF((J60+K60)=0, "", J60/(J60+K60))</f>
        <v/>
      </c>
      <c r="M60" s="46">
        <f>COUNTIF('Detailed Attendance'!D62:D62, "P")+COUNTIF('Detailed Attendance'!T62:T62, "P")+COUNTIF('Detailed Attendance'!AN62:AN62, "P")+COUNTIF('Detailed Attendance'!AR62:AR62, "P")+COUNTIF('Detailed Attendance'!BH62:BH62, "P")+COUNTIF('Detailed Attendance'!CB62:CB62, "P")+COUNTIF('Detailed Attendance'!CF62:CF62, "P")+COUNTIF('Detailed Attendance'!CY62:CY62, "P")+COUNTIF('Detailed Attendance'!DC62:DC62, "P")+COUNTIF('Detailed Attendance'!DV62:DV62, "P")+COUNTIF('Detailed Attendance'!DZ62:DZ62, "P")+COUNTIF('Detailed Attendance'!ES62:ES62, "P")+COUNTIF('Detailed Attendance'!GC62:GC62, "P")+COUNTIF('Detailed Attendance'!GG62:GG62, "P")</f>
        <v/>
      </c>
      <c r="N60" s="46">
        <f>COUNTIF('Detailed Attendance'!D62:D62, "A")+COUNTIF('Detailed Attendance'!T62:T62, "A")+COUNTIF('Detailed Attendance'!AN62:AN62, "A")+COUNTIF('Detailed Attendance'!AR62:AR62, "A")+COUNTIF('Detailed Attendance'!BH62:BH62, "A")+COUNTIF('Detailed Attendance'!CB62:CB62, "A")+COUNTIF('Detailed Attendance'!CF62:CF62, "A")+COUNTIF('Detailed Attendance'!CY62:CY62, "A")+COUNTIF('Detailed Attendance'!DC62:DC62, "A")+COUNTIF('Detailed Attendance'!DV62:DV62, "A")+COUNTIF('Detailed Attendance'!DZ62:DZ62, "A")+COUNTIF('Detailed Attendance'!ES62:ES62, "A")+COUNTIF('Detailed Attendance'!GC62:GC62, "A")+COUNTIF('Detailed Attendance'!GG62:GG62, "A")</f>
        <v/>
      </c>
      <c r="O60" s="72">
        <f>IF((M60+N60)=0, "", M60/(M60+N60))</f>
        <v/>
      </c>
      <c r="P60" s="46">
        <f>COUNTIF('Detailed Attendance'!M62:M62, "P")+COUNTIF('Detailed Attendance'!U62:U62, "P")+COUNTIF('Detailed Attendance'!AG62:AG62, "P")+COUNTIF('Detailed Attendance'!AO62:AO62, "P")+COUNTIF('Detailed Attendance'!BA62:BA62, "P")+COUNTIF('Detailed Attendance'!BI62:BI62, "P")+COUNTIF('Detailed Attendance'!BU62:BU62, "P")+COUNTIF('Detailed Attendance'!CC62:CC62, "P")+COUNTIF('Detailed Attendance'!CR62:CR62, "P")+COUNTIF('Detailed Attendance'!CZ62:CZ62, "P")+COUNTIF('Detailed Attendance'!DO62:DO62, "P")+COUNTIF('Detailed Attendance'!DW62:DW62, "P")+COUNTIF('Detailed Attendance'!EL62:EL62, "P")+COUNTIF('Detailed Attendance'!ET62:ET62, "P")+COUNTIF('Detailed Attendance'!FF62:FF62, "P")+COUNTIF('Detailed Attendance'!FV62:FV62, "P")+COUNTIF('Detailed Attendance'!GD62:GD62, "P")</f>
        <v/>
      </c>
      <c r="Q60" s="46">
        <f>COUNTIF('Detailed Attendance'!M62:M62, "A")+COUNTIF('Detailed Attendance'!U62:U62, "A")+COUNTIF('Detailed Attendance'!AG62:AG62, "A")+COUNTIF('Detailed Attendance'!AO62:AO62, "A")+COUNTIF('Detailed Attendance'!BA62:BA62, "A")+COUNTIF('Detailed Attendance'!BI62:BI62, "A")+COUNTIF('Detailed Attendance'!BU62:BU62, "A")+COUNTIF('Detailed Attendance'!CC62:CC62, "A")+COUNTIF('Detailed Attendance'!CR62:CR62, "A")+COUNTIF('Detailed Attendance'!CZ62:CZ62, "A")+COUNTIF('Detailed Attendance'!DO62:DO62, "A")+COUNTIF('Detailed Attendance'!DW62:DW62, "A")+COUNTIF('Detailed Attendance'!EL62:EL62, "A")+COUNTIF('Detailed Attendance'!ET62:ET62, "A")+COUNTIF('Detailed Attendance'!FF62:FF62, "A")+COUNTIF('Detailed Attendance'!FV62:FV62, "A")+COUNTIF('Detailed Attendance'!GD62:GD62, "A")</f>
        <v/>
      </c>
      <c r="R60" s="72">
        <f>IF((P60+Q60)=0, "", P60/(P60+Q60))</f>
        <v/>
      </c>
      <c r="S60" s="46">
        <f>COUNTIF('Detailed Attendance'!V62:V62, "P")+COUNTIF('Detailed Attendance'!AP62:AP62, "P")+COUNTIF('Detailed Attendance'!BJ62:BJ62, "P")+COUNTIF('Detailed Attendance'!CD62:CD62, "P")+COUNTIF('Detailed Attendance'!DA62:DA62, "P")+COUNTIF('Detailed Attendance'!DX62:DX62, "P")+COUNTIF('Detailed Attendance'!EU62:EU62, "P")+COUNTIF('Detailed Attendance'!GE62:GE62, "P")</f>
        <v/>
      </c>
      <c r="T60" s="46">
        <f>COUNTIF('Detailed Attendance'!V62:V62, "A")+COUNTIF('Detailed Attendance'!AP62:AP62, "A")+COUNTIF('Detailed Attendance'!BJ62:BJ62, "A")+COUNTIF('Detailed Attendance'!CD62:CD62, "A")+COUNTIF('Detailed Attendance'!DA62:DA62, "A")+COUNTIF('Detailed Attendance'!DX62:DX62, "A")+COUNTIF('Detailed Attendance'!EU62:EU62, "A")+COUNTIF('Detailed Attendance'!GE62:GE62, "A")</f>
        <v/>
      </c>
      <c r="U60" s="73">
        <f>IF((S60+T60)=0, "", S60/(S60+T60))</f>
        <v/>
      </c>
      <c r="V60" s="46">
        <f>COUNTIF('Detailed Attendance'!CH62:CH62, "P")+COUNTIF('Detailed Attendance'!DE62:DE62, "P")+COUNTIF('Detailed Attendance'!EB62:EB62, "P")+COUNTIF('Detailed Attendance'!GI62:GI62, "P")</f>
        <v/>
      </c>
      <c r="W60" s="46">
        <f>COUNTIF('Detailed Attendance'!CH62:CH62, "A")+COUNTIF('Detailed Attendance'!DE62:DE62, "A")+COUNTIF('Detailed Attendance'!EB62:EB62, "A")+COUNTIF('Detailed Attendance'!GI62:GI62, "A")</f>
        <v/>
      </c>
      <c r="X60" s="73">
        <f>IF((V60+W60)=0, "", V60/(V60+W60))</f>
        <v/>
      </c>
      <c r="Y60" s="46">
        <f>COUNTIF('Detailed Attendance'!CG62:CG62, "P")+COUNTIF('Detailed Attendance'!DD62:DD62, "P")+COUNTIF('Detailed Attendance'!EA62:EA62, "P")+COUNTIF('Detailed Attendance'!GH62:GH62, "P")</f>
        <v/>
      </c>
      <c r="Z60" s="46">
        <f>COUNTIF('Detailed Attendance'!CG62:CG62, "A")+COUNTIF('Detailed Attendance'!DD62:DD62, "A")+COUNTIF('Detailed Attendance'!EA62:EA62, "A")+COUNTIF('Detailed Attendance'!GH62:GH62, "A")</f>
        <v/>
      </c>
      <c r="AA60" s="73">
        <f>IF((Y60+Z60)=0, "", Y60/(Y60+Z60))</f>
        <v/>
      </c>
      <c r="AB60" s="46">
        <f>S60+V60+Y60</f>
        <v/>
      </c>
      <c r="AC60" s="46">
        <f>T60+W60+Z60</f>
        <v/>
      </c>
      <c r="AD60" s="73">
        <f>IF((AB60+AC60)=0, "", AB60/(AB60+AC60))</f>
        <v/>
      </c>
      <c r="AE60" s="46" t="inlineStr">
        <is>
          <t>Batch 2</t>
        </is>
      </c>
    </row>
    <row r="61" ht="14.25" customHeight="1" s="34">
      <c r="A61" s="46" t="n">
        <v>60</v>
      </c>
      <c r="B61" s="46" t="inlineStr">
        <is>
          <t>325106410060</t>
        </is>
      </c>
      <c r="C61" s="46" t="inlineStr">
        <is>
          <t>MANJULA VENGALA</t>
        </is>
      </c>
      <c r="D61" s="46">
        <f>COUNTIF('Detailed Attendance'!R63:R63, "P")+COUNTIF('Detailed Attendance'!X63:X63, "P")+COUNTIF('Detailed Attendance'!AL63:AL63, "P")+COUNTIF('Detailed Attendance'!BF63:BF63, "P")+COUNTIF('Detailed Attendance'!BL63:BL63, "P")+COUNTIF('Detailed Attendance'!BZ63:BZ63, "P")+COUNTIF('Detailed Attendance'!CI63:CI63, "P")+COUNTIF('Detailed Attendance'!CW63:CW63, "P")+COUNTIF('Detailed Attendance'!DF63:DF63, "P")+COUNTIF('Detailed Attendance'!DT63:DT63, "P")+COUNTIF('Detailed Attendance'!EC63:EC63, "P")+COUNTIF('Detailed Attendance'!EQ63:EQ63, "P")+COUNTIF('Detailed Attendance'!EW63:EW63, "P")+COUNTIF('Detailed Attendance'!FK63:FK63, "P")+COUNTIF('Detailed Attendance'!FM63:FM63, "P")+COUNTIF('Detailed Attendance'!GA63:GA63, "P")</f>
        <v/>
      </c>
      <c r="E61" s="46">
        <f>COUNTIF('Detailed Attendance'!R63:R63, "A")+COUNTIF('Detailed Attendance'!X63:X63, "A")+COUNTIF('Detailed Attendance'!AL63:AL63, "A")+COUNTIF('Detailed Attendance'!BF63:BF63, "A")+COUNTIF('Detailed Attendance'!BL63:BL63, "A")+COUNTIF('Detailed Attendance'!BZ63:BZ63, "A")+COUNTIF('Detailed Attendance'!CI63:CI63, "A")+COUNTIF('Detailed Attendance'!CW63:CW63, "A")+COUNTIF('Detailed Attendance'!DF63:DF63, "A")+COUNTIF('Detailed Attendance'!DT63:DT63, "A")+COUNTIF('Detailed Attendance'!EC63:EC63, "A")+COUNTIF('Detailed Attendance'!EQ63:EQ63, "A")+COUNTIF('Detailed Attendance'!EW63:EW63, "A")+COUNTIF('Detailed Attendance'!FK63:FK63, "A")+COUNTIF('Detailed Attendance'!FM63:FM63, "A")+COUNTIF('Detailed Attendance'!GA63:GA63, "A")</f>
        <v/>
      </c>
      <c r="F61" s="72">
        <f>IF((D61+E61)=0, "", D61/(D61+E61))</f>
        <v/>
      </c>
      <c r="G61" s="46">
        <f>COUNTIF('Detailed Attendance'!I63:I63, "P")+COUNTIF('Detailed Attendance'!Q63:Q63, "P")+COUNTIF('Detailed Attendance'!AC63:AC63, "P")+COUNTIF('Detailed Attendance'!AK63:AK63, "P")+COUNTIF('Detailed Attendance'!AW63:AW63, "P")+COUNTIF('Detailed Attendance'!BE63:BE63, "P")+COUNTIF('Detailed Attendance'!BQ63:BQ63, "P")+COUNTIF('Detailed Attendance'!BY63:BY63, "P")+COUNTIF('Detailed Attendance'!CN63:CN63, "P")+COUNTIF('Detailed Attendance'!CV63:CV63, "P")+COUNTIF('Detailed Attendance'!DK63:DK63, "P")+COUNTIF('Detailed Attendance'!DS63:DS63, "P")+COUNTIF('Detailed Attendance'!EH63:EH63, "P")+COUNTIF('Detailed Attendance'!EP63:EP63, "P")+COUNTIF('Detailed Attendance'!FB63:FB63, "P")+COUNTIF('Detailed Attendance'!FJ63:FJ63, "P")+COUNTIF('Detailed Attendance'!FR63:FR63, "P")+COUNTIF('Detailed Attendance'!FZ63:FZ63, "P")</f>
        <v/>
      </c>
      <c r="H61" s="46">
        <f>COUNTIF('Detailed Attendance'!I63:I63, "A")+COUNTIF('Detailed Attendance'!Q63:Q63, "A")+COUNTIF('Detailed Attendance'!AC63:AC63, "A")+COUNTIF('Detailed Attendance'!AK63:AK63, "A")+COUNTIF('Detailed Attendance'!AW63:AW63, "A")+COUNTIF('Detailed Attendance'!BE63:BE63, "A")+COUNTIF('Detailed Attendance'!BQ63:BQ63, "A")+COUNTIF('Detailed Attendance'!BY63:BY63, "A")+COUNTIF('Detailed Attendance'!CN63:CN63, "A")+COUNTIF('Detailed Attendance'!CV63:CV63, "A")+COUNTIF('Detailed Attendance'!DK63:DK63, "A")+COUNTIF('Detailed Attendance'!DS63:DS63, "A")+COUNTIF('Detailed Attendance'!EH63:EH63, "A")+COUNTIF('Detailed Attendance'!EP63:EP63, "A")+COUNTIF('Detailed Attendance'!FB63:FB63, "A")+COUNTIF('Detailed Attendance'!FJ63:FJ63, "A")+COUNTIF('Detailed Attendance'!FR63:FR63, "A")+COUNTIF('Detailed Attendance'!FZ63:FZ63, "A")</f>
        <v/>
      </c>
      <c r="I61" s="72">
        <f>IF((G61+H61)=0, "", G61/(G61+H61))</f>
        <v/>
      </c>
      <c r="J61" s="46">
        <f>COUNTIF('Detailed Attendance'!L63:L63, "P")+COUNTIF('Detailed Attendance'!P63:P63, "P")+COUNTIF('Detailed Attendance'!AF63:AF63, "P")+COUNTIF('Detailed Attendance'!AJ63:AJ63, "P")+COUNTIF('Detailed Attendance'!AZ63:AZ63, "P")+COUNTIF('Detailed Attendance'!BD63:BD63, "P")+COUNTIF('Detailed Attendance'!BT63:BT63, "P")+COUNTIF('Detailed Attendance'!BX63:BX63, "P")+COUNTIF('Detailed Attendance'!CQ63:CQ63, "P")+COUNTIF('Detailed Attendance'!CU63:CU63, "P")+COUNTIF('Detailed Attendance'!DN63:DN63, "P")+COUNTIF('Detailed Attendance'!DR63:DR63, "P")+COUNTIF('Detailed Attendance'!EK63:EK63, "P")+COUNTIF('Detailed Attendance'!EO63:EO63, "P")+COUNTIF('Detailed Attendance'!FE63:FE63, "P")+COUNTIF('Detailed Attendance'!FI63:FI63, "P")+COUNTIF('Detailed Attendance'!FU63:FU63, "P")+COUNTIF('Detailed Attendance'!FY63:FY63, "P")</f>
        <v/>
      </c>
      <c r="K61" s="46">
        <f>COUNTIF('Detailed Attendance'!L63:L63, "A")+COUNTIF('Detailed Attendance'!P63:P63, "A")+COUNTIF('Detailed Attendance'!AF63:AF63, "A")+COUNTIF('Detailed Attendance'!AJ63:AJ63, "A")+COUNTIF('Detailed Attendance'!AZ63:AZ63, "A")+COUNTIF('Detailed Attendance'!BD63:BD63, "A")+COUNTIF('Detailed Attendance'!BT63:BT63, "A")+COUNTIF('Detailed Attendance'!BX63:BX63, "A")+COUNTIF('Detailed Attendance'!CQ63:CQ63, "A")+COUNTIF('Detailed Attendance'!CU63:CU63, "A")+COUNTIF('Detailed Attendance'!DN63:DN63, "A")+COUNTIF('Detailed Attendance'!DR63:DR63, "A")+COUNTIF('Detailed Attendance'!EK63:EK63, "A")+COUNTIF('Detailed Attendance'!EO63:EO63, "A")+COUNTIF('Detailed Attendance'!FE63:FE63, "A")+COUNTIF('Detailed Attendance'!FI63:FI63, "A")+COUNTIF('Detailed Attendance'!FU63:FU63, "A")+COUNTIF('Detailed Attendance'!FY63:FY63, "A")</f>
        <v/>
      </c>
      <c r="L61" s="72">
        <f>IF((J61+K61)=0, "", J61/(J61+K61))</f>
        <v/>
      </c>
      <c r="M61" s="46">
        <f>COUNTIF('Detailed Attendance'!D63:D63, "P")+COUNTIF('Detailed Attendance'!T63:T63, "P")+COUNTIF('Detailed Attendance'!AN63:AN63, "P")+COUNTIF('Detailed Attendance'!AR63:AR63, "P")+COUNTIF('Detailed Attendance'!BH63:BH63, "P")+COUNTIF('Detailed Attendance'!CB63:CB63, "P")+COUNTIF('Detailed Attendance'!CF63:CF63, "P")+COUNTIF('Detailed Attendance'!CY63:CY63, "P")+COUNTIF('Detailed Attendance'!DC63:DC63, "P")+COUNTIF('Detailed Attendance'!DV63:DV63, "P")+COUNTIF('Detailed Attendance'!DZ63:DZ63, "P")+COUNTIF('Detailed Attendance'!ES63:ES63, "P")+COUNTIF('Detailed Attendance'!GC63:GC63, "P")+COUNTIF('Detailed Attendance'!GG63:GG63, "P")</f>
        <v/>
      </c>
      <c r="N61" s="46">
        <f>COUNTIF('Detailed Attendance'!D63:D63, "A")+COUNTIF('Detailed Attendance'!T63:T63, "A")+COUNTIF('Detailed Attendance'!AN63:AN63, "A")+COUNTIF('Detailed Attendance'!AR63:AR63, "A")+COUNTIF('Detailed Attendance'!BH63:BH63, "A")+COUNTIF('Detailed Attendance'!CB63:CB63, "A")+COUNTIF('Detailed Attendance'!CF63:CF63, "A")+COUNTIF('Detailed Attendance'!CY63:CY63, "A")+COUNTIF('Detailed Attendance'!DC63:DC63, "A")+COUNTIF('Detailed Attendance'!DV63:DV63, "A")+COUNTIF('Detailed Attendance'!DZ63:DZ63, "A")+COUNTIF('Detailed Attendance'!ES63:ES63, "A")+COUNTIF('Detailed Attendance'!GC63:GC63, "A")+COUNTIF('Detailed Attendance'!GG63:GG63, "A")</f>
        <v/>
      </c>
      <c r="O61" s="72">
        <f>IF((M61+N61)=0, "", M61/(M61+N61))</f>
        <v/>
      </c>
      <c r="P61" s="46">
        <f>COUNTIF('Detailed Attendance'!M63:M63, "P")+COUNTIF('Detailed Attendance'!U63:U63, "P")+COUNTIF('Detailed Attendance'!AG63:AG63, "P")+COUNTIF('Detailed Attendance'!AO63:AO63, "P")+COUNTIF('Detailed Attendance'!BA63:BA63, "P")+COUNTIF('Detailed Attendance'!BI63:BI63, "P")+COUNTIF('Detailed Attendance'!BU63:BU63, "P")+COUNTIF('Detailed Attendance'!CC63:CC63, "P")+COUNTIF('Detailed Attendance'!CR63:CR63, "P")+COUNTIF('Detailed Attendance'!CZ63:CZ63, "P")+COUNTIF('Detailed Attendance'!DO63:DO63, "P")+COUNTIF('Detailed Attendance'!DW63:DW63, "P")+COUNTIF('Detailed Attendance'!EL63:EL63, "P")+COUNTIF('Detailed Attendance'!ET63:ET63, "P")+COUNTIF('Detailed Attendance'!FF63:FF63, "P")+COUNTIF('Detailed Attendance'!FV63:FV63, "P")+COUNTIF('Detailed Attendance'!GD63:GD63, "P")</f>
        <v/>
      </c>
      <c r="Q61" s="46">
        <f>COUNTIF('Detailed Attendance'!M63:M63, "A")+COUNTIF('Detailed Attendance'!U63:U63, "A")+COUNTIF('Detailed Attendance'!AG63:AG63, "A")+COUNTIF('Detailed Attendance'!AO63:AO63, "A")+COUNTIF('Detailed Attendance'!BA63:BA63, "A")+COUNTIF('Detailed Attendance'!BI63:BI63, "A")+COUNTIF('Detailed Attendance'!BU63:BU63, "A")+COUNTIF('Detailed Attendance'!CC63:CC63, "A")+COUNTIF('Detailed Attendance'!CR63:CR63, "A")+COUNTIF('Detailed Attendance'!CZ63:CZ63, "A")+COUNTIF('Detailed Attendance'!DO63:DO63, "A")+COUNTIF('Detailed Attendance'!DW63:DW63, "A")+COUNTIF('Detailed Attendance'!EL63:EL63, "A")+COUNTIF('Detailed Attendance'!ET63:ET63, "A")+COUNTIF('Detailed Attendance'!FF63:FF63, "A")+COUNTIF('Detailed Attendance'!FV63:FV63, "A")+COUNTIF('Detailed Attendance'!GD63:GD63, "A")</f>
        <v/>
      </c>
      <c r="R61" s="72">
        <f>IF((P61+Q61)=0, "", P61/(P61+Q61))</f>
        <v/>
      </c>
      <c r="S61" s="46">
        <f>COUNTIF('Detailed Attendance'!V63:V63, "P")+COUNTIF('Detailed Attendance'!AP63:AP63, "P")+COUNTIF('Detailed Attendance'!BJ63:BJ63, "P")+COUNTIF('Detailed Attendance'!CD63:CD63, "P")+COUNTIF('Detailed Attendance'!DA63:DA63, "P")+COUNTIF('Detailed Attendance'!DX63:DX63, "P")+COUNTIF('Detailed Attendance'!EU63:EU63, "P")+COUNTIF('Detailed Attendance'!GE63:GE63, "P")</f>
        <v/>
      </c>
      <c r="T61" s="46">
        <f>COUNTIF('Detailed Attendance'!V63:V63, "A")+COUNTIF('Detailed Attendance'!AP63:AP63, "A")+COUNTIF('Detailed Attendance'!BJ63:BJ63, "A")+COUNTIF('Detailed Attendance'!CD63:CD63, "A")+COUNTIF('Detailed Attendance'!DA63:DA63, "A")+COUNTIF('Detailed Attendance'!DX63:DX63, "A")+COUNTIF('Detailed Attendance'!EU63:EU63, "A")+COUNTIF('Detailed Attendance'!GE63:GE63, "A")</f>
        <v/>
      </c>
      <c r="U61" s="73">
        <f>IF((S61+T61)=0, "", S61/(S61+T61))</f>
        <v/>
      </c>
      <c r="V61" s="46">
        <f>COUNTIF('Detailed Attendance'!CH63:CH63, "P")+COUNTIF('Detailed Attendance'!DE63:DE63, "P")+COUNTIF('Detailed Attendance'!EB63:EB63, "P")+COUNTIF('Detailed Attendance'!GI63:GI63, "P")</f>
        <v/>
      </c>
      <c r="W61" s="46">
        <f>COUNTIF('Detailed Attendance'!CH63:CH63, "A")+COUNTIF('Detailed Attendance'!DE63:DE63, "A")+COUNTIF('Detailed Attendance'!EB63:EB63, "A")+COUNTIF('Detailed Attendance'!GI63:GI63, "A")</f>
        <v/>
      </c>
      <c r="X61" s="73">
        <f>IF((V61+W61)=0, "", V61/(V61+W61))</f>
        <v/>
      </c>
      <c r="Y61" s="46">
        <f>COUNTIF('Detailed Attendance'!CG63:CG63, "P")+COUNTIF('Detailed Attendance'!DD63:DD63, "P")+COUNTIF('Detailed Attendance'!EA63:EA63, "P")+COUNTIF('Detailed Attendance'!GH63:GH63, "P")</f>
        <v/>
      </c>
      <c r="Z61" s="46">
        <f>COUNTIF('Detailed Attendance'!CG63:CG63, "A")+COUNTIF('Detailed Attendance'!DD63:DD63, "A")+COUNTIF('Detailed Attendance'!EA63:EA63, "A")+COUNTIF('Detailed Attendance'!GH63:GH63, "A")</f>
        <v/>
      </c>
      <c r="AA61" s="73">
        <f>IF((Y61+Z61)=0, "", Y61/(Y61+Z61))</f>
        <v/>
      </c>
      <c r="AB61" s="46">
        <f>S61+V61+Y61</f>
        <v/>
      </c>
      <c r="AC61" s="46">
        <f>T61+W61+Z61</f>
        <v/>
      </c>
      <c r="AD61" s="73">
        <f>IF((AB61+AC61)=0, "", AB61/(AB61+AC61))</f>
        <v/>
      </c>
      <c r="AE61" s="46" t="inlineStr">
        <is>
          <t>Batch 2</t>
        </is>
      </c>
    </row>
    <row r="62" ht="14.25" customHeight="1" s="34">
      <c r="A62" s="46" t="n">
        <v>61</v>
      </c>
      <c r="B62" s="46" t="inlineStr">
        <is>
          <t>325106410061</t>
        </is>
      </c>
      <c r="C62" s="46" t="inlineStr">
        <is>
          <t>GOKUL SAI YANNAMANENI</t>
        </is>
      </c>
      <c r="D62" s="46">
        <f>COUNTIF('Detailed Attendance'!R64:R64, "P")+COUNTIF('Detailed Attendance'!X64:X64, "P")+COUNTIF('Detailed Attendance'!AL64:AL64, "P")+COUNTIF('Detailed Attendance'!BF64:BF64, "P")+COUNTIF('Detailed Attendance'!BL64:BL64, "P")+COUNTIF('Detailed Attendance'!BZ64:BZ64, "P")+COUNTIF('Detailed Attendance'!CI64:CI64, "P")+COUNTIF('Detailed Attendance'!CW64:CW64, "P")+COUNTIF('Detailed Attendance'!DF64:DF64, "P")+COUNTIF('Detailed Attendance'!DT64:DT64, "P")+COUNTIF('Detailed Attendance'!EC64:EC64, "P")+COUNTIF('Detailed Attendance'!EQ64:EQ64, "P")+COUNTIF('Detailed Attendance'!EW64:EW64, "P")+COUNTIF('Detailed Attendance'!FK64:FK64, "P")+COUNTIF('Detailed Attendance'!FM64:FM64, "P")+COUNTIF('Detailed Attendance'!GA64:GA64, "P")</f>
        <v/>
      </c>
      <c r="E62" s="46">
        <f>COUNTIF('Detailed Attendance'!R64:R64, "A")+COUNTIF('Detailed Attendance'!X64:X64, "A")+COUNTIF('Detailed Attendance'!AL64:AL64, "A")+COUNTIF('Detailed Attendance'!BF64:BF64, "A")+COUNTIF('Detailed Attendance'!BL64:BL64, "A")+COUNTIF('Detailed Attendance'!BZ64:BZ64, "A")+COUNTIF('Detailed Attendance'!CI64:CI64, "A")+COUNTIF('Detailed Attendance'!CW64:CW64, "A")+COUNTIF('Detailed Attendance'!DF64:DF64, "A")+COUNTIF('Detailed Attendance'!DT64:DT64, "A")+COUNTIF('Detailed Attendance'!EC64:EC64, "A")+COUNTIF('Detailed Attendance'!EQ64:EQ64, "A")+COUNTIF('Detailed Attendance'!EW64:EW64, "A")+COUNTIF('Detailed Attendance'!FK64:FK64, "A")+COUNTIF('Detailed Attendance'!FM64:FM64, "A")+COUNTIF('Detailed Attendance'!GA64:GA64, "A")</f>
        <v/>
      </c>
      <c r="F62" s="72">
        <f>IF((D62+E62)=0, "", D62/(D62+E62))</f>
        <v/>
      </c>
      <c r="G62" s="46">
        <f>COUNTIF('Detailed Attendance'!I64:I64, "P")+COUNTIF('Detailed Attendance'!Q64:Q64, "P")+COUNTIF('Detailed Attendance'!AC64:AC64, "P")+COUNTIF('Detailed Attendance'!AK64:AK64, "P")+COUNTIF('Detailed Attendance'!AW64:AW64, "P")+COUNTIF('Detailed Attendance'!BE64:BE64, "P")+COUNTIF('Detailed Attendance'!BQ64:BQ64, "P")+COUNTIF('Detailed Attendance'!BY64:BY64, "P")+COUNTIF('Detailed Attendance'!CN64:CN64, "P")+COUNTIF('Detailed Attendance'!CV64:CV64, "P")+COUNTIF('Detailed Attendance'!DK64:DK64, "P")+COUNTIF('Detailed Attendance'!DS64:DS64, "P")+COUNTIF('Detailed Attendance'!EH64:EH64, "P")+COUNTIF('Detailed Attendance'!EP64:EP64, "P")+COUNTIF('Detailed Attendance'!FB64:FB64, "P")+COUNTIF('Detailed Attendance'!FJ64:FJ64, "P")+COUNTIF('Detailed Attendance'!FR64:FR64, "P")+COUNTIF('Detailed Attendance'!FZ64:FZ64, "P")</f>
        <v/>
      </c>
      <c r="H62" s="46">
        <f>COUNTIF('Detailed Attendance'!I64:I64, "A")+COUNTIF('Detailed Attendance'!Q64:Q64, "A")+COUNTIF('Detailed Attendance'!AC64:AC64, "A")+COUNTIF('Detailed Attendance'!AK64:AK64, "A")+COUNTIF('Detailed Attendance'!AW64:AW64, "A")+COUNTIF('Detailed Attendance'!BE64:BE64, "A")+COUNTIF('Detailed Attendance'!BQ64:BQ64, "A")+COUNTIF('Detailed Attendance'!BY64:BY64, "A")+COUNTIF('Detailed Attendance'!CN64:CN64, "A")+COUNTIF('Detailed Attendance'!CV64:CV64, "A")+COUNTIF('Detailed Attendance'!DK64:DK64, "A")+COUNTIF('Detailed Attendance'!DS64:DS64, "A")+COUNTIF('Detailed Attendance'!EH64:EH64, "A")+COUNTIF('Detailed Attendance'!EP64:EP64, "A")+COUNTIF('Detailed Attendance'!FB64:FB64, "A")+COUNTIF('Detailed Attendance'!FJ64:FJ64, "A")+COUNTIF('Detailed Attendance'!FR64:FR64, "A")+COUNTIF('Detailed Attendance'!FZ64:FZ64, "A")</f>
        <v/>
      </c>
      <c r="I62" s="72">
        <f>IF((G62+H62)=0, "", G62/(G62+H62))</f>
        <v/>
      </c>
      <c r="J62" s="46">
        <f>COUNTIF('Detailed Attendance'!L64:L64, "P")+COUNTIF('Detailed Attendance'!P64:P64, "P")+COUNTIF('Detailed Attendance'!AF64:AF64, "P")+COUNTIF('Detailed Attendance'!AJ64:AJ64, "P")+COUNTIF('Detailed Attendance'!AZ64:AZ64, "P")+COUNTIF('Detailed Attendance'!BD64:BD64, "P")+COUNTIF('Detailed Attendance'!BT64:BT64, "P")+COUNTIF('Detailed Attendance'!BX64:BX64, "P")+COUNTIF('Detailed Attendance'!CQ64:CQ64, "P")+COUNTIF('Detailed Attendance'!CU64:CU64, "P")+COUNTIF('Detailed Attendance'!DN64:DN64, "P")+COUNTIF('Detailed Attendance'!DR64:DR64, "P")+COUNTIF('Detailed Attendance'!EK64:EK64, "P")+COUNTIF('Detailed Attendance'!EO64:EO64, "P")+COUNTIF('Detailed Attendance'!FE64:FE64, "P")+COUNTIF('Detailed Attendance'!FI64:FI64, "P")+COUNTIF('Detailed Attendance'!FU64:FU64, "P")+COUNTIF('Detailed Attendance'!FY64:FY64, "P")</f>
        <v/>
      </c>
      <c r="K62" s="46">
        <f>COUNTIF('Detailed Attendance'!L64:L64, "A")+COUNTIF('Detailed Attendance'!P64:P64, "A")+COUNTIF('Detailed Attendance'!AF64:AF64, "A")+COUNTIF('Detailed Attendance'!AJ64:AJ64, "A")+COUNTIF('Detailed Attendance'!AZ64:AZ64, "A")+COUNTIF('Detailed Attendance'!BD64:BD64, "A")+COUNTIF('Detailed Attendance'!BT64:BT64, "A")+COUNTIF('Detailed Attendance'!BX64:BX64, "A")+COUNTIF('Detailed Attendance'!CQ64:CQ64, "A")+COUNTIF('Detailed Attendance'!CU64:CU64, "A")+COUNTIF('Detailed Attendance'!DN64:DN64, "A")+COUNTIF('Detailed Attendance'!DR64:DR64, "A")+COUNTIF('Detailed Attendance'!EK64:EK64, "A")+COUNTIF('Detailed Attendance'!EO64:EO64, "A")+COUNTIF('Detailed Attendance'!FE64:FE64, "A")+COUNTIF('Detailed Attendance'!FI64:FI64, "A")+COUNTIF('Detailed Attendance'!FU64:FU64, "A")+COUNTIF('Detailed Attendance'!FY64:FY64, "A")</f>
        <v/>
      </c>
      <c r="L62" s="72">
        <f>IF((J62+K62)=0, "", J62/(J62+K62))</f>
        <v/>
      </c>
      <c r="M62" s="46">
        <f>COUNTIF('Detailed Attendance'!D64:D64, "P")+COUNTIF('Detailed Attendance'!T64:T64, "P")+COUNTIF('Detailed Attendance'!AN64:AN64, "P")+COUNTIF('Detailed Attendance'!AR64:AR64, "P")+COUNTIF('Detailed Attendance'!BH64:BH64, "P")+COUNTIF('Detailed Attendance'!CB64:CB64, "P")+COUNTIF('Detailed Attendance'!CF64:CF64, "P")+COUNTIF('Detailed Attendance'!CY64:CY64, "P")+COUNTIF('Detailed Attendance'!DC64:DC64, "P")+COUNTIF('Detailed Attendance'!DV64:DV64, "P")+COUNTIF('Detailed Attendance'!DZ64:DZ64, "P")+COUNTIF('Detailed Attendance'!ES64:ES64, "P")+COUNTIF('Detailed Attendance'!GC64:GC64, "P")+COUNTIF('Detailed Attendance'!GG64:GG64, "P")</f>
        <v/>
      </c>
      <c r="N62" s="46">
        <f>COUNTIF('Detailed Attendance'!D64:D64, "A")+COUNTIF('Detailed Attendance'!T64:T64, "A")+COUNTIF('Detailed Attendance'!AN64:AN64, "A")+COUNTIF('Detailed Attendance'!AR64:AR64, "A")+COUNTIF('Detailed Attendance'!BH64:BH64, "A")+COUNTIF('Detailed Attendance'!CB64:CB64, "A")+COUNTIF('Detailed Attendance'!CF64:CF64, "A")+COUNTIF('Detailed Attendance'!CY64:CY64, "A")+COUNTIF('Detailed Attendance'!DC64:DC64, "A")+COUNTIF('Detailed Attendance'!DV64:DV64, "A")+COUNTIF('Detailed Attendance'!DZ64:DZ64, "A")+COUNTIF('Detailed Attendance'!ES64:ES64, "A")+COUNTIF('Detailed Attendance'!GC64:GC64, "A")+COUNTIF('Detailed Attendance'!GG64:GG64, "A")</f>
        <v/>
      </c>
      <c r="O62" s="72">
        <f>IF((M62+N62)=0, "", M62/(M62+N62))</f>
        <v/>
      </c>
      <c r="P62" s="46">
        <f>COUNTIF('Detailed Attendance'!M64:M64, "P")+COUNTIF('Detailed Attendance'!U64:U64, "P")+COUNTIF('Detailed Attendance'!AG64:AG64, "P")+COUNTIF('Detailed Attendance'!AO64:AO64, "P")+COUNTIF('Detailed Attendance'!BA64:BA64, "P")+COUNTIF('Detailed Attendance'!BI64:BI64, "P")+COUNTIF('Detailed Attendance'!BU64:BU64, "P")+COUNTIF('Detailed Attendance'!CC64:CC64, "P")+COUNTIF('Detailed Attendance'!CR64:CR64, "P")+COUNTIF('Detailed Attendance'!CZ64:CZ64, "P")+COUNTIF('Detailed Attendance'!DO64:DO64, "P")+COUNTIF('Detailed Attendance'!DW64:DW64, "P")+COUNTIF('Detailed Attendance'!EL64:EL64, "P")+COUNTIF('Detailed Attendance'!ET64:ET64, "P")+COUNTIF('Detailed Attendance'!FF64:FF64, "P")+COUNTIF('Detailed Attendance'!FV64:FV64, "P")+COUNTIF('Detailed Attendance'!GD64:GD64, "P")</f>
        <v/>
      </c>
      <c r="Q62" s="46">
        <f>COUNTIF('Detailed Attendance'!M64:M64, "A")+COUNTIF('Detailed Attendance'!U64:U64, "A")+COUNTIF('Detailed Attendance'!AG64:AG64, "A")+COUNTIF('Detailed Attendance'!AO64:AO64, "A")+COUNTIF('Detailed Attendance'!BA64:BA64, "A")+COUNTIF('Detailed Attendance'!BI64:BI64, "A")+COUNTIF('Detailed Attendance'!BU64:BU64, "A")+COUNTIF('Detailed Attendance'!CC64:CC64, "A")+COUNTIF('Detailed Attendance'!CR64:CR64, "A")+COUNTIF('Detailed Attendance'!CZ64:CZ64, "A")+COUNTIF('Detailed Attendance'!DO64:DO64, "A")+COUNTIF('Detailed Attendance'!DW64:DW64, "A")+COUNTIF('Detailed Attendance'!EL64:EL64, "A")+COUNTIF('Detailed Attendance'!ET64:ET64, "A")+COUNTIF('Detailed Attendance'!FF64:FF64, "A")+COUNTIF('Detailed Attendance'!FV64:FV64, "A")+COUNTIF('Detailed Attendance'!GD64:GD64, "A")</f>
        <v/>
      </c>
      <c r="R62" s="72">
        <f>IF((P62+Q62)=0, "", P62/(P62+Q62))</f>
        <v/>
      </c>
      <c r="S62" s="46">
        <f>COUNTIF('Detailed Attendance'!V64:V64, "P")+COUNTIF('Detailed Attendance'!AP64:AP64, "P")+COUNTIF('Detailed Attendance'!BJ64:BJ64, "P")+COUNTIF('Detailed Attendance'!CD64:CD64, "P")+COUNTIF('Detailed Attendance'!DA64:DA64, "P")+COUNTIF('Detailed Attendance'!DX64:DX64, "P")+COUNTIF('Detailed Attendance'!EU64:EU64, "P")+COUNTIF('Detailed Attendance'!GE64:GE64, "P")</f>
        <v/>
      </c>
      <c r="T62" s="46">
        <f>COUNTIF('Detailed Attendance'!V64:V64, "A")+COUNTIF('Detailed Attendance'!AP64:AP64, "A")+COUNTIF('Detailed Attendance'!BJ64:BJ64, "A")+COUNTIF('Detailed Attendance'!CD64:CD64, "A")+COUNTIF('Detailed Attendance'!DA64:DA64, "A")+COUNTIF('Detailed Attendance'!DX64:DX64, "A")+COUNTIF('Detailed Attendance'!EU64:EU64, "A")+COUNTIF('Detailed Attendance'!GE64:GE64, "A")</f>
        <v/>
      </c>
      <c r="U62" s="73">
        <f>IF((S62+T62)=0, "", S62/(S62+T62))</f>
        <v/>
      </c>
      <c r="V62" s="46">
        <f>COUNTIF('Detailed Attendance'!CH64:CH64, "P")+COUNTIF('Detailed Attendance'!DE64:DE64, "P")+COUNTIF('Detailed Attendance'!EB64:EB64, "P")+COUNTIF('Detailed Attendance'!GI64:GI64, "P")</f>
        <v/>
      </c>
      <c r="W62" s="46">
        <f>COUNTIF('Detailed Attendance'!CH64:CH64, "A")+COUNTIF('Detailed Attendance'!DE64:DE64, "A")+COUNTIF('Detailed Attendance'!EB64:EB64, "A")+COUNTIF('Detailed Attendance'!GI64:GI64, "A")</f>
        <v/>
      </c>
      <c r="X62" s="73">
        <f>IF((V62+W62)=0, "", V62/(V62+W62))</f>
        <v/>
      </c>
      <c r="Y62" s="46">
        <f>COUNTIF('Detailed Attendance'!CG64:CG64, "P")+COUNTIF('Detailed Attendance'!DD64:DD64, "P")+COUNTIF('Detailed Attendance'!EA64:EA64, "P")+COUNTIF('Detailed Attendance'!GH64:GH64, "P")</f>
        <v/>
      </c>
      <c r="Z62" s="46">
        <f>COUNTIF('Detailed Attendance'!CG64:CG64, "A")+COUNTIF('Detailed Attendance'!DD64:DD64, "A")+COUNTIF('Detailed Attendance'!EA64:EA64, "A")+COUNTIF('Detailed Attendance'!GH64:GH64, "A")</f>
        <v/>
      </c>
      <c r="AA62" s="73">
        <f>IF((Y62+Z62)=0, "", Y62/(Y62+Z62))</f>
        <v/>
      </c>
      <c r="AB62" s="46">
        <f>S62+V62+Y62</f>
        <v/>
      </c>
      <c r="AC62" s="46">
        <f>T62+W62+Z62</f>
        <v/>
      </c>
      <c r="AD62" s="73">
        <f>IF((AB62+AC62)=0, "", AB62/(AB62+AC62))</f>
        <v/>
      </c>
      <c r="AE62" s="46" t="inlineStr">
        <is>
          <t>Batch 2</t>
        </is>
      </c>
    </row>
    <row r="63" ht="14.25" customHeight="1" s="34">
      <c r="A63" s="46" t="n">
        <v>62</v>
      </c>
      <c r="B63" s="46" t="inlineStr">
        <is>
          <t>325106410062</t>
        </is>
      </c>
      <c r="C63" s="46" t="inlineStr">
        <is>
          <t>SRI AKSHITH YELLAI</t>
        </is>
      </c>
      <c r="D63" s="46">
        <f>COUNTIF('Detailed Attendance'!R65:R65, "P")+COUNTIF('Detailed Attendance'!X65:X65, "P")+COUNTIF('Detailed Attendance'!AL65:AL65, "P")+COUNTIF('Detailed Attendance'!BF65:BF65, "P")+COUNTIF('Detailed Attendance'!BL65:BL65, "P")+COUNTIF('Detailed Attendance'!BZ65:BZ65, "P")+COUNTIF('Detailed Attendance'!CI65:CI65, "P")+COUNTIF('Detailed Attendance'!CW65:CW65, "P")+COUNTIF('Detailed Attendance'!DF65:DF65, "P")+COUNTIF('Detailed Attendance'!DT65:DT65, "P")+COUNTIF('Detailed Attendance'!EC65:EC65, "P")+COUNTIF('Detailed Attendance'!EQ65:EQ65, "P")+COUNTIF('Detailed Attendance'!EW65:EW65, "P")+COUNTIF('Detailed Attendance'!FK65:FK65, "P")+COUNTIF('Detailed Attendance'!FM65:FM65, "P")+COUNTIF('Detailed Attendance'!GA65:GA65, "P")</f>
        <v/>
      </c>
      <c r="E63" s="46">
        <f>COUNTIF('Detailed Attendance'!R65:R65, "A")+COUNTIF('Detailed Attendance'!X65:X65, "A")+COUNTIF('Detailed Attendance'!AL65:AL65, "A")+COUNTIF('Detailed Attendance'!BF65:BF65, "A")+COUNTIF('Detailed Attendance'!BL65:BL65, "A")+COUNTIF('Detailed Attendance'!BZ65:BZ65, "A")+COUNTIF('Detailed Attendance'!CI65:CI65, "A")+COUNTIF('Detailed Attendance'!CW65:CW65, "A")+COUNTIF('Detailed Attendance'!DF65:DF65, "A")+COUNTIF('Detailed Attendance'!DT65:DT65, "A")+COUNTIF('Detailed Attendance'!EC65:EC65, "A")+COUNTIF('Detailed Attendance'!EQ65:EQ65, "A")+COUNTIF('Detailed Attendance'!EW65:EW65, "A")+COUNTIF('Detailed Attendance'!FK65:FK65, "A")+COUNTIF('Detailed Attendance'!FM65:FM65, "A")+COUNTIF('Detailed Attendance'!GA65:GA65, "A")</f>
        <v/>
      </c>
      <c r="F63" s="72">
        <f>IF((D63+E63)=0, "", D63/(D63+E63))</f>
        <v/>
      </c>
      <c r="G63" s="46">
        <f>COUNTIF('Detailed Attendance'!I65:I65, "P")+COUNTIF('Detailed Attendance'!Q65:Q65, "P")+COUNTIF('Detailed Attendance'!AC65:AC65, "P")+COUNTIF('Detailed Attendance'!AK65:AK65, "P")+COUNTIF('Detailed Attendance'!AW65:AW65, "P")+COUNTIF('Detailed Attendance'!BE65:BE65, "P")+COUNTIF('Detailed Attendance'!BQ65:BQ65, "P")+COUNTIF('Detailed Attendance'!BY65:BY65, "P")+COUNTIF('Detailed Attendance'!CN65:CN65, "P")+COUNTIF('Detailed Attendance'!CV65:CV65, "P")+COUNTIF('Detailed Attendance'!DK65:DK65, "P")+COUNTIF('Detailed Attendance'!DS65:DS65, "P")+COUNTIF('Detailed Attendance'!EH65:EH65, "P")+COUNTIF('Detailed Attendance'!EP65:EP65, "P")+COUNTIF('Detailed Attendance'!FB65:FB65, "P")+COUNTIF('Detailed Attendance'!FJ65:FJ65, "P")+COUNTIF('Detailed Attendance'!FR65:FR65, "P")+COUNTIF('Detailed Attendance'!FZ65:FZ65, "P")</f>
        <v/>
      </c>
      <c r="H63" s="46">
        <f>COUNTIF('Detailed Attendance'!I65:I65, "A")+COUNTIF('Detailed Attendance'!Q65:Q65, "A")+COUNTIF('Detailed Attendance'!AC65:AC65, "A")+COUNTIF('Detailed Attendance'!AK65:AK65, "A")+COUNTIF('Detailed Attendance'!AW65:AW65, "A")+COUNTIF('Detailed Attendance'!BE65:BE65, "A")+COUNTIF('Detailed Attendance'!BQ65:BQ65, "A")+COUNTIF('Detailed Attendance'!BY65:BY65, "A")+COUNTIF('Detailed Attendance'!CN65:CN65, "A")+COUNTIF('Detailed Attendance'!CV65:CV65, "A")+COUNTIF('Detailed Attendance'!DK65:DK65, "A")+COUNTIF('Detailed Attendance'!DS65:DS65, "A")+COUNTIF('Detailed Attendance'!EH65:EH65, "A")+COUNTIF('Detailed Attendance'!EP65:EP65, "A")+COUNTIF('Detailed Attendance'!FB65:FB65, "A")+COUNTIF('Detailed Attendance'!FJ65:FJ65, "A")+COUNTIF('Detailed Attendance'!FR65:FR65, "A")+COUNTIF('Detailed Attendance'!FZ65:FZ65, "A")</f>
        <v/>
      </c>
      <c r="I63" s="72">
        <f>IF((G63+H63)=0, "", G63/(G63+H63))</f>
        <v/>
      </c>
      <c r="J63" s="46">
        <f>COUNTIF('Detailed Attendance'!L65:L65, "P")+COUNTIF('Detailed Attendance'!P65:P65, "P")+COUNTIF('Detailed Attendance'!AF65:AF65, "P")+COUNTIF('Detailed Attendance'!AJ65:AJ65, "P")+COUNTIF('Detailed Attendance'!AZ65:AZ65, "P")+COUNTIF('Detailed Attendance'!BD65:BD65, "P")+COUNTIF('Detailed Attendance'!BT65:BT65, "P")+COUNTIF('Detailed Attendance'!BX65:BX65, "P")+COUNTIF('Detailed Attendance'!CQ65:CQ65, "P")+COUNTIF('Detailed Attendance'!CU65:CU65, "P")+COUNTIF('Detailed Attendance'!DN65:DN65, "P")+COUNTIF('Detailed Attendance'!DR65:DR65, "P")+COUNTIF('Detailed Attendance'!EK65:EK65, "P")+COUNTIF('Detailed Attendance'!EO65:EO65, "P")+COUNTIF('Detailed Attendance'!FE65:FE65, "P")+COUNTIF('Detailed Attendance'!FI65:FI65, "P")+COUNTIF('Detailed Attendance'!FU65:FU65, "P")+COUNTIF('Detailed Attendance'!FY65:FY65, "P")</f>
        <v/>
      </c>
      <c r="K63" s="46">
        <f>COUNTIF('Detailed Attendance'!L65:L65, "A")+COUNTIF('Detailed Attendance'!P65:P65, "A")+COUNTIF('Detailed Attendance'!AF65:AF65, "A")+COUNTIF('Detailed Attendance'!AJ65:AJ65, "A")+COUNTIF('Detailed Attendance'!AZ65:AZ65, "A")+COUNTIF('Detailed Attendance'!BD65:BD65, "A")+COUNTIF('Detailed Attendance'!BT65:BT65, "A")+COUNTIF('Detailed Attendance'!BX65:BX65, "A")+COUNTIF('Detailed Attendance'!CQ65:CQ65, "A")+COUNTIF('Detailed Attendance'!CU65:CU65, "A")+COUNTIF('Detailed Attendance'!DN65:DN65, "A")+COUNTIF('Detailed Attendance'!DR65:DR65, "A")+COUNTIF('Detailed Attendance'!EK65:EK65, "A")+COUNTIF('Detailed Attendance'!EO65:EO65, "A")+COUNTIF('Detailed Attendance'!FE65:FE65, "A")+COUNTIF('Detailed Attendance'!FI65:FI65, "A")+COUNTIF('Detailed Attendance'!FU65:FU65, "A")+COUNTIF('Detailed Attendance'!FY65:FY65, "A")</f>
        <v/>
      </c>
      <c r="L63" s="72">
        <f>IF((J63+K63)=0, "", J63/(J63+K63))</f>
        <v/>
      </c>
      <c r="M63" s="46">
        <f>COUNTIF('Detailed Attendance'!D65:D65, "P")+COUNTIF('Detailed Attendance'!T65:T65, "P")+COUNTIF('Detailed Attendance'!AN65:AN65, "P")+COUNTIF('Detailed Attendance'!AR65:AR65, "P")+COUNTIF('Detailed Attendance'!BH65:BH65, "P")+COUNTIF('Detailed Attendance'!CB65:CB65, "P")+COUNTIF('Detailed Attendance'!CF65:CF65, "P")+COUNTIF('Detailed Attendance'!CY65:CY65, "P")+COUNTIF('Detailed Attendance'!DC65:DC65, "P")+COUNTIF('Detailed Attendance'!DV65:DV65, "P")+COUNTIF('Detailed Attendance'!DZ65:DZ65, "P")+COUNTIF('Detailed Attendance'!ES65:ES65, "P")+COUNTIF('Detailed Attendance'!GC65:GC65, "P")+COUNTIF('Detailed Attendance'!GG65:GG65, "P")</f>
        <v/>
      </c>
      <c r="N63" s="46">
        <f>COUNTIF('Detailed Attendance'!D65:D65, "A")+COUNTIF('Detailed Attendance'!T65:T65, "A")+COUNTIF('Detailed Attendance'!AN65:AN65, "A")+COUNTIF('Detailed Attendance'!AR65:AR65, "A")+COUNTIF('Detailed Attendance'!BH65:BH65, "A")+COUNTIF('Detailed Attendance'!CB65:CB65, "A")+COUNTIF('Detailed Attendance'!CF65:CF65, "A")+COUNTIF('Detailed Attendance'!CY65:CY65, "A")+COUNTIF('Detailed Attendance'!DC65:DC65, "A")+COUNTIF('Detailed Attendance'!DV65:DV65, "A")+COUNTIF('Detailed Attendance'!DZ65:DZ65, "A")+COUNTIF('Detailed Attendance'!ES65:ES65, "A")+COUNTIF('Detailed Attendance'!GC65:GC65, "A")+COUNTIF('Detailed Attendance'!GG65:GG65, "A")</f>
        <v/>
      </c>
      <c r="O63" s="72">
        <f>IF((M63+N63)=0, "", M63/(M63+N63))</f>
        <v/>
      </c>
      <c r="P63" s="46">
        <f>COUNTIF('Detailed Attendance'!M65:M65, "P")+COUNTIF('Detailed Attendance'!U65:U65, "P")+COUNTIF('Detailed Attendance'!AG65:AG65, "P")+COUNTIF('Detailed Attendance'!AO65:AO65, "P")+COUNTIF('Detailed Attendance'!BA65:BA65, "P")+COUNTIF('Detailed Attendance'!BI65:BI65, "P")+COUNTIF('Detailed Attendance'!BU65:BU65, "P")+COUNTIF('Detailed Attendance'!CC65:CC65, "P")+COUNTIF('Detailed Attendance'!CR65:CR65, "P")+COUNTIF('Detailed Attendance'!CZ65:CZ65, "P")+COUNTIF('Detailed Attendance'!DO65:DO65, "P")+COUNTIF('Detailed Attendance'!DW65:DW65, "P")+COUNTIF('Detailed Attendance'!EL65:EL65, "P")+COUNTIF('Detailed Attendance'!ET65:ET65, "P")+COUNTIF('Detailed Attendance'!FF65:FF65, "P")+COUNTIF('Detailed Attendance'!FV65:FV65, "P")+COUNTIF('Detailed Attendance'!GD65:GD65, "P")</f>
        <v/>
      </c>
      <c r="Q63" s="46">
        <f>COUNTIF('Detailed Attendance'!M65:M65, "A")+COUNTIF('Detailed Attendance'!U65:U65, "A")+COUNTIF('Detailed Attendance'!AG65:AG65, "A")+COUNTIF('Detailed Attendance'!AO65:AO65, "A")+COUNTIF('Detailed Attendance'!BA65:BA65, "A")+COUNTIF('Detailed Attendance'!BI65:BI65, "A")+COUNTIF('Detailed Attendance'!BU65:BU65, "A")+COUNTIF('Detailed Attendance'!CC65:CC65, "A")+COUNTIF('Detailed Attendance'!CR65:CR65, "A")+COUNTIF('Detailed Attendance'!CZ65:CZ65, "A")+COUNTIF('Detailed Attendance'!DO65:DO65, "A")+COUNTIF('Detailed Attendance'!DW65:DW65, "A")+COUNTIF('Detailed Attendance'!EL65:EL65, "A")+COUNTIF('Detailed Attendance'!ET65:ET65, "A")+COUNTIF('Detailed Attendance'!FF65:FF65, "A")+COUNTIF('Detailed Attendance'!FV65:FV65, "A")+COUNTIF('Detailed Attendance'!GD65:GD65, "A")</f>
        <v/>
      </c>
      <c r="R63" s="72">
        <f>IF((P63+Q63)=0, "", P63/(P63+Q63))</f>
        <v/>
      </c>
      <c r="S63" s="46">
        <f>COUNTIF('Detailed Attendance'!V65:V65, "P")+COUNTIF('Detailed Attendance'!AP65:AP65, "P")+COUNTIF('Detailed Attendance'!BJ65:BJ65, "P")+COUNTIF('Detailed Attendance'!CD65:CD65, "P")+COUNTIF('Detailed Attendance'!DA65:DA65, "P")+COUNTIF('Detailed Attendance'!DX65:DX65, "P")+COUNTIF('Detailed Attendance'!EU65:EU65, "P")+COUNTIF('Detailed Attendance'!GE65:GE65, "P")</f>
        <v/>
      </c>
      <c r="T63" s="46">
        <f>COUNTIF('Detailed Attendance'!V65:V65, "A")+COUNTIF('Detailed Attendance'!AP65:AP65, "A")+COUNTIF('Detailed Attendance'!BJ65:BJ65, "A")+COUNTIF('Detailed Attendance'!CD65:CD65, "A")+COUNTIF('Detailed Attendance'!DA65:DA65, "A")+COUNTIF('Detailed Attendance'!DX65:DX65, "A")+COUNTIF('Detailed Attendance'!EU65:EU65, "A")+COUNTIF('Detailed Attendance'!GE65:GE65, "A")</f>
        <v/>
      </c>
      <c r="U63" s="73">
        <f>IF((S63+T63)=0, "", S63/(S63+T63))</f>
        <v/>
      </c>
      <c r="V63" s="46">
        <f>COUNTIF('Detailed Attendance'!CH65:CH65, "P")+COUNTIF('Detailed Attendance'!DE65:DE65, "P")+COUNTIF('Detailed Attendance'!EB65:EB65, "P")+COUNTIF('Detailed Attendance'!GI65:GI65, "P")</f>
        <v/>
      </c>
      <c r="W63" s="46">
        <f>COUNTIF('Detailed Attendance'!CH65:CH65, "A")+COUNTIF('Detailed Attendance'!DE65:DE65, "A")+COUNTIF('Detailed Attendance'!EB65:EB65, "A")+COUNTIF('Detailed Attendance'!GI65:GI65, "A")</f>
        <v/>
      </c>
      <c r="X63" s="73">
        <f>IF((V63+W63)=0, "", V63/(V63+W63))</f>
        <v/>
      </c>
      <c r="Y63" s="46">
        <f>COUNTIF('Detailed Attendance'!CG65:CG65, "P")+COUNTIF('Detailed Attendance'!DD65:DD65, "P")+COUNTIF('Detailed Attendance'!EA65:EA65, "P")+COUNTIF('Detailed Attendance'!GH65:GH65, "P")</f>
        <v/>
      </c>
      <c r="Z63" s="46">
        <f>COUNTIF('Detailed Attendance'!CG65:CG65, "A")+COUNTIF('Detailed Attendance'!DD65:DD65, "A")+COUNTIF('Detailed Attendance'!EA65:EA65, "A")+COUNTIF('Detailed Attendance'!GH65:GH65, "A")</f>
        <v/>
      </c>
      <c r="AA63" s="73">
        <f>IF((Y63+Z63)=0, "", Y63/(Y63+Z63))</f>
        <v/>
      </c>
      <c r="AB63" s="46">
        <f>S63+V63+Y63</f>
        <v/>
      </c>
      <c r="AC63" s="46">
        <f>T63+W63+Z63</f>
        <v/>
      </c>
      <c r="AD63" s="73">
        <f>IF((AB63+AC63)=0, "", AB63/(AB63+AC63))</f>
        <v/>
      </c>
      <c r="AE63" s="46" t="inlineStr">
        <is>
          <t>Batch 2</t>
        </is>
      </c>
    </row>
    <row r="64" ht="14.25" customHeight="1" s="34">
      <c r="A64" s="46" t="n">
        <v>63</v>
      </c>
      <c r="B64" s="46" t="inlineStr">
        <is>
          <t>325106410063</t>
        </is>
      </c>
      <c r="C64" s="46" t="inlineStr">
        <is>
          <t>VARSHA</t>
        </is>
      </c>
      <c r="D64" s="46">
        <f>COUNTIF('Detailed Attendance'!R66:R66, "P")+COUNTIF('Detailed Attendance'!X66:X66, "P")+COUNTIF('Detailed Attendance'!AL66:AL66, "P")+COUNTIF('Detailed Attendance'!BF66:BF66, "P")+COUNTIF('Detailed Attendance'!BL66:BL66, "P")+COUNTIF('Detailed Attendance'!BZ66:BZ66, "P")+COUNTIF('Detailed Attendance'!CI66:CI66, "P")+COUNTIF('Detailed Attendance'!CW66:CW66, "P")+COUNTIF('Detailed Attendance'!DF66:DF66, "P")+COUNTIF('Detailed Attendance'!DT66:DT66, "P")+COUNTIF('Detailed Attendance'!EC66:EC66, "P")+COUNTIF('Detailed Attendance'!EQ66:EQ66, "P")+COUNTIF('Detailed Attendance'!EW66:EW66, "P")+COUNTIF('Detailed Attendance'!FK66:FK66, "P")+COUNTIF('Detailed Attendance'!FM66:FM66, "P")+COUNTIF('Detailed Attendance'!GA66:GA66, "P")</f>
        <v/>
      </c>
      <c r="E64" s="46">
        <f>COUNTIF('Detailed Attendance'!R66:R66, "A")+COUNTIF('Detailed Attendance'!X66:X66, "A")+COUNTIF('Detailed Attendance'!AL66:AL66, "A")+COUNTIF('Detailed Attendance'!BF66:BF66, "A")+COUNTIF('Detailed Attendance'!BL66:BL66, "A")+COUNTIF('Detailed Attendance'!BZ66:BZ66, "A")+COUNTIF('Detailed Attendance'!CI66:CI66, "A")+COUNTIF('Detailed Attendance'!CW66:CW66, "A")+COUNTIF('Detailed Attendance'!DF66:DF66, "A")+COUNTIF('Detailed Attendance'!DT66:DT66, "A")+COUNTIF('Detailed Attendance'!EC66:EC66, "A")+COUNTIF('Detailed Attendance'!EQ66:EQ66, "A")+COUNTIF('Detailed Attendance'!EW66:EW66, "A")+COUNTIF('Detailed Attendance'!FK66:FK66, "A")+COUNTIF('Detailed Attendance'!FM66:FM66, "A")+COUNTIF('Detailed Attendance'!GA66:GA66, "A")</f>
        <v/>
      </c>
      <c r="F64" s="72">
        <f>IF((D64+E64)=0, "", D64/(D64+E64))</f>
        <v/>
      </c>
      <c r="G64" s="46">
        <f>COUNTIF('Detailed Attendance'!I66:I66, "P")+COUNTIF('Detailed Attendance'!Q66:Q66, "P")+COUNTIF('Detailed Attendance'!AC66:AC66, "P")+COUNTIF('Detailed Attendance'!AK66:AK66, "P")+COUNTIF('Detailed Attendance'!AW66:AW66, "P")+COUNTIF('Detailed Attendance'!BE66:BE66, "P")+COUNTIF('Detailed Attendance'!BQ66:BQ66, "P")+COUNTIF('Detailed Attendance'!BY66:BY66, "P")+COUNTIF('Detailed Attendance'!CN66:CN66, "P")+COUNTIF('Detailed Attendance'!CV66:CV66, "P")+COUNTIF('Detailed Attendance'!DK66:DK66, "P")+COUNTIF('Detailed Attendance'!DS66:DS66, "P")+COUNTIF('Detailed Attendance'!EH66:EH66, "P")+COUNTIF('Detailed Attendance'!EP66:EP66, "P")+COUNTIF('Detailed Attendance'!FB66:FB66, "P")+COUNTIF('Detailed Attendance'!FJ66:FJ66, "P")+COUNTIF('Detailed Attendance'!FR66:FR66, "P")+COUNTIF('Detailed Attendance'!FZ66:FZ66, "P")</f>
        <v/>
      </c>
      <c r="H64" s="46">
        <f>COUNTIF('Detailed Attendance'!I66:I66, "A")+COUNTIF('Detailed Attendance'!Q66:Q66, "A")+COUNTIF('Detailed Attendance'!AC66:AC66, "A")+COUNTIF('Detailed Attendance'!AK66:AK66, "A")+COUNTIF('Detailed Attendance'!AW66:AW66, "A")+COUNTIF('Detailed Attendance'!BE66:BE66, "A")+COUNTIF('Detailed Attendance'!BQ66:BQ66, "A")+COUNTIF('Detailed Attendance'!BY66:BY66, "A")+COUNTIF('Detailed Attendance'!CN66:CN66, "A")+COUNTIF('Detailed Attendance'!CV66:CV66, "A")+COUNTIF('Detailed Attendance'!DK66:DK66, "A")+COUNTIF('Detailed Attendance'!DS66:DS66, "A")+COUNTIF('Detailed Attendance'!EH66:EH66, "A")+COUNTIF('Detailed Attendance'!EP66:EP66, "A")+COUNTIF('Detailed Attendance'!FB66:FB66, "A")+COUNTIF('Detailed Attendance'!FJ66:FJ66, "A")+COUNTIF('Detailed Attendance'!FR66:FR66, "A")+COUNTIF('Detailed Attendance'!FZ66:FZ66, "A")</f>
        <v/>
      </c>
      <c r="I64" s="72">
        <f>IF((G64+H64)=0, "", G64/(G64+H64))</f>
        <v/>
      </c>
      <c r="J64" s="46">
        <f>COUNTIF('Detailed Attendance'!L66:L66, "P")+COUNTIF('Detailed Attendance'!P66:P66, "P")+COUNTIF('Detailed Attendance'!AF66:AF66, "P")+COUNTIF('Detailed Attendance'!AJ66:AJ66, "P")+COUNTIF('Detailed Attendance'!AZ66:AZ66, "P")+COUNTIF('Detailed Attendance'!BD66:BD66, "P")+COUNTIF('Detailed Attendance'!BT66:BT66, "P")+COUNTIF('Detailed Attendance'!BX66:BX66, "P")+COUNTIF('Detailed Attendance'!CQ66:CQ66, "P")+COUNTIF('Detailed Attendance'!CU66:CU66, "P")+COUNTIF('Detailed Attendance'!DN66:DN66, "P")+COUNTIF('Detailed Attendance'!DR66:DR66, "P")+COUNTIF('Detailed Attendance'!EK66:EK66, "P")+COUNTIF('Detailed Attendance'!EO66:EO66, "P")+COUNTIF('Detailed Attendance'!FE66:FE66, "P")+COUNTIF('Detailed Attendance'!FI66:FI66, "P")+COUNTIF('Detailed Attendance'!FU66:FU66, "P")+COUNTIF('Detailed Attendance'!FY66:FY66, "P")</f>
        <v/>
      </c>
      <c r="K64" s="46">
        <f>COUNTIF('Detailed Attendance'!L66:L66, "A")+COUNTIF('Detailed Attendance'!P66:P66, "A")+COUNTIF('Detailed Attendance'!AF66:AF66, "A")+COUNTIF('Detailed Attendance'!AJ66:AJ66, "A")+COUNTIF('Detailed Attendance'!AZ66:AZ66, "A")+COUNTIF('Detailed Attendance'!BD66:BD66, "A")+COUNTIF('Detailed Attendance'!BT66:BT66, "A")+COUNTIF('Detailed Attendance'!BX66:BX66, "A")+COUNTIF('Detailed Attendance'!CQ66:CQ66, "A")+COUNTIF('Detailed Attendance'!CU66:CU66, "A")+COUNTIF('Detailed Attendance'!DN66:DN66, "A")+COUNTIF('Detailed Attendance'!DR66:DR66, "A")+COUNTIF('Detailed Attendance'!EK66:EK66, "A")+COUNTIF('Detailed Attendance'!EO66:EO66, "A")+COUNTIF('Detailed Attendance'!FE66:FE66, "A")+COUNTIF('Detailed Attendance'!FI66:FI66, "A")+COUNTIF('Detailed Attendance'!FU66:FU66, "A")+COUNTIF('Detailed Attendance'!FY66:FY66, "A")</f>
        <v/>
      </c>
      <c r="L64" s="72">
        <f>IF((J64+K64)=0, "", J64/(J64+K64))</f>
        <v/>
      </c>
      <c r="M64" s="46">
        <f>COUNTIF('Detailed Attendance'!D66:D66, "P")+COUNTIF('Detailed Attendance'!T66:T66, "P")+COUNTIF('Detailed Attendance'!AN66:AN66, "P")+COUNTIF('Detailed Attendance'!AR66:AR66, "P")+COUNTIF('Detailed Attendance'!BH66:BH66, "P")+COUNTIF('Detailed Attendance'!CB66:CB66, "P")+COUNTIF('Detailed Attendance'!CF66:CF66, "P")+COUNTIF('Detailed Attendance'!CY66:CY66, "P")+COUNTIF('Detailed Attendance'!DC66:DC66, "P")+COUNTIF('Detailed Attendance'!DV66:DV66, "P")+COUNTIF('Detailed Attendance'!DZ66:DZ66, "P")+COUNTIF('Detailed Attendance'!ES66:ES66, "P")+COUNTIF('Detailed Attendance'!GC66:GC66, "P")+COUNTIF('Detailed Attendance'!GG66:GG66, "P")</f>
        <v/>
      </c>
      <c r="N64" s="46">
        <f>COUNTIF('Detailed Attendance'!D66:D66, "A")+COUNTIF('Detailed Attendance'!T66:T66, "A")+COUNTIF('Detailed Attendance'!AN66:AN66, "A")+COUNTIF('Detailed Attendance'!AR66:AR66, "A")+COUNTIF('Detailed Attendance'!BH66:BH66, "A")+COUNTIF('Detailed Attendance'!CB66:CB66, "A")+COUNTIF('Detailed Attendance'!CF66:CF66, "A")+COUNTIF('Detailed Attendance'!CY66:CY66, "A")+COUNTIF('Detailed Attendance'!DC66:DC66, "A")+COUNTIF('Detailed Attendance'!DV66:DV66, "A")+COUNTIF('Detailed Attendance'!DZ66:DZ66, "A")+COUNTIF('Detailed Attendance'!ES66:ES66, "A")+COUNTIF('Detailed Attendance'!GC66:GC66, "A")+COUNTIF('Detailed Attendance'!GG66:GG66, "A")</f>
        <v/>
      </c>
      <c r="O64" s="72">
        <f>IF((M64+N64)=0, "", M64/(M64+N64))</f>
        <v/>
      </c>
      <c r="P64" s="46">
        <f>COUNTIF('Detailed Attendance'!M66:M66, "P")+COUNTIF('Detailed Attendance'!U66:U66, "P")+COUNTIF('Detailed Attendance'!AG66:AG66, "P")+COUNTIF('Detailed Attendance'!AO66:AO66, "P")+COUNTIF('Detailed Attendance'!BA66:BA66, "P")+COUNTIF('Detailed Attendance'!BI66:BI66, "P")+COUNTIF('Detailed Attendance'!BU66:BU66, "P")+COUNTIF('Detailed Attendance'!CC66:CC66, "P")+COUNTIF('Detailed Attendance'!CR66:CR66, "P")+COUNTIF('Detailed Attendance'!CZ66:CZ66, "P")+COUNTIF('Detailed Attendance'!DO66:DO66, "P")+COUNTIF('Detailed Attendance'!DW66:DW66, "P")+COUNTIF('Detailed Attendance'!EL66:EL66, "P")+COUNTIF('Detailed Attendance'!ET66:ET66, "P")+COUNTIF('Detailed Attendance'!FF66:FF66, "P")+COUNTIF('Detailed Attendance'!FV66:FV66, "P")+COUNTIF('Detailed Attendance'!GD66:GD66, "P")</f>
        <v/>
      </c>
      <c r="Q64" s="46">
        <f>COUNTIF('Detailed Attendance'!M66:M66, "A")+COUNTIF('Detailed Attendance'!U66:U66, "A")+COUNTIF('Detailed Attendance'!AG66:AG66, "A")+COUNTIF('Detailed Attendance'!AO66:AO66, "A")+COUNTIF('Detailed Attendance'!BA66:BA66, "A")+COUNTIF('Detailed Attendance'!BI66:BI66, "A")+COUNTIF('Detailed Attendance'!BU66:BU66, "A")+COUNTIF('Detailed Attendance'!CC66:CC66, "A")+COUNTIF('Detailed Attendance'!CR66:CR66, "A")+COUNTIF('Detailed Attendance'!CZ66:CZ66, "A")+COUNTIF('Detailed Attendance'!DO66:DO66, "A")+COUNTIF('Detailed Attendance'!DW66:DW66, "A")+COUNTIF('Detailed Attendance'!EL66:EL66, "A")+COUNTIF('Detailed Attendance'!ET66:ET66, "A")+COUNTIF('Detailed Attendance'!FF66:FF66, "A")+COUNTIF('Detailed Attendance'!FV66:FV66, "A")+COUNTIF('Detailed Attendance'!GD66:GD66, "A")</f>
        <v/>
      </c>
      <c r="R64" s="72">
        <f>IF((P64+Q64)=0, "", P64/(P64+Q64))</f>
        <v/>
      </c>
      <c r="S64" s="46">
        <f>COUNTIF('Detailed Attendance'!V66:V66, "P")+COUNTIF('Detailed Attendance'!AP66:AP66, "P")+COUNTIF('Detailed Attendance'!BJ66:BJ66, "P")+COUNTIF('Detailed Attendance'!CD66:CD66, "P")+COUNTIF('Detailed Attendance'!DA66:DA66, "P")+COUNTIF('Detailed Attendance'!DX66:DX66, "P")+COUNTIF('Detailed Attendance'!EU66:EU66, "P")+COUNTIF('Detailed Attendance'!GE66:GE66, "P")</f>
        <v/>
      </c>
      <c r="T64" s="46">
        <f>COUNTIF('Detailed Attendance'!V66:V66, "A")+COUNTIF('Detailed Attendance'!AP66:AP66, "A")+COUNTIF('Detailed Attendance'!BJ66:BJ66, "A")+COUNTIF('Detailed Attendance'!CD66:CD66, "A")+COUNTIF('Detailed Attendance'!DA66:DA66, "A")+COUNTIF('Detailed Attendance'!DX66:DX66, "A")+COUNTIF('Detailed Attendance'!EU66:EU66, "A")+COUNTIF('Detailed Attendance'!GE66:GE66, "A")</f>
        <v/>
      </c>
      <c r="U64" s="73">
        <f>IF((S64+T64)=0, "", S64/(S64+T64))</f>
        <v/>
      </c>
      <c r="V64" s="46">
        <f>COUNTIF('Detailed Attendance'!CH66:CH66, "P")+COUNTIF('Detailed Attendance'!DE66:DE66, "P")+COUNTIF('Detailed Attendance'!EB66:EB66, "P")+COUNTIF('Detailed Attendance'!GI66:GI66, "P")</f>
        <v/>
      </c>
      <c r="W64" s="46">
        <f>COUNTIF('Detailed Attendance'!CH66:CH66, "A")+COUNTIF('Detailed Attendance'!DE66:DE66, "A")+COUNTIF('Detailed Attendance'!EB66:EB66, "A")+COUNTIF('Detailed Attendance'!GI66:GI66, "A")</f>
        <v/>
      </c>
      <c r="X64" s="73">
        <f>IF((V64+W64)=0, "", V64/(V64+W64))</f>
        <v/>
      </c>
      <c r="Y64" s="46">
        <f>COUNTIF('Detailed Attendance'!CG66:CG66, "P")+COUNTIF('Detailed Attendance'!DD66:DD66, "P")+COUNTIF('Detailed Attendance'!EA66:EA66, "P")+COUNTIF('Detailed Attendance'!GH66:GH66, "P")</f>
        <v/>
      </c>
      <c r="Z64" s="46">
        <f>COUNTIF('Detailed Attendance'!CG66:CG66, "A")+COUNTIF('Detailed Attendance'!DD66:DD66, "A")+COUNTIF('Detailed Attendance'!EA66:EA66, "A")+COUNTIF('Detailed Attendance'!GH66:GH66, "A")</f>
        <v/>
      </c>
      <c r="AA64" s="73">
        <f>IF((Y64+Z64)=0, "", Y64/(Y64+Z64))</f>
        <v/>
      </c>
      <c r="AB64" s="46">
        <f>S64+V64+Y64</f>
        <v/>
      </c>
      <c r="AC64" s="46">
        <f>T64+W64+Z64</f>
        <v/>
      </c>
      <c r="AD64" s="73">
        <f>IF((AB64+AC64)=0, "", AB64/(AB64+AC64))</f>
        <v/>
      </c>
      <c r="AE64" s="46" t="inlineStr">
        <is>
          <t>Batch 2</t>
        </is>
      </c>
    </row>
    <row r="65" ht="14.25" customHeight="1" s="34">
      <c r="A65" s="46" t="n">
        <v>64</v>
      </c>
      <c r="B65" s="46" t="inlineStr">
        <is>
          <t>325106410064</t>
        </is>
      </c>
      <c r="C65" s="46" t="inlineStr">
        <is>
          <t>KARTHIKEYA KOLANUKUDURU</t>
        </is>
      </c>
      <c r="D65" s="46">
        <f>COUNTIF('Detailed Attendance'!R67:R67, "P")+COUNTIF('Detailed Attendance'!X67:X67, "P")+COUNTIF('Detailed Attendance'!AL67:AL67, "P")+COUNTIF('Detailed Attendance'!BF67:BF67, "P")+COUNTIF('Detailed Attendance'!BL67:BL67, "P")+COUNTIF('Detailed Attendance'!BZ67:BZ67, "P")+COUNTIF('Detailed Attendance'!CI67:CI67, "P")+COUNTIF('Detailed Attendance'!CW67:CW67, "P")+COUNTIF('Detailed Attendance'!DF67:DF67, "P")+COUNTIF('Detailed Attendance'!DT67:DT67, "P")+COUNTIF('Detailed Attendance'!EC67:EC67, "P")+COUNTIF('Detailed Attendance'!EQ67:EQ67, "P")+COUNTIF('Detailed Attendance'!EW67:EW67, "P")+COUNTIF('Detailed Attendance'!FK67:FK67, "P")+COUNTIF('Detailed Attendance'!FM67:FM67, "P")+COUNTIF('Detailed Attendance'!GA67:GA67, "P")</f>
        <v/>
      </c>
      <c r="E65" s="46">
        <f>COUNTIF('Detailed Attendance'!R67:R67, "A")+COUNTIF('Detailed Attendance'!X67:X67, "A")+COUNTIF('Detailed Attendance'!AL67:AL67, "A")+COUNTIF('Detailed Attendance'!BF67:BF67, "A")+COUNTIF('Detailed Attendance'!BL67:BL67, "A")+COUNTIF('Detailed Attendance'!BZ67:BZ67, "A")+COUNTIF('Detailed Attendance'!CI67:CI67, "A")+COUNTIF('Detailed Attendance'!CW67:CW67, "A")+COUNTIF('Detailed Attendance'!DF67:DF67, "A")+COUNTIF('Detailed Attendance'!DT67:DT67, "A")+COUNTIF('Detailed Attendance'!EC67:EC67, "A")+COUNTIF('Detailed Attendance'!EQ67:EQ67, "A")+COUNTIF('Detailed Attendance'!EW67:EW67, "A")+COUNTIF('Detailed Attendance'!FK67:FK67, "A")+COUNTIF('Detailed Attendance'!FM67:FM67, "A")+COUNTIF('Detailed Attendance'!GA67:GA67, "A")</f>
        <v/>
      </c>
      <c r="F65" s="72">
        <f>IF((D65+E65)=0, "", D65/(D65+E65))</f>
        <v/>
      </c>
      <c r="G65" s="46">
        <f>COUNTIF('Detailed Attendance'!I67:I67, "P")+COUNTIF('Detailed Attendance'!Q67:Q67, "P")+COUNTIF('Detailed Attendance'!AC67:AC67, "P")+COUNTIF('Detailed Attendance'!AK67:AK67, "P")+COUNTIF('Detailed Attendance'!AW67:AW67, "P")+COUNTIF('Detailed Attendance'!BE67:BE67, "P")+COUNTIF('Detailed Attendance'!BQ67:BQ67, "P")+COUNTIF('Detailed Attendance'!BY67:BY67, "P")+COUNTIF('Detailed Attendance'!CN67:CN67, "P")+COUNTIF('Detailed Attendance'!CV67:CV67, "P")+COUNTIF('Detailed Attendance'!DK67:DK67, "P")+COUNTIF('Detailed Attendance'!DS67:DS67, "P")+COUNTIF('Detailed Attendance'!EH67:EH67, "P")+COUNTIF('Detailed Attendance'!EP67:EP67, "P")+COUNTIF('Detailed Attendance'!FB67:FB67, "P")+COUNTIF('Detailed Attendance'!FJ67:FJ67, "P")+COUNTIF('Detailed Attendance'!FR67:FR67, "P")+COUNTIF('Detailed Attendance'!FZ67:FZ67, "P")</f>
        <v/>
      </c>
      <c r="H65" s="46">
        <f>COUNTIF('Detailed Attendance'!I67:I67, "A")+COUNTIF('Detailed Attendance'!Q67:Q67, "A")+COUNTIF('Detailed Attendance'!AC67:AC67, "A")+COUNTIF('Detailed Attendance'!AK67:AK67, "A")+COUNTIF('Detailed Attendance'!AW67:AW67, "A")+COUNTIF('Detailed Attendance'!BE67:BE67, "A")+COUNTIF('Detailed Attendance'!BQ67:BQ67, "A")+COUNTIF('Detailed Attendance'!BY67:BY67, "A")+COUNTIF('Detailed Attendance'!CN67:CN67, "A")+COUNTIF('Detailed Attendance'!CV67:CV67, "A")+COUNTIF('Detailed Attendance'!DK67:DK67, "A")+COUNTIF('Detailed Attendance'!DS67:DS67, "A")+COUNTIF('Detailed Attendance'!EH67:EH67, "A")+COUNTIF('Detailed Attendance'!EP67:EP67, "A")+COUNTIF('Detailed Attendance'!FB67:FB67, "A")+COUNTIF('Detailed Attendance'!FJ67:FJ67, "A")+COUNTIF('Detailed Attendance'!FR67:FR67, "A")+COUNTIF('Detailed Attendance'!FZ67:FZ67, "A")</f>
        <v/>
      </c>
      <c r="I65" s="72">
        <f>IF((G65+H65)=0, "", G65/(G65+H65))</f>
        <v/>
      </c>
      <c r="J65" s="46">
        <f>COUNTIF('Detailed Attendance'!L67:L67, "P")+COUNTIF('Detailed Attendance'!P67:P67, "P")+COUNTIF('Detailed Attendance'!AF67:AF67, "P")+COUNTIF('Detailed Attendance'!AJ67:AJ67, "P")+COUNTIF('Detailed Attendance'!AZ67:AZ67, "P")+COUNTIF('Detailed Attendance'!BD67:BD67, "P")+COUNTIF('Detailed Attendance'!BT67:BT67, "P")+COUNTIF('Detailed Attendance'!BX67:BX67, "P")+COUNTIF('Detailed Attendance'!CQ67:CQ67, "P")+COUNTIF('Detailed Attendance'!CU67:CU67, "P")+COUNTIF('Detailed Attendance'!DN67:DN67, "P")+COUNTIF('Detailed Attendance'!DR67:DR67, "P")+COUNTIF('Detailed Attendance'!EK67:EK67, "P")+COUNTIF('Detailed Attendance'!EO67:EO67, "P")+COUNTIF('Detailed Attendance'!FE67:FE67, "P")+COUNTIF('Detailed Attendance'!FI67:FI67, "P")+COUNTIF('Detailed Attendance'!FU67:FU67, "P")+COUNTIF('Detailed Attendance'!FY67:FY67, "P")</f>
        <v/>
      </c>
      <c r="K65" s="46">
        <f>COUNTIF('Detailed Attendance'!L67:L67, "A")+COUNTIF('Detailed Attendance'!P67:P67, "A")+COUNTIF('Detailed Attendance'!AF67:AF67, "A")+COUNTIF('Detailed Attendance'!AJ67:AJ67, "A")+COUNTIF('Detailed Attendance'!AZ67:AZ67, "A")+COUNTIF('Detailed Attendance'!BD67:BD67, "A")+COUNTIF('Detailed Attendance'!BT67:BT67, "A")+COUNTIF('Detailed Attendance'!BX67:BX67, "A")+COUNTIF('Detailed Attendance'!CQ67:CQ67, "A")+COUNTIF('Detailed Attendance'!CU67:CU67, "A")+COUNTIF('Detailed Attendance'!DN67:DN67, "A")+COUNTIF('Detailed Attendance'!DR67:DR67, "A")+COUNTIF('Detailed Attendance'!EK67:EK67, "A")+COUNTIF('Detailed Attendance'!EO67:EO67, "A")+COUNTIF('Detailed Attendance'!FE67:FE67, "A")+COUNTIF('Detailed Attendance'!FI67:FI67, "A")+COUNTIF('Detailed Attendance'!FU67:FU67, "A")+COUNTIF('Detailed Attendance'!FY67:FY67, "A")</f>
        <v/>
      </c>
      <c r="L65" s="72">
        <f>IF((J65+K65)=0, "", J65/(J65+K65))</f>
        <v/>
      </c>
      <c r="M65" s="46">
        <f>COUNTIF('Detailed Attendance'!D67:D67, "P")+COUNTIF('Detailed Attendance'!T67:T67, "P")+COUNTIF('Detailed Attendance'!AN67:AN67, "P")+COUNTIF('Detailed Attendance'!AR67:AR67, "P")+COUNTIF('Detailed Attendance'!BH67:BH67, "P")+COUNTIF('Detailed Attendance'!CB67:CB67, "P")+COUNTIF('Detailed Attendance'!CF67:CF67, "P")+COUNTIF('Detailed Attendance'!CY67:CY67, "P")+COUNTIF('Detailed Attendance'!DC67:DC67, "P")+COUNTIF('Detailed Attendance'!DV67:DV67, "P")+COUNTIF('Detailed Attendance'!DZ67:DZ67, "P")+COUNTIF('Detailed Attendance'!ES67:ES67, "P")+COUNTIF('Detailed Attendance'!GC67:GC67, "P")+COUNTIF('Detailed Attendance'!GG67:GG67, "P")</f>
        <v/>
      </c>
      <c r="N65" s="46">
        <f>COUNTIF('Detailed Attendance'!D67:D67, "A")+COUNTIF('Detailed Attendance'!T67:T67, "A")+COUNTIF('Detailed Attendance'!AN67:AN67, "A")+COUNTIF('Detailed Attendance'!AR67:AR67, "A")+COUNTIF('Detailed Attendance'!BH67:BH67, "A")+COUNTIF('Detailed Attendance'!CB67:CB67, "A")+COUNTIF('Detailed Attendance'!CF67:CF67, "A")+COUNTIF('Detailed Attendance'!CY67:CY67, "A")+COUNTIF('Detailed Attendance'!DC67:DC67, "A")+COUNTIF('Detailed Attendance'!DV67:DV67, "A")+COUNTIF('Detailed Attendance'!DZ67:DZ67, "A")+COUNTIF('Detailed Attendance'!ES67:ES67, "A")+COUNTIF('Detailed Attendance'!GC67:GC67, "A")+COUNTIF('Detailed Attendance'!GG67:GG67, "A")</f>
        <v/>
      </c>
      <c r="O65" s="72">
        <f>IF((M65+N65)=0, "", M65/(M65+N65))</f>
        <v/>
      </c>
      <c r="P65" s="46">
        <f>COUNTIF('Detailed Attendance'!M67:M67, "P")+COUNTIF('Detailed Attendance'!U67:U67, "P")+COUNTIF('Detailed Attendance'!AG67:AG67, "P")+COUNTIF('Detailed Attendance'!AO67:AO67, "P")+COUNTIF('Detailed Attendance'!BA67:BA67, "P")+COUNTIF('Detailed Attendance'!BI67:BI67, "P")+COUNTIF('Detailed Attendance'!BU67:BU67, "P")+COUNTIF('Detailed Attendance'!CC67:CC67, "P")+COUNTIF('Detailed Attendance'!CR67:CR67, "P")+COUNTIF('Detailed Attendance'!CZ67:CZ67, "P")+COUNTIF('Detailed Attendance'!DO67:DO67, "P")+COUNTIF('Detailed Attendance'!DW67:DW67, "P")+COUNTIF('Detailed Attendance'!EL67:EL67, "P")+COUNTIF('Detailed Attendance'!ET67:ET67, "P")+COUNTIF('Detailed Attendance'!FF67:FF67, "P")+COUNTIF('Detailed Attendance'!FV67:FV67, "P")+COUNTIF('Detailed Attendance'!GD67:GD67, "P")</f>
        <v/>
      </c>
      <c r="Q65" s="46">
        <f>COUNTIF('Detailed Attendance'!M67:M67, "A")+COUNTIF('Detailed Attendance'!U67:U67, "A")+COUNTIF('Detailed Attendance'!AG67:AG67, "A")+COUNTIF('Detailed Attendance'!AO67:AO67, "A")+COUNTIF('Detailed Attendance'!BA67:BA67, "A")+COUNTIF('Detailed Attendance'!BI67:BI67, "A")+COUNTIF('Detailed Attendance'!BU67:BU67, "A")+COUNTIF('Detailed Attendance'!CC67:CC67, "A")+COUNTIF('Detailed Attendance'!CR67:CR67, "A")+COUNTIF('Detailed Attendance'!CZ67:CZ67, "A")+COUNTIF('Detailed Attendance'!DO67:DO67, "A")+COUNTIF('Detailed Attendance'!DW67:DW67, "A")+COUNTIF('Detailed Attendance'!EL67:EL67, "A")+COUNTIF('Detailed Attendance'!ET67:ET67, "A")+COUNTIF('Detailed Attendance'!FF67:FF67, "A")+COUNTIF('Detailed Attendance'!FV67:FV67, "A")+COUNTIF('Detailed Attendance'!GD67:GD67, "A")</f>
        <v/>
      </c>
      <c r="R65" s="72">
        <f>IF((P65+Q65)=0, "", P65/(P65+Q65))</f>
        <v/>
      </c>
      <c r="S65" s="46">
        <f>COUNTIF('Detailed Attendance'!V67:V67, "P")+COUNTIF('Detailed Attendance'!AP67:AP67, "P")+COUNTIF('Detailed Attendance'!BJ67:BJ67, "P")+COUNTIF('Detailed Attendance'!CD67:CD67, "P")+COUNTIF('Detailed Attendance'!DA67:DA67, "P")+COUNTIF('Detailed Attendance'!DX67:DX67, "P")+COUNTIF('Detailed Attendance'!EU67:EU67, "P")+COUNTIF('Detailed Attendance'!GE67:GE67, "P")</f>
        <v/>
      </c>
      <c r="T65" s="46">
        <f>COUNTIF('Detailed Attendance'!V67:V67, "A")+COUNTIF('Detailed Attendance'!AP67:AP67, "A")+COUNTIF('Detailed Attendance'!BJ67:BJ67, "A")+COUNTIF('Detailed Attendance'!CD67:CD67, "A")+COUNTIF('Detailed Attendance'!DA67:DA67, "A")+COUNTIF('Detailed Attendance'!DX67:DX67, "A")+COUNTIF('Detailed Attendance'!EU67:EU67, "A")+COUNTIF('Detailed Attendance'!GE67:GE67, "A")</f>
        <v/>
      </c>
      <c r="U65" s="73">
        <f>IF((S65+T65)=0, "", S65/(S65+T65))</f>
        <v/>
      </c>
      <c r="V65" s="46">
        <f>COUNTIF('Detailed Attendance'!CH67:CH67, "P")+COUNTIF('Detailed Attendance'!DE67:DE67, "P")+COUNTIF('Detailed Attendance'!EB67:EB67, "P")+COUNTIF('Detailed Attendance'!GI67:GI67, "P")</f>
        <v/>
      </c>
      <c r="W65" s="46">
        <f>COUNTIF('Detailed Attendance'!CH67:CH67, "A")+COUNTIF('Detailed Attendance'!DE67:DE67, "A")+COUNTIF('Detailed Attendance'!EB67:EB67, "A")+COUNTIF('Detailed Attendance'!GI67:GI67, "A")</f>
        <v/>
      </c>
      <c r="X65" s="73">
        <f>IF((V65+W65)=0, "", V65/(V65+W65))</f>
        <v/>
      </c>
      <c r="Y65" s="46">
        <f>COUNTIF('Detailed Attendance'!CG67:CG67, "P")+COUNTIF('Detailed Attendance'!DD67:DD67, "P")+COUNTIF('Detailed Attendance'!EA67:EA67, "P")+COUNTIF('Detailed Attendance'!GH67:GH67, "P")</f>
        <v/>
      </c>
      <c r="Z65" s="46">
        <f>COUNTIF('Detailed Attendance'!CG67:CG67, "A")+COUNTIF('Detailed Attendance'!DD67:DD67, "A")+COUNTIF('Detailed Attendance'!EA67:EA67, "A")+COUNTIF('Detailed Attendance'!GH67:GH67, "A")</f>
        <v/>
      </c>
      <c r="AA65" s="73">
        <f>IF((Y65+Z65)=0, "", Y65/(Y65+Z65))</f>
        <v/>
      </c>
      <c r="AB65" s="46">
        <f>S65+V65+Y65</f>
        <v/>
      </c>
      <c r="AC65" s="46">
        <f>T65+W65+Z65</f>
        <v/>
      </c>
      <c r="AD65" s="73">
        <f>IF((AB65+AC65)=0, "", AB65/(AB65+AC65))</f>
        <v/>
      </c>
      <c r="AE65" s="46" t="inlineStr">
        <is>
          <t>Batch 2</t>
        </is>
      </c>
    </row>
    <row r="66" ht="14.25" customHeight="1" s="34">
      <c r="A66" s="46" t="n">
        <v>65</v>
      </c>
      <c r="B66" s="46" t="inlineStr">
        <is>
          <t>325106410065</t>
        </is>
      </c>
      <c r="C66" s="46" t="inlineStr">
        <is>
          <t>IBRAHIM SAHR KABBA</t>
        </is>
      </c>
      <c r="D66" s="46">
        <f>COUNTIF('Detailed Attendance'!R68:R68, "P")+COUNTIF('Detailed Attendance'!X68:X68, "P")+COUNTIF('Detailed Attendance'!AL68:AL68, "P")+COUNTIF('Detailed Attendance'!BF68:BF68, "P")+COUNTIF('Detailed Attendance'!BL68:BL68, "P")+COUNTIF('Detailed Attendance'!BZ68:BZ68, "P")+COUNTIF('Detailed Attendance'!CI68:CI68, "P")+COUNTIF('Detailed Attendance'!CW68:CW68, "P")+COUNTIF('Detailed Attendance'!DF68:DF68, "P")+COUNTIF('Detailed Attendance'!DT68:DT68, "P")+COUNTIF('Detailed Attendance'!EC68:EC68, "P")+COUNTIF('Detailed Attendance'!EQ68:EQ68, "P")+COUNTIF('Detailed Attendance'!EW68:EW68, "P")+COUNTIF('Detailed Attendance'!FK68:FK68, "P")+COUNTIF('Detailed Attendance'!FM68:FM68, "P")+COUNTIF('Detailed Attendance'!GA68:GA68, "P")</f>
        <v/>
      </c>
      <c r="E66" s="46">
        <f>COUNTIF('Detailed Attendance'!R68:R68, "A")+COUNTIF('Detailed Attendance'!X68:X68, "A")+COUNTIF('Detailed Attendance'!AL68:AL68, "A")+COUNTIF('Detailed Attendance'!BF68:BF68, "A")+COUNTIF('Detailed Attendance'!BL68:BL68, "A")+COUNTIF('Detailed Attendance'!BZ68:BZ68, "A")+COUNTIF('Detailed Attendance'!CI68:CI68, "A")+COUNTIF('Detailed Attendance'!CW68:CW68, "A")+COUNTIF('Detailed Attendance'!DF68:DF68, "A")+COUNTIF('Detailed Attendance'!DT68:DT68, "A")+COUNTIF('Detailed Attendance'!EC68:EC68, "A")+COUNTIF('Detailed Attendance'!EQ68:EQ68, "A")+COUNTIF('Detailed Attendance'!EW68:EW68, "A")+COUNTIF('Detailed Attendance'!FK68:FK68, "A")+COUNTIF('Detailed Attendance'!FM68:FM68, "A")+COUNTIF('Detailed Attendance'!GA68:GA68, "A")</f>
        <v/>
      </c>
      <c r="F66" s="72">
        <f>IF((D66+E66)=0, "", D66/(D66+E66))</f>
        <v/>
      </c>
      <c r="G66" s="46">
        <f>COUNTIF('Detailed Attendance'!I68:I68, "P")+COUNTIF('Detailed Attendance'!Q68:Q68, "P")+COUNTIF('Detailed Attendance'!AC68:AC68, "P")+COUNTIF('Detailed Attendance'!AK68:AK68, "P")+COUNTIF('Detailed Attendance'!AW68:AW68, "P")+COUNTIF('Detailed Attendance'!BE68:BE68, "P")+COUNTIF('Detailed Attendance'!BQ68:BQ68, "P")+COUNTIF('Detailed Attendance'!BY68:BY68, "P")+COUNTIF('Detailed Attendance'!CN68:CN68, "P")+COUNTIF('Detailed Attendance'!CV68:CV68, "P")+COUNTIF('Detailed Attendance'!DK68:DK68, "P")+COUNTIF('Detailed Attendance'!DS68:DS68, "P")+COUNTIF('Detailed Attendance'!EH68:EH68, "P")+COUNTIF('Detailed Attendance'!EP68:EP68, "P")+COUNTIF('Detailed Attendance'!FB68:FB68, "P")+COUNTIF('Detailed Attendance'!FJ68:FJ68, "P")+COUNTIF('Detailed Attendance'!FR68:FR68, "P")+COUNTIF('Detailed Attendance'!FZ68:FZ68, "P")</f>
        <v/>
      </c>
      <c r="H66" s="46">
        <f>COUNTIF('Detailed Attendance'!I68:I68, "A")+COUNTIF('Detailed Attendance'!Q68:Q68, "A")+COUNTIF('Detailed Attendance'!AC68:AC68, "A")+COUNTIF('Detailed Attendance'!AK68:AK68, "A")+COUNTIF('Detailed Attendance'!AW68:AW68, "A")+COUNTIF('Detailed Attendance'!BE68:BE68, "A")+COUNTIF('Detailed Attendance'!BQ68:BQ68, "A")+COUNTIF('Detailed Attendance'!BY68:BY68, "A")+COUNTIF('Detailed Attendance'!CN68:CN68, "A")+COUNTIF('Detailed Attendance'!CV68:CV68, "A")+COUNTIF('Detailed Attendance'!DK68:DK68, "A")+COUNTIF('Detailed Attendance'!DS68:DS68, "A")+COUNTIF('Detailed Attendance'!EH68:EH68, "A")+COUNTIF('Detailed Attendance'!EP68:EP68, "A")+COUNTIF('Detailed Attendance'!FB68:FB68, "A")+COUNTIF('Detailed Attendance'!FJ68:FJ68, "A")+COUNTIF('Detailed Attendance'!FR68:FR68, "A")+COUNTIF('Detailed Attendance'!FZ68:FZ68, "A")</f>
        <v/>
      </c>
      <c r="I66" s="72">
        <f>IF((G66+H66)=0, "", G66/(G66+H66))</f>
        <v/>
      </c>
      <c r="J66" s="46">
        <f>COUNTIF('Detailed Attendance'!L68:L68, "P")+COUNTIF('Detailed Attendance'!P68:P68, "P")+COUNTIF('Detailed Attendance'!AF68:AF68, "P")+COUNTIF('Detailed Attendance'!AJ68:AJ68, "P")+COUNTIF('Detailed Attendance'!AZ68:AZ68, "P")+COUNTIF('Detailed Attendance'!BD68:BD68, "P")+COUNTIF('Detailed Attendance'!BT68:BT68, "P")+COUNTIF('Detailed Attendance'!BX68:BX68, "P")+COUNTIF('Detailed Attendance'!CQ68:CQ68, "P")+COUNTIF('Detailed Attendance'!CU68:CU68, "P")+COUNTIF('Detailed Attendance'!DN68:DN68, "P")+COUNTIF('Detailed Attendance'!DR68:DR68, "P")+COUNTIF('Detailed Attendance'!EK68:EK68, "P")+COUNTIF('Detailed Attendance'!EO68:EO68, "P")+COUNTIF('Detailed Attendance'!FE68:FE68, "P")+COUNTIF('Detailed Attendance'!FI68:FI68, "P")+COUNTIF('Detailed Attendance'!FU68:FU68, "P")+COUNTIF('Detailed Attendance'!FY68:FY68, "P")</f>
        <v/>
      </c>
      <c r="K66" s="46">
        <f>COUNTIF('Detailed Attendance'!L68:L68, "A")+COUNTIF('Detailed Attendance'!P68:P68, "A")+COUNTIF('Detailed Attendance'!AF68:AF68, "A")+COUNTIF('Detailed Attendance'!AJ68:AJ68, "A")+COUNTIF('Detailed Attendance'!AZ68:AZ68, "A")+COUNTIF('Detailed Attendance'!BD68:BD68, "A")+COUNTIF('Detailed Attendance'!BT68:BT68, "A")+COUNTIF('Detailed Attendance'!BX68:BX68, "A")+COUNTIF('Detailed Attendance'!CQ68:CQ68, "A")+COUNTIF('Detailed Attendance'!CU68:CU68, "A")+COUNTIF('Detailed Attendance'!DN68:DN68, "A")+COUNTIF('Detailed Attendance'!DR68:DR68, "A")+COUNTIF('Detailed Attendance'!EK68:EK68, "A")+COUNTIF('Detailed Attendance'!EO68:EO68, "A")+COUNTIF('Detailed Attendance'!FE68:FE68, "A")+COUNTIF('Detailed Attendance'!FI68:FI68, "A")+COUNTIF('Detailed Attendance'!FU68:FU68, "A")+COUNTIF('Detailed Attendance'!FY68:FY68, "A")</f>
        <v/>
      </c>
      <c r="L66" s="72">
        <f>IF((J66+K66)=0, "", J66/(J66+K66))</f>
        <v/>
      </c>
      <c r="M66" s="46">
        <f>COUNTIF('Detailed Attendance'!D68:D68, "P")+COUNTIF('Detailed Attendance'!T68:T68, "P")+COUNTIF('Detailed Attendance'!AN68:AN68, "P")+COUNTIF('Detailed Attendance'!AR68:AR68, "P")+COUNTIF('Detailed Attendance'!BH68:BH68, "P")+COUNTIF('Detailed Attendance'!CB68:CB68, "P")+COUNTIF('Detailed Attendance'!CF68:CF68, "P")+COUNTIF('Detailed Attendance'!CY68:CY68, "P")+COUNTIF('Detailed Attendance'!DC68:DC68, "P")+COUNTIF('Detailed Attendance'!DV68:DV68, "P")+COUNTIF('Detailed Attendance'!DZ68:DZ68, "P")+COUNTIF('Detailed Attendance'!ES68:ES68, "P")+COUNTIF('Detailed Attendance'!GC68:GC68, "P")+COUNTIF('Detailed Attendance'!GG68:GG68, "P")</f>
        <v/>
      </c>
      <c r="N66" s="46">
        <f>COUNTIF('Detailed Attendance'!D68:D68, "A")+COUNTIF('Detailed Attendance'!T68:T68, "A")+COUNTIF('Detailed Attendance'!AN68:AN68, "A")+COUNTIF('Detailed Attendance'!AR68:AR68, "A")+COUNTIF('Detailed Attendance'!BH68:BH68, "A")+COUNTIF('Detailed Attendance'!CB68:CB68, "A")+COUNTIF('Detailed Attendance'!CF68:CF68, "A")+COUNTIF('Detailed Attendance'!CY68:CY68, "A")+COUNTIF('Detailed Attendance'!DC68:DC68, "A")+COUNTIF('Detailed Attendance'!DV68:DV68, "A")+COUNTIF('Detailed Attendance'!DZ68:DZ68, "A")+COUNTIF('Detailed Attendance'!ES68:ES68, "A")+COUNTIF('Detailed Attendance'!GC68:GC68, "A")+COUNTIF('Detailed Attendance'!GG68:GG68, "A")</f>
        <v/>
      </c>
      <c r="O66" s="72">
        <f>IF((M66+N66)=0, "", M66/(M66+N66))</f>
        <v/>
      </c>
      <c r="P66" s="46">
        <f>COUNTIF('Detailed Attendance'!M68:M68, "P")+COUNTIF('Detailed Attendance'!U68:U68, "P")+COUNTIF('Detailed Attendance'!AG68:AG68, "P")+COUNTIF('Detailed Attendance'!AO68:AO68, "P")+COUNTIF('Detailed Attendance'!BA68:BA68, "P")+COUNTIF('Detailed Attendance'!BI68:BI68, "P")+COUNTIF('Detailed Attendance'!BU68:BU68, "P")+COUNTIF('Detailed Attendance'!CC68:CC68, "P")+COUNTIF('Detailed Attendance'!CR68:CR68, "P")+COUNTIF('Detailed Attendance'!CZ68:CZ68, "P")+COUNTIF('Detailed Attendance'!DO68:DO68, "P")+COUNTIF('Detailed Attendance'!DW68:DW68, "P")+COUNTIF('Detailed Attendance'!EL68:EL68, "P")+COUNTIF('Detailed Attendance'!ET68:ET68, "P")+COUNTIF('Detailed Attendance'!FF68:FF68, "P")+COUNTIF('Detailed Attendance'!FV68:FV68, "P")+COUNTIF('Detailed Attendance'!GD68:GD68, "P")</f>
        <v/>
      </c>
      <c r="Q66" s="46">
        <f>COUNTIF('Detailed Attendance'!M68:M68, "A")+COUNTIF('Detailed Attendance'!U68:U68, "A")+COUNTIF('Detailed Attendance'!AG68:AG68, "A")+COUNTIF('Detailed Attendance'!AO68:AO68, "A")+COUNTIF('Detailed Attendance'!BA68:BA68, "A")+COUNTIF('Detailed Attendance'!BI68:BI68, "A")+COUNTIF('Detailed Attendance'!BU68:BU68, "A")+COUNTIF('Detailed Attendance'!CC68:CC68, "A")+COUNTIF('Detailed Attendance'!CR68:CR68, "A")+COUNTIF('Detailed Attendance'!CZ68:CZ68, "A")+COUNTIF('Detailed Attendance'!DO68:DO68, "A")+COUNTIF('Detailed Attendance'!DW68:DW68, "A")+COUNTIF('Detailed Attendance'!EL68:EL68, "A")+COUNTIF('Detailed Attendance'!ET68:ET68, "A")+COUNTIF('Detailed Attendance'!FF68:FF68, "A")+COUNTIF('Detailed Attendance'!FV68:FV68, "A")+COUNTIF('Detailed Attendance'!GD68:GD68, "A")</f>
        <v/>
      </c>
      <c r="R66" s="72">
        <f>IF((P66+Q66)=0, "", P66/(P66+Q66))</f>
        <v/>
      </c>
      <c r="S66" s="46">
        <f>COUNTIF('Detailed Attendance'!V68:V68, "P")+COUNTIF('Detailed Attendance'!AP68:AP68, "P")+COUNTIF('Detailed Attendance'!BJ68:BJ68, "P")+COUNTIF('Detailed Attendance'!CD68:CD68, "P")+COUNTIF('Detailed Attendance'!DA68:DA68, "P")+COUNTIF('Detailed Attendance'!DX68:DX68, "P")+COUNTIF('Detailed Attendance'!EU68:EU68, "P")+COUNTIF('Detailed Attendance'!GE68:GE68, "P")</f>
        <v/>
      </c>
      <c r="T66" s="46">
        <f>COUNTIF('Detailed Attendance'!V68:V68, "A")+COUNTIF('Detailed Attendance'!AP68:AP68, "A")+COUNTIF('Detailed Attendance'!BJ68:BJ68, "A")+COUNTIF('Detailed Attendance'!CD68:CD68, "A")+COUNTIF('Detailed Attendance'!DA68:DA68, "A")+COUNTIF('Detailed Attendance'!DX68:DX68, "A")+COUNTIF('Detailed Attendance'!EU68:EU68, "A")+COUNTIF('Detailed Attendance'!GE68:GE68, "A")</f>
        <v/>
      </c>
      <c r="U66" s="73">
        <f>IF((S66+T66)=0, "", S66/(S66+T66))</f>
        <v/>
      </c>
      <c r="V66" s="46">
        <f>COUNTIF('Detailed Attendance'!CH68:CH68, "P")+COUNTIF('Detailed Attendance'!DE68:DE68, "P")+COUNTIF('Detailed Attendance'!EB68:EB68, "P")+COUNTIF('Detailed Attendance'!GI68:GI68, "P")</f>
        <v/>
      </c>
      <c r="W66" s="46">
        <f>COUNTIF('Detailed Attendance'!CH68:CH68, "A")+COUNTIF('Detailed Attendance'!DE68:DE68, "A")+COUNTIF('Detailed Attendance'!EB68:EB68, "A")+COUNTIF('Detailed Attendance'!GI68:GI68, "A")</f>
        <v/>
      </c>
      <c r="X66" s="73">
        <f>IF((V66+W66)=0, "", V66/(V66+W66))</f>
        <v/>
      </c>
      <c r="Y66" s="46">
        <f>COUNTIF('Detailed Attendance'!CG68:CG68, "P")+COUNTIF('Detailed Attendance'!DD68:DD68, "P")+COUNTIF('Detailed Attendance'!EA68:EA68, "P")+COUNTIF('Detailed Attendance'!GH68:GH68, "P")</f>
        <v/>
      </c>
      <c r="Z66" s="46">
        <f>COUNTIF('Detailed Attendance'!CG68:CG68, "A")+COUNTIF('Detailed Attendance'!DD68:DD68, "A")+COUNTIF('Detailed Attendance'!EA68:EA68, "A")+COUNTIF('Detailed Attendance'!GH68:GH68, "A")</f>
        <v/>
      </c>
      <c r="AA66" s="73">
        <f>IF((Y66+Z66)=0, "", Y66/(Y66+Z66))</f>
        <v/>
      </c>
      <c r="AB66" s="46">
        <f>S66+V66+Y66</f>
        <v/>
      </c>
      <c r="AC66" s="46">
        <f>T66+W66+Z66</f>
        <v/>
      </c>
      <c r="AD66" s="73">
        <f>IF((AB66+AC66)=0, "", AB66/(AB66+AC66))</f>
        <v/>
      </c>
      <c r="AE66" s="46" t="inlineStr">
        <is>
          <t>Batch 2</t>
        </is>
      </c>
    </row>
    <row r="67" ht="14.25" customHeight="1" s="34">
      <c r="A67" s="46" t="n">
        <v>66</v>
      </c>
      <c r="B67" s="46" t="inlineStr">
        <is>
          <t>325106410066</t>
        </is>
      </c>
      <c r="C67" s="46" t="inlineStr">
        <is>
          <t>ABDISAMIC YASIN ABDIRAHMAN</t>
        </is>
      </c>
      <c r="D67" s="46">
        <f>COUNTIF('Detailed Attendance'!R69:R69, "P")+COUNTIF('Detailed Attendance'!X69:X69, "P")+COUNTIF('Detailed Attendance'!AL69:AL69, "P")+COUNTIF('Detailed Attendance'!BF69:BF69, "P")+COUNTIF('Detailed Attendance'!BL69:BL69, "P")+COUNTIF('Detailed Attendance'!BZ69:BZ69, "P")+COUNTIF('Detailed Attendance'!CI69:CI69, "P")+COUNTIF('Detailed Attendance'!CW69:CW69, "P")+COUNTIF('Detailed Attendance'!DF69:DF69, "P")+COUNTIF('Detailed Attendance'!DT69:DT69, "P")+COUNTIF('Detailed Attendance'!EC69:EC69, "P")+COUNTIF('Detailed Attendance'!EQ69:EQ69, "P")+COUNTIF('Detailed Attendance'!EW69:EW69, "P")+COUNTIF('Detailed Attendance'!FK69:FK69, "P")+COUNTIF('Detailed Attendance'!FM69:FM69, "P")+COUNTIF('Detailed Attendance'!GA69:GA69, "P")</f>
        <v/>
      </c>
      <c r="E67" s="46">
        <f>COUNTIF('Detailed Attendance'!R69:R69, "A")+COUNTIF('Detailed Attendance'!X69:X69, "A")+COUNTIF('Detailed Attendance'!AL69:AL69, "A")+COUNTIF('Detailed Attendance'!BF69:BF69, "A")+COUNTIF('Detailed Attendance'!BL69:BL69, "A")+COUNTIF('Detailed Attendance'!BZ69:BZ69, "A")+COUNTIF('Detailed Attendance'!CI69:CI69, "A")+COUNTIF('Detailed Attendance'!CW69:CW69, "A")+COUNTIF('Detailed Attendance'!DF69:DF69, "A")+COUNTIF('Detailed Attendance'!DT69:DT69, "A")+COUNTIF('Detailed Attendance'!EC69:EC69, "A")+COUNTIF('Detailed Attendance'!EQ69:EQ69, "A")+COUNTIF('Detailed Attendance'!EW69:EW69, "A")+COUNTIF('Detailed Attendance'!FK69:FK69, "A")+COUNTIF('Detailed Attendance'!FM69:FM69, "A")+COUNTIF('Detailed Attendance'!GA69:GA69, "A")</f>
        <v/>
      </c>
      <c r="F67" s="72">
        <f>IF((D67+E67)=0, "", D67/(D67+E67))</f>
        <v/>
      </c>
      <c r="G67" s="46">
        <f>COUNTIF('Detailed Attendance'!I69:I69, "P")+COUNTIF('Detailed Attendance'!Q69:Q69, "P")+COUNTIF('Detailed Attendance'!AC69:AC69, "P")+COUNTIF('Detailed Attendance'!AK69:AK69, "P")+COUNTIF('Detailed Attendance'!AW69:AW69, "P")+COUNTIF('Detailed Attendance'!BE69:BE69, "P")+COUNTIF('Detailed Attendance'!BQ69:BQ69, "P")+COUNTIF('Detailed Attendance'!BY69:BY69, "P")+COUNTIF('Detailed Attendance'!CN69:CN69, "P")+COUNTIF('Detailed Attendance'!CV69:CV69, "P")+COUNTIF('Detailed Attendance'!DK69:DK69, "P")+COUNTIF('Detailed Attendance'!DS69:DS69, "P")+COUNTIF('Detailed Attendance'!EH69:EH69, "P")+COUNTIF('Detailed Attendance'!EP69:EP69, "P")+COUNTIF('Detailed Attendance'!FB69:FB69, "P")+COUNTIF('Detailed Attendance'!FJ69:FJ69, "P")+COUNTIF('Detailed Attendance'!FR69:FR69, "P")+COUNTIF('Detailed Attendance'!FZ69:FZ69, "P")</f>
        <v/>
      </c>
      <c r="H67" s="46">
        <f>COUNTIF('Detailed Attendance'!I69:I69, "A")+COUNTIF('Detailed Attendance'!Q69:Q69, "A")+COUNTIF('Detailed Attendance'!AC69:AC69, "A")+COUNTIF('Detailed Attendance'!AK69:AK69, "A")+COUNTIF('Detailed Attendance'!AW69:AW69, "A")+COUNTIF('Detailed Attendance'!BE69:BE69, "A")+COUNTIF('Detailed Attendance'!BQ69:BQ69, "A")+COUNTIF('Detailed Attendance'!BY69:BY69, "A")+COUNTIF('Detailed Attendance'!CN69:CN69, "A")+COUNTIF('Detailed Attendance'!CV69:CV69, "A")+COUNTIF('Detailed Attendance'!DK69:DK69, "A")+COUNTIF('Detailed Attendance'!DS69:DS69, "A")+COUNTIF('Detailed Attendance'!EH69:EH69, "A")+COUNTIF('Detailed Attendance'!EP69:EP69, "A")+COUNTIF('Detailed Attendance'!FB69:FB69, "A")+COUNTIF('Detailed Attendance'!FJ69:FJ69, "A")+COUNTIF('Detailed Attendance'!FR69:FR69, "A")+COUNTIF('Detailed Attendance'!FZ69:FZ69, "A")</f>
        <v/>
      </c>
      <c r="I67" s="72">
        <f>IF((G67+H67)=0, "", G67/(G67+H67))</f>
        <v/>
      </c>
      <c r="J67" s="46">
        <f>COUNTIF('Detailed Attendance'!L69:L69, "P")+COUNTIF('Detailed Attendance'!P69:P69, "P")+COUNTIF('Detailed Attendance'!AF69:AF69, "P")+COUNTIF('Detailed Attendance'!AJ69:AJ69, "P")+COUNTIF('Detailed Attendance'!AZ69:AZ69, "P")+COUNTIF('Detailed Attendance'!BD69:BD69, "P")+COUNTIF('Detailed Attendance'!BT69:BT69, "P")+COUNTIF('Detailed Attendance'!BX69:BX69, "P")+COUNTIF('Detailed Attendance'!CQ69:CQ69, "P")+COUNTIF('Detailed Attendance'!CU69:CU69, "P")+COUNTIF('Detailed Attendance'!DN69:DN69, "P")+COUNTIF('Detailed Attendance'!DR69:DR69, "P")+COUNTIF('Detailed Attendance'!EK69:EK69, "P")+COUNTIF('Detailed Attendance'!EO69:EO69, "P")+COUNTIF('Detailed Attendance'!FE69:FE69, "P")+COUNTIF('Detailed Attendance'!FI69:FI69, "P")+COUNTIF('Detailed Attendance'!FU69:FU69, "P")+COUNTIF('Detailed Attendance'!FY69:FY69, "P")</f>
        <v/>
      </c>
      <c r="K67" s="46">
        <f>COUNTIF('Detailed Attendance'!L69:L69, "A")+COUNTIF('Detailed Attendance'!P69:P69, "A")+COUNTIF('Detailed Attendance'!AF69:AF69, "A")+COUNTIF('Detailed Attendance'!AJ69:AJ69, "A")+COUNTIF('Detailed Attendance'!AZ69:AZ69, "A")+COUNTIF('Detailed Attendance'!BD69:BD69, "A")+COUNTIF('Detailed Attendance'!BT69:BT69, "A")+COUNTIF('Detailed Attendance'!BX69:BX69, "A")+COUNTIF('Detailed Attendance'!CQ69:CQ69, "A")+COUNTIF('Detailed Attendance'!CU69:CU69, "A")+COUNTIF('Detailed Attendance'!DN69:DN69, "A")+COUNTIF('Detailed Attendance'!DR69:DR69, "A")+COUNTIF('Detailed Attendance'!EK69:EK69, "A")+COUNTIF('Detailed Attendance'!EO69:EO69, "A")+COUNTIF('Detailed Attendance'!FE69:FE69, "A")+COUNTIF('Detailed Attendance'!FI69:FI69, "A")+COUNTIF('Detailed Attendance'!FU69:FU69, "A")+COUNTIF('Detailed Attendance'!FY69:FY69, "A")</f>
        <v/>
      </c>
      <c r="L67" s="72">
        <f>IF((J67+K67)=0, "", J67/(J67+K67))</f>
        <v/>
      </c>
      <c r="M67" s="46">
        <f>COUNTIF('Detailed Attendance'!D69:D69, "P")+COUNTIF('Detailed Attendance'!T69:T69, "P")+COUNTIF('Detailed Attendance'!AN69:AN69, "P")+COUNTIF('Detailed Attendance'!AR69:AR69, "P")+COUNTIF('Detailed Attendance'!BH69:BH69, "P")+COUNTIF('Detailed Attendance'!CB69:CB69, "P")+COUNTIF('Detailed Attendance'!CF69:CF69, "P")+COUNTIF('Detailed Attendance'!CY69:CY69, "P")+COUNTIF('Detailed Attendance'!DC69:DC69, "P")+COUNTIF('Detailed Attendance'!DV69:DV69, "P")+COUNTIF('Detailed Attendance'!DZ69:DZ69, "P")+COUNTIF('Detailed Attendance'!ES69:ES69, "P")+COUNTIF('Detailed Attendance'!GC69:GC69, "P")+COUNTIF('Detailed Attendance'!GG69:GG69, "P")</f>
        <v/>
      </c>
      <c r="N67" s="46">
        <f>COUNTIF('Detailed Attendance'!D69:D69, "A")+COUNTIF('Detailed Attendance'!T69:T69, "A")+COUNTIF('Detailed Attendance'!AN69:AN69, "A")+COUNTIF('Detailed Attendance'!AR69:AR69, "A")+COUNTIF('Detailed Attendance'!BH69:BH69, "A")+COUNTIF('Detailed Attendance'!CB69:CB69, "A")+COUNTIF('Detailed Attendance'!CF69:CF69, "A")+COUNTIF('Detailed Attendance'!CY69:CY69, "A")+COUNTIF('Detailed Attendance'!DC69:DC69, "A")+COUNTIF('Detailed Attendance'!DV69:DV69, "A")+COUNTIF('Detailed Attendance'!DZ69:DZ69, "A")+COUNTIF('Detailed Attendance'!ES69:ES69, "A")+COUNTIF('Detailed Attendance'!GC69:GC69, "A")+COUNTIF('Detailed Attendance'!GG69:GG69, "A")</f>
        <v/>
      </c>
      <c r="O67" s="72">
        <f>IF((M67+N67)=0, "", M67/(M67+N67))</f>
        <v/>
      </c>
      <c r="P67" s="46">
        <f>COUNTIF('Detailed Attendance'!M69:M69, "P")+COUNTIF('Detailed Attendance'!U69:U69, "P")+COUNTIF('Detailed Attendance'!AG69:AG69, "P")+COUNTIF('Detailed Attendance'!AO69:AO69, "P")+COUNTIF('Detailed Attendance'!BA69:BA69, "P")+COUNTIF('Detailed Attendance'!BI69:BI69, "P")+COUNTIF('Detailed Attendance'!BU69:BU69, "P")+COUNTIF('Detailed Attendance'!CC69:CC69, "P")+COUNTIF('Detailed Attendance'!CR69:CR69, "P")+COUNTIF('Detailed Attendance'!CZ69:CZ69, "P")+COUNTIF('Detailed Attendance'!DO69:DO69, "P")+COUNTIF('Detailed Attendance'!DW69:DW69, "P")+COUNTIF('Detailed Attendance'!EL69:EL69, "P")+COUNTIF('Detailed Attendance'!ET69:ET69, "P")+COUNTIF('Detailed Attendance'!FF69:FF69, "P")+COUNTIF('Detailed Attendance'!FV69:FV69, "P")+COUNTIF('Detailed Attendance'!GD69:GD69, "P")</f>
        <v/>
      </c>
      <c r="Q67" s="46">
        <f>COUNTIF('Detailed Attendance'!M69:M69, "A")+COUNTIF('Detailed Attendance'!U69:U69, "A")+COUNTIF('Detailed Attendance'!AG69:AG69, "A")+COUNTIF('Detailed Attendance'!AO69:AO69, "A")+COUNTIF('Detailed Attendance'!BA69:BA69, "A")+COUNTIF('Detailed Attendance'!BI69:BI69, "A")+COUNTIF('Detailed Attendance'!BU69:BU69, "A")+COUNTIF('Detailed Attendance'!CC69:CC69, "A")+COUNTIF('Detailed Attendance'!CR69:CR69, "A")+COUNTIF('Detailed Attendance'!CZ69:CZ69, "A")+COUNTIF('Detailed Attendance'!DO69:DO69, "A")+COUNTIF('Detailed Attendance'!DW69:DW69, "A")+COUNTIF('Detailed Attendance'!EL69:EL69, "A")+COUNTIF('Detailed Attendance'!ET69:ET69, "A")+COUNTIF('Detailed Attendance'!FF69:FF69, "A")+COUNTIF('Detailed Attendance'!FV69:FV69, "A")+COUNTIF('Detailed Attendance'!GD69:GD69, "A")</f>
        <v/>
      </c>
      <c r="R67" s="72">
        <f>IF((P67+Q67)=0, "", P67/(P67+Q67))</f>
        <v/>
      </c>
      <c r="S67" s="46">
        <f>COUNTIF('Detailed Attendance'!V69:V69, "P")+COUNTIF('Detailed Attendance'!AP69:AP69, "P")+COUNTIF('Detailed Attendance'!BJ69:BJ69, "P")+COUNTIF('Detailed Attendance'!CD69:CD69, "P")+COUNTIF('Detailed Attendance'!DA69:DA69, "P")+COUNTIF('Detailed Attendance'!DX69:DX69, "P")+COUNTIF('Detailed Attendance'!EU69:EU69, "P")+COUNTIF('Detailed Attendance'!GE69:GE69, "P")</f>
        <v/>
      </c>
      <c r="T67" s="46">
        <f>COUNTIF('Detailed Attendance'!V69:V69, "A")+COUNTIF('Detailed Attendance'!AP69:AP69, "A")+COUNTIF('Detailed Attendance'!BJ69:BJ69, "A")+COUNTIF('Detailed Attendance'!CD69:CD69, "A")+COUNTIF('Detailed Attendance'!DA69:DA69, "A")+COUNTIF('Detailed Attendance'!DX69:DX69, "A")+COUNTIF('Detailed Attendance'!EU69:EU69, "A")+COUNTIF('Detailed Attendance'!GE69:GE69, "A")</f>
        <v/>
      </c>
      <c r="U67" s="73">
        <f>IF((S67+T67)=0, "", S67/(S67+T67))</f>
        <v/>
      </c>
      <c r="V67" s="46">
        <f>COUNTIF('Detailed Attendance'!CH69:CH69, "P")+COUNTIF('Detailed Attendance'!DE69:DE69, "P")+COUNTIF('Detailed Attendance'!EB69:EB69, "P")+COUNTIF('Detailed Attendance'!GI69:GI69, "P")</f>
        <v/>
      </c>
      <c r="W67" s="46">
        <f>COUNTIF('Detailed Attendance'!CH69:CH69, "A")+COUNTIF('Detailed Attendance'!DE69:DE69, "A")+COUNTIF('Detailed Attendance'!EB69:EB69, "A")+COUNTIF('Detailed Attendance'!GI69:GI69, "A")</f>
        <v/>
      </c>
      <c r="X67" s="73">
        <f>IF((V67+W67)=0, "", V67/(V67+W67))</f>
        <v/>
      </c>
      <c r="Y67" s="46">
        <f>COUNTIF('Detailed Attendance'!CG69:CG69, "P")+COUNTIF('Detailed Attendance'!DD69:DD69, "P")+COUNTIF('Detailed Attendance'!EA69:EA69, "P")+COUNTIF('Detailed Attendance'!GH69:GH69, "P")</f>
        <v/>
      </c>
      <c r="Z67" s="46">
        <f>COUNTIF('Detailed Attendance'!CG69:CG69, "A")+COUNTIF('Detailed Attendance'!DD69:DD69, "A")+COUNTIF('Detailed Attendance'!EA69:EA69, "A")+COUNTIF('Detailed Attendance'!GH69:GH69, "A")</f>
        <v/>
      </c>
      <c r="AA67" s="73">
        <f>IF((Y67+Z67)=0, "", Y67/(Y67+Z67))</f>
        <v/>
      </c>
      <c r="AB67" s="46">
        <f>S67+V67+Y67</f>
        <v/>
      </c>
      <c r="AC67" s="46">
        <f>T67+W67+Z67</f>
        <v/>
      </c>
      <c r="AD67" s="73">
        <f>IF((AB67+AC67)=0, "", AB67/(AB67+AC67))</f>
        <v/>
      </c>
      <c r="AE67" s="46" t="inlineStr">
        <is>
          <t>Batch 2</t>
        </is>
      </c>
    </row>
    <row r="68" ht="14.25" customHeight="1" s="34">
      <c r="A68" s="46" t="n">
        <v>67</v>
      </c>
      <c r="B68" s="46" t="inlineStr">
        <is>
          <t>325106410067</t>
        </is>
      </c>
      <c r="C68" s="46" t="inlineStr">
        <is>
          <t>AHMED ABDHULAHI</t>
        </is>
      </c>
      <c r="D68" s="46">
        <f>COUNTIF('Detailed Attendance'!R70:R70, "P")+COUNTIF('Detailed Attendance'!X70:X70, "P")+COUNTIF('Detailed Attendance'!AL70:AL70, "P")+COUNTIF('Detailed Attendance'!BF70:BF70, "P")+COUNTIF('Detailed Attendance'!BL70:BL70, "P")+COUNTIF('Detailed Attendance'!BZ70:BZ70, "P")+COUNTIF('Detailed Attendance'!CI70:CI70, "P")+COUNTIF('Detailed Attendance'!CW70:CW70, "P")+COUNTIF('Detailed Attendance'!DF70:DF70, "P")+COUNTIF('Detailed Attendance'!DT70:DT70, "P")+COUNTIF('Detailed Attendance'!EC70:EC70, "P")+COUNTIF('Detailed Attendance'!EQ70:EQ70, "P")+COUNTIF('Detailed Attendance'!EW70:EW70, "P")+COUNTIF('Detailed Attendance'!FK70:FK70, "P")+COUNTIF('Detailed Attendance'!FM70:FM70, "P")+COUNTIF('Detailed Attendance'!GA70:GA70, "P")</f>
        <v/>
      </c>
      <c r="E68" s="46">
        <f>COUNTIF('Detailed Attendance'!R70:R70, "A")+COUNTIF('Detailed Attendance'!X70:X70, "A")+COUNTIF('Detailed Attendance'!AL70:AL70, "A")+COUNTIF('Detailed Attendance'!BF70:BF70, "A")+COUNTIF('Detailed Attendance'!BL70:BL70, "A")+COUNTIF('Detailed Attendance'!BZ70:BZ70, "A")+COUNTIF('Detailed Attendance'!CI70:CI70, "A")+COUNTIF('Detailed Attendance'!CW70:CW70, "A")+COUNTIF('Detailed Attendance'!DF70:DF70, "A")+COUNTIF('Detailed Attendance'!DT70:DT70, "A")+COUNTIF('Detailed Attendance'!EC70:EC70, "A")+COUNTIF('Detailed Attendance'!EQ70:EQ70, "A")+COUNTIF('Detailed Attendance'!EW70:EW70, "A")+COUNTIF('Detailed Attendance'!FK70:FK70, "A")+COUNTIF('Detailed Attendance'!FM70:FM70, "A")+COUNTIF('Detailed Attendance'!GA70:GA70, "A")</f>
        <v/>
      </c>
      <c r="F68" s="72">
        <f>IF((D68+E68)=0, "", D68/(D68+E68))</f>
        <v/>
      </c>
      <c r="G68" s="46">
        <f>COUNTIF('Detailed Attendance'!I70:I70, "P")+COUNTIF('Detailed Attendance'!Q70:Q70, "P")+COUNTIF('Detailed Attendance'!AC70:AC70, "P")+COUNTIF('Detailed Attendance'!AK70:AK70, "P")+COUNTIF('Detailed Attendance'!AW70:AW70, "P")+COUNTIF('Detailed Attendance'!BE70:BE70, "P")+COUNTIF('Detailed Attendance'!BQ70:BQ70, "P")+COUNTIF('Detailed Attendance'!BY70:BY70, "P")+COUNTIF('Detailed Attendance'!CN70:CN70, "P")+COUNTIF('Detailed Attendance'!CV70:CV70, "P")+COUNTIF('Detailed Attendance'!DK70:DK70, "P")+COUNTIF('Detailed Attendance'!DS70:DS70, "P")+COUNTIF('Detailed Attendance'!EH70:EH70, "P")+COUNTIF('Detailed Attendance'!EP70:EP70, "P")+COUNTIF('Detailed Attendance'!FB70:FB70, "P")+COUNTIF('Detailed Attendance'!FJ70:FJ70, "P")+COUNTIF('Detailed Attendance'!FR70:FR70, "P")+COUNTIF('Detailed Attendance'!FZ70:FZ70, "P")</f>
        <v/>
      </c>
      <c r="H68" s="46">
        <f>COUNTIF('Detailed Attendance'!I70:I70, "A")+COUNTIF('Detailed Attendance'!Q70:Q70, "A")+COUNTIF('Detailed Attendance'!AC70:AC70, "A")+COUNTIF('Detailed Attendance'!AK70:AK70, "A")+COUNTIF('Detailed Attendance'!AW70:AW70, "A")+COUNTIF('Detailed Attendance'!BE70:BE70, "A")+COUNTIF('Detailed Attendance'!BQ70:BQ70, "A")+COUNTIF('Detailed Attendance'!BY70:BY70, "A")+COUNTIF('Detailed Attendance'!CN70:CN70, "A")+COUNTIF('Detailed Attendance'!CV70:CV70, "A")+COUNTIF('Detailed Attendance'!DK70:DK70, "A")+COUNTIF('Detailed Attendance'!DS70:DS70, "A")+COUNTIF('Detailed Attendance'!EH70:EH70, "A")+COUNTIF('Detailed Attendance'!EP70:EP70, "A")+COUNTIF('Detailed Attendance'!FB70:FB70, "A")+COUNTIF('Detailed Attendance'!FJ70:FJ70, "A")+COUNTIF('Detailed Attendance'!FR70:FR70, "A")+COUNTIF('Detailed Attendance'!FZ70:FZ70, "A")</f>
        <v/>
      </c>
      <c r="I68" s="72">
        <f>IF((G68+H68)=0, "", G68/(G68+H68))</f>
        <v/>
      </c>
      <c r="J68" s="46">
        <f>COUNTIF('Detailed Attendance'!L70:L70, "P")+COUNTIF('Detailed Attendance'!P70:P70, "P")+COUNTIF('Detailed Attendance'!AF70:AF70, "P")+COUNTIF('Detailed Attendance'!AJ70:AJ70, "P")+COUNTIF('Detailed Attendance'!AZ70:AZ70, "P")+COUNTIF('Detailed Attendance'!BD70:BD70, "P")+COUNTIF('Detailed Attendance'!BT70:BT70, "P")+COUNTIF('Detailed Attendance'!BX70:BX70, "P")+COUNTIF('Detailed Attendance'!CQ70:CQ70, "P")+COUNTIF('Detailed Attendance'!CU70:CU70, "P")+COUNTIF('Detailed Attendance'!DN70:DN70, "P")+COUNTIF('Detailed Attendance'!DR70:DR70, "P")+COUNTIF('Detailed Attendance'!EK70:EK70, "P")+COUNTIF('Detailed Attendance'!EO70:EO70, "P")+COUNTIF('Detailed Attendance'!FE70:FE70, "P")+COUNTIF('Detailed Attendance'!FI70:FI70, "P")+COUNTIF('Detailed Attendance'!FU70:FU70, "P")+COUNTIF('Detailed Attendance'!FY70:FY70, "P")</f>
        <v/>
      </c>
      <c r="K68" s="46">
        <f>COUNTIF('Detailed Attendance'!L70:L70, "A")+COUNTIF('Detailed Attendance'!P70:P70, "A")+COUNTIF('Detailed Attendance'!AF70:AF70, "A")+COUNTIF('Detailed Attendance'!AJ70:AJ70, "A")+COUNTIF('Detailed Attendance'!AZ70:AZ70, "A")+COUNTIF('Detailed Attendance'!BD70:BD70, "A")+COUNTIF('Detailed Attendance'!BT70:BT70, "A")+COUNTIF('Detailed Attendance'!BX70:BX70, "A")+COUNTIF('Detailed Attendance'!CQ70:CQ70, "A")+COUNTIF('Detailed Attendance'!CU70:CU70, "A")+COUNTIF('Detailed Attendance'!DN70:DN70, "A")+COUNTIF('Detailed Attendance'!DR70:DR70, "A")+COUNTIF('Detailed Attendance'!EK70:EK70, "A")+COUNTIF('Detailed Attendance'!EO70:EO70, "A")+COUNTIF('Detailed Attendance'!FE70:FE70, "A")+COUNTIF('Detailed Attendance'!FI70:FI70, "A")+COUNTIF('Detailed Attendance'!FU70:FU70, "A")+COUNTIF('Detailed Attendance'!FY70:FY70, "A")</f>
        <v/>
      </c>
      <c r="L68" s="72">
        <f>IF((J68+K68)=0, "", J68/(J68+K68))</f>
        <v/>
      </c>
      <c r="M68" s="46">
        <f>COUNTIF('Detailed Attendance'!D70:D70, "P")+COUNTIF('Detailed Attendance'!T70:T70, "P")+COUNTIF('Detailed Attendance'!AN70:AN70, "P")+COUNTIF('Detailed Attendance'!AR70:AR70, "P")+COUNTIF('Detailed Attendance'!BH70:BH70, "P")+COUNTIF('Detailed Attendance'!CB70:CB70, "P")+COUNTIF('Detailed Attendance'!CF70:CF70, "P")+COUNTIF('Detailed Attendance'!CY70:CY70, "P")+COUNTIF('Detailed Attendance'!DC70:DC70, "P")+COUNTIF('Detailed Attendance'!DV70:DV70, "P")+COUNTIF('Detailed Attendance'!DZ70:DZ70, "P")+COUNTIF('Detailed Attendance'!ES70:ES70, "P")+COUNTIF('Detailed Attendance'!GC70:GC70, "P")+COUNTIF('Detailed Attendance'!GG70:GG70, "P")</f>
        <v/>
      </c>
      <c r="N68" s="46">
        <f>COUNTIF('Detailed Attendance'!D70:D70, "A")+COUNTIF('Detailed Attendance'!T70:T70, "A")+COUNTIF('Detailed Attendance'!AN70:AN70, "A")+COUNTIF('Detailed Attendance'!AR70:AR70, "A")+COUNTIF('Detailed Attendance'!BH70:BH70, "A")+COUNTIF('Detailed Attendance'!CB70:CB70, "A")+COUNTIF('Detailed Attendance'!CF70:CF70, "A")+COUNTIF('Detailed Attendance'!CY70:CY70, "A")+COUNTIF('Detailed Attendance'!DC70:DC70, "A")+COUNTIF('Detailed Attendance'!DV70:DV70, "A")+COUNTIF('Detailed Attendance'!DZ70:DZ70, "A")+COUNTIF('Detailed Attendance'!ES70:ES70, "A")+COUNTIF('Detailed Attendance'!GC70:GC70, "A")+COUNTIF('Detailed Attendance'!GG70:GG70, "A")</f>
        <v/>
      </c>
      <c r="O68" s="72">
        <f>IF((M68+N68)=0, "", M68/(M68+N68))</f>
        <v/>
      </c>
      <c r="P68" s="46">
        <f>COUNTIF('Detailed Attendance'!M70:M70, "P")+COUNTIF('Detailed Attendance'!U70:U70, "P")+COUNTIF('Detailed Attendance'!AG70:AG70, "P")+COUNTIF('Detailed Attendance'!AO70:AO70, "P")+COUNTIF('Detailed Attendance'!BA70:BA70, "P")+COUNTIF('Detailed Attendance'!BI70:BI70, "P")+COUNTIF('Detailed Attendance'!BU70:BU70, "P")+COUNTIF('Detailed Attendance'!CC70:CC70, "P")+COUNTIF('Detailed Attendance'!CR70:CR70, "P")+COUNTIF('Detailed Attendance'!CZ70:CZ70, "P")+COUNTIF('Detailed Attendance'!DO70:DO70, "P")+COUNTIF('Detailed Attendance'!DW70:DW70, "P")+COUNTIF('Detailed Attendance'!EL70:EL70, "P")+COUNTIF('Detailed Attendance'!ET70:ET70, "P")+COUNTIF('Detailed Attendance'!FF70:FF70, "P")+COUNTIF('Detailed Attendance'!FV70:FV70, "P")+COUNTIF('Detailed Attendance'!GD70:GD70, "P")</f>
        <v/>
      </c>
      <c r="Q68" s="46">
        <f>COUNTIF('Detailed Attendance'!M70:M70, "A")+COUNTIF('Detailed Attendance'!U70:U70, "A")+COUNTIF('Detailed Attendance'!AG70:AG70, "A")+COUNTIF('Detailed Attendance'!AO70:AO70, "A")+COUNTIF('Detailed Attendance'!BA70:BA70, "A")+COUNTIF('Detailed Attendance'!BI70:BI70, "A")+COUNTIF('Detailed Attendance'!BU70:BU70, "A")+COUNTIF('Detailed Attendance'!CC70:CC70, "A")+COUNTIF('Detailed Attendance'!CR70:CR70, "A")+COUNTIF('Detailed Attendance'!CZ70:CZ70, "A")+COUNTIF('Detailed Attendance'!DO70:DO70, "A")+COUNTIF('Detailed Attendance'!DW70:DW70, "A")+COUNTIF('Detailed Attendance'!EL70:EL70, "A")+COUNTIF('Detailed Attendance'!ET70:ET70, "A")+COUNTIF('Detailed Attendance'!FF70:FF70, "A")+COUNTIF('Detailed Attendance'!FV70:FV70, "A")+COUNTIF('Detailed Attendance'!GD70:GD70, "A")</f>
        <v/>
      </c>
      <c r="R68" s="72">
        <f>IF((P68+Q68)=0, "", P68/(P68+Q68))</f>
        <v/>
      </c>
      <c r="S68" s="46">
        <f>COUNTIF('Detailed Attendance'!V70:V70, "P")+COUNTIF('Detailed Attendance'!AP70:AP70, "P")+COUNTIF('Detailed Attendance'!BJ70:BJ70, "P")+COUNTIF('Detailed Attendance'!CD70:CD70, "P")+COUNTIF('Detailed Attendance'!DA70:DA70, "P")+COUNTIF('Detailed Attendance'!DX70:DX70, "P")+COUNTIF('Detailed Attendance'!EU70:EU70, "P")+COUNTIF('Detailed Attendance'!GE70:GE70, "P")</f>
        <v/>
      </c>
      <c r="T68" s="46">
        <f>COUNTIF('Detailed Attendance'!V70:V70, "A")+COUNTIF('Detailed Attendance'!AP70:AP70, "A")+COUNTIF('Detailed Attendance'!BJ70:BJ70, "A")+COUNTIF('Detailed Attendance'!CD70:CD70, "A")+COUNTIF('Detailed Attendance'!DA70:DA70, "A")+COUNTIF('Detailed Attendance'!DX70:DX70, "A")+COUNTIF('Detailed Attendance'!EU70:EU70, "A")+COUNTIF('Detailed Attendance'!GE70:GE70, "A")</f>
        <v/>
      </c>
      <c r="U68" s="73">
        <f>IF((S68+T68)=0, "", S68/(S68+T68))</f>
        <v/>
      </c>
      <c r="V68" s="46">
        <f>COUNTIF('Detailed Attendance'!CH70:CH70, "P")+COUNTIF('Detailed Attendance'!DE70:DE70, "P")+COUNTIF('Detailed Attendance'!EB70:EB70, "P")+COUNTIF('Detailed Attendance'!GI70:GI70, "P")</f>
        <v/>
      </c>
      <c r="W68" s="46">
        <f>COUNTIF('Detailed Attendance'!CH70:CH70, "A")+COUNTIF('Detailed Attendance'!DE70:DE70, "A")+COUNTIF('Detailed Attendance'!EB70:EB70, "A")+COUNTIF('Detailed Attendance'!GI70:GI70, "A")</f>
        <v/>
      </c>
      <c r="X68" s="73">
        <f>IF((V68+W68)=0, "", V68/(V68+W68))</f>
        <v/>
      </c>
      <c r="Y68" s="46">
        <f>COUNTIF('Detailed Attendance'!CG70:CG70, "P")+COUNTIF('Detailed Attendance'!DD70:DD70, "P")+COUNTIF('Detailed Attendance'!EA70:EA70, "P")+COUNTIF('Detailed Attendance'!GH70:GH70, "P")</f>
        <v/>
      </c>
      <c r="Z68" s="46">
        <f>COUNTIF('Detailed Attendance'!CG70:CG70, "A")+COUNTIF('Detailed Attendance'!DD70:DD70, "A")+COUNTIF('Detailed Attendance'!EA70:EA70, "A")+COUNTIF('Detailed Attendance'!GH70:GH70, "A")</f>
        <v/>
      </c>
      <c r="AA68" s="73">
        <f>IF((Y68+Z68)=0, "", Y68/(Y68+Z68))</f>
        <v/>
      </c>
      <c r="AB68" s="46">
        <f>S68+V68+Y68</f>
        <v/>
      </c>
      <c r="AC68" s="46">
        <f>T68+W68+Z68</f>
        <v/>
      </c>
      <c r="AD68" s="73">
        <f>IF((AB68+AC68)=0, "", AB68/(AB68+AC68))</f>
        <v/>
      </c>
      <c r="AE68" s="46" t="inlineStr">
        <is>
          <t>Batch 2</t>
        </is>
      </c>
    </row>
    <row r="69" ht="14.25" customHeight="1" s="34">
      <c r="A69" s="46" t="n">
        <v>68</v>
      </c>
      <c r="B69" s="46" t="inlineStr">
        <is>
          <t>325106410068</t>
        </is>
      </c>
      <c r="C69" s="46" t="inlineStr">
        <is>
          <t>ABDULAZIZ AL-MASLAMI</t>
        </is>
      </c>
      <c r="D69" s="46">
        <f>COUNTIF('Detailed Attendance'!R71:R71, "P")+COUNTIF('Detailed Attendance'!X71:X71, "P")+COUNTIF('Detailed Attendance'!AL71:AL71, "P")+COUNTIF('Detailed Attendance'!BF71:BF71, "P")+COUNTIF('Detailed Attendance'!BL71:BL71, "P")+COUNTIF('Detailed Attendance'!BZ71:BZ71, "P")+COUNTIF('Detailed Attendance'!CI71:CI71, "P")+COUNTIF('Detailed Attendance'!CW71:CW71, "P")+COUNTIF('Detailed Attendance'!DF71:DF71, "P")+COUNTIF('Detailed Attendance'!DT71:DT71, "P")+COUNTIF('Detailed Attendance'!EC71:EC71, "P")+COUNTIF('Detailed Attendance'!EQ71:EQ71, "P")+COUNTIF('Detailed Attendance'!EW71:EW71, "P")+COUNTIF('Detailed Attendance'!FK71:FK71, "P")+COUNTIF('Detailed Attendance'!FM71:FM71, "P")+COUNTIF('Detailed Attendance'!GA71:GA71, "P")</f>
        <v/>
      </c>
      <c r="E69" s="46">
        <f>COUNTIF('Detailed Attendance'!R71:R71, "A")+COUNTIF('Detailed Attendance'!X71:X71, "A")+COUNTIF('Detailed Attendance'!AL71:AL71, "A")+COUNTIF('Detailed Attendance'!BF71:BF71, "A")+COUNTIF('Detailed Attendance'!BL71:BL71, "A")+COUNTIF('Detailed Attendance'!BZ71:BZ71, "A")+COUNTIF('Detailed Attendance'!CI71:CI71, "A")+COUNTIF('Detailed Attendance'!CW71:CW71, "A")+COUNTIF('Detailed Attendance'!DF71:DF71, "A")+COUNTIF('Detailed Attendance'!DT71:DT71, "A")+COUNTIF('Detailed Attendance'!EC71:EC71, "A")+COUNTIF('Detailed Attendance'!EQ71:EQ71, "A")+COUNTIF('Detailed Attendance'!EW71:EW71, "A")+COUNTIF('Detailed Attendance'!FK71:FK71, "A")+COUNTIF('Detailed Attendance'!FM71:FM71, "A")+COUNTIF('Detailed Attendance'!GA71:GA71, "A")</f>
        <v/>
      </c>
      <c r="F69" s="72">
        <f>IF((D69+E69)=0, "", D69/(D69+E69))</f>
        <v/>
      </c>
      <c r="G69" s="46">
        <f>COUNTIF('Detailed Attendance'!I71:I71, "P")+COUNTIF('Detailed Attendance'!Q71:Q71, "P")+COUNTIF('Detailed Attendance'!AC71:AC71, "P")+COUNTIF('Detailed Attendance'!AK71:AK71, "P")+COUNTIF('Detailed Attendance'!AW71:AW71, "P")+COUNTIF('Detailed Attendance'!BE71:BE71, "P")+COUNTIF('Detailed Attendance'!BQ71:BQ71, "P")+COUNTIF('Detailed Attendance'!BY71:BY71, "P")+COUNTIF('Detailed Attendance'!CN71:CN71, "P")+COUNTIF('Detailed Attendance'!CV71:CV71, "P")+COUNTIF('Detailed Attendance'!DK71:DK71, "P")+COUNTIF('Detailed Attendance'!DS71:DS71, "P")+COUNTIF('Detailed Attendance'!EH71:EH71, "P")+COUNTIF('Detailed Attendance'!EP71:EP71, "P")+COUNTIF('Detailed Attendance'!FB71:FB71, "P")+COUNTIF('Detailed Attendance'!FJ71:FJ71, "P")+COUNTIF('Detailed Attendance'!FR71:FR71, "P")+COUNTIF('Detailed Attendance'!FZ71:FZ71, "P")</f>
        <v/>
      </c>
      <c r="H69" s="46">
        <f>COUNTIF('Detailed Attendance'!I71:I71, "A")+COUNTIF('Detailed Attendance'!Q71:Q71, "A")+COUNTIF('Detailed Attendance'!AC71:AC71, "A")+COUNTIF('Detailed Attendance'!AK71:AK71, "A")+COUNTIF('Detailed Attendance'!AW71:AW71, "A")+COUNTIF('Detailed Attendance'!BE71:BE71, "A")+COUNTIF('Detailed Attendance'!BQ71:BQ71, "A")+COUNTIF('Detailed Attendance'!BY71:BY71, "A")+COUNTIF('Detailed Attendance'!CN71:CN71, "A")+COUNTIF('Detailed Attendance'!CV71:CV71, "A")+COUNTIF('Detailed Attendance'!DK71:DK71, "A")+COUNTIF('Detailed Attendance'!DS71:DS71, "A")+COUNTIF('Detailed Attendance'!EH71:EH71, "A")+COUNTIF('Detailed Attendance'!EP71:EP71, "A")+COUNTIF('Detailed Attendance'!FB71:FB71, "A")+COUNTIF('Detailed Attendance'!FJ71:FJ71, "A")+COUNTIF('Detailed Attendance'!FR71:FR71, "A")+COUNTIF('Detailed Attendance'!FZ71:FZ71, "A")</f>
        <v/>
      </c>
      <c r="I69" s="72">
        <f>IF((G69+H69)=0, "", G69/(G69+H69))</f>
        <v/>
      </c>
      <c r="J69" s="46">
        <f>COUNTIF('Detailed Attendance'!L71:L71, "P")+COUNTIF('Detailed Attendance'!P71:P71, "P")+COUNTIF('Detailed Attendance'!AF71:AF71, "P")+COUNTIF('Detailed Attendance'!AJ71:AJ71, "P")+COUNTIF('Detailed Attendance'!AZ71:AZ71, "P")+COUNTIF('Detailed Attendance'!BD71:BD71, "P")+COUNTIF('Detailed Attendance'!BT71:BT71, "P")+COUNTIF('Detailed Attendance'!BX71:BX71, "P")+COUNTIF('Detailed Attendance'!CQ71:CQ71, "P")+COUNTIF('Detailed Attendance'!CU71:CU71, "P")+COUNTIF('Detailed Attendance'!DN71:DN71, "P")+COUNTIF('Detailed Attendance'!DR71:DR71, "P")+COUNTIF('Detailed Attendance'!EK71:EK71, "P")+COUNTIF('Detailed Attendance'!EO71:EO71, "P")+COUNTIF('Detailed Attendance'!FE71:FE71, "P")+COUNTIF('Detailed Attendance'!FI71:FI71, "P")+COUNTIF('Detailed Attendance'!FU71:FU71, "P")+COUNTIF('Detailed Attendance'!FY71:FY71, "P")</f>
        <v/>
      </c>
      <c r="K69" s="46">
        <f>COUNTIF('Detailed Attendance'!L71:L71, "A")+COUNTIF('Detailed Attendance'!P71:P71, "A")+COUNTIF('Detailed Attendance'!AF71:AF71, "A")+COUNTIF('Detailed Attendance'!AJ71:AJ71, "A")+COUNTIF('Detailed Attendance'!AZ71:AZ71, "A")+COUNTIF('Detailed Attendance'!BD71:BD71, "A")+COUNTIF('Detailed Attendance'!BT71:BT71, "A")+COUNTIF('Detailed Attendance'!BX71:BX71, "A")+COUNTIF('Detailed Attendance'!CQ71:CQ71, "A")+COUNTIF('Detailed Attendance'!CU71:CU71, "A")+COUNTIF('Detailed Attendance'!DN71:DN71, "A")+COUNTIF('Detailed Attendance'!DR71:DR71, "A")+COUNTIF('Detailed Attendance'!EK71:EK71, "A")+COUNTIF('Detailed Attendance'!EO71:EO71, "A")+COUNTIF('Detailed Attendance'!FE71:FE71, "A")+COUNTIF('Detailed Attendance'!FI71:FI71, "A")+COUNTIF('Detailed Attendance'!FU71:FU71, "A")+COUNTIF('Detailed Attendance'!FY71:FY71, "A")</f>
        <v/>
      </c>
      <c r="L69" s="72">
        <f>IF((J69+K69)=0, "", J69/(J69+K69))</f>
        <v/>
      </c>
      <c r="M69" s="46">
        <f>COUNTIF('Detailed Attendance'!D71:D71, "P")+COUNTIF('Detailed Attendance'!T71:T71, "P")+COUNTIF('Detailed Attendance'!AN71:AN71, "P")+COUNTIF('Detailed Attendance'!AR71:AR71, "P")+COUNTIF('Detailed Attendance'!BH71:BH71, "P")+COUNTIF('Detailed Attendance'!CB71:CB71, "P")+COUNTIF('Detailed Attendance'!CF71:CF71, "P")+COUNTIF('Detailed Attendance'!CY71:CY71, "P")+COUNTIF('Detailed Attendance'!DC71:DC71, "P")+COUNTIF('Detailed Attendance'!DV71:DV71, "P")+COUNTIF('Detailed Attendance'!DZ71:DZ71, "P")+COUNTIF('Detailed Attendance'!ES71:ES71, "P")+COUNTIF('Detailed Attendance'!GC71:GC71, "P")+COUNTIF('Detailed Attendance'!GG71:GG71, "P")</f>
        <v/>
      </c>
      <c r="N69" s="46">
        <f>COUNTIF('Detailed Attendance'!D71:D71, "A")+COUNTIF('Detailed Attendance'!T71:T71, "A")+COUNTIF('Detailed Attendance'!AN71:AN71, "A")+COUNTIF('Detailed Attendance'!AR71:AR71, "A")+COUNTIF('Detailed Attendance'!BH71:BH71, "A")+COUNTIF('Detailed Attendance'!CB71:CB71, "A")+COUNTIF('Detailed Attendance'!CF71:CF71, "A")+COUNTIF('Detailed Attendance'!CY71:CY71, "A")+COUNTIF('Detailed Attendance'!DC71:DC71, "A")+COUNTIF('Detailed Attendance'!DV71:DV71, "A")+COUNTIF('Detailed Attendance'!DZ71:DZ71, "A")+COUNTIF('Detailed Attendance'!ES71:ES71, "A")+COUNTIF('Detailed Attendance'!GC71:GC71, "A")+COUNTIF('Detailed Attendance'!GG71:GG71, "A")</f>
        <v/>
      </c>
      <c r="O69" s="72">
        <f>IF((M69+N69)=0, "", M69/(M69+N69))</f>
        <v/>
      </c>
      <c r="P69" s="46">
        <f>COUNTIF('Detailed Attendance'!M71:M71, "P")+COUNTIF('Detailed Attendance'!U71:U71, "P")+COUNTIF('Detailed Attendance'!AG71:AG71, "P")+COUNTIF('Detailed Attendance'!AO71:AO71, "P")+COUNTIF('Detailed Attendance'!BA71:BA71, "P")+COUNTIF('Detailed Attendance'!BI71:BI71, "P")+COUNTIF('Detailed Attendance'!BU71:BU71, "P")+COUNTIF('Detailed Attendance'!CC71:CC71, "P")+COUNTIF('Detailed Attendance'!CR71:CR71, "P")+COUNTIF('Detailed Attendance'!CZ71:CZ71, "P")+COUNTIF('Detailed Attendance'!DO71:DO71, "P")+COUNTIF('Detailed Attendance'!DW71:DW71, "P")+COUNTIF('Detailed Attendance'!EL71:EL71, "P")+COUNTIF('Detailed Attendance'!ET71:ET71, "P")+COUNTIF('Detailed Attendance'!FF71:FF71, "P")+COUNTIF('Detailed Attendance'!FV71:FV71, "P")+COUNTIF('Detailed Attendance'!GD71:GD71, "P")</f>
        <v/>
      </c>
      <c r="Q69" s="46">
        <f>COUNTIF('Detailed Attendance'!M71:M71, "A")+COUNTIF('Detailed Attendance'!U71:U71, "A")+COUNTIF('Detailed Attendance'!AG71:AG71, "A")+COUNTIF('Detailed Attendance'!AO71:AO71, "A")+COUNTIF('Detailed Attendance'!BA71:BA71, "A")+COUNTIF('Detailed Attendance'!BI71:BI71, "A")+COUNTIF('Detailed Attendance'!BU71:BU71, "A")+COUNTIF('Detailed Attendance'!CC71:CC71, "A")+COUNTIF('Detailed Attendance'!CR71:CR71, "A")+COUNTIF('Detailed Attendance'!CZ71:CZ71, "A")+COUNTIF('Detailed Attendance'!DO71:DO71, "A")+COUNTIF('Detailed Attendance'!DW71:DW71, "A")+COUNTIF('Detailed Attendance'!EL71:EL71, "A")+COUNTIF('Detailed Attendance'!ET71:ET71, "A")+COUNTIF('Detailed Attendance'!FF71:FF71, "A")+COUNTIF('Detailed Attendance'!FV71:FV71, "A")+COUNTIF('Detailed Attendance'!GD71:GD71, "A")</f>
        <v/>
      </c>
      <c r="R69" s="72">
        <f>IF((P69+Q69)=0, "", P69/(P69+Q69))</f>
        <v/>
      </c>
      <c r="S69" s="46">
        <f>COUNTIF('Detailed Attendance'!V71:V71, "P")+COUNTIF('Detailed Attendance'!AP71:AP71, "P")+COUNTIF('Detailed Attendance'!BJ71:BJ71, "P")+COUNTIF('Detailed Attendance'!CD71:CD71, "P")+COUNTIF('Detailed Attendance'!DA71:DA71, "P")+COUNTIF('Detailed Attendance'!DX71:DX71, "P")+COUNTIF('Detailed Attendance'!EU71:EU71, "P")+COUNTIF('Detailed Attendance'!GE71:GE71, "P")</f>
        <v/>
      </c>
      <c r="T69" s="46">
        <f>COUNTIF('Detailed Attendance'!V71:V71, "A")+COUNTIF('Detailed Attendance'!AP71:AP71, "A")+COUNTIF('Detailed Attendance'!BJ71:BJ71, "A")+COUNTIF('Detailed Attendance'!CD71:CD71, "A")+COUNTIF('Detailed Attendance'!DA71:DA71, "A")+COUNTIF('Detailed Attendance'!DX71:DX71, "A")+COUNTIF('Detailed Attendance'!EU71:EU71, "A")+COUNTIF('Detailed Attendance'!GE71:GE71, "A")</f>
        <v/>
      </c>
      <c r="U69" s="73">
        <f>IF((S69+T69)=0, "", S69/(S69+T69))</f>
        <v/>
      </c>
      <c r="V69" s="46">
        <f>COUNTIF('Detailed Attendance'!CH71:CH71, "P")+COUNTIF('Detailed Attendance'!DE71:DE71, "P")+COUNTIF('Detailed Attendance'!EB71:EB71, "P")+COUNTIF('Detailed Attendance'!GI71:GI71, "P")</f>
        <v/>
      </c>
      <c r="W69" s="46">
        <f>COUNTIF('Detailed Attendance'!CH71:CH71, "A")+COUNTIF('Detailed Attendance'!DE71:DE71, "A")+COUNTIF('Detailed Attendance'!EB71:EB71, "A")+COUNTIF('Detailed Attendance'!GI71:GI71, "A")</f>
        <v/>
      </c>
      <c r="X69" s="73">
        <f>IF((V69+W69)=0, "", V69/(V69+W69))</f>
        <v/>
      </c>
      <c r="Y69" s="46">
        <f>COUNTIF('Detailed Attendance'!CG71:CG71, "P")+COUNTIF('Detailed Attendance'!DD71:DD71, "P")+COUNTIF('Detailed Attendance'!EA71:EA71, "P")+COUNTIF('Detailed Attendance'!GH71:GH71, "P")</f>
        <v/>
      </c>
      <c r="Z69" s="46">
        <f>COUNTIF('Detailed Attendance'!CG71:CG71, "A")+COUNTIF('Detailed Attendance'!DD71:DD71, "A")+COUNTIF('Detailed Attendance'!EA71:EA71, "A")+COUNTIF('Detailed Attendance'!GH71:GH71, "A")</f>
        <v/>
      </c>
      <c r="AA69" s="73">
        <f>IF((Y69+Z69)=0, "", Y69/(Y69+Z69))</f>
        <v/>
      </c>
      <c r="AB69" s="46">
        <f>S69+V69+Y69</f>
        <v/>
      </c>
      <c r="AC69" s="46">
        <f>T69+W69+Z69</f>
        <v/>
      </c>
      <c r="AD69" s="73">
        <f>IF((AB69+AC69)=0, "", AB69/(AB69+AC69))</f>
        <v/>
      </c>
      <c r="AE69" s="46" t="inlineStr">
        <is>
          <t>Batch 2</t>
        </is>
      </c>
    </row>
    <row r="70" ht="14.25" customHeight="1" s="34">
      <c r="A70" s="46" t="n">
        <v>69</v>
      </c>
      <c r="B70" s="46" t="inlineStr">
        <is>
          <t>325106410069</t>
        </is>
      </c>
      <c r="C70" s="46" t="inlineStr">
        <is>
          <t>ABDULRAHMAN HAGEB</t>
        </is>
      </c>
      <c r="D70" s="46">
        <f>COUNTIF('Detailed Attendance'!R72:R72, "P")+COUNTIF('Detailed Attendance'!X72:X72, "P")+COUNTIF('Detailed Attendance'!AL72:AL72, "P")+COUNTIF('Detailed Attendance'!BF72:BF72, "P")+COUNTIF('Detailed Attendance'!BL72:BL72, "P")+COUNTIF('Detailed Attendance'!BZ72:BZ72, "P")+COUNTIF('Detailed Attendance'!CI72:CI72, "P")+COUNTIF('Detailed Attendance'!CW72:CW72, "P")+COUNTIF('Detailed Attendance'!DF72:DF72, "P")+COUNTIF('Detailed Attendance'!DT72:DT72, "P")+COUNTIF('Detailed Attendance'!EC72:EC72, "P")+COUNTIF('Detailed Attendance'!EQ72:EQ72, "P")+COUNTIF('Detailed Attendance'!EW72:EW72, "P")+COUNTIF('Detailed Attendance'!FK72:FK72, "P")+COUNTIF('Detailed Attendance'!FM72:FM72, "P")+COUNTIF('Detailed Attendance'!GA72:GA72, "P")</f>
        <v/>
      </c>
      <c r="E70" s="46">
        <f>COUNTIF('Detailed Attendance'!R72:R72, "A")+COUNTIF('Detailed Attendance'!X72:X72, "A")+COUNTIF('Detailed Attendance'!AL72:AL72, "A")+COUNTIF('Detailed Attendance'!BF72:BF72, "A")+COUNTIF('Detailed Attendance'!BL72:BL72, "A")+COUNTIF('Detailed Attendance'!BZ72:BZ72, "A")+COUNTIF('Detailed Attendance'!CI72:CI72, "A")+COUNTIF('Detailed Attendance'!CW72:CW72, "A")+COUNTIF('Detailed Attendance'!DF72:DF72, "A")+COUNTIF('Detailed Attendance'!DT72:DT72, "A")+COUNTIF('Detailed Attendance'!EC72:EC72, "A")+COUNTIF('Detailed Attendance'!EQ72:EQ72, "A")+COUNTIF('Detailed Attendance'!EW72:EW72, "A")+COUNTIF('Detailed Attendance'!FK72:FK72, "A")+COUNTIF('Detailed Attendance'!FM72:FM72, "A")+COUNTIF('Detailed Attendance'!GA72:GA72, "A")</f>
        <v/>
      </c>
      <c r="F70" s="72">
        <f>IF((D70+E70)=0, "", D70/(D70+E70))</f>
        <v/>
      </c>
      <c r="G70" s="46">
        <f>COUNTIF('Detailed Attendance'!I72:I72, "P")+COUNTIF('Detailed Attendance'!Q72:Q72, "P")+COUNTIF('Detailed Attendance'!AC72:AC72, "P")+COUNTIF('Detailed Attendance'!AK72:AK72, "P")+COUNTIF('Detailed Attendance'!AW72:AW72, "P")+COUNTIF('Detailed Attendance'!BE72:BE72, "P")+COUNTIF('Detailed Attendance'!BQ72:BQ72, "P")+COUNTIF('Detailed Attendance'!BY72:BY72, "P")+COUNTIF('Detailed Attendance'!CN72:CN72, "P")+COUNTIF('Detailed Attendance'!CV72:CV72, "P")+COUNTIF('Detailed Attendance'!DK72:DK72, "P")+COUNTIF('Detailed Attendance'!DS72:DS72, "P")+COUNTIF('Detailed Attendance'!EH72:EH72, "P")+COUNTIF('Detailed Attendance'!EP72:EP72, "P")+COUNTIF('Detailed Attendance'!FB72:FB72, "P")+COUNTIF('Detailed Attendance'!FJ72:FJ72, "P")+COUNTIF('Detailed Attendance'!FR72:FR72, "P")+COUNTIF('Detailed Attendance'!FZ72:FZ72, "P")</f>
        <v/>
      </c>
      <c r="H70" s="46">
        <f>COUNTIF('Detailed Attendance'!I72:I72, "A")+COUNTIF('Detailed Attendance'!Q72:Q72, "A")+COUNTIF('Detailed Attendance'!AC72:AC72, "A")+COUNTIF('Detailed Attendance'!AK72:AK72, "A")+COUNTIF('Detailed Attendance'!AW72:AW72, "A")+COUNTIF('Detailed Attendance'!BE72:BE72, "A")+COUNTIF('Detailed Attendance'!BQ72:BQ72, "A")+COUNTIF('Detailed Attendance'!BY72:BY72, "A")+COUNTIF('Detailed Attendance'!CN72:CN72, "A")+COUNTIF('Detailed Attendance'!CV72:CV72, "A")+COUNTIF('Detailed Attendance'!DK72:DK72, "A")+COUNTIF('Detailed Attendance'!DS72:DS72, "A")+COUNTIF('Detailed Attendance'!EH72:EH72, "A")+COUNTIF('Detailed Attendance'!EP72:EP72, "A")+COUNTIF('Detailed Attendance'!FB72:FB72, "A")+COUNTIF('Detailed Attendance'!FJ72:FJ72, "A")+COUNTIF('Detailed Attendance'!FR72:FR72, "A")+COUNTIF('Detailed Attendance'!FZ72:FZ72, "A")</f>
        <v/>
      </c>
      <c r="I70" s="72">
        <f>IF((G70+H70)=0, "", G70/(G70+H70))</f>
        <v/>
      </c>
      <c r="J70" s="46">
        <f>COUNTIF('Detailed Attendance'!L72:L72, "P")+COUNTIF('Detailed Attendance'!P72:P72, "P")+COUNTIF('Detailed Attendance'!AF72:AF72, "P")+COUNTIF('Detailed Attendance'!AJ72:AJ72, "P")+COUNTIF('Detailed Attendance'!AZ72:AZ72, "P")+COUNTIF('Detailed Attendance'!BD72:BD72, "P")+COUNTIF('Detailed Attendance'!BT72:BT72, "P")+COUNTIF('Detailed Attendance'!BX72:BX72, "P")+COUNTIF('Detailed Attendance'!CQ72:CQ72, "P")+COUNTIF('Detailed Attendance'!CU72:CU72, "P")+COUNTIF('Detailed Attendance'!DN72:DN72, "P")+COUNTIF('Detailed Attendance'!DR72:DR72, "P")+COUNTIF('Detailed Attendance'!EK72:EK72, "P")+COUNTIF('Detailed Attendance'!EO72:EO72, "P")+COUNTIF('Detailed Attendance'!FE72:FE72, "P")+COUNTIF('Detailed Attendance'!FI72:FI72, "P")+COUNTIF('Detailed Attendance'!FU72:FU72, "P")+COUNTIF('Detailed Attendance'!FY72:FY72, "P")</f>
        <v/>
      </c>
      <c r="K70" s="46">
        <f>COUNTIF('Detailed Attendance'!L72:L72, "A")+COUNTIF('Detailed Attendance'!P72:P72, "A")+COUNTIF('Detailed Attendance'!AF72:AF72, "A")+COUNTIF('Detailed Attendance'!AJ72:AJ72, "A")+COUNTIF('Detailed Attendance'!AZ72:AZ72, "A")+COUNTIF('Detailed Attendance'!BD72:BD72, "A")+COUNTIF('Detailed Attendance'!BT72:BT72, "A")+COUNTIF('Detailed Attendance'!BX72:BX72, "A")+COUNTIF('Detailed Attendance'!CQ72:CQ72, "A")+COUNTIF('Detailed Attendance'!CU72:CU72, "A")+COUNTIF('Detailed Attendance'!DN72:DN72, "A")+COUNTIF('Detailed Attendance'!DR72:DR72, "A")+COUNTIF('Detailed Attendance'!EK72:EK72, "A")+COUNTIF('Detailed Attendance'!EO72:EO72, "A")+COUNTIF('Detailed Attendance'!FE72:FE72, "A")+COUNTIF('Detailed Attendance'!FI72:FI72, "A")+COUNTIF('Detailed Attendance'!FU72:FU72, "A")+COUNTIF('Detailed Attendance'!FY72:FY72, "A")</f>
        <v/>
      </c>
      <c r="L70" s="72">
        <f>IF((J70+K70)=0, "", J70/(J70+K70))</f>
        <v/>
      </c>
      <c r="M70" s="46">
        <f>COUNTIF('Detailed Attendance'!D72:D72, "P")+COUNTIF('Detailed Attendance'!T72:T72, "P")+COUNTIF('Detailed Attendance'!AN72:AN72, "P")+COUNTIF('Detailed Attendance'!AR72:AR72, "P")+COUNTIF('Detailed Attendance'!BH72:BH72, "P")+COUNTIF('Detailed Attendance'!CB72:CB72, "P")+COUNTIF('Detailed Attendance'!CF72:CF72, "P")+COUNTIF('Detailed Attendance'!CY72:CY72, "P")+COUNTIF('Detailed Attendance'!DC72:DC72, "P")+COUNTIF('Detailed Attendance'!DV72:DV72, "P")+COUNTIF('Detailed Attendance'!DZ72:DZ72, "P")+COUNTIF('Detailed Attendance'!ES72:ES72, "P")+COUNTIF('Detailed Attendance'!GC72:GC72, "P")+COUNTIF('Detailed Attendance'!GG72:GG72, "P")</f>
        <v/>
      </c>
      <c r="N70" s="46">
        <f>COUNTIF('Detailed Attendance'!D72:D72, "A")+COUNTIF('Detailed Attendance'!T72:T72, "A")+COUNTIF('Detailed Attendance'!AN72:AN72, "A")+COUNTIF('Detailed Attendance'!AR72:AR72, "A")+COUNTIF('Detailed Attendance'!BH72:BH72, "A")+COUNTIF('Detailed Attendance'!CB72:CB72, "A")+COUNTIF('Detailed Attendance'!CF72:CF72, "A")+COUNTIF('Detailed Attendance'!CY72:CY72, "A")+COUNTIF('Detailed Attendance'!DC72:DC72, "A")+COUNTIF('Detailed Attendance'!DV72:DV72, "A")+COUNTIF('Detailed Attendance'!DZ72:DZ72, "A")+COUNTIF('Detailed Attendance'!ES72:ES72, "A")+COUNTIF('Detailed Attendance'!GC72:GC72, "A")+COUNTIF('Detailed Attendance'!GG72:GG72, "A")</f>
        <v/>
      </c>
      <c r="O70" s="72">
        <f>IF((M70+N70)=0, "", M70/(M70+N70))</f>
        <v/>
      </c>
      <c r="P70" s="46">
        <f>COUNTIF('Detailed Attendance'!M72:M72, "P")+COUNTIF('Detailed Attendance'!U72:U72, "P")+COUNTIF('Detailed Attendance'!AG72:AG72, "P")+COUNTIF('Detailed Attendance'!AO72:AO72, "P")+COUNTIF('Detailed Attendance'!BA72:BA72, "P")+COUNTIF('Detailed Attendance'!BI72:BI72, "P")+COUNTIF('Detailed Attendance'!BU72:BU72, "P")+COUNTIF('Detailed Attendance'!CC72:CC72, "P")+COUNTIF('Detailed Attendance'!CR72:CR72, "P")+COUNTIF('Detailed Attendance'!CZ72:CZ72, "P")+COUNTIF('Detailed Attendance'!DO72:DO72, "P")+COUNTIF('Detailed Attendance'!DW72:DW72, "P")+COUNTIF('Detailed Attendance'!EL72:EL72, "P")+COUNTIF('Detailed Attendance'!ET72:ET72, "P")+COUNTIF('Detailed Attendance'!FF72:FF72, "P")+COUNTIF('Detailed Attendance'!FV72:FV72, "P")+COUNTIF('Detailed Attendance'!GD72:GD72, "P")</f>
        <v/>
      </c>
      <c r="Q70" s="46">
        <f>COUNTIF('Detailed Attendance'!M72:M72, "A")+COUNTIF('Detailed Attendance'!U72:U72, "A")+COUNTIF('Detailed Attendance'!AG72:AG72, "A")+COUNTIF('Detailed Attendance'!AO72:AO72, "A")+COUNTIF('Detailed Attendance'!BA72:BA72, "A")+COUNTIF('Detailed Attendance'!BI72:BI72, "A")+COUNTIF('Detailed Attendance'!BU72:BU72, "A")+COUNTIF('Detailed Attendance'!CC72:CC72, "A")+COUNTIF('Detailed Attendance'!CR72:CR72, "A")+COUNTIF('Detailed Attendance'!CZ72:CZ72, "A")+COUNTIF('Detailed Attendance'!DO72:DO72, "A")+COUNTIF('Detailed Attendance'!DW72:DW72, "A")+COUNTIF('Detailed Attendance'!EL72:EL72, "A")+COUNTIF('Detailed Attendance'!ET72:ET72, "A")+COUNTIF('Detailed Attendance'!FF72:FF72, "A")+COUNTIF('Detailed Attendance'!FV72:FV72, "A")+COUNTIF('Detailed Attendance'!GD72:GD72, "A")</f>
        <v/>
      </c>
      <c r="R70" s="72">
        <f>IF((P70+Q70)=0, "", P70/(P70+Q70))</f>
        <v/>
      </c>
      <c r="S70" s="46">
        <f>COUNTIF('Detailed Attendance'!V72:V72, "P")+COUNTIF('Detailed Attendance'!AP72:AP72, "P")+COUNTIF('Detailed Attendance'!BJ72:BJ72, "P")+COUNTIF('Detailed Attendance'!CD72:CD72, "P")+COUNTIF('Detailed Attendance'!DA72:DA72, "P")+COUNTIF('Detailed Attendance'!DX72:DX72, "P")+COUNTIF('Detailed Attendance'!EU72:EU72, "P")+COUNTIF('Detailed Attendance'!GE72:GE72, "P")</f>
        <v/>
      </c>
      <c r="T70" s="46">
        <f>COUNTIF('Detailed Attendance'!V72:V72, "A")+COUNTIF('Detailed Attendance'!AP72:AP72, "A")+COUNTIF('Detailed Attendance'!BJ72:BJ72, "A")+COUNTIF('Detailed Attendance'!CD72:CD72, "A")+COUNTIF('Detailed Attendance'!DA72:DA72, "A")+COUNTIF('Detailed Attendance'!DX72:DX72, "A")+COUNTIF('Detailed Attendance'!EU72:EU72, "A")+COUNTIF('Detailed Attendance'!GE72:GE72, "A")</f>
        <v/>
      </c>
      <c r="U70" s="73">
        <f>IF((S70+T70)=0, "", S70/(S70+T70))</f>
        <v/>
      </c>
      <c r="V70" s="46">
        <f>COUNTIF('Detailed Attendance'!CH72:CH72, "P")+COUNTIF('Detailed Attendance'!DE72:DE72, "P")+COUNTIF('Detailed Attendance'!EB72:EB72, "P")+COUNTIF('Detailed Attendance'!GI72:GI72, "P")</f>
        <v/>
      </c>
      <c r="W70" s="46">
        <f>COUNTIF('Detailed Attendance'!CH72:CH72, "A")+COUNTIF('Detailed Attendance'!DE72:DE72, "A")+COUNTIF('Detailed Attendance'!EB72:EB72, "A")+COUNTIF('Detailed Attendance'!GI72:GI72, "A")</f>
        <v/>
      </c>
      <c r="X70" s="73">
        <f>IF((V70+W70)=0, "", V70/(V70+W70))</f>
        <v/>
      </c>
      <c r="Y70" s="46">
        <f>COUNTIF('Detailed Attendance'!CG72:CG72, "P")+COUNTIF('Detailed Attendance'!DD72:DD72, "P")+COUNTIF('Detailed Attendance'!EA72:EA72, "P")+COUNTIF('Detailed Attendance'!GH72:GH72, "P")</f>
        <v/>
      </c>
      <c r="Z70" s="46">
        <f>COUNTIF('Detailed Attendance'!CG72:CG72, "A")+COUNTIF('Detailed Attendance'!DD72:DD72, "A")+COUNTIF('Detailed Attendance'!EA72:EA72, "A")+COUNTIF('Detailed Attendance'!GH72:GH72, "A")</f>
        <v/>
      </c>
      <c r="AA70" s="73">
        <f>IF((Y70+Z70)=0, "", Y70/(Y70+Z70))</f>
        <v/>
      </c>
      <c r="AB70" s="46">
        <f>S70+V70+Y70</f>
        <v/>
      </c>
      <c r="AC70" s="46">
        <f>T70+W70+Z70</f>
        <v/>
      </c>
      <c r="AD70" s="73">
        <f>IF((AB70+AC70)=0, "", AB70/(AB70+AC70))</f>
        <v/>
      </c>
      <c r="AE70" s="46" t="inlineStr">
        <is>
          <t>Batch 2</t>
        </is>
      </c>
    </row>
    <row r="71" ht="14.25" customHeight="1" s="34">
      <c r="A71" s="46" t="n">
        <v>70</v>
      </c>
      <c r="B71" s="46" t="inlineStr">
        <is>
          <t>325106410070</t>
        </is>
      </c>
      <c r="C71" s="46" t="inlineStr">
        <is>
          <t>ABUBAKAR SAMINU</t>
        </is>
      </c>
      <c r="D71" s="46">
        <f>COUNTIF('Detailed Attendance'!R73:R73, "P")+COUNTIF('Detailed Attendance'!X73:X73, "P")+COUNTIF('Detailed Attendance'!AL73:AL73, "P")+COUNTIF('Detailed Attendance'!BF73:BF73, "P")+COUNTIF('Detailed Attendance'!BL73:BL73, "P")+COUNTIF('Detailed Attendance'!BZ73:BZ73, "P")+COUNTIF('Detailed Attendance'!CI73:CI73, "P")+COUNTIF('Detailed Attendance'!CW73:CW73, "P")+COUNTIF('Detailed Attendance'!DF73:DF73, "P")+COUNTIF('Detailed Attendance'!DT73:DT73, "P")+COUNTIF('Detailed Attendance'!EC73:EC73, "P")+COUNTIF('Detailed Attendance'!EQ73:EQ73, "P")+COUNTIF('Detailed Attendance'!EW73:EW73, "P")+COUNTIF('Detailed Attendance'!FK73:FK73, "P")+COUNTIF('Detailed Attendance'!FM73:FM73, "P")+COUNTIF('Detailed Attendance'!GA73:GA73, "P")</f>
        <v/>
      </c>
      <c r="E71" s="46">
        <f>COUNTIF('Detailed Attendance'!R73:R73, "A")+COUNTIF('Detailed Attendance'!X73:X73, "A")+COUNTIF('Detailed Attendance'!AL73:AL73, "A")+COUNTIF('Detailed Attendance'!BF73:BF73, "A")+COUNTIF('Detailed Attendance'!BL73:BL73, "A")+COUNTIF('Detailed Attendance'!BZ73:BZ73, "A")+COUNTIF('Detailed Attendance'!CI73:CI73, "A")+COUNTIF('Detailed Attendance'!CW73:CW73, "A")+COUNTIF('Detailed Attendance'!DF73:DF73, "A")+COUNTIF('Detailed Attendance'!DT73:DT73, "A")+COUNTIF('Detailed Attendance'!EC73:EC73, "A")+COUNTIF('Detailed Attendance'!EQ73:EQ73, "A")+COUNTIF('Detailed Attendance'!EW73:EW73, "A")+COUNTIF('Detailed Attendance'!FK73:FK73, "A")+COUNTIF('Detailed Attendance'!FM73:FM73, "A")+COUNTIF('Detailed Attendance'!GA73:GA73, "A")</f>
        <v/>
      </c>
      <c r="F71" s="72">
        <f>IF((D71+E71)=0, "", D71/(D71+E71))</f>
        <v/>
      </c>
      <c r="G71" s="46">
        <f>COUNTIF('Detailed Attendance'!I73:I73, "P")+COUNTIF('Detailed Attendance'!Q73:Q73, "P")+COUNTIF('Detailed Attendance'!AC73:AC73, "P")+COUNTIF('Detailed Attendance'!AK73:AK73, "P")+COUNTIF('Detailed Attendance'!AW73:AW73, "P")+COUNTIF('Detailed Attendance'!BE73:BE73, "P")+COUNTIF('Detailed Attendance'!BQ73:BQ73, "P")+COUNTIF('Detailed Attendance'!BY73:BY73, "P")+COUNTIF('Detailed Attendance'!CN73:CN73, "P")+COUNTIF('Detailed Attendance'!CV73:CV73, "P")+COUNTIF('Detailed Attendance'!DK73:DK73, "P")+COUNTIF('Detailed Attendance'!DS73:DS73, "P")+COUNTIF('Detailed Attendance'!EH73:EH73, "P")+COUNTIF('Detailed Attendance'!EP73:EP73, "P")+COUNTIF('Detailed Attendance'!FB73:FB73, "P")+COUNTIF('Detailed Attendance'!FJ73:FJ73, "P")+COUNTIF('Detailed Attendance'!FR73:FR73, "P")+COUNTIF('Detailed Attendance'!FZ73:FZ73, "P")</f>
        <v/>
      </c>
      <c r="H71" s="46">
        <f>COUNTIF('Detailed Attendance'!I73:I73, "A")+COUNTIF('Detailed Attendance'!Q73:Q73, "A")+COUNTIF('Detailed Attendance'!AC73:AC73, "A")+COUNTIF('Detailed Attendance'!AK73:AK73, "A")+COUNTIF('Detailed Attendance'!AW73:AW73, "A")+COUNTIF('Detailed Attendance'!BE73:BE73, "A")+COUNTIF('Detailed Attendance'!BQ73:BQ73, "A")+COUNTIF('Detailed Attendance'!BY73:BY73, "A")+COUNTIF('Detailed Attendance'!CN73:CN73, "A")+COUNTIF('Detailed Attendance'!CV73:CV73, "A")+COUNTIF('Detailed Attendance'!DK73:DK73, "A")+COUNTIF('Detailed Attendance'!DS73:DS73, "A")+COUNTIF('Detailed Attendance'!EH73:EH73, "A")+COUNTIF('Detailed Attendance'!EP73:EP73, "A")+COUNTIF('Detailed Attendance'!FB73:FB73, "A")+COUNTIF('Detailed Attendance'!FJ73:FJ73, "A")+COUNTIF('Detailed Attendance'!FR73:FR73, "A")+COUNTIF('Detailed Attendance'!FZ73:FZ73, "A")</f>
        <v/>
      </c>
      <c r="I71" s="72">
        <f>IF((G71+H71)=0, "", G71/(G71+H71))</f>
        <v/>
      </c>
      <c r="J71" s="46">
        <f>COUNTIF('Detailed Attendance'!L73:L73, "P")+COUNTIF('Detailed Attendance'!P73:P73, "P")+COUNTIF('Detailed Attendance'!AF73:AF73, "P")+COUNTIF('Detailed Attendance'!AJ73:AJ73, "P")+COUNTIF('Detailed Attendance'!AZ73:AZ73, "P")+COUNTIF('Detailed Attendance'!BD73:BD73, "P")+COUNTIF('Detailed Attendance'!BT73:BT73, "P")+COUNTIF('Detailed Attendance'!BX73:BX73, "P")+COUNTIF('Detailed Attendance'!CQ73:CQ73, "P")+COUNTIF('Detailed Attendance'!CU73:CU73, "P")+COUNTIF('Detailed Attendance'!DN73:DN73, "P")+COUNTIF('Detailed Attendance'!DR73:DR73, "P")+COUNTIF('Detailed Attendance'!EK73:EK73, "P")+COUNTIF('Detailed Attendance'!EO73:EO73, "P")+COUNTIF('Detailed Attendance'!FE73:FE73, "P")+COUNTIF('Detailed Attendance'!FI73:FI73, "P")+COUNTIF('Detailed Attendance'!FU73:FU73, "P")+COUNTIF('Detailed Attendance'!FY73:FY73, "P")</f>
        <v/>
      </c>
      <c r="K71" s="46">
        <f>COUNTIF('Detailed Attendance'!L73:L73, "A")+COUNTIF('Detailed Attendance'!P73:P73, "A")+COUNTIF('Detailed Attendance'!AF73:AF73, "A")+COUNTIF('Detailed Attendance'!AJ73:AJ73, "A")+COUNTIF('Detailed Attendance'!AZ73:AZ73, "A")+COUNTIF('Detailed Attendance'!BD73:BD73, "A")+COUNTIF('Detailed Attendance'!BT73:BT73, "A")+COUNTIF('Detailed Attendance'!BX73:BX73, "A")+COUNTIF('Detailed Attendance'!CQ73:CQ73, "A")+COUNTIF('Detailed Attendance'!CU73:CU73, "A")+COUNTIF('Detailed Attendance'!DN73:DN73, "A")+COUNTIF('Detailed Attendance'!DR73:DR73, "A")+COUNTIF('Detailed Attendance'!EK73:EK73, "A")+COUNTIF('Detailed Attendance'!EO73:EO73, "A")+COUNTIF('Detailed Attendance'!FE73:FE73, "A")+COUNTIF('Detailed Attendance'!FI73:FI73, "A")+COUNTIF('Detailed Attendance'!FU73:FU73, "A")+COUNTIF('Detailed Attendance'!FY73:FY73, "A")</f>
        <v/>
      </c>
      <c r="L71" s="72">
        <f>IF((J71+K71)=0, "", J71/(J71+K71))</f>
        <v/>
      </c>
      <c r="M71" s="46">
        <f>COUNTIF('Detailed Attendance'!D73:D73, "P")+COUNTIF('Detailed Attendance'!T73:T73, "P")+COUNTIF('Detailed Attendance'!AN73:AN73, "P")+COUNTIF('Detailed Attendance'!AR73:AR73, "P")+COUNTIF('Detailed Attendance'!BH73:BH73, "P")+COUNTIF('Detailed Attendance'!CB73:CB73, "P")+COUNTIF('Detailed Attendance'!CF73:CF73, "P")+COUNTIF('Detailed Attendance'!CY73:CY73, "P")+COUNTIF('Detailed Attendance'!DC73:DC73, "P")+COUNTIF('Detailed Attendance'!DV73:DV73, "P")+COUNTIF('Detailed Attendance'!DZ73:DZ73, "P")+COUNTIF('Detailed Attendance'!ES73:ES73, "P")+COUNTIF('Detailed Attendance'!GC73:GC73, "P")+COUNTIF('Detailed Attendance'!GG73:GG73, "P")</f>
        <v/>
      </c>
      <c r="N71" s="46">
        <f>COUNTIF('Detailed Attendance'!D73:D73, "A")+COUNTIF('Detailed Attendance'!T73:T73, "A")+COUNTIF('Detailed Attendance'!AN73:AN73, "A")+COUNTIF('Detailed Attendance'!AR73:AR73, "A")+COUNTIF('Detailed Attendance'!BH73:BH73, "A")+COUNTIF('Detailed Attendance'!CB73:CB73, "A")+COUNTIF('Detailed Attendance'!CF73:CF73, "A")+COUNTIF('Detailed Attendance'!CY73:CY73, "A")+COUNTIF('Detailed Attendance'!DC73:DC73, "A")+COUNTIF('Detailed Attendance'!DV73:DV73, "A")+COUNTIF('Detailed Attendance'!DZ73:DZ73, "A")+COUNTIF('Detailed Attendance'!ES73:ES73, "A")+COUNTIF('Detailed Attendance'!GC73:GC73, "A")+COUNTIF('Detailed Attendance'!GG73:GG73, "A")</f>
        <v/>
      </c>
      <c r="O71" s="72">
        <f>IF((M71+N71)=0, "", M71/(M71+N71))</f>
        <v/>
      </c>
      <c r="P71" s="46">
        <f>COUNTIF('Detailed Attendance'!M73:M73, "P")+COUNTIF('Detailed Attendance'!U73:U73, "P")+COUNTIF('Detailed Attendance'!AG73:AG73, "P")+COUNTIF('Detailed Attendance'!AO73:AO73, "P")+COUNTIF('Detailed Attendance'!BA73:BA73, "P")+COUNTIF('Detailed Attendance'!BI73:BI73, "P")+COUNTIF('Detailed Attendance'!BU73:BU73, "P")+COUNTIF('Detailed Attendance'!CC73:CC73, "P")+COUNTIF('Detailed Attendance'!CR73:CR73, "P")+COUNTIF('Detailed Attendance'!CZ73:CZ73, "P")+COUNTIF('Detailed Attendance'!DO73:DO73, "P")+COUNTIF('Detailed Attendance'!DW73:DW73, "P")+COUNTIF('Detailed Attendance'!EL73:EL73, "P")+COUNTIF('Detailed Attendance'!ET73:ET73, "P")+COUNTIF('Detailed Attendance'!FF73:FF73, "P")+COUNTIF('Detailed Attendance'!FV73:FV73, "P")+COUNTIF('Detailed Attendance'!GD73:GD73, "P")</f>
        <v/>
      </c>
      <c r="Q71" s="46">
        <f>COUNTIF('Detailed Attendance'!M73:M73, "A")+COUNTIF('Detailed Attendance'!U73:U73, "A")+COUNTIF('Detailed Attendance'!AG73:AG73, "A")+COUNTIF('Detailed Attendance'!AO73:AO73, "A")+COUNTIF('Detailed Attendance'!BA73:BA73, "A")+COUNTIF('Detailed Attendance'!BI73:BI73, "A")+COUNTIF('Detailed Attendance'!BU73:BU73, "A")+COUNTIF('Detailed Attendance'!CC73:CC73, "A")+COUNTIF('Detailed Attendance'!CR73:CR73, "A")+COUNTIF('Detailed Attendance'!CZ73:CZ73, "A")+COUNTIF('Detailed Attendance'!DO73:DO73, "A")+COUNTIF('Detailed Attendance'!DW73:DW73, "A")+COUNTIF('Detailed Attendance'!EL73:EL73, "A")+COUNTIF('Detailed Attendance'!ET73:ET73, "A")+COUNTIF('Detailed Attendance'!FF73:FF73, "A")+COUNTIF('Detailed Attendance'!FV73:FV73, "A")+COUNTIF('Detailed Attendance'!GD73:GD73, "A")</f>
        <v/>
      </c>
      <c r="R71" s="72">
        <f>IF((P71+Q71)=0, "", P71/(P71+Q71))</f>
        <v/>
      </c>
      <c r="S71" s="46">
        <f>COUNTIF('Detailed Attendance'!V73:V73, "P")+COUNTIF('Detailed Attendance'!AP73:AP73, "P")+COUNTIF('Detailed Attendance'!BJ73:BJ73, "P")+COUNTIF('Detailed Attendance'!CD73:CD73, "P")+COUNTIF('Detailed Attendance'!DA73:DA73, "P")+COUNTIF('Detailed Attendance'!DX73:DX73, "P")+COUNTIF('Detailed Attendance'!EU73:EU73, "P")+COUNTIF('Detailed Attendance'!GE73:GE73, "P")</f>
        <v/>
      </c>
      <c r="T71" s="46">
        <f>COUNTIF('Detailed Attendance'!V73:V73, "A")+COUNTIF('Detailed Attendance'!AP73:AP73, "A")+COUNTIF('Detailed Attendance'!BJ73:BJ73, "A")+COUNTIF('Detailed Attendance'!CD73:CD73, "A")+COUNTIF('Detailed Attendance'!DA73:DA73, "A")+COUNTIF('Detailed Attendance'!DX73:DX73, "A")+COUNTIF('Detailed Attendance'!EU73:EU73, "A")+COUNTIF('Detailed Attendance'!GE73:GE73, "A")</f>
        <v/>
      </c>
      <c r="U71" s="73">
        <f>IF((S71+T71)=0, "", S71/(S71+T71))</f>
        <v/>
      </c>
      <c r="V71" s="46">
        <f>COUNTIF('Detailed Attendance'!CH73:CH73, "P")+COUNTIF('Detailed Attendance'!DE73:DE73, "P")+COUNTIF('Detailed Attendance'!EB73:EB73, "P")+COUNTIF('Detailed Attendance'!GI73:GI73, "P")</f>
        <v/>
      </c>
      <c r="W71" s="46">
        <f>COUNTIF('Detailed Attendance'!CH73:CH73, "A")+COUNTIF('Detailed Attendance'!DE73:DE73, "A")+COUNTIF('Detailed Attendance'!EB73:EB73, "A")+COUNTIF('Detailed Attendance'!GI73:GI73, "A")</f>
        <v/>
      </c>
      <c r="X71" s="73">
        <f>IF((V71+W71)=0, "", V71/(V71+W71))</f>
        <v/>
      </c>
      <c r="Y71" s="46">
        <f>COUNTIF('Detailed Attendance'!CG73:CG73, "P")+COUNTIF('Detailed Attendance'!DD73:DD73, "P")+COUNTIF('Detailed Attendance'!EA73:EA73, "P")+COUNTIF('Detailed Attendance'!GH73:GH73, "P")</f>
        <v/>
      </c>
      <c r="Z71" s="46">
        <f>COUNTIF('Detailed Attendance'!CG73:CG73, "A")+COUNTIF('Detailed Attendance'!DD73:DD73, "A")+COUNTIF('Detailed Attendance'!EA73:EA73, "A")+COUNTIF('Detailed Attendance'!GH73:GH73, "A")</f>
        <v/>
      </c>
      <c r="AA71" s="73">
        <f>IF((Y71+Z71)=0, "", Y71/(Y71+Z71))</f>
        <v/>
      </c>
      <c r="AB71" s="46">
        <f>S71+V71+Y71</f>
        <v/>
      </c>
      <c r="AC71" s="46">
        <f>T71+W71+Z71</f>
        <v/>
      </c>
      <c r="AD71" s="73">
        <f>IF((AB71+AC71)=0, "", AB71/(AB71+AC71))</f>
        <v/>
      </c>
      <c r="AE71" s="46" t="inlineStr">
        <is>
          <t>Batch 2</t>
        </is>
      </c>
    </row>
    <row r="72" ht="14.25" customHeight="1" s="34">
      <c r="A72" s="46" t="n">
        <v>71</v>
      </c>
      <c r="B72" s="46" t="inlineStr">
        <is>
          <t>325106410071</t>
        </is>
      </c>
      <c r="C72" s="46" t="inlineStr">
        <is>
          <t>ANGIRA CHOWDHURY</t>
        </is>
      </c>
      <c r="D72" s="46">
        <f>COUNTIF('Detailed Attendance'!R74:R74, "P")+COUNTIF('Detailed Attendance'!X74:X74, "P")+COUNTIF('Detailed Attendance'!AL74:AL74, "P")+COUNTIF('Detailed Attendance'!BF74:BF74, "P")+COUNTIF('Detailed Attendance'!BL74:BL74, "P")+COUNTIF('Detailed Attendance'!BZ74:BZ74, "P")+COUNTIF('Detailed Attendance'!CI74:CI74, "P")+COUNTIF('Detailed Attendance'!CW74:CW74, "P")+COUNTIF('Detailed Attendance'!DF74:DF74, "P")+COUNTIF('Detailed Attendance'!DT74:DT74, "P")+COUNTIF('Detailed Attendance'!EC74:EC74, "P")+COUNTIF('Detailed Attendance'!EQ74:EQ74, "P")+COUNTIF('Detailed Attendance'!EW74:EW74, "P")+COUNTIF('Detailed Attendance'!FK74:FK74, "P")+COUNTIF('Detailed Attendance'!FM74:FM74, "P")+COUNTIF('Detailed Attendance'!GA74:GA74, "P")</f>
        <v/>
      </c>
      <c r="E72" s="46">
        <f>COUNTIF('Detailed Attendance'!R74:R74, "A")+COUNTIF('Detailed Attendance'!X74:X74, "A")+COUNTIF('Detailed Attendance'!AL74:AL74, "A")+COUNTIF('Detailed Attendance'!BF74:BF74, "A")+COUNTIF('Detailed Attendance'!BL74:BL74, "A")+COUNTIF('Detailed Attendance'!BZ74:BZ74, "A")+COUNTIF('Detailed Attendance'!CI74:CI74, "A")+COUNTIF('Detailed Attendance'!CW74:CW74, "A")+COUNTIF('Detailed Attendance'!DF74:DF74, "A")+COUNTIF('Detailed Attendance'!DT74:DT74, "A")+COUNTIF('Detailed Attendance'!EC74:EC74, "A")+COUNTIF('Detailed Attendance'!EQ74:EQ74, "A")+COUNTIF('Detailed Attendance'!EW74:EW74, "A")+COUNTIF('Detailed Attendance'!FK74:FK74, "A")+COUNTIF('Detailed Attendance'!FM74:FM74, "A")+COUNTIF('Detailed Attendance'!GA74:GA74, "A")</f>
        <v/>
      </c>
      <c r="F72" s="72">
        <f>IF((D72+E72)=0, "", D72/(D72+E72))</f>
        <v/>
      </c>
      <c r="G72" s="46">
        <f>COUNTIF('Detailed Attendance'!I74:I74, "P")+COUNTIF('Detailed Attendance'!Q74:Q74, "P")+COUNTIF('Detailed Attendance'!AC74:AC74, "P")+COUNTIF('Detailed Attendance'!AK74:AK74, "P")+COUNTIF('Detailed Attendance'!AW74:AW74, "P")+COUNTIF('Detailed Attendance'!BE74:BE74, "P")+COUNTIF('Detailed Attendance'!BQ74:BQ74, "P")+COUNTIF('Detailed Attendance'!BY74:BY74, "P")+COUNTIF('Detailed Attendance'!CN74:CN74, "P")+COUNTIF('Detailed Attendance'!CV74:CV74, "P")+COUNTIF('Detailed Attendance'!DK74:DK74, "P")+COUNTIF('Detailed Attendance'!DS74:DS74, "P")+COUNTIF('Detailed Attendance'!EH74:EH74, "P")+COUNTIF('Detailed Attendance'!EP74:EP74, "P")+COUNTIF('Detailed Attendance'!FB74:FB74, "P")+COUNTIF('Detailed Attendance'!FJ74:FJ74, "P")+COUNTIF('Detailed Attendance'!FR74:FR74, "P")+COUNTIF('Detailed Attendance'!FZ74:FZ74, "P")</f>
        <v/>
      </c>
      <c r="H72" s="46">
        <f>COUNTIF('Detailed Attendance'!I74:I74, "A")+COUNTIF('Detailed Attendance'!Q74:Q74, "A")+COUNTIF('Detailed Attendance'!AC74:AC74, "A")+COUNTIF('Detailed Attendance'!AK74:AK74, "A")+COUNTIF('Detailed Attendance'!AW74:AW74, "A")+COUNTIF('Detailed Attendance'!BE74:BE74, "A")+COUNTIF('Detailed Attendance'!BQ74:BQ74, "A")+COUNTIF('Detailed Attendance'!BY74:BY74, "A")+COUNTIF('Detailed Attendance'!CN74:CN74, "A")+COUNTIF('Detailed Attendance'!CV74:CV74, "A")+COUNTIF('Detailed Attendance'!DK74:DK74, "A")+COUNTIF('Detailed Attendance'!DS74:DS74, "A")+COUNTIF('Detailed Attendance'!EH74:EH74, "A")+COUNTIF('Detailed Attendance'!EP74:EP74, "A")+COUNTIF('Detailed Attendance'!FB74:FB74, "A")+COUNTIF('Detailed Attendance'!FJ74:FJ74, "A")+COUNTIF('Detailed Attendance'!FR74:FR74, "A")+COUNTIF('Detailed Attendance'!FZ74:FZ74, "A")</f>
        <v/>
      </c>
      <c r="I72" s="72">
        <f>IF((G72+H72)=0, "", G72/(G72+H72))</f>
        <v/>
      </c>
      <c r="J72" s="46">
        <f>COUNTIF('Detailed Attendance'!L74:L74, "P")+COUNTIF('Detailed Attendance'!P74:P74, "P")+COUNTIF('Detailed Attendance'!AF74:AF74, "P")+COUNTIF('Detailed Attendance'!AJ74:AJ74, "P")+COUNTIF('Detailed Attendance'!AZ74:AZ74, "P")+COUNTIF('Detailed Attendance'!BD74:BD74, "P")+COUNTIF('Detailed Attendance'!BT74:BT74, "P")+COUNTIF('Detailed Attendance'!BX74:BX74, "P")+COUNTIF('Detailed Attendance'!CQ74:CQ74, "P")+COUNTIF('Detailed Attendance'!CU74:CU74, "P")+COUNTIF('Detailed Attendance'!DN74:DN74, "P")+COUNTIF('Detailed Attendance'!DR74:DR74, "P")+COUNTIF('Detailed Attendance'!EK74:EK74, "P")+COUNTIF('Detailed Attendance'!EO74:EO74, "P")+COUNTIF('Detailed Attendance'!FE74:FE74, "P")+COUNTIF('Detailed Attendance'!FI74:FI74, "P")+COUNTIF('Detailed Attendance'!FU74:FU74, "P")+COUNTIF('Detailed Attendance'!FY74:FY74, "P")</f>
        <v/>
      </c>
      <c r="K72" s="46">
        <f>COUNTIF('Detailed Attendance'!L74:L74, "A")+COUNTIF('Detailed Attendance'!P74:P74, "A")+COUNTIF('Detailed Attendance'!AF74:AF74, "A")+COUNTIF('Detailed Attendance'!AJ74:AJ74, "A")+COUNTIF('Detailed Attendance'!AZ74:AZ74, "A")+COUNTIF('Detailed Attendance'!BD74:BD74, "A")+COUNTIF('Detailed Attendance'!BT74:BT74, "A")+COUNTIF('Detailed Attendance'!BX74:BX74, "A")+COUNTIF('Detailed Attendance'!CQ74:CQ74, "A")+COUNTIF('Detailed Attendance'!CU74:CU74, "A")+COUNTIF('Detailed Attendance'!DN74:DN74, "A")+COUNTIF('Detailed Attendance'!DR74:DR74, "A")+COUNTIF('Detailed Attendance'!EK74:EK74, "A")+COUNTIF('Detailed Attendance'!EO74:EO74, "A")+COUNTIF('Detailed Attendance'!FE74:FE74, "A")+COUNTIF('Detailed Attendance'!FI74:FI74, "A")+COUNTIF('Detailed Attendance'!FU74:FU74, "A")+COUNTIF('Detailed Attendance'!FY74:FY74, "A")</f>
        <v/>
      </c>
      <c r="L72" s="72">
        <f>IF((J72+K72)=0, "", J72/(J72+K72))</f>
        <v/>
      </c>
      <c r="M72" s="46">
        <f>COUNTIF('Detailed Attendance'!D74:D74, "P")+COUNTIF('Detailed Attendance'!T74:T74, "P")+COUNTIF('Detailed Attendance'!AN74:AN74, "P")+COUNTIF('Detailed Attendance'!AR74:AR74, "P")+COUNTIF('Detailed Attendance'!BH74:BH74, "P")+COUNTIF('Detailed Attendance'!CB74:CB74, "P")+COUNTIF('Detailed Attendance'!CF74:CF74, "P")+COUNTIF('Detailed Attendance'!CY74:CY74, "P")+COUNTIF('Detailed Attendance'!DC74:DC74, "P")+COUNTIF('Detailed Attendance'!DV74:DV74, "P")+COUNTIF('Detailed Attendance'!DZ74:DZ74, "P")+COUNTIF('Detailed Attendance'!ES74:ES74, "P")+COUNTIF('Detailed Attendance'!GC74:GC74, "P")+COUNTIF('Detailed Attendance'!GG74:GG74, "P")</f>
        <v/>
      </c>
      <c r="N72" s="46">
        <f>COUNTIF('Detailed Attendance'!D74:D74, "A")+COUNTIF('Detailed Attendance'!T74:T74, "A")+COUNTIF('Detailed Attendance'!AN74:AN74, "A")+COUNTIF('Detailed Attendance'!AR74:AR74, "A")+COUNTIF('Detailed Attendance'!BH74:BH74, "A")+COUNTIF('Detailed Attendance'!CB74:CB74, "A")+COUNTIF('Detailed Attendance'!CF74:CF74, "A")+COUNTIF('Detailed Attendance'!CY74:CY74, "A")+COUNTIF('Detailed Attendance'!DC74:DC74, "A")+COUNTIF('Detailed Attendance'!DV74:DV74, "A")+COUNTIF('Detailed Attendance'!DZ74:DZ74, "A")+COUNTIF('Detailed Attendance'!ES74:ES74, "A")+COUNTIF('Detailed Attendance'!GC74:GC74, "A")+COUNTIF('Detailed Attendance'!GG74:GG74, "A")</f>
        <v/>
      </c>
      <c r="O72" s="72">
        <f>IF((M72+N72)=0, "", M72/(M72+N72))</f>
        <v/>
      </c>
      <c r="P72" s="46">
        <f>COUNTIF('Detailed Attendance'!M74:M74, "P")+COUNTIF('Detailed Attendance'!U74:U74, "P")+COUNTIF('Detailed Attendance'!AG74:AG74, "P")+COUNTIF('Detailed Attendance'!AO74:AO74, "P")+COUNTIF('Detailed Attendance'!BA74:BA74, "P")+COUNTIF('Detailed Attendance'!BI74:BI74, "P")+COUNTIF('Detailed Attendance'!BU74:BU74, "P")+COUNTIF('Detailed Attendance'!CC74:CC74, "P")+COUNTIF('Detailed Attendance'!CR74:CR74, "P")+COUNTIF('Detailed Attendance'!CZ74:CZ74, "P")+COUNTIF('Detailed Attendance'!DO74:DO74, "P")+COUNTIF('Detailed Attendance'!DW74:DW74, "P")+COUNTIF('Detailed Attendance'!EL74:EL74, "P")+COUNTIF('Detailed Attendance'!ET74:ET74, "P")+COUNTIF('Detailed Attendance'!FF74:FF74, "P")+COUNTIF('Detailed Attendance'!FV74:FV74, "P")+COUNTIF('Detailed Attendance'!GD74:GD74, "P")</f>
        <v/>
      </c>
      <c r="Q72" s="46">
        <f>COUNTIF('Detailed Attendance'!M74:M74, "A")+COUNTIF('Detailed Attendance'!U74:U74, "A")+COUNTIF('Detailed Attendance'!AG74:AG74, "A")+COUNTIF('Detailed Attendance'!AO74:AO74, "A")+COUNTIF('Detailed Attendance'!BA74:BA74, "A")+COUNTIF('Detailed Attendance'!BI74:BI74, "A")+COUNTIF('Detailed Attendance'!BU74:BU74, "A")+COUNTIF('Detailed Attendance'!CC74:CC74, "A")+COUNTIF('Detailed Attendance'!CR74:CR74, "A")+COUNTIF('Detailed Attendance'!CZ74:CZ74, "A")+COUNTIF('Detailed Attendance'!DO74:DO74, "A")+COUNTIF('Detailed Attendance'!DW74:DW74, "A")+COUNTIF('Detailed Attendance'!EL74:EL74, "A")+COUNTIF('Detailed Attendance'!ET74:ET74, "A")+COUNTIF('Detailed Attendance'!FF74:FF74, "A")+COUNTIF('Detailed Attendance'!FV74:FV74, "A")+COUNTIF('Detailed Attendance'!GD74:GD74, "A")</f>
        <v/>
      </c>
      <c r="R72" s="72">
        <f>IF((P72+Q72)=0, "", P72/(P72+Q72))</f>
        <v/>
      </c>
      <c r="S72" s="46">
        <f>COUNTIF('Detailed Attendance'!V74:V74, "P")+COUNTIF('Detailed Attendance'!AP74:AP74, "P")+COUNTIF('Detailed Attendance'!BJ74:BJ74, "P")+COUNTIF('Detailed Attendance'!CD74:CD74, "P")+COUNTIF('Detailed Attendance'!DA74:DA74, "P")+COUNTIF('Detailed Attendance'!DX74:DX74, "P")+COUNTIF('Detailed Attendance'!EU74:EU74, "P")+COUNTIF('Detailed Attendance'!GE74:GE74, "P")</f>
        <v/>
      </c>
      <c r="T72" s="46">
        <f>COUNTIF('Detailed Attendance'!V74:V74, "A")+COUNTIF('Detailed Attendance'!AP74:AP74, "A")+COUNTIF('Detailed Attendance'!BJ74:BJ74, "A")+COUNTIF('Detailed Attendance'!CD74:CD74, "A")+COUNTIF('Detailed Attendance'!DA74:DA74, "A")+COUNTIF('Detailed Attendance'!DX74:DX74, "A")+COUNTIF('Detailed Attendance'!EU74:EU74, "A")+COUNTIF('Detailed Attendance'!GE74:GE74, "A")</f>
        <v/>
      </c>
      <c r="U72" s="73">
        <f>IF((S72+T72)=0, "", S72/(S72+T72))</f>
        <v/>
      </c>
      <c r="V72" s="46">
        <f>COUNTIF('Detailed Attendance'!CH74:CH74, "P")+COUNTIF('Detailed Attendance'!DE74:DE74, "P")+COUNTIF('Detailed Attendance'!EB74:EB74, "P")+COUNTIF('Detailed Attendance'!GI74:GI74, "P")</f>
        <v/>
      </c>
      <c r="W72" s="46">
        <f>COUNTIF('Detailed Attendance'!CH74:CH74, "A")+COUNTIF('Detailed Attendance'!DE74:DE74, "A")+COUNTIF('Detailed Attendance'!EB74:EB74, "A")+COUNTIF('Detailed Attendance'!GI74:GI74, "A")</f>
        <v/>
      </c>
      <c r="X72" s="73">
        <f>IF((V72+W72)=0, "", V72/(V72+W72))</f>
        <v/>
      </c>
      <c r="Y72" s="46">
        <f>COUNTIF('Detailed Attendance'!CG74:CG74, "P")+COUNTIF('Detailed Attendance'!DD74:DD74, "P")+COUNTIF('Detailed Attendance'!EA74:EA74, "P")+COUNTIF('Detailed Attendance'!GH74:GH74, "P")</f>
        <v/>
      </c>
      <c r="Z72" s="46">
        <f>COUNTIF('Detailed Attendance'!CG74:CG74, "A")+COUNTIF('Detailed Attendance'!DD74:DD74, "A")+COUNTIF('Detailed Attendance'!EA74:EA74, "A")+COUNTIF('Detailed Attendance'!GH74:GH74, "A")</f>
        <v/>
      </c>
      <c r="AA72" s="73">
        <f>IF((Y72+Z72)=0, "", Y72/(Y72+Z72))</f>
        <v/>
      </c>
      <c r="AB72" s="46">
        <f>S72+V72+Y72</f>
        <v/>
      </c>
      <c r="AC72" s="46">
        <f>T72+W72+Z72</f>
        <v/>
      </c>
      <c r="AD72" s="73">
        <f>IF((AB72+AC72)=0, "", AB72/(AB72+AC72))</f>
        <v/>
      </c>
      <c r="AE72" s="46" t="inlineStr">
        <is>
          <t>Batch 2</t>
        </is>
      </c>
    </row>
    <row r="73" ht="14.25" customHeight="1" s="34">
      <c r="A73" s="46" t="n">
        <v>72</v>
      </c>
      <c r="B73" s="46" t="inlineStr">
        <is>
          <t>325106410072</t>
        </is>
      </c>
      <c r="C73" s="46" t="inlineStr">
        <is>
          <t>ANIRBAN SAHA ARGHO</t>
        </is>
      </c>
      <c r="D73" s="46">
        <f>COUNTIF('Detailed Attendance'!R75:R75, "P")+COUNTIF('Detailed Attendance'!X75:X75, "P")+COUNTIF('Detailed Attendance'!AL75:AL75, "P")+COUNTIF('Detailed Attendance'!BF75:BF75, "P")+COUNTIF('Detailed Attendance'!BL75:BL75, "P")+COUNTIF('Detailed Attendance'!BZ75:BZ75, "P")+COUNTIF('Detailed Attendance'!CI75:CI75, "P")+COUNTIF('Detailed Attendance'!CW75:CW75, "P")+COUNTIF('Detailed Attendance'!DF75:DF75, "P")+COUNTIF('Detailed Attendance'!DT75:DT75, "P")+COUNTIF('Detailed Attendance'!EC75:EC75, "P")+COUNTIF('Detailed Attendance'!EQ75:EQ75, "P")+COUNTIF('Detailed Attendance'!EW75:EW75, "P")+COUNTIF('Detailed Attendance'!FK75:FK75, "P")+COUNTIF('Detailed Attendance'!FM75:FM75, "P")+COUNTIF('Detailed Attendance'!GA75:GA75, "P")</f>
        <v/>
      </c>
      <c r="E73" s="46">
        <f>COUNTIF('Detailed Attendance'!R75:R75, "A")+COUNTIF('Detailed Attendance'!X75:X75, "A")+COUNTIF('Detailed Attendance'!AL75:AL75, "A")+COUNTIF('Detailed Attendance'!BF75:BF75, "A")+COUNTIF('Detailed Attendance'!BL75:BL75, "A")+COUNTIF('Detailed Attendance'!BZ75:BZ75, "A")+COUNTIF('Detailed Attendance'!CI75:CI75, "A")+COUNTIF('Detailed Attendance'!CW75:CW75, "A")+COUNTIF('Detailed Attendance'!DF75:DF75, "A")+COUNTIF('Detailed Attendance'!DT75:DT75, "A")+COUNTIF('Detailed Attendance'!EC75:EC75, "A")+COUNTIF('Detailed Attendance'!EQ75:EQ75, "A")+COUNTIF('Detailed Attendance'!EW75:EW75, "A")+COUNTIF('Detailed Attendance'!FK75:FK75, "A")+COUNTIF('Detailed Attendance'!FM75:FM75, "A")+COUNTIF('Detailed Attendance'!GA75:GA75, "A")</f>
        <v/>
      </c>
      <c r="F73" s="72">
        <f>IF((D73+E73)=0, "", D73/(D73+E73))</f>
        <v/>
      </c>
      <c r="G73" s="46">
        <f>COUNTIF('Detailed Attendance'!I75:I75, "P")+COUNTIF('Detailed Attendance'!Q75:Q75, "P")+COUNTIF('Detailed Attendance'!AC75:AC75, "P")+COUNTIF('Detailed Attendance'!AK75:AK75, "P")+COUNTIF('Detailed Attendance'!AW75:AW75, "P")+COUNTIF('Detailed Attendance'!BE75:BE75, "P")+COUNTIF('Detailed Attendance'!BQ75:BQ75, "P")+COUNTIF('Detailed Attendance'!BY75:BY75, "P")+COUNTIF('Detailed Attendance'!CN75:CN75, "P")+COUNTIF('Detailed Attendance'!CV75:CV75, "P")+COUNTIF('Detailed Attendance'!DK75:DK75, "P")+COUNTIF('Detailed Attendance'!DS75:DS75, "P")+COUNTIF('Detailed Attendance'!EH75:EH75, "P")+COUNTIF('Detailed Attendance'!EP75:EP75, "P")+COUNTIF('Detailed Attendance'!FB75:FB75, "P")+COUNTIF('Detailed Attendance'!FJ75:FJ75, "P")+COUNTIF('Detailed Attendance'!FR75:FR75, "P")+COUNTIF('Detailed Attendance'!FZ75:FZ75, "P")</f>
        <v/>
      </c>
      <c r="H73" s="46">
        <f>COUNTIF('Detailed Attendance'!I75:I75, "A")+COUNTIF('Detailed Attendance'!Q75:Q75, "A")+COUNTIF('Detailed Attendance'!AC75:AC75, "A")+COUNTIF('Detailed Attendance'!AK75:AK75, "A")+COUNTIF('Detailed Attendance'!AW75:AW75, "A")+COUNTIF('Detailed Attendance'!BE75:BE75, "A")+COUNTIF('Detailed Attendance'!BQ75:BQ75, "A")+COUNTIF('Detailed Attendance'!BY75:BY75, "A")+COUNTIF('Detailed Attendance'!CN75:CN75, "A")+COUNTIF('Detailed Attendance'!CV75:CV75, "A")+COUNTIF('Detailed Attendance'!DK75:DK75, "A")+COUNTIF('Detailed Attendance'!DS75:DS75, "A")+COUNTIF('Detailed Attendance'!EH75:EH75, "A")+COUNTIF('Detailed Attendance'!EP75:EP75, "A")+COUNTIF('Detailed Attendance'!FB75:FB75, "A")+COUNTIF('Detailed Attendance'!FJ75:FJ75, "A")+COUNTIF('Detailed Attendance'!FR75:FR75, "A")+COUNTIF('Detailed Attendance'!FZ75:FZ75, "A")</f>
        <v/>
      </c>
      <c r="I73" s="72">
        <f>IF((G73+H73)=0, "", G73/(G73+H73))</f>
        <v/>
      </c>
      <c r="J73" s="46">
        <f>COUNTIF('Detailed Attendance'!L75:L75, "P")+COUNTIF('Detailed Attendance'!P75:P75, "P")+COUNTIF('Detailed Attendance'!AF75:AF75, "P")+COUNTIF('Detailed Attendance'!AJ75:AJ75, "P")+COUNTIF('Detailed Attendance'!AZ75:AZ75, "P")+COUNTIF('Detailed Attendance'!BD75:BD75, "P")+COUNTIF('Detailed Attendance'!BT75:BT75, "P")+COUNTIF('Detailed Attendance'!BX75:BX75, "P")+COUNTIF('Detailed Attendance'!CQ75:CQ75, "P")+COUNTIF('Detailed Attendance'!CU75:CU75, "P")+COUNTIF('Detailed Attendance'!DN75:DN75, "P")+COUNTIF('Detailed Attendance'!DR75:DR75, "P")+COUNTIF('Detailed Attendance'!EK75:EK75, "P")+COUNTIF('Detailed Attendance'!EO75:EO75, "P")+COUNTIF('Detailed Attendance'!FE75:FE75, "P")+COUNTIF('Detailed Attendance'!FI75:FI75, "P")+COUNTIF('Detailed Attendance'!FU75:FU75, "P")+COUNTIF('Detailed Attendance'!FY75:FY75, "P")</f>
        <v/>
      </c>
      <c r="K73" s="46">
        <f>COUNTIF('Detailed Attendance'!L75:L75, "A")+COUNTIF('Detailed Attendance'!P75:P75, "A")+COUNTIF('Detailed Attendance'!AF75:AF75, "A")+COUNTIF('Detailed Attendance'!AJ75:AJ75, "A")+COUNTIF('Detailed Attendance'!AZ75:AZ75, "A")+COUNTIF('Detailed Attendance'!BD75:BD75, "A")+COUNTIF('Detailed Attendance'!BT75:BT75, "A")+COUNTIF('Detailed Attendance'!BX75:BX75, "A")+COUNTIF('Detailed Attendance'!CQ75:CQ75, "A")+COUNTIF('Detailed Attendance'!CU75:CU75, "A")+COUNTIF('Detailed Attendance'!DN75:DN75, "A")+COUNTIF('Detailed Attendance'!DR75:DR75, "A")+COUNTIF('Detailed Attendance'!EK75:EK75, "A")+COUNTIF('Detailed Attendance'!EO75:EO75, "A")+COUNTIF('Detailed Attendance'!FE75:FE75, "A")+COUNTIF('Detailed Attendance'!FI75:FI75, "A")+COUNTIF('Detailed Attendance'!FU75:FU75, "A")+COUNTIF('Detailed Attendance'!FY75:FY75, "A")</f>
        <v/>
      </c>
      <c r="L73" s="72">
        <f>IF((J73+K73)=0, "", J73/(J73+K73))</f>
        <v/>
      </c>
      <c r="M73" s="46">
        <f>COUNTIF('Detailed Attendance'!D75:D75, "P")+COUNTIF('Detailed Attendance'!T75:T75, "P")+COUNTIF('Detailed Attendance'!AN75:AN75, "P")+COUNTIF('Detailed Attendance'!AR75:AR75, "P")+COUNTIF('Detailed Attendance'!BH75:BH75, "P")+COUNTIF('Detailed Attendance'!CB75:CB75, "P")+COUNTIF('Detailed Attendance'!CF75:CF75, "P")+COUNTIF('Detailed Attendance'!CY75:CY75, "P")+COUNTIF('Detailed Attendance'!DC75:DC75, "P")+COUNTIF('Detailed Attendance'!DV75:DV75, "P")+COUNTIF('Detailed Attendance'!DZ75:DZ75, "P")+COUNTIF('Detailed Attendance'!ES75:ES75, "P")+COUNTIF('Detailed Attendance'!GC75:GC75, "P")+COUNTIF('Detailed Attendance'!GG75:GG75, "P")</f>
        <v/>
      </c>
      <c r="N73" s="46">
        <f>COUNTIF('Detailed Attendance'!D75:D75, "A")+COUNTIF('Detailed Attendance'!T75:T75, "A")+COUNTIF('Detailed Attendance'!AN75:AN75, "A")+COUNTIF('Detailed Attendance'!AR75:AR75, "A")+COUNTIF('Detailed Attendance'!BH75:BH75, "A")+COUNTIF('Detailed Attendance'!CB75:CB75, "A")+COUNTIF('Detailed Attendance'!CF75:CF75, "A")+COUNTIF('Detailed Attendance'!CY75:CY75, "A")+COUNTIF('Detailed Attendance'!DC75:DC75, "A")+COUNTIF('Detailed Attendance'!DV75:DV75, "A")+COUNTIF('Detailed Attendance'!DZ75:DZ75, "A")+COUNTIF('Detailed Attendance'!ES75:ES75, "A")+COUNTIF('Detailed Attendance'!GC75:GC75, "A")+COUNTIF('Detailed Attendance'!GG75:GG75, "A")</f>
        <v/>
      </c>
      <c r="O73" s="72">
        <f>IF((M73+N73)=0, "", M73/(M73+N73))</f>
        <v/>
      </c>
      <c r="P73" s="46">
        <f>COUNTIF('Detailed Attendance'!M75:M75, "P")+COUNTIF('Detailed Attendance'!U75:U75, "P")+COUNTIF('Detailed Attendance'!AG75:AG75, "P")+COUNTIF('Detailed Attendance'!AO75:AO75, "P")+COUNTIF('Detailed Attendance'!BA75:BA75, "P")+COUNTIF('Detailed Attendance'!BI75:BI75, "P")+COUNTIF('Detailed Attendance'!BU75:BU75, "P")+COUNTIF('Detailed Attendance'!CC75:CC75, "P")+COUNTIF('Detailed Attendance'!CR75:CR75, "P")+COUNTIF('Detailed Attendance'!CZ75:CZ75, "P")+COUNTIF('Detailed Attendance'!DO75:DO75, "P")+COUNTIF('Detailed Attendance'!DW75:DW75, "P")+COUNTIF('Detailed Attendance'!EL75:EL75, "P")+COUNTIF('Detailed Attendance'!ET75:ET75, "P")+COUNTIF('Detailed Attendance'!FF75:FF75, "P")+COUNTIF('Detailed Attendance'!FV75:FV75, "P")+COUNTIF('Detailed Attendance'!GD75:GD75, "P")</f>
        <v/>
      </c>
      <c r="Q73" s="46">
        <f>COUNTIF('Detailed Attendance'!M75:M75, "A")+COUNTIF('Detailed Attendance'!U75:U75, "A")+COUNTIF('Detailed Attendance'!AG75:AG75, "A")+COUNTIF('Detailed Attendance'!AO75:AO75, "A")+COUNTIF('Detailed Attendance'!BA75:BA75, "A")+COUNTIF('Detailed Attendance'!BI75:BI75, "A")+COUNTIF('Detailed Attendance'!BU75:BU75, "A")+COUNTIF('Detailed Attendance'!CC75:CC75, "A")+COUNTIF('Detailed Attendance'!CR75:CR75, "A")+COUNTIF('Detailed Attendance'!CZ75:CZ75, "A")+COUNTIF('Detailed Attendance'!DO75:DO75, "A")+COUNTIF('Detailed Attendance'!DW75:DW75, "A")+COUNTIF('Detailed Attendance'!EL75:EL75, "A")+COUNTIF('Detailed Attendance'!ET75:ET75, "A")+COUNTIF('Detailed Attendance'!FF75:FF75, "A")+COUNTIF('Detailed Attendance'!FV75:FV75, "A")+COUNTIF('Detailed Attendance'!GD75:GD75, "A")</f>
        <v/>
      </c>
      <c r="R73" s="72">
        <f>IF((P73+Q73)=0, "", P73/(P73+Q73))</f>
        <v/>
      </c>
      <c r="S73" s="46">
        <f>COUNTIF('Detailed Attendance'!V75:V75, "P")+COUNTIF('Detailed Attendance'!AP75:AP75, "P")+COUNTIF('Detailed Attendance'!BJ75:BJ75, "P")+COUNTIF('Detailed Attendance'!CD75:CD75, "P")+COUNTIF('Detailed Attendance'!DA75:DA75, "P")+COUNTIF('Detailed Attendance'!DX75:DX75, "P")+COUNTIF('Detailed Attendance'!EU75:EU75, "P")+COUNTIF('Detailed Attendance'!GE75:GE75, "P")</f>
        <v/>
      </c>
      <c r="T73" s="46">
        <f>COUNTIF('Detailed Attendance'!V75:V75, "A")+COUNTIF('Detailed Attendance'!AP75:AP75, "A")+COUNTIF('Detailed Attendance'!BJ75:BJ75, "A")+COUNTIF('Detailed Attendance'!CD75:CD75, "A")+COUNTIF('Detailed Attendance'!DA75:DA75, "A")+COUNTIF('Detailed Attendance'!DX75:DX75, "A")+COUNTIF('Detailed Attendance'!EU75:EU75, "A")+COUNTIF('Detailed Attendance'!GE75:GE75, "A")</f>
        <v/>
      </c>
      <c r="U73" s="73">
        <f>IF((S73+T73)=0, "", S73/(S73+T73))</f>
        <v/>
      </c>
      <c r="V73" s="46">
        <f>COUNTIF('Detailed Attendance'!CH75:CH75, "P")+COUNTIF('Detailed Attendance'!DE75:DE75, "P")+COUNTIF('Detailed Attendance'!EB75:EB75, "P")+COUNTIF('Detailed Attendance'!GI75:GI75, "P")</f>
        <v/>
      </c>
      <c r="W73" s="46">
        <f>COUNTIF('Detailed Attendance'!CH75:CH75, "A")+COUNTIF('Detailed Attendance'!DE75:DE75, "A")+COUNTIF('Detailed Attendance'!EB75:EB75, "A")+COUNTIF('Detailed Attendance'!GI75:GI75, "A")</f>
        <v/>
      </c>
      <c r="X73" s="73">
        <f>IF((V73+W73)=0, "", V73/(V73+W73))</f>
        <v/>
      </c>
      <c r="Y73" s="46">
        <f>COUNTIF('Detailed Attendance'!CG75:CG75, "P")+COUNTIF('Detailed Attendance'!DD75:DD75, "P")+COUNTIF('Detailed Attendance'!EA75:EA75, "P")+COUNTIF('Detailed Attendance'!GH75:GH75, "P")</f>
        <v/>
      </c>
      <c r="Z73" s="46">
        <f>COUNTIF('Detailed Attendance'!CG75:CG75, "A")+COUNTIF('Detailed Attendance'!DD75:DD75, "A")+COUNTIF('Detailed Attendance'!EA75:EA75, "A")+COUNTIF('Detailed Attendance'!GH75:GH75, "A")</f>
        <v/>
      </c>
      <c r="AA73" s="73">
        <f>IF((Y73+Z73)=0, "", Y73/(Y73+Z73))</f>
        <v/>
      </c>
      <c r="AB73" s="46">
        <f>S73+V73+Y73</f>
        <v/>
      </c>
      <c r="AC73" s="46">
        <f>T73+W73+Z73</f>
        <v/>
      </c>
      <c r="AD73" s="73">
        <f>IF((AB73+AC73)=0, "", AB73/(AB73+AC73))</f>
        <v/>
      </c>
      <c r="AE73" s="46" t="inlineStr">
        <is>
          <t>Batch 2</t>
        </is>
      </c>
    </row>
    <row r="74" ht="14.25" customHeight="1" s="34">
      <c r="A74" s="46" t="n">
        <v>73</v>
      </c>
      <c r="B74" s="46" t="inlineStr">
        <is>
          <t>325106410073</t>
        </is>
      </c>
      <c r="C74" s="46" t="inlineStr">
        <is>
          <t>SAMUEL ANTWI MALIK</t>
        </is>
      </c>
      <c r="D74" s="46">
        <f>COUNTIF('Detailed Attendance'!R76:R76, "P")+COUNTIF('Detailed Attendance'!X76:X76, "P")+COUNTIF('Detailed Attendance'!AL76:AL76, "P")+COUNTIF('Detailed Attendance'!BF76:BF76, "P")+COUNTIF('Detailed Attendance'!BL76:BL76, "P")+COUNTIF('Detailed Attendance'!BZ76:BZ76, "P")+COUNTIF('Detailed Attendance'!CI76:CI76, "P")+COUNTIF('Detailed Attendance'!CW76:CW76, "P")+COUNTIF('Detailed Attendance'!DF76:DF76, "P")+COUNTIF('Detailed Attendance'!DT76:DT76, "P")+COUNTIF('Detailed Attendance'!EC76:EC76, "P")+COUNTIF('Detailed Attendance'!EQ76:EQ76, "P")+COUNTIF('Detailed Attendance'!EW76:EW76, "P")+COUNTIF('Detailed Attendance'!FK76:FK76, "P")+COUNTIF('Detailed Attendance'!FM76:FM76, "P")+COUNTIF('Detailed Attendance'!GA76:GA76, "P")</f>
        <v/>
      </c>
      <c r="E74" s="46">
        <f>COUNTIF('Detailed Attendance'!R76:R76, "A")+COUNTIF('Detailed Attendance'!X76:X76, "A")+COUNTIF('Detailed Attendance'!AL76:AL76, "A")+COUNTIF('Detailed Attendance'!BF76:BF76, "A")+COUNTIF('Detailed Attendance'!BL76:BL76, "A")+COUNTIF('Detailed Attendance'!BZ76:BZ76, "A")+COUNTIF('Detailed Attendance'!CI76:CI76, "A")+COUNTIF('Detailed Attendance'!CW76:CW76, "A")+COUNTIF('Detailed Attendance'!DF76:DF76, "A")+COUNTIF('Detailed Attendance'!DT76:DT76, "A")+COUNTIF('Detailed Attendance'!EC76:EC76, "A")+COUNTIF('Detailed Attendance'!EQ76:EQ76, "A")+COUNTIF('Detailed Attendance'!EW76:EW76, "A")+COUNTIF('Detailed Attendance'!FK76:FK76, "A")+COUNTIF('Detailed Attendance'!FM76:FM76, "A")+COUNTIF('Detailed Attendance'!GA76:GA76, "A")</f>
        <v/>
      </c>
      <c r="F74" s="72">
        <f>IF((D74+E74)=0, "", D74/(D74+E74))</f>
        <v/>
      </c>
      <c r="G74" s="46">
        <f>COUNTIF('Detailed Attendance'!I76:I76, "P")+COUNTIF('Detailed Attendance'!Q76:Q76, "P")+COUNTIF('Detailed Attendance'!AC76:AC76, "P")+COUNTIF('Detailed Attendance'!AK76:AK76, "P")+COUNTIF('Detailed Attendance'!AW76:AW76, "P")+COUNTIF('Detailed Attendance'!BE76:BE76, "P")+COUNTIF('Detailed Attendance'!BQ76:BQ76, "P")+COUNTIF('Detailed Attendance'!BY76:BY76, "P")+COUNTIF('Detailed Attendance'!CN76:CN76, "P")+COUNTIF('Detailed Attendance'!CV76:CV76, "P")+COUNTIF('Detailed Attendance'!DK76:DK76, "P")+COUNTIF('Detailed Attendance'!DS76:DS76, "P")+COUNTIF('Detailed Attendance'!EH76:EH76, "P")+COUNTIF('Detailed Attendance'!EP76:EP76, "P")+COUNTIF('Detailed Attendance'!FB76:FB76, "P")+COUNTIF('Detailed Attendance'!FJ76:FJ76, "P")+COUNTIF('Detailed Attendance'!FR76:FR76, "P")+COUNTIF('Detailed Attendance'!FZ76:FZ76, "P")</f>
        <v/>
      </c>
      <c r="H74" s="46">
        <f>COUNTIF('Detailed Attendance'!I76:I76, "A")+COUNTIF('Detailed Attendance'!Q76:Q76, "A")+COUNTIF('Detailed Attendance'!AC76:AC76, "A")+COUNTIF('Detailed Attendance'!AK76:AK76, "A")+COUNTIF('Detailed Attendance'!AW76:AW76, "A")+COUNTIF('Detailed Attendance'!BE76:BE76, "A")+COUNTIF('Detailed Attendance'!BQ76:BQ76, "A")+COUNTIF('Detailed Attendance'!BY76:BY76, "A")+COUNTIF('Detailed Attendance'!CN76:CN76, "A")+COUNTIF('Detailed Attendance'!CV76:CV76, "A")+COUNTIF('Detailed Attendance'!DK76:DK76, "A")+COUNTIF('Detailed Attendance'!DS76:DS76, "A")+COUNTIF('Detailed Attendance'!EH76:EH76, "A")+COUNTIF('Detailed Attendance'!EP76:EP76, "A")+COUNTIF('Detailed Attendance'!FB76:FB76, "A")+COUNTIF('Detailed Attendance'!FJ76:FJ76, "A")+COUNTIF('Detailed Attendance'!FR76:FR76, "A")+COUNTIF('Detailed Attendance'!FZ76:FZ76, "A")</f>
        <v/>
      </c>
      <c r="I74" s="72">
        <f>IF((G74+H74)=0, "", G74/(G74+H74))</f>
        <v/>
      </c>
      <c r="J74" s="46">
        <f>COUNTIF('Detailed Attendance'!L76:L76, "P")+COUNTIF('Detailed Attendance'!P76:P76, "P")+COUNTIF('Detailed Attendance'!AF76:AF76, "P")+COUNTIF('Detailed Attendance'!AJ76:AJ76, "P")+COUNTIF('Detailed Attendance'!AZ76:AZ76, "P")+COUNTIF('Detailed Attendance'!BD76:BD76, "P")+COUNTIF('Detailed Attendance'!BT76:BT76, "P")+COUNTIF('Detailed Attendance'!BX76:BX76, "P")+COUNTIF('Detailed Attendance'!CQ76:CQ76, "P")+COUNTIF('Detailed Attendance'!CU76:CU76, "P")+COUNTIF('Detailed Attendance'!DN76:DN76, "P")+COUNTIF('Detailed Attendance'!DR76:DR76, "P")+COUNTIF('Detailed Attendance'!EK76:EK76, "P")+COUNTIF('Detailed Attendance'!EO76:EO76, "P")+COUNTIF('Detailed Attendance'!FE76:FE76, "P")+COUNTIF('Detailed Attendance'!FI76:FI76, "P")+COUNTIF('Detailed Attendance'!FU76:FU76, "P")+COUNTIF('Detailed Attendance'!FY76:FY76, "P")</f>
        <v/>
      </c>
      <c r="K74" s="46">
        <f>COUNTIF('Detailed Attendance'!L76:L76, "A")+COUNTIF('Detailed Attendance'!P76:P76, "A")+COUNTIF('Detailed Attendance'!AF76:AF76, "A")+COUNTIF('Detailed Attendance'!AJ76:AJ76, "A")+COUNTIF('Detailed Attendance'!AZ76:AZ76, "A")+COUNTIF('Detailed Attendance'!BD76:BD76, "A")+COUNTIF('Detailed Attendance'!BT76:BT76, "A")+COUNTIF('Detailed Attendance'!BX76:BX76, "A")+COUNTIF('Detailed Attendance'!CQ76:CQ76, "A")+COUNTIF('Detailed Attendance'!CU76:CU76, "A")+COUNTIF('Detailed Attendance'!DN76:DN76, "A")+COUNTIF('Detailed Attendance'!DR76:DR76, "A")+COUNTIF('Detailed Attendance'!EK76:EK76, "A")+COUNTIF('Detailed Attendance'!EO76:EO76, "A")+COUNTIF('Detailed Attendance'!FE76:FE76, "A")+COUNTIF('Detailed Attendance'!FI76:FI76, "A")+COUNTIF('Detailed Attendance'!FU76:FU76, "A")+COUNTIF('Detailed Attendance'!FY76:FY76, "A")</f>
        <v/>
      </c>
      <c r="L74" s="72">
        <f>IF((J74+K74)=0, "", J74/(J74+K74))</f>
        <v/>
      </c>
      <c r="M74" s="46">
        <f>COUNTIF('Detailed Attendance'!D76:D76, "P")+COUNTIF('Detailed Attendance'!T76:T76, "P")+COUNTIF('Detailed Attendance'!AN76:AN76, "P")+COUNTIF('Detailed Attendance'!AR76:AR76, "P")+COUNTIF('Detailed Attendance'!BH76:BH76, "P")+COUNTIF('Detailed Attendance'!CB76:CB76, "P")+COUNTIF('Detailed Attendance'!CF76:CF76, "P")+COUNTIF('Detailed Attendance'!CY76:CY76, "P")+COUNTIF('Detailed Attendance'!DC76:DC76, "P")+COUNTIF('Detailed Attendance'!DV76:DV76, "P")+COUNTIF('Detailed Attendance'!DZ76:DZ76, "P")+COUNTIF('Detailed Attendance'!ES76:ES76, "P")+COUNTIF('Detailed Attendance'!GC76:GC76, "P")+COUNTIF('Detailed Attendance'!GG76:GG76, "P")</f>
        <v/>
      </c>
      <c r="N74" s="46">
        <f>COUNTIF('Detailed Attendance'!D76:D76, "A")+COUNTIF('Detailed Attendance'!T76:T76, "A")+COUNTIF('Detailed Attendance'!AN76:AN76, "A")+COUNTIF('Detailed Attendance'!AR76:AR76, "A")+COUNTIF('Detailed Attendance'!BH76:BH76, "A")+COUNTIF('Detailed Attendance'!CB76:CB76, "A")+COUNTIF('Detailed Attendance'!CF76:CF76, "A")+COUNTIF('Detailed Attendance'!CY76:CY76, "A")+COUNTIF('Detailed Attendance'!DC76:DC76, "A")+COUNTIF('Detailed Attendance'!DV76:DV76, "A")+COUNTIF('Detailed Attendance'!DZ76:DZ76, "A")+COUNTIF('Detailed Attendance'!ES76:ES76, "A")+COUNTIF('Detailed Attendance'!GC76:GC76, "A")+COUNTIF('Detailed Attendance'!GG76:GG76, "A")</f>
        <v/>
      </c>
      <c r="O74" s="72">
        <f>IF((M74+N74)=0, "", M74/(M74+N74))</f>
        <v/>
      </c>
      <c r="P74" s="46">
        <f>COUNTIF('Detailed Attendance'!M76:M76, "P")+COUNTIF('Detailed Attendance'!U76:U76, "P")+COUNTIF('Detailed Attendance'!AG76:AG76, "P")+COUNTIF('Detailed Attendance'!AO76:AO76, "P")+COUNTIF('Detailed Attendance'!BA76:BA76, "P")+COUNTIF('Detailed Attendance'!BI76:BI76, "P")+COUNTIF('Detailed Attendance'!BU76:BU76, "P")+COUNTIF('Detailed Attendance'!CC76:CC76, "P")+COUNTIF('Detailed Attendance'!CR76:CR76, "P")+COUNTIF('Detailed Attendance'!CZ76:CZ76, "P")+COUNTIF('Detailed Attendance'!DO76:DO76, "P")+COUNTIF('Detailed Attendance'!DW76:DW76, "P")+COUNTIF('Detailed Attendance'!EL76:EL76, "P")+COUNTIF('Detailed Attendance'!ET76:ET76, "P")+COUNTIF('Detailed Attendance'!FF76:FF76, "P")+COUNTIF('Detailed Attendance'!FV76:FV76, "P")+COUNTIF('Detailed Attendance'!GD76:GD76, "P")</f>
        <v/>
      </c>
      <c r="Q74" s="46">
        <f>COUNTIF('Detailed Attendance'!M76:M76, "A")+COUNTIF('Detailed Attendance'!U76:U76, "A")+COUNTIF('Detailed Attendance'!AG76:AG76, "A")+COUNTIF('Detailed Attendance'!AO76:AO76, "A")+COUNTIF('Detailed Attendance'!BA76:BA76, "A")+COUNTIF('Detailed Attendance'!BI76:BI76, "A")+COUNTIF('Detailed Attendance'!BU76:BU76, "A")+COUNTIF('Detailed Attendance'!CC76:CC76, "A")+COUNTIF('Detailed Attendance'!CR76:CR76, "A")+COUNTIF('Detailed Attendance'!CZ76:CZ76, "A")+COUNTIF('Detailed Attendance'!DO76:DO76, "A")+COUNTIF('Detailed Attendance'!DW76:DW76, "A")+COUNTIF('Detailed Attendance'!EL76:EL76, "A")+COUNTIF('Detailed Attendance'!ET76:ET76, "A")+COUNTIF('Detailed Attendance'!FF76:FF76, "A")+COUNTIF('Detailed Attendance'!FV76:FV76, "A")+COUNTIF('Detailed Attendance'!GD76:GD76, "A")</f>
        <v/>
      </c>
      <c r="R74" s="72">
        <f>IF((P74+Q74)=0, "", P74/(P74+Q74))</f>
        <v/>
      </c>
      <c r="S74" s="46">
        <f>COUNTIF('Detailed Attendance'!V76:V76, "P")+COUNTIF('Detailed Attendance'!AP76:AP76, "P")+COUNTIF('Detailed Attendance'!BJ76:BJ76, "P")+COUNTIF('Detailed Attendance'!CD76:CD76, "P")+COUNTIF('Detailed Attendance'!DA76:DA76, "P")+COUNTIF('Detailed Attendance'!DX76:DX76, "P")+COUNTIF('Detailed Attendance'!EU76:EU76, "P")+COUNTIF('Detailed Attendance'!GE76:GE76, "P")</f>
        <v/>
      </c>
      <c r="T74" s="46">
        <f>COUNTIF('Detailed Attendance'!V76:V76, "A")+COUNTIF('Detailed Attendance'!AP76:AP76, "A")+COUNTIF('Detailed Attendance'!BJ76:BJ76, "A")+COUNTIF('Detailed Attendance'!CD76:CD76, "A")+COUNTIF('Detailed Attendance'!DA76:DA76, "A")+COUNTIF('Detailed Attendance'!DX76:DX76, "A")+COUNTIF('Detailed Attendance'!EU76:EU76, "A")+COUNTIF('Detailed Attendance'!GE76:GE76, "A")</f>
        <v/>
      </c>
      <c r="U74" s="73">
        <f>IF((S74+T74)=0, "", S74/(S74+T74))</f>
        <v/>
      </c>
      <c r="V74" s="46">
        <f>COUNTIF('Detailed Attendance'!CH76:CH76, "P")+COUNTIF('Detailed Attendance'!DE76:DE76, "P")+COUNTIF('Detailed Attendance'!EB76:EB76, "P")+COUNTIF('Detailed Attendance'!GI76:GI76, "P")</f>
        <v/>
      </c>
      <c r="W74" s="46">
        <f>COUNTIF('Detailed Attendance'!CH76:CH76, "A")+COUNTIF('Detailed Attendance'!DE76:DE76, "A")+COUNTIF('Detailed Attendance'!EB76:EB76, "A")+COUNTIF('Detailed Attendance'!GI76:GI76, "A")</f>
        <v/>
      </c>
      <c r="X74" s="73">
        <f>IF((V74+W74)=0, "", V74/(V74+W74))</f>
        <v/>
      </c>
      <c r="Y74" s="46">
        <f>COUNTIF('Detailed Attendance'!CG76:CG76, "P")+COUNTIF('Detailed Attendance'!DD76:DD76, "P")+COUNTIF('Detailed Attendance'!EA76:EA76, "P")+COUNTIF('Detailed Attendance'!GH76:GH76, "P")</f>
        <v/>
      </c>
      <c r="Z74" s="46">
        <f>COUNTIF('Detailed Attendance'!CG76:CG76, "A")+COUNTIF('Detailed Attendance'!DD76:DD76, "A")+COUNTIF('Detailed Attendance'!EA76:EA76, "A")+COUNTIF('Detailed Attendance'!GH76:GH76, "A")</f>
        <v/>
      </c>
      <c r="AA74" s="73">
        <f>IF((Y74+Z74)=0, "", Y74/(Y74+Z74))</f>
        <v/>
      </c>
      <c r="AB74" s="46">
        <f>S74+V74+Y74</f>
        <v/>
      </c>
      <c r="AC74" s="46">
        <f>T74+W74+Z74</f>
        <v/>
      </c>
      <c r="AD74" s="73">
        <f>IF((AB74+AC74)=0, "", AB74/(AB74+AC74))</f>
        <v/>
      </c>
      <c r="AE74" s="46" t="inlineStr">
        <is>
          <t>Batch 2</t>
        </is>
      </c>
    </row>
    <row r="75" ht="14.25" customHeight="1" s="34">
      <c r="A75" s="46" t="n">
        <v>74</v>
      </c>
      <c r="B75" s="46" t="inlineStr">
        <is>
          <t>325106410074</t>
        </is>
      </c>
      <c r="C75" s="46" t="inlineStr">
        <is>
          <t>AOULADI AHAMADA</t>
        </is>
      </c>
      <c r="D75" s="46">
        <f>COUNTIF('Detailed Attendance'!R77:R77, "P")+COUNTIF('Detailed Attendance'!X77:X77, "P")+COUNTIF('Detailed Attendance'!AL77:AL77, "P")+COUNTIF('Detailed Attendance'!BF77:BF77, "P")+COUNTIF('Detailed Attendance'!BL77:BL77, "P")+COUNTIF('Detailed Attendance'!BZ77:BZ77, "P")+COUNTIF('Detailed Attendance'!CI77:CI77, "P")+COUNTIF('Detailed Attendance'!CW77:CW77, "P")+COUNTIF('Detailed Attendance'!DF77:DF77, "P")+COUNTIF('Detailed Attendance'!DT77:DT77, "P")+COUNTIF('Detailed Attendance'!EC77:EC77, "P")+COUNTIF('Detailed Attendance'!EQ77:EQ77, "P")+COUNTIF('Detailed Attendance'!EW77:EW77, "P")+COUNTIF('Detailed Attendance'!FK77:FK77, "P")+COUNTIF('Detailed Attendance'!FM77:FM77, "P")+COUNTIF('Detailed Attendance'!GA77:GA77, "P")</f>
        <v/>
      </c>
      <c r="E75" s="46">
        <f>COUNTIF('Detailed Attendance'!R77:R77, "A")+COUNTIF('Detailed Attendance'!X77:X77, "A")+COUNTIF('Detailed Attendance'!AL77:AL77, "A")+COUNTIF('Detailed Attendance'!BF77:BF77, "A")+COUNTIF('Detailed Attendance'!BL77:BL77, "A")+COUNTIF('Detailed Attendance'!BZ77:BZ77, "A")+COUNTIF('Detailed Attendance'!CI77:CI77, "A")+COUNTIF('Detailed Attendance'!CW77:CW77, "A")+COUNTIF('Detailed Attendance'!DF77:DF77, "A")+COUNTIF('Detailed Attendance'!DT77:DT77, "A")+COUNTIF('Detailed Attendance'!EC77:EC77, "A")+COUNTIF('Detailed Attendance'!EQ77:EQ77, "A")+COUNTIF('Detailed Attendance'!EW77:EW77, "A")+COUNTIF('Detailed Attendance'!FK77:FK77, "A")+COUNTIF('Detailed Attendance'!FM77:FM77, "A")+COUNTIF('Detailed Attendance'!GA77:GA77, "A")</f>
        <v/>
      </c>
      <c r="F75" s="72">
        <f>IF((D75+E75)=0, "", D75/(D75+E75))</f>
        <v/>
      </c>
      <c r="G75" s="46">
        <f>COUNTIF('Detailed Attendance'!I77:I77, "P")+COUNTIF('Detailed Attendance'!Q77:Q77, "P")+COUNTIF('Detailed Attendance'!AC77:AC77, "P")+COUNTIF('Detailed Attendance'!AK77:AK77, "P")+COUNTIF('Detailed Attendance'!AW77:AW77, "P")+COUNTIF('Detailed Attendance'!BE77:BE77, "P")+COUNTIF('Detailed Attendance'!BQ77:BQ77, "P")+COUNTIF('Detailed Attendance'!BY77:BY77, "P")+COUNTIF('Detailed Attendance'!CN77:CN77, "P")+COUNTIF('Detailed Attendance'!CV77:CV77, "P")+COUNTIF('Detailed Attendance'!DK77:DK77, "P")+COUNTIF('Detailed Attendance'!DS77:DS77, "P")+COUNTIF('Detailed Attendance'!EH77:EH77, "P")+COUNTIF('Detailed Attendance'!EP77:EP77, "P")+COUNTIF('Detailed Attendance'!FB77:FB77, "P")+COUNTIF('Detailed Attendance'!FJ77:FJ77, "P")+COUNTIF('Detailed Attendance'!FR77:FR77, "P")+COUNTIF('Detailed Attendance'!FZ77:FZ77, "P")</f>
        <v/>
      </c>
      <c r="H75" s="46">
        <f>COUNTIF('Detailed Attendance'!I77:I77, "A")+COUNTIF('Detailed Attendance'!Q77:Q77, "A")+COUNTIF('Detailed Attendance'!AC77:AC77, "A")+COUNTIF('Detailed Attendance'!AK77:AK77, "A")+COUNTIF('Detailed Attendance'!AW77:AW77, "A")+COUNTIF('Detailed Attendance'!BE77:BE77, "A")+COUNTIF('Detailed Attendance'!BQ77:BQ77, "A")+COUNTIF('Detailed Attendance'!BY77:BY77, "A")+COUNTIF('Detailed Attendance'!CN77:CN77, "A")+COUNTIF('Detailed Attendance'!CV77:CV77, "A")+COUNTIF('Detailed Attendance'!DK77:DK77, "A")+COUNTIF('Detailed Attendance'!DS77:DS77, "A")+COUNTIF('Detailed Attendance'!EH77:EH77, "A")+COUNTIF('Detailed Attendance'!EP77:EP77, "A")+COUNTIF('Detailed Attendance'!FB77:FB77, "A")+COUNTIF('Detailed Attendance'!FJ77:FJ77, "A")+COUNTIF('Detailed Attendance'!FR77:FR77, "A")+COUNTIF('Detailed Attendance'!FZ77:FZ77, "A")</f>
        <v/>
      </c>
      <c r="I75" s="72">
        <f>IF((G75+H75)=0, "", G75/(G75+H75))</f>
        <v/>
      </c>
      <c r="J75" s="46">
        <f>COUNTIF('Detailed Attendance'!L77:L77, "P")+COUNTIF('Detailed Attendance'!P77:P77, "P")+COUNTIF('Detailed Attendance'!AF77:AF77, "P")+COUNTIF('Detailed Attendance'!AJ77:AJ77, "P")+COUNTIF('Detailed Attendance'!AZ77:AZ77, "P")+COUNTIF('Detailed Attendance'!BD77:BD77, "P")+COUNTIF('Detailed Attendance'!BT77:BT77, "P")+COUNTIF('Detailed Attendance'!BX77:BX77, "P")+COUNTIF('Detailed Attendance'!CQ77:CQ77, "P")+COUNTIF('Detailed Attendance'!CU77:CU77, "P")+COUNTIF('Detailed Attendance'!DN77:DN77, "P")+COUNTIF('Detailed Attendance'!DR77:DR77, "P")+COUNTIF('Detailed Attendance'!EK77:EK77, "P")+COUNTIF('Detailed Attendance'!EO77:EO77, "P")+COUNTIF('Detailed Attendance'!FE77:FE77, "P")+COUNTIF('Detailed Attendance'!FI77:FI77, "P")+COUNTIF('Detailed Attendance'!FU77:FU77, "P")+COUNTIF('Detailed Attendance'!FY77:FY77, "P")</f>
        <v/>
      </c>
      <c r="K75" s="46">
        <f>COUNTIF('Detailed Attendance'!L77:L77, "A")+COUNTIF('Detailed Attendance'!P77:P77, "A")+COUNTIF('Detailed Attendance'!AF77:AF77, "A")+COUNTIF('Detailed Attendance'!AJ77:AJ77, "A")+COUNTIF('Detailed Attendance'!AZ77:AZ77, "A")+COUNTIF('Detailed Attendance'!BD77:BD77, "A")+COUNTIF('Detailed Attendance'!BT77:BT77, "A")+COUNTIF('Detailed Attendance'!BX77:BX77, "A")+COUNTIF('Detailed Attendance'!CQ77:CQ77, "A")+COUNTIF('Detailed Attendance'!CU77:CU77, "A")+COUNTIF('Detailed Attendance'!DN77:DN77, "A")+COUNTIF('Detailed Attendance'!DR77:DR77, "A")+COUNTIF('Detailed Attendance'!EK77:EK77, "A")+COUNTIF('Detailed Attendance'!EO77:EO77, "A")+COUNTIF('Detailed Attendance'!FE77:FE77, "A")+COUNTIF('Detailed Attendance'!FI77:FI77, "A")+COUNTIF('Detailed Attendance'!FU77:FU77, "A")+COUNTIF('Detailed Attendance'!FY77:FY77, "A")</f>
        <v/>
      </c>
      <c r="L75" s="72">
        <f>IF((J75+K75)=0, "", J75/(J75+K75))</f>
        <v/>
      </c>
      <c r="M75" s="46">
        <f>COUNTIF('Detailed Attendance'!D77:D77, "P")+COUNTIF('Detailed Attendance'!T77:T77, "P")+COUNTIF('Detailed Attendance'!AN77:AN77, "P")+COUNTIF('Detailed Attendance'!AR77:AR77, "P")+COUNTIF('Detailed Attendance'!BH77:BH77, "P")+COUNTIF('Detailed Attendance'!CB77:CB77, "P")+COUNTIF('Detailed Attendance'!CF77:CF77, "P")+COUNTIF('Detailed Attendance'!CY77:CY77, "P")+COUNTIF('Detailed Attendance'!DC77:DC77, "P")+COUNTIF('Detailed Attendance'!DV77:DV77, "P")+COUNTIF('Detailed Attendance'!DZ77:DZ77, "P")+COUNTIF('Detailed Attendance'!ES77:ES77, "P")+COUNTIF('Detailed Attendance'!GC77:GC77, "P")+COUNTIF('Detailed Attendance'!GG77:GG77, "P")</f>
        <v/>
      </c>
      <c r="N75" s="46">
        <f>COUNTIF('Detailed Attendance'!D77:D77, "A")+COUNTIF('Detailed Attendance'!T77:T77, "A")+COUNTIF('Detailed Attendance'!AN77:AN77, "A")+COUNTIF('Detailed Attendance'!AR77:AR77, "A")+COUNTIF('Detailed Attendance'!BH77:BH77, "A")+COUNTIF('Detailed Attendance'!CB77:CB77, "A")+COUNTIF('Detailed Attendance'!CF77:CF77, "A")+COUNTIF('Detailed Attendance'!CY77:CY77, "A")+COUNTIF('Detailed Attendance'!DC77:DC77, "A")+COUNTIF('Detailed Attendance'!DV77:DV77, "A")+COUNTIF('Detailed Attendance'!DZ77:DZ77, "A")+COUNTIF('Detailed Attendance'!ES77:ES77, "A")+COUNTIF('Detailed Attendance'!GC77:GC77, "A")+COUNTIF('Detailed Attendance'!GG77:GG77, "A")</f>
        <v/>
      </c>
      <c r="O75" s="72">
        <f>IF((M75+N75)=0, "", M75/(M75+N75))</f>
        <v/>
      </c>
      <c r="P75" s="46">
        <f>COUNTIF('Detailed Attendance'!M77:M77, "P")+COUNTIF('Detailed Attendance'!U77:U77, "P")+COUNTIF('Detailed Attendance'!AG77:AG77, "P")+COUNTIF('Detailed Attendance'!AO77:AO77, "P")+COUNTIF('Detailed Attendance'!BA77:BA77, "P")+COUNTIF('Detailed Attendance'!BI77:BI77, "P")+COUNTIF('Detailed Attendance'!BU77:BU77, "P")+COUNTIF('Detailed Attendance'!CC77:CC77, "P")+COUNTIF('Detailed Attendance'!CR77:CR77, "P")+COUNTIF('Detailed Attendance'!CZ77:CZ77, "P")+COUNTIF('Detailed Attendance'!DO77:DO77, "P")+COUNTIF('Detailed Attendance'!DW77:DW77, "P")+COUNTIF('Detailed Attendance'!EL77:EL77, "P")+COUNTIF('Detailed Attendance'!ET77:ET77, "P")+COUNTIF('Detailed Attendance'!FF77:FF77, "P")+COUNTIF('Detailed Attendance'!FV77:FV77, "P")+COUNTIF('Detailed Attendance'!GD77:GD77, "P")</f>
        <v/>
      </c>
      <c r="Q75" s="46">
        <f>COUNTIF('Detailed Attendance'!M77:M77, "A")+COUNTIF('Detailed Attendance'!U77:U77, "A")+COUNTIF('Detailed Attendance'!AG77:AG77, "A")+COUNTIF('Detailed Attendance'!AO77:AO77, "A")+COUNTIF('Detailed Attendance'!BA77:BA77, "A")+COUNTIF('Detailed Attendance'!BI77:BI77, "A")+COUNTIF('Detailed Attendance'!BU77:BU77, "A")+COUNTIF('Detailed Attendance'!CC77:CC77, "A")+COUNTIF('Detailed Attendance'!CR77:CR77, "A")+COUNTIF('Detailed Attendance'!CZ77:CZ77, "A")+COUNTIF('Detailed Attendance'!DO77:DO77, "A")+COUNTIF('Detailed Attendance'!DW77:DW77, "A")+COUNTIF('Detailed Attendance'!EL77:EL77, "A")+COUNTIF('Detailed Attendance'!ET77:ET77, "A")+COUNTIF('Detailed Attendance'!FF77:FF77, "A")+COUNTIF('Detailed Attendance'!FV77:FV77, "A")+COUNTIF('Detailed Attendance'!GD77:GD77, "A")</f>
        <v/>
      </c>
      <c r="R75" s="72">
        <f>IF((P75+Q75)=0, "", P75/(P75+Q75))</f>
        <v/>
      </c>
      <c r="S75" s="46">
        <f>COUNTIF('Detailed Attendance'!V77:V77, "P")+COUNTIF('Detailed Attendance'!AP77:AP77, "P")+COUNTIF('Detailed Attendance'!BJ77:BJ77, "P")+COUNTIF('Detailed Attendance'!CD77:CD77, "P")+COUNTIF('Detailed Attendance'!DA77:DA77, "P")+COUNTIF('Detailed Attendance'!DX77:DX77, "P")+COUNTIF('Detailed Attendance'!EU77:EU77, "P")+COUNTIF('Detailed Attendance'!GE77:GE77, "P")</f>
        <v/>
      </c>
      <c r="T75" s="46">
        <f>COUNTIF('Detailed Attendance'!V77:V77, "A")+COUNTIF('Detailed Attendance'!AP77:AP77, "A")+COUNTIF('Detailed Attendance'!BJ77:BJ77, "A")+COUNTIF('Detailed Attendance'!CD77:CD77, "A")+COUNTIF('Detailed Attendance'!DA77:DA77, "A")+COUNTIF('Detailed Attendance'!DX77:DX77, "A")+COUNTIF('Detailed Attendance'!EU77:EU77, "A")+COUNTIF('Detailed Attendance'!GE77:GE77, "A")</f>
        <v/>
      </c>
      <c r="U75" s="73">
        <f>IF((S75+T75)=0, "", S75/(S75+T75))</f>
        <v/>
      </c>
      <c r="V75" s="46">
        <f>COUNTIF('Detailed Attendance'!CH77:CH77, "P")+COUNTIF('Detailed Attendance'!DE77:DE77, "P")+COUNTIF('Detailed Attendance'!EB77:EB77, "P")+COUNTIF('Detailed Attendance'!GI77:GI77, "P")</f>
        <v/>
      </c>
      <c r="W75" s="46">
        <f>COUNTIF('Detailed Attendance'!CH77:CH77, "A")+COUNTIF('Detailed Attendance'!DE77:DE77, "A")+COUNTIF('Detailed Attendance'!EB77:EB77, "A")+COUNTIF('Detailed Attendance'!GI77:GI77, "A")</f>
        <v/>
      </c>
      <c r="X75" s="73">
        <f>IF((V75+W75)=0, "", V75/(V75+W75))</f>
        <v/>
      </c>
      <c r="Y75" s="46">
        <f>COUNTIF('Detailed Attendance'!CG77:CG77, "P")+COUNTIF('Detailed Attendance'!DD77:DD77, "P")+COUNTIF('Detailed Attendance'!EA77:EA77, "P")+COUNTIF('Detailed Attendance'!GH77:GH77, "P")</f>
        <v/>
      </c>
      <c r="Z75" s="46">
        <f>COUNTIF('Detailed Attendance'!CG77:CG77, "A")+COUNTIF('Detailed Attendance'!DD77:DD77, "A")+COUNTIF('Detailed Attendance'!EA77:EA77, "A")+COUNTIF('Detailed Attendance'!GH77:GH77, "A")</f>
        <v/>
      </c>
      <c r="AA75" s="73">
        <f>IF((Y75+Z75)=0, "", Y75/(Y75+Z75))</f>
        <v/>
      </c>
      <c r="AB75" s="46">
        <f>S75+V75+Y75</f>
        <v/>
      </c>
      <c r="AC75" s="46">
        <f>T75+W75+Z75</f>
        <v/>
      </c>
      <c r="AD75" s="73">
        <f>IF((AB75+AC75)=0, "", AB75/(AB75+AC75))</f>
        <v/>
      </c>
      <c r="AE75" s="46" t="inlineStr">
        <is>
          <t>Batch 2</t>
        </is>
      </c>
    </row>
    <row r="76" ht="14.25" customHeight="1" s="34">
      <c r="A76" s="46" t="n">
        <v>75</v>
      </c>
      <c r="B76" s="46" t="inlineStr">
        <is>
          <t>325106410075</t>
        </is>
      </c>
      <c r="C76" s="46" t="inlineStr">
        <is>
          <t>ARIYA DEY ARPI</t>
        </is>
      </c>
      <c r="D76" s="46">
        <f>COUNTIF('Detailed Attendance'!R78:R78, "P")+COUNTIF('Detailed Attendance'!X78:X78, "P")+COUNTIF('Detailed Attendance'!AL78:AL78, "P")+COUNTIF('Detailed Attendance'!BF78:BF78, "P")+COUNTIF('Detailed Attendance'!BL78:BL78, "P")+COUNTIF('Detailed Attendance'!BZ78:BZ78, "P")+COUNTIF('Detailed Attendance'!CI78:CI78, "P")+COUNTIF('Detailed Attendance'!CW78:CW78, "P")+COUNTIF('Detailed Attendance'!DF78:DF78, "P")+COUNTIF('Detailed Attendance'!DT78:DT78, "P")+COUNTIF('Detailed Attendance'!EC78:EC78, "P")+COUNTIF('Detailed Attendance'!EQ78:EQ78, "P")+COUNTIF('Detailed Attendance'!EW78:EW78, "P")+COUNTIF('Detailed Attendance'!FK78:FK78, "P")+COUNTIF('Detailed Attendance'!FM78:FM78, "P")+COUNTIF('Detailed Attendance'!GA78:GA78, "P")</f>
        <v/>
      </c>
      <c r="E76" s="46">
        <f>COUNTIF('Detailed Attendance'!R78:R78, "A")+COUNTIF('Detailed Attendance'!X78:X78, "A")+COUNTIF('Detailed Attendance'!AL78:AL78, "A")+COUNTIF('Detailed Attendance'!BF78:BF78, "A")+COUNTIF('Detailed Attendance'!BL78:BL78, "A")+COUNTIF('Detailed Attendance'!BZ78:BZ78, "A")+COUNTIF('Detailed Attendance'!CI78:CI78, "A")+COUNTIF('Detailed Attendance'!CW78:CW78, "A")+COUNTIF('Detailed Attendance'!DF78:DF78, "A")+COUNTIF('Detailed Attendance'!DT78:DT78, "A")+COUNTIF('Detailed Attendance'!EC78:EC78, "A")+COUNTIF('Detailed Attendance'!EQ78:EQ78, "A")+COUNTIF('Detailed Attendance'!EW78:EW78, "A")+COUNTIF('Detailed Attendance'!FK78:FK78, "A")+COUNTIF('Detailed Attendance'!FM78:FM78, "A")+COUNTIF('Detailed Attendance'!GA78:GA78, "A")</f>
        <v/>
      </c>
      <c r="F76" s="72">
        <f>IF((D76+E76)=0, "", D76/(D76+E76))</f>
        <v/>
      </c>
      <c r="G76" s="46">
        <f>COUNTIF('Detailed Attendance'!I78:I78, "P")+COUNTIF('Detailed Attendance'!Q78:Q78, "P")+COUNTIF('Detailed Attendance'!AC78:AC78, "P")+COUNTIF('Detailed Attendance'!AK78:AK78, "P")+COUNTIF('Detailed Attendance'!AW78:AW78, "P")+COUNTIF('Detailed Attendance'!BE78:BE78, "P")+COUNTIF('Detailed Attendance'!BQ78:BQ78, "P")+COUNTIF('Detailed Attendance'!BY78:BY78, "P")+COUNTIF('Detailed Attendance'!CN78:CN78, "P")+COUNTIF('Detailed Attendance'!CV78:CV78, "P")+COUNTIF('Detailed Attendance'!DK78:DK78, "P")+COUNTIF('Detailed Attendance'!DS78:DS78, "P")+COUNTIF('Detailed Attendance'!EH78:EH78, "P")+COUNTIF('Detailed Attendance'!EP78:EP78, "P")+COUNTIF('Detailed Attendance'!FB78:FB78, "P")+COUNTIF('Detailed Attendance'!FJ78:FJ78, "P")+COUNTIF('Detailed Attendance'!FR78:FR78, "P")+COUNTIF('Detailed Attendance'!FZ78:FZ78, "P")</f>
        <v/>
      </c>
      <c r="H76" s="46">
        <f>COUNTIF('Detailed Attendance'!I78:I78, "A")+COUNTIF('Detailed Attendance'!Q78:Q78, "A")+COUNTIF('Detailed Attendance'!AC78:AC78, "A")+COUNTIF('Detailed Attendance'!AK78:AK78, "A")+COUNTIF('Detailed Attendance'!AW78:AW78, "A")+COUNTIF('Detailed Attendance'!BE78:BE78, "A")+COUNTIF('Detailed Attendance'!BQ78:BQ78, "A")+COUNTIF('Detailed Attendance'!BY78:BY78, "A")+COUNTIF('Detailed Attendance'!CN78:CN78, "A")+COUNTIF('Detailed Attendance'!CV78:CV78, "A")+COUNTIF('Detailed Attendance'!DK78:DK78, "A")+COUNTIF('Detailed Attendance'!DS78:DS78, "A")+COUNTIF('Detailed Attendance'!EH78:EH78, "A")+COUNTIF('Detailed Attendance'!EP78:EP78, "A")+COUNTIF('Detailed Attendance'!FB78:FB78, "A")+COUNTIF('Detailed Attendance'!FJ78:FJ78, "A")+COUNTIF('Detailed Attendance'!FR78:FR78, "A")+COUNTIF('Detailed Attendance'!FZ78:FZ78, "A")</f>
        <v/>
      </c>
      <c r="I76" s="72">
        <f>IF((G76+H76)=0, "", G76/(G76+H76))</f>
        <v/>
      </c>
      <c r="J76" s="46">
        <f>COUNTIF('Detailed Attendance'!L78:L78, "P")+COUNTIF('Detailed Attendance'!P78:P78, "P")+COUNTIF('Detailed Attendance'!AF78:AF78, "P")+COUNTIF('Detailed Attendance'!AJ78:AJ78, "P")+COUNTIF('Detailed Attendance'!AZ78:AZ78, "P")+COUNTIF('Detailed Attendance'!BD78:BD78, "P")+COUNTIF('Detailed Attendance'!BT78:BT78, "P")+COUNTIF('Detailed Attendance'!BX78:BX78, "P")+COUNTIF('Detailed Attendance'!CQ78:CQ78, "P")+COUNTIF('Detailed Attendance'!CU78:CU78, "P")+COUNTIF('Detailed Attendance'!DN78:DN78, "P")+COUNTIF('Detailed Attendance'!DR78:DR78, "P")+COUNTIF('Detailed Attendance'!EK78:EK78, "P")+COUNTIF('Detailed Attendance'!EO78:EO78, "P")+COUNTIF('Detailed Attendance'!FE78:FE78, "P")+COUNTIF('Detailed Attendance'!FI78:FI78, "P")+COUNTIF('Detailed Attendance'!FU78:FU78, "P")+COUNTIF('Detailed Attendance'!FY78:FY78, "P")</f>
        <v/>
      </c>
      <c r="K76" s="46">
        <f>COUNTIF('Detailed Attendance'!L78:L78, "A")+COUNTIF('Detailed Attendance'!P78:P78, "A")+COUNTIF('Detailed Attendance'!AF78:AF78, "A")+COUNTIF('Detailed Attendance'!AJ78:AJ78, "A")+COUNTIF('Detailed Attendance'!AZ78:AZ78, "A")+COUNTIF('Detailed Attendance'!BD78:BD78, "A")+COUNTIF('Detailed Attendance'!BT78:BT78, "A")+COUNTIF('Detailed Attendance'!BX78:BX78, "A")+COUNTIF('Detailed Attendance'!CQ78:CQ78, "A")+COUNTIF('Detailed Attendance'!CU78:CU78, "A")+COUNTIF('Detailed Attendance'!DN78:DN78, "A")+COUNTIF('Detailed Attendance'!DR78:DR78, "A")+COUNTIF('Detailed Attendance'!EK78:EK78, "A")+COUNTIF('Detailed Attendance'!EO78:EO78, "A")+COUNTIF('Detailed Attendance'!FE78:FE78, "A")+COUNTIF('Detailed Attendance'!FI78:FI78, "A")+COUNTIF('Detailed Attendance'!FU78:FU78, "A")+COUNTIF('Detailed Attendance'!FY78:FY78, "A")</f>
        <v/>
      </c>
      <c r="L76" s="72">
        <f>IF((J76+K76)=0, "", J76/(J76+K76))</f>
        <v/>
      </c>
      <c r="M76" s="46">
        <f>COUNTIF('Detailed Attendance'!D78:D78, "P")+COUNTIF('Detailed Attendance'!T78:T78, "P")+COUNTIF('Detailed Attendance'!AN78:AN78, "P")+COUNTIF('Detailed Attendance'!AR78:AR78, "P")+COUNTIF('Detailed Attendance'!BH78:BH78, "P")+COUNTIF('Detailed Attendance'!CB78:CB78, "P")+COUNTIF('Detailed Attendance'!CF78:CF78, "P")+COUNTIF('Detailed Attendance'!CY78:CY78, "P")+COUNTIF('Detailed Attendance'!DC78:DC78, "P")+COUNTIF('Detailed Attendance'!DV78:DV78, "P")+COUNTIF('Detailed Attendance'!DZ78:DZ78, "P")+COUNTIF('Detailed Attendance'!ES78:ES78, "P")+COUNTIF('Detailed Attendance'!GC78:GC78, "P")+COUNTIF('Detailed Attendance'!GG78:GG78, "P")</f>
        <v/>
      </c>
      <c r="N76" s="46">
        <f>COUNTIF('Detailed Attendance'!D78:D78, "A")+COUNTIF('Detailed Attendance'!T78:T78, "A")+COUNTIF('Detailed Attendance'!AN78:AN78, "A")+COUNTIF('Detailed Attendance'!AR78:AR78, "A")+COUNTIF('Detailed Attendance'!BH78:BH78, "A")+COUNTIF('Detailed Attendance'!CB78:CB78, "A")+COUNTIF('Detailed Attendance'!CF78:CF78, "A")+COUNTIF('Detailed Attendance'!CY78:CY78, "A")+COUNTIF('Detailed Attendance'!DC78:DC78, "A")+COUNTIF('Detailed Attendance'!DV78:DV78, "A")+COUNTIF('Detailed Attendance'!DZ78:DZ78, "A")+COUNTIF('Detailed Attendance'!ES78:ES78, "A")+COUNTIF('Detailed Attendance'!GC78:GC78, "A")+COUNTIF('Detailed Attendance'!GG78:GG78, "A")</f>
        <v/>
      </c>
      <c r="O76" s="72">
        <f>IF((M76+N76)=0, "", M76/(M76+N76))</f>
        <v/>
      </c>
      <c r="P76" s="46">
        <f>COUNTIF('Detailed Attendance'!M78:M78, "P")+COUNTIF('Detailed Attendance'!U78:U78, "P")+COUNTIF('Detailed Attendance'!AG78:AG78, "P")+COUNTIF('Detailed Attendance'!AO78:AO78, "P")+COUNTIF('Detailed Attendance'!BA78:BA78, "P")+COUNTIF('Detailed Attendance'!BI78:BI78, "P")+COUNTIF('Detailed Attendance'!BU78:BU78, "P")+COUNTIF('Detailed Attendance'!CC78:CC78, "P")+COUNTIF('Detailed Attendance'!CR78:CR78, "P")+COUNTIF('Detailed Attendance'!CZ78:CZ78, "P")+COUNTIF('Detailed Attendance'!DO78:DO78, "P")+COUNTIF('Detailed Attendance'!DW78:DW78, "P")+COUNTIF('Detailed Attendance'!EL78:EL78, "P")+COUNTIF('Detailed Attendance'!ET78:ET78, "P")+COUNTIF('Detailed Attendance'!FF78:FF78, "P")+COUNTIF('Detailed Attendance'!FV78:FV78, "P")+COUNTIF('Detailed Attendance'!GD78:GD78, "P")</f>
        <v/>
      </c>
      <c r="Q76" s="46">
        <f>COUNTIF('Detailed Attendance'!M78:M78, "A")+COUNTIF('Detailed Attendance'!U78:U78, "A")+COUNTIF('Detailed Attendance'!AG78:AG78, "A")+COUNTIF('Detailed Attendance'!AO78:AO78, "A")+COUNTIF('Detailed Attendance'!BA78:BA78, "A")+COUNTIF('Detailed Attendance'!BI78:BI78, "A")+COUNTIF('Detailed Attendance'!BU78:BU78, "A")+COUNTIF('Detailed Attendance'!CC78:CC78, "A")+COUNTIF('Detailed Attendance'!CR78:CR78, "A")+COUNTIF('Detailed Attendance'!CZ78:CZ78, "A")+COUNTIF('Detailed Attendance'!DO78:DO78, "A")+COUNTIF('Detailed Attendance'!DW78:DW78, "A")+COUNTIF('Detailed Attendance'!EL78:EL78, "A")+COUNTIF('Detailed Attendance'!ET78:ET78, "A")+COUNTIF('Detailed Attendance'!FF78:FF78, "A")+COUNTIF('Detailed Attendance'!FV78:FV78, "A")+COUNTIF('Detailed Attendance'!GD78:GD78, "A")</f>
        <v/>
      </c>
      <c r="R76" s="72">
        <f>IF((P76+Q76)=0, "", P76/(P76+Q76))</f>
        <v/>
      </c>
      <c r="S76" s="46">
        <f>COUNTIF('Detailed Attendance'!V78:V78, "P")+COUNTIF('Detailed Attendance'!AP78:AP78, "P")+COUNTIF('Detailed Attendance'!BJ78:BJ78, "P")+COUNTIF('Detailed Attendance'!CD78:CD78, "P")+COUNTIF('Detailed Attendance'!DA78:DA78, "P")+COUNTIF('Detailed Attendance'!DX78:DX78, "P")+COUNTIF('Detailed Attendance'!EU78:EU78, "P")+COUNTIF('Detailed Attendance'!GE78:GE78, "P")</f>
        <v/>
      </c>
      <c r="T76" s="46">
        <f>COUNTIF('Detailed Attendance'!V78:V78, "A")+COUNTIF('Detailed Attendance'!AP78:AP78, "A")+COUNTIF('Detailed Attendance'!BJ78:BJ78, "A")+COUNTIF('Detailed Attendance'!CD78:CD78, "A")+COUNTIF('Detailed Attendance'!DA78:DA78, "A")+COUNTIF('Detailed Attendance'!DX78:DX78, "A")+COUNTIF('Detailed Attendance'!EU78:EU78, "A")+COUNTIF('Detailed Attendance'!GE78:GE78, "A")</f>
        <v/>
      </c>
      <c r="U76" s="73">
        <f>IF((S76+T76)=0, "", S76/(S76+T76))</f>
        <v/>
      </c>
      <c r="V76" s="46">
        <f>COUNTIF('Detailed Attendance'!CH78:CH78, "P")+COUNTIF('Detailed Attendance'!DE78:DE78, "P")+COUNTIF('Detailed Attendance'!EB78:EB78, "P")+COUNTIF('Detailed Attendance'!GI78:GI78, "P")</f>
        <v/>
      </c>
      <c r="W76" s="46">
        <f>COUNTIF('Detailed Attendance'!CH78:CH78, "A")+COUNTIF('Detailed Attendance'!DE78:DE78, "A")+COUNTIF('Detailed Attendance'!EB78:EB78, "A")+COUNTIF('Detailed Attendance'!GI78:GI78, "A")</f>
        <v/>
      </c>
      <c r="X76" s="73">
        <f>IF((V76+W76)=0, "", V76/(V76+W76))</f>
        <v/>
      </c>
      <c r="Y76" s="46">
        <f>COUNTIF('Detailed Attendance'!CG78:CG78, "P")+COUNTIF('Detailed Attendance'!DD78:DD78, "P")+COUNTIF('Detailed Attendance'!EA78:EA78, "P")+COUNTIF('Detailed Attendance'!GH78:GH78, "P")</f>
        <v/>
      </c>
      <c r="Z76" s="46">
        <f>COUNTIF('Detailed Attendance'!CG78:CG78, "A")+COUNTIF('Detailed Attendance'!DD78:DD78, "A")+COUNTIF('Detailed Attendance'!EA78:EA78, "A")+COUNTIF('Detailed Attendance'!GH78:GH78, "A")</f>
        <v/>
      </c>
      <c r="AA76" s="73">
        <f>IF((Y76+Z76)=0, "", Y76/(Y76+Z76))</f>
        <v/>
      </c>
      <c r="AB76" s="46">
        <f>S76+V76+Y76</f>
        <v/>
      </c>
      <c r="AC76" s="46">
        <f>T76+W76+Z76</f>
        <v/>
      </c>
      <c r="AD76" s="73">
        <f>IF((AB76+AC76)=0, "", AB76/(AB76+AC76))</f>
        <v/>
      </c>
      <c r="AE76" s="46" t="inlineStr">
        <is>
          <t>Batch 2</t>
        </is>
      </c>
    </row>
    <row r="77" ht="14.25" customHeight="1" s="34">
      <c r="A77" s="46" t="n">
        <v>76</v>
      </c>
      <c r="B77" s="46" t="inlineStr">
        <is>
          <t>325106410076</t>
        </is>
      </c>
      <c r="C77" s="46" t="inlineStr">
        <is>
          <t>ASEEL ABDELRHMAN MOHAMEDAHMED MOHAMEDKHAIR</t>
        </is>
      </c>
      <c r="D77" s="46">
        <f>COUNTIF('Detailed Attendance'!R79:R79, "P")+COUNTIF('Detailed Attendance'!X79:X79, "P")+COUNTIF('Detailed Attendance'!AL79:AL79, "P")+COUNTIF('Detailed Attendance'!BF79:BF79, "P")+COUNTIF('Detailed Attendance'!BL79:BL79, "P")+COUNTIF('Detailed Attendance'!BZ79:BZ79, "P")+COUNTIF('Detailed Attendance'!CI79:CI79, "P")+COUNTIF('Detailed Attendance'!CW79:CW79, "P")+COUNTIF('Detailed Attendance'!DF79:DF79, "P")+COUNTIF('Detailed Attendance'!DT79:DT79, "P")+COUNTIF('Detailed Attendance'!EC79:EC79, "P")+COUNTIF('Detailed Attendance'!EQ79:EQ79, "P")+COUNTIF('Detailed Attendance'!EW79:EW79, "P")+COUNTIF('Detailed Attendance'!FK79:FK79, "P")+COUNTIF('Detailed Attendance'!FM79:FM79, "P")+COUNTIF('Detailed Attendance'!GA79:GA79, "P")</f>
        <v/>
      </c>
      <c r="E77" s="46">
        <f>COUNTIF('Detailed Attendance'!R79:R79, "A")+COUNTIF('Detailed Attendance'!X79:X79, "A")+COUNTIF('Detailed Attendance'!AL79:AL79, "A")+COUNTIF('Detailed Attendance'!BF79:BF79, "A")+COUNTIF('Detailed Attendance'!BL79:BL79, "A")+COUNTIF('Detailed Attendance'!BZ79:BZ79, "A")+COUNTIF('Detailed Attendance'!CI79:CI79, "A")+COUNTIF('Detailed Attendance'!CW79:CW79, "A")+COUNTIF('Detailed Attendance'!DF79:DF79, "A")+COUNTIF('Detailed Attendance'!DT79:DT79, "A")+COUNTIF('Detailed Attendance'!EC79:EC79, "A")+COUNTIF('Detailed Attendance'!EQ79:EQ79, "A")+COUNTIF('Detailed Attendance'!EW79:EW79, "A")+COUNTIF('Detailed Attendance'!FK79:FK79, "A")+COUNTIF('Detailed Attendance'!FM79:FM79, "A")+COUNTIF('Detailed Attendance'!GA79:GA79, "A")</f>
        <v/>
      </c>
      <c r="F77" s="72">
        <f>IF((D77+E77)=0, "", D77/(D77+E77))</f>
        <v/>
      </c>
      <c r="G77" s="46">
        <f>COUNTIF('Detailed Attendance'!I79:I79, "P")+COUNTIF('Detailed Attendance'!Q79:Q79, "P")+COUNTIF('Detailed Attendance'!AC79:AC79, "P")+COUNTIF('Detailed Attendance'!AK79:AK79, "P")+COUNTIF('Detailed Attendance'!AW79:AW79, "P")+COUNTIF('Detailed Attendance'!BE79:BE79, "P")+COUNTIF('Detailed Attendance'!BQ79:BQ79, "P")+COUNTIF('Detailed Attendance'!BY79:BY79, "P")+COUNTIF('Detailed Attendance'!CN79:CN79, "P")+COUNTIF('Detailed Attendance'!CV79:CV79, "P")+COUNTIF('Detailed Attendance'!DK79:DK79, "P")+COUNTIF('Detailed Attendance'!DS79:DS79, "P")+COUNTIF('Detailed Attendance'!EH79:EH79, "P")+COUNTIF('Detailed Attendance'!EP79:EP79, "P")+COUNTIF('Detailed Attendance'!FB79:FB79, "P")+COUNTIF('Detailed Attendance'!FJ79:FJ79, "P")+COUNTIF('Detailed Attendance'!FR79:FR79, "P")+COUNTIF('Detailed Attendance'!FZ79:FZ79, "P")</f>
        <v/>
      </c>
      <c r="H77" s="46">
        <f>COUNTIF('Detailed Attendance'!I79:I79, "A")+COUNTIF('Detailed Attendance'!Q79:Q79, "A")+COUNTIF('Detailed Attendance'!AC79:AC79, "A")+COUNTIF('Detailed Attendance'!AK79:AK79, "A")+COUNTIF('Detailed Attendance'!AW79:AW79, "A")+COUNTIF('Detailed Attendance'!BE79:BE79, "A")+COUNTIF('Detailed Attendance'!BQ79:BQ79, "A")+COUNTIF('Detailed Attendance'!BY79:BY79, "A")+COUNTIF('Detailed Attendance'!CN79:CN79, "A")+COUNTIF('Detailed Attendance'!CV79:CV79, "A")+COUNTIF('Detailed Attendance'!DK79:DK79, "A")+COUNTIF('Detailed Attendance'!DS79:DS79, "A")+COUNTIF('Detailed Attendance'!EH79:EH79, "A")+COUNTIF('Detailed Attendance'!EP79:EP79, "A")+COUNTIF('Detailed Attendance'!FB79:FB79, "A")+COUNTIF('Detailed Attendance'!FJ79:FJ79, "A")+COUNTIF('Detailed Attendance'!FR79:FR79, "A")+COUNTIF('Detailed Attendance'!FZ79:FZ79, "A")</f>
        <v/>
      </c>
      <c r="I77" s="72">
        <f>IF((G77+H77)=0, "", G77/(G77+H77))</f>
        <v/>
      </c>
      <c r="J77" s="46">
        <f>COUNTIF('Detailed Attendance'!L79:L79, "P")+COUNTIF('Detailed Attendance'!P79:P79, "P")+COUNTIF('Detailed Attendance'!AF79:AF79, "P")+COUNTIF('Detailed Attendance'!AJ79:AJ79, "P")+COUNTIF('Detailed Attendance'!AZ79:AZ79, "P")+COUNTIF('Detailed Attendance'!BD79:BD79, "P")+COUNTIF('Detailed Attendance'!BT79:BT79, "P")+COUNTIF('Detailed Attendance'!BX79:BX79, "P")+COUNTIF('Detailed Attendance'!CQ79:CQ79, "P")+COUNTIF('Detailed Attendance'!CU79:CU79, "P")+COUNTIF('Detailed Attendance'!DN79:DN79, "P")+COUNTIF('Detailed Attendance'!DR79:DR79, "P")+COUNTIF('Detailed Attendance'!EK79:EK79, "P")+COUNTIF('Detailed Attendance'!EO79:EO79, "P")+COUNTIF('Detailed Attendance'!FE79:FE79, "P")+COUNTIF('Detailed Attendance'!FI79:FI79, "P")+COUNTIF('Detailed Attendance'!FU79:FU79, "P")+COUNTIF('Detailed Attendance'!FY79:FY79, "P")</f>
        <v/>
      </c>
      <c r="K77" s="46">
        <f>COUNTIF('Detailed Attendance'!L79:L79, "A")+COUNTIF('Detailed Attendance'!P79:P79, "A")+COUNTIF('Detailed Attendance'!AF79:AF79, "A")+COUNTIF('Detailed Attendance'!AJ79:AJ79, "A")+COUNTIF('Detailed Attendance'!AZ79:AZ79, "A")+COUNTIF('Detailed Attendance'!BD79:BD79, "A")+COUNTIF('Detailed Attendance'!BT79:BT79, "A")+COUNTIF('Detailed Attendance'!BX79:BX79, "A")+COUNTIF('Detailed Attendance'!CQ79:CQ79, "A")+COUNTIF('Detailed Attendance'!CU79:CU79, "A")+COUNTIF('Detailed Attendance'!DN79:DN79, "A")+COUNTIF('Detailed Attendance'!DR79:DR79, "A")+COUNTIF('Detailed Attendance'!EK79:EK79, "A")+COUNTIF('Detailed Attendance'!EO79:EO79, "A")+COUNTIF('Detailed Attendance'!FE79:FE79, "A")+COUNTIF('Detailed Attendance'!FI79:FI79, "A")+COUNTIF('Detailed Attendance'!FU79:FU79, "A")+COUNTIF('Detailed Attendance'!FY79:FY79, "A")</f>
        <v/>
      </c>
      <c r="L77" s="72">
        <f>IF((J77+K77)=0, "", J77/(J77+K77))</f>
        <v/>
      </c>
      <c r="M77" s="46">
        <f>COUNTIF('Detailed Attendance'!D79:D79, "P")+COUNTIF('Detailed Attendance'!T79:T79, "P")+COUNTIF('Detailed Attendance'!AN79:AN79, "P")+COUNTIF('Detailed Attendance'!AR79:AR79, "P")+COUNTIF('Detailed Attendance'!BH79:BH79, "P")+COUNTIF('Detailed Attendance'!CB79:CB79, "P")+COUNTIF('Detailed Attendance'!CF79:CF79, "P")+COUNTIF('Detailed Attendance'!CY79:CY79, "P")+COUNTIF('Detailed Attendance'!DC79:DC79, "P")+COUNTIF('Detailed Attendance'!DV79:DV79, "P")+COUNTIF('Detailed Attendance'!DZ79:DZ79, "P")+COUNTIF('Detailed Attendance'!ES79:ES79, "P")+COUNTIF('Detailed Attendance'!GC79:GC79, "P")+COUNTIF('Detailed Attendance'!GG79:GG79, "P")</f>
        <v/>
      </c>
      <c r="N77" s="46">
        <f>COUNTIF('Detailed Attendance'!D79:D79, "A")+COUNTIF('Detailed Attendance'!T79:T79, "A")+COUNTIF('Detailed Attendance'!AN79:AN79, "A")+COUNTIF('Detailed Attendance'!AR79:AR79, "A")+COUNTIF('Detailed Attendance'!BH79:BH79, "A")+COUNTIF('Detailed Attendance'!CB79:CB79, "A")+COUNTIF('Detailed Attendance'!CF79:CF79, "A")+COUNTIF('Detailed Attendance'!CY79:CY79, "A")+COUNTIF('Detailed Attendance'!DC79:DC79, "A")+COUNTIF('Detailed Attendance'!DV79:DV79, "A")+COUNTIF('Detailed Attendance'!DZ79:DZ79, "A")+COUNTIF('Detailed Attendance'!ES79:ES79, "A")+COUNTIF('Detailed Attendance'!GC79:GC79, "A")+COUNTIF('Detailed Attendance'!GG79:GG79, "A")</f>
        <v/>
      </c>
      <c r="O77" s="72">
        <f>IF((M77+N77)=0, "", M77/(M77+N77))</f>
        <v/>
      </c>
      <c r="P77" s="46">
        <f>COUNTIF('Detailed Attendance'!M79:M79, "P")+COUNTIF('Detailed Attendance'!U79:U79, "P")+COUNTIF('Detailed Attendance'!AG79:AG79, "P")+COUNTIF('Detailed Attendance'!AO79:AO79, "P")+COUNTIF('Detailed Attendance'!BA79:BA79, "P")+COUNTIF('Detailed Attendance'!BI79:BI79, "P")+COUNTIF('Detailed Attendance'!BU79:BU79, "P")+COUNTIF('Detailed Attendance'!CC79:CC79, "P")+COUNTIF('Detailed Attendance'!CR79:CR79, "P")+COUNTIF('Detailed Attendance'!CZ79:CZ79, "P")+COUNTIF('Detailed Attendance'!DO79:DO79, "P")+COUNTIF('Detailed Attendance'!DW79:DW79, "P")+COUNTIF('Detailed Attendance'!EL79:EL79, "P")+COUNTIF('Detailed Attendance'!ET79:ET79, "P")+COUNTIF('Detailed Attendance'!FF79:FF79, "P")+COUNTIF('Detailed Attendance'!FV79:FV79, "P")+COUNTIF('Detailed Attendance'!GD79:GD79, "P")</f>
        <v/>
      </c>
      <c r="Q77" s="46">
        <f>COUNTIF('Detailed Attendance'!M79:M79, "A")+COUNTIF('Detailed Attendance'!U79:U79, "A")+COUNTIF('Detailed Attendance'!AG79:AG79, "A")+COUNTIF('Detailed Attendance'!AO79:AO79, "A")+COUNTIF('Detailed Attendance'!BA79:BA79, "A")+COUNTIF('Detailed Attendance'!BI79:BI79, "A")+COUNTIF('Detailed Attendance'!BU79:BU79, "A")+COUNTIF('Detailed Attendance'!CC79:CC79, "A")+COUNTIF('Detailed Attendance'!CR79:CR79, "A")+COUNTIF('Detailed Attendance'!CZ79:CZ79, "A")+COUNTIF('Detailed Attendance'!DO79:DO79, "A")+COUNTIF('Detailed Attendance'!DW79:DW79, "A")+COUNTIF('Detailed Attendance'!EL79:EL79, "A")+COUNTIF('Detailed Attendance'!ET79:ET79, "A")+COUNTIF('Detailed Attendance'!FF79:FF79, "A")+COUNTIF('Detailed Attendance'!FV79:FV79, "A")+COUNTIF('Detailed Attendance'!GD79:GD79, "A")</f>
        <v/>
      </c>
      <c r="R77" s="72">
        <f>IF((P77+Q77)=0, "", P77/(P77+Q77))</f>
        <v/>
      </c>
      <c r="S77" s="46">
        <f>COUNTIF('Detailed Attendance'!V79:V79, "P")+COUNTIF('Detailed Attendance'!AP79:AP79, "P")+COUNTIF('Detailed Attendance'!BJ79:BJ79, "P")+COUNTIF('Detailed Attendance'!CD79:CD79, "P")+COUNTIF('Detailed Attendance'!DA79:DA79, "P")+COUNTIF('Detailed Attendance'!DX79:DX79, "P")+COUNTIF('Detailed Attendance'!EU79:EU79, "P")+COUNTIF('Detailed Attendance'!GE79:GE79, "P")</f>
        <v/>
      </c>
      <c r="T77" s="46">
        <f>COUNTIF('Detailed Attendance'!V79:V79, "A")+COUNTIF('Detailed Attendance'!AP79:AP79, "A")+COUNTIF('Detailed Attendance'!BJ79:BJ79, "A")+COUNTIF('Detailed Attendance'!CD79:CD79, "A")+COUNTIF('Detailed Attendance'!DA79:DA79, "A")+COUNTIF('Detailed Attendance'!DX79:DX79, "A")+COUNTIF('Detailed Attendance'!EU79:EU79, "A")+COUNTIF('Detailed Attendance'!GE79:GE79, "A")</f>
        <v/>
      </c>
      <c r="U77" s="73">
        <f>IF((S77+T77)=0, "", S77/(S77+T77))</f>
        <v/>
      </c>
      <c r="V77" s="46">
        <f>COUNTIF('Detailed Attendance'!CH79:CH79, "P")+COUNTIF('Detailed Attendance'!DE79:DE79, "P")+COUNTIF('Detailed Attendance'!EB79:EB79, "P")+COUNTIF('Detailed Attendance'!GI79:GI79, "P")</f>
        <v/>
      </c>
      <c r="W77" s="46">
        <f>COUNTIF('Detailed Attendance'!CH79:CH79, "A")+COUNTIF('Detailed Attendance'!DE79:DE79, "A")+COUNTIF('Detailed Attendance'!EB79:EB79, "A")+COUNTIF('Detailed Attendance'!GI79:GI79, "A")</f>
        <v/>
      </c>
      <c r="X77" s="73">
        <f>IF((V77+W77)=0, "", V77/(V77+W77))</f>
        <v/>
      </c>
      <c r="Y77" s="46">
        <f>COUNTIF('Detailed Attendance'!CG79:CG79, "P")+COUNTIF('Detailed Attendance'!DD79:DD79, "P")+COUNTIF('Detailed Attendance'!EA79:EA79, "P")+COUNTIF('Detailed Attendance'!GH79:GH79, "P")</f>
        <v/>
      </c>
      <c r="Z77" s="46">
        <f>COUNTIF('Detailed Attendance'!CG79:CG79, "A")+COUNTIF('Detailed Attendance'!DD79:DD79, "A")+COUNTIF('Detailed Attendance'!EA79:EA79, "A")+COUNTIF('Detailed Attendance'!GH79:GH79, "A")</f>
        <v/>
      </c>
      <c r="AA77" s="73">
        <f>IF((Y77+Z77)=0, "", Y77/(Y77+Z77))</f>
        <v/>
      </c>
      <c r="AB77" s="46">
        <f>S77+V77+Y77</f>
        <v/>
      </c>
      <c r="AC77" s="46">
        <f>T77+W77+Z77</f>
        <v/>
      </c>
      <c r="AD77" s="73">
        <f>IF((AB77+AC77)=0, "", AB77/(AB77+AC77))</f>
        <v/>
      </c>
      <c r="AE77" s="46" t="inlineStr">
        <is>
          <t>Batch 2</t>
        </is>
      </c>
    </row>
    <row r="78" ht="14.25" customHeight="1" s="34">
      <c r="A78" s="46" t="n">
        <v>77</v>
      </c>
      <c r="B78" s="46" t="inlineStr">
        <is>
          <t>325106410077</t>
        </is>
      </c>
      <c r="C78" s="46" t="inlineStr">
        <is>
          <t>BASMALA ELWALEED ISMAIL ABDALLA</t>
        </is>
      </c>
      <c r="D78" s="46">
        <f>COUNTIF('Detailed Attendance'!R80:R80, "P")+COUNTIF('Detailed Attendance'!X80:X80, "P")+COUNTIF('Detailed Attendance'!AL80:AL80, "P")+COUNTIF('Detailed Attendance'!BF80:BF80, "P")+COUNTIF('Detailed Attendance'!BL80:BL80, "P")+COUNTIF('Detailed Attendance'!BZ80:BZ80, "P")+COUNTIF('Detailed Attendance'!CI80:CI80, "P")+COUNTIF('Detailed Attendance'!CW80:CW80, "P")+COUNTIF('Detailed Attendance'!DF80:DF80, "P")+COUNTIF('Detailed Attendance'!DT80:DT80, "P")+COUNTIF('Detailed Attendance'!EC80:EC80, "P")+COUNTIF('Detailed Attendance'!EQ80:EQ80, "P")+COUNTIF('Detailed Attendance'!EW80:EW80, "P")+COUNTIF('Detailed Attendance'!FK80:FK80, "P")+COUNTIF('Detailed Attendance'!FM80:FM80, "P")+COUNTIF('Detailed Attendance'!GA80:GA80, "P")</f>
        <v/>
      </c>
      <c r="E78" s="46">
        <f>COUNTIF('Detailed Attendance'!R80:R80, "A")+COUNTIF('Detailed Attendance'!X80:X80, "A")+COUNTIF('Detailed Attendance'!AL80:AL80, "A")+COUNTIF('Detailed Attendance'!BF80:BF80, "A")+COUNTIF('Detailed Attendance'!BL80:BL80, "A")+COUNTIF('Detailed Attendance'!BZ80:BZ80, "A")+COUNTIF('Detailed Attendance'!CI80:CI80, "A")+COUNTIF('Detailed Attendance'!CW80:CW80, "A")+COUNTIF('Detailed Attendance'!DF80:DF80, "A")+COUNTIF('Detailed Attendance'!DT80:DT80, "A")+COUNTIF('Detailed Attendance'!EC80:EC80, "A")+COUNTIF('Detailed Attendance'!EQ80:EQ80, "A")+COUNTIF('Detailed Attendance'!EW80:EW80, "A")+COUNTIF('Detailed Attendance'!FK80:FK80, "A")+COUNTIF('Detailed Attendance'!FM80:FM80, "A")+COUNTIF('Detailed Attendance'!GA80:GA80, "A")</f>
        <v/>
      </c>
      <c r="F78" s="72">
        <f>IF((D78+E78)=0, "", D78/(D78+E78))</f>
        <v/>
      </c>
      <c r="G78" s="46">
        <f>COUNTIF('Detailed Attendance'!I80:I80, "P")+COUNTIF('Detailed Attendance'!Q80:Q80, "P")+COUNTIF('Detailed Attendance'!AC80:AC80, "P")+COUNTIF('Detailed Attendance'!AK80:AK80, "P")+COUNTIF('Detailed Attendance'!AW80:AW80, "P")+COUNTIF('Detailed Attendance'!BE80:BE80, "P")+COUNTIF('Detailed Attendance'!BQ80:BQ80, "P")+COUNTIF('Detailed Attendance'!BY80:BY80, "P")+COUNTIF('Detailed Attendance'!CN80:CN80, "P")+COUNTIF('Detailed Attendance'!CV80:CV80, "P")+COUNTIF('Detailed Attendance'!DK80:DK80, "P")+COUNTIF('Detailed Attendance'!DS80:DS80, "P")+COUNTIF('Detailed Attendance'!EH80:EH80, "P")+COUNTIF('Detailed Attendance'!EP80:EP80, "P")+COUNTIF('Detailed Attendance'!FB80:FB80, "P")+COUNTIF('Detailed Attendance'!FJ80:FJ80, "P")+COUNTIF('Detailed Attendance'!FR80:FR80, "P")+COUNTIF('Detailed Attendance'!FZ80:FZ80, "P")</f>
        <v/>
      </c>
      <c r="H78" s="46">
        <f>COUNTIF('Detailed Attendance'!I80:I80, "A")+COUNTIF('Detailed Attendance'!Q80:Q80, "A")+COUNTIF('Detailed Attendance'!AC80:AC80, "A")+COUNTIF('Detailed Attendance'!AK80:AK80, "A")+COUNTIF('Detailed Attendance'!AW80:AW80, "A")+COUNTIF('Detailed Attendance'!BE80:BE80, "A")+COUNTIF('Detailed Attendance'!BQ80:BQ80, "A")+COUNTIF('Detailed Attendance'!BY80:BY80, "A")+COUNTIF('Detailed Attendance'!CN80:CN80, "A")+COUNTIF('Detailed Attendance'!CV80:CV80, "A")+COUNTIF('Detailed Attendance'!DK80:DK80, "A")+COUNTIF('Detailed Attendance'!DS80:DS80, "A")+COUNTIF('Detailed Attendance'!EH80:EH80, "A")+COUNTIF('Detailed Attendance'!EP80:EP80, "A")+COUNTIF('Detailed Attendance'!FB80:FB80, "A")+COUNTIF('Detailed Attendance'!FJ80:FJ80, "A")+COUNTIF('Detailed Attendance'!FR80:FR80, "A")+COUNTIF('Detailed Attendance'!FZ80:FZ80, "A")</f>
        <v/>
      </c>
      <c r="I78" s="72">
        <f>IF((G78+H78)=0, "", G78/(G78+H78))</f>
        <v/>
      </c>
      <c r="J78" s="46">
        <f>COUNTIF('Detailed Attendance'!L80:L80, "P")+COUNTIF('Detailed Attendance'!P80:P80, "P")+COUNTIF('Detailed Attendance'!AF80:AF80, "P")+COUNTIF('Detailed Attendance'!AJ80:AJ80, "P")+COUNTIF('Detailed Attendance'!AZ80:AZ80, "P")+COUNTIF('Detailed Attendance'!BD80:BD80, "P")+COUNTIF('Detailed Attendance'!BT80:BT80, "P")+COUNTIF('Detailed Attendance'!BX80:BX80, "P")+COUNTIF('Detailed Attendance'!CQ80:CQ80, "P")+COUNTIF('Detailed Attendance'!CU80:CU80, "P")+COUNTIF('Detailed Attendance'!DN80:DN80, "P")+COUNTIF('Detailed Attendance'!DR80:DR80, "P")+COUNTIF('Detailed Attendance'!EK80:EK80, "P")+COUNTIF('Detailed Attendance'!EO80:EO80, "P")+COUNTIF('Detailed Attendance'!FE80:FE80, "P")+COUNTIF('Detailed Attendance'!FI80:FI80, "P")+COUNTIF('Detailed Attendance'!FU80:FU80, "P")+COUNTIF('Detailed Attendance'!FY80:FY80, "P")</f>
        <v/>
      </c>
      <c r="K78" s="46">
        <f>COUNTIF('Detailed Attendance'!L80:L80, "A")+COUNTIF('Detailed Attendance'!P80:P80, "A")+COUNTIF('Detailed Attendance'!AF80:AF80, "A")+COUNTIF('Detailed Attendance'!AJ80:AJ80, "A")+COUNTIF('Detailed Attendance'!AZ80:AZ80, "A")+COUNTIF('Detailed Attendance'!BD80:BD80, "A")+COUNTIF('Detailed Attendance'!BT80:BT80, "A")+COUNTIF('Detailed Attendance'!BX80:BX80, "A")+COUNTIF('Detailed Attendance'!CQ80:CQ80, "A")+COUNTIF('Detailed Attendance'!CU80:CU80, "A")+COUNTIF('Detailed Attendance'!DN80:DN80, "A")+COUNTIF('Detailed Attendance'!DR80:DR80, "A")+COUNTIF('Detailed Attendance'!EK80:EK80, "A")+COUNTIF('Detailed Attendance'!EO80:EO80, "A")+COUNTIF('Detailed Attendance'!FE80:FE80, "A")+COUNTIF('Detailed Attendance'!FI80:FI80, "A")+COUNTIF('Detailed Attendance'!FU80:FU80, "A")+COUNTIF('Detailed Attendance'!FY80:FY80, "A")</f>
        <v/>
      </c>
      <c r="L78" s="72">
        <f>IF((J78+K78)=0, "", J78/(J78+K78))</f>
        <v/>
      </c>
      <c r="M78" s="46">
        <f>COUNTIF('Detailed Attendance'!D80:D80, "P")+COUNTIF('Detailed Attendance'!T80:T80, "P")+COUNTIF('Detailed Attendance'!AN80:AN80, "P")+COUNTIF('Detailed Attendance'!AR80:AR80, "P")+COUNTIF('Detailed Attendance'!BH80:BH80, "P")+COUNTIF('Detailed Attendance'!CB80:CB80, "P")+COUNTIF('Detailed Attendance'!CF80:CF80, "P")+COUNTIF('Detailed Attendance'!CY80:CY80, "P")+COUNTIF('Detailed Attendance'!DC80:DC80, "P")+COUNTIF('Detailed Attendance'!DV80:DV80, "P")+COUNTIF('Detailed Attendance'!DZ80:DZ80, "P")+COUNTIF('Detailed Attendance'!ES80:ES80, "P")+COUNTIF('Detailed Attendance'!GC80:GC80, "P")+COUNTIF('Detailed Attendance'!GG80:GG80, "P")</f>
        <v/>
      </c>
      <c r="N78" s="46">
        <f>COUNTIF('Detailed Attendance'!D80:D80, "A")+COUNTIF('Detailed Attendance'!T80:T80, "A")+COUNTIF('Detailed Attendance'!AN80:AN80, "A")+COUNTIF('Detailed Attendance'!AR80:AR80, "A")+COUNTIF('Detailed Attendance'!BH80:BH80, "A")+COUNTIF('Detailed Attendance'!CB80:CB80, "A")+COUNTIF('Detailed Attendance'!CF80:CF80, "A")+COUNTIF('Detailed Attendance'!CY80:CY80, "A")+COUNTIF('Detailed Attendance'!DC80:DC80, "A")+COUNTIF('Detailed Attendance'!DV80:DV80, "A")+COUNTIF('Detailed Attendance'!DZ80:DZ80, "A")+COUNTIF('Detailed Attendance'!ES80:ES80, "A")+COUNTIF('Detailed Attendance'!GC80:GC80, "A")+COUNTIF('Detailed Attendance'!GG80:GG80, "A")</f>
        <v/>
      </c>
      <c r="O78" s="72">
        <f>IF((M78+N78)=0, "", M78/(M78+N78))</f>
        <v/>
      </c>
      <c r="P78" s="46">
        <f>COUNTIF('Detailed Attendance'!M80:M80, "P")+COUNTIF('Detailed Attendance'!U80:U80, "P")+COUNTIF('Detailed Attendance'!AG80:AG80, "P")+COUNTIF('Detailed Attendance'!AO80:AO80, "P")+COUNTIF('Detailed Attendance'!BA80:BA80, "P")+COUNTIF('Detailed Attendance'!BI80:BI80, "P")+COUNTIF('Detailed Attendance'!BU80:BU80, "P")+COUNTIF('Detailed Attendance'!CC80:CC80, "P")+COUNTIF('Detailed Attendance'!CR80:CR80, "P")+COUNTIF('Detailed Attendance'!CZ80:CZ80, "P")+COUNTIF('Detailed Attendance'!DO80:DO80, "P")+COUNTIF('Detailed Attendance'!DW80:DW80, "P")+COUNTIF('Detailed Attendance'!EL80:EL80, "P")+COUNTIF('Detailed Attendance'!ET80:ET80, "P")+COUNTIF('Detailed Attendance'!FF80:FF80, "P")+COUNTIF('Detailed Attendance'!FV80:FV80, "P")+COUNTIF('Detailed Attendance'!GD80:GD80, "P")</f>
        <v/>
      </c>
      <c r="Q78" s="46">
        <f>COUNTIF('Detailed Attendance'!M80:M80, "A")+COUNTIF('Detailed Attendance'!U80:U80, "A")+COUNTIF('Detailed Attendance'!AG80:AG80, "A")+COUNTIF('Detailed Attendance'!AO80:AO80, "A")+COUNTIF('Detailed Attendance'!BA80:BA80, "A")+COUNTIF('Detailed Attendance'!BI80:BI80, "A")+COUNTIF('Detailed Attendance'!BU80:BU80, "A")+COUNTIF('Detailed Attendance'!CC80:CC80, "A")+COUNTIF('Detailed Attendance'!CR80:CR80, "A")+COUNTIF('Detailed Attendance'!CZ80:CZ80, "A")+COUNTIF('Detailed Attendance'!DO80:DO80, "A")+COUNTIF('Detailed Attendance'!DW80:DW80, "A")+COUNTIF('Detailed Attendance'!EL80:EL80, "A")+COUNTIF('Detailed Attendance'!ET80:ET80, "A")+COUNTIF('Detailed Attendance'!FF80:FF80, "A")+COUNTIF('Detailed Attendance'!FV80:FV80, "A")+COUNTIF('Detailed Attendance'!GD80:GD80, "A")</f>
        <v/>
      </c>
      <c r="R78" s="72">
        <f>IF((P78+Q78)=0, "", P78/(P78+Q78))</f>
        <v/>
      </c>
      <c r="S78" s="46">
        <f>COUNTIF('Detailed Attendance'!V80:V80, "P")+COUNTIF('Detailed Attendance'!AP80:AP80, "P")+COUNTIF('Detailed Attendance'!BJ80:BJ80, "P")+COUNTIF('Detailed Attendance'!CD80:CD80, "P")+COUNTIF('Detailed Attendance'!DA80:DA80, "P")+COUNTIF('Detailed Attendance'!DX80:DX80, "P")+COUNTIF('Detailed Attendance'!EU80:EU80, "P")+COUNTIF('Detailed Attendance'!GE80:GE80, "P")</f>
        <v/>
      </c>
      <c r="T78" s="46">
        <f>COUNTIF('Detailed Attendance'!V80:V80, "A")+COUNTIF('Detailed Attendance'!AP80:AP80, "A")+COUNTIF('Detailed Attendance'!BJ80:BJ80, "A")+COUNTIF('Detailed Attendance'!CD80:CD80, "A")+COUNTIF('Detailed Attendance'!DA80:DA80, "A")+COUNTIF('Detailed Attendance'!DX80:DX80, "A")+COUNTIF('Detailed Attendance'!EU80:EU80, "A")+COUNTIF('Detailed Attendance'!GE80:GE80, "A")</f>
        <v/>
      </c>
      <c r="U78" s="73">
        <f>IF((S78+T78)=0, "", S78/(S78+T78))</f>
        <v/>
      </c>
      <c r="V78" s="46">
        <f>COUNTIF('Detailed Attendance'!CH80:CH80, "P")+COUNTIF('Detailed Attendance'!DE80:DE80, "P")+COUNTIF('Detailed Attendance'!EB80:EB80, "P")+COUNTIF('Detailed Attendance'!GI80:GI80, "P")</f>
        <v/>
      </c>
      <c r="W78" s="46">
        <f>COUNTIF('Detailed Attendance'!CH80:CH80, "A")+COUNTIF('Detailed Attendance'!DE80:DE80, "A")+COUNTIF('Detailed Attendance'!EB80:EB80, "A")+COUNTIF('Detailed Attendance'!GI80:GI80, "A")</f>
        <v/>
      </c>
      <c r="X78" s="73">
        <f>IF((V78+W78)=0, "", V78/(V78+W78))</f>
        <v/>
      </c>
      <c r="Y78" s="46">
        <f>COUNTIF('Detailed Attendance'!CG80:CG80, "P")+COUNTIF('Detailed Attendance'!DD80:DD80, "P")+COUNTIF('Detailed Attendance'!EA80:EA80, "P")+COUNTIF('Detailed Attendance'!GH80:GH80, "P")</f>
        <v/>
      </c>
      <c r="Z78" s="46">
        <f>COUNTIF('Detailed Attendance'!CG80:CG80, "A")+COUNTIF('Detailed Attendance'!DD80:DD80, "A")+COUNTIF('Detailed Attendance'!EA80:EA80, "A")+COUNTIF('Detailed Attendance'!GH80:GH80, "A")</f>
        <v/>
      </c>
      <c r="AA78" s="73">
        <f>IF((Y78+Z78)=0, "", Y78/(Y78+Z78))</f>
        <v/>
      </c>
      <c r="AB78" s="46">
        <f>S78+V78+Y78</f>
        <v/>
      </c>
      <c r="AC78" s="46">
        <f>T78+W78+Z78</f>
        <v/>
      </c>
      <c r="AD78" s="73">
        <f>IF((AB78+AC78)=0, "", AB78/(AB78+AC78))</f>
        <v/>
      </c>
      <c r="AE78" s="46" t="inlineStr">
        <is>
          <t>Batch 2</t>
        </is>
      </c>
    </row>
    <row r="79" ht="14.25" customHeight="1" s="34">
      <c r="A79" s="46" t="n">
        <v>78</v>
      </c>
      <c r="B79" s="46" t="inlineStr">
        <is>
          <t>325106410078</t>
        </is>
      </c>
      <c r="C79" s="46" t="inlineStr">
        <is>
          <t>BISHARUP CHANDRA BISHWAS</t>
        </is>
      </c>
      <c r="D79" s="46">
        <f>COUNTIF('Detailed Attendance'!R81:R81, "P")+COUNTIF('Detailed Attendance'!X81:X81, "P")+COUNTIF('Detailed Attendance'!AL81:AL81, "P")+COUNTIF('Detailed Attendance'!BF81:BF81, "P")+COUNTIF('Detailed Attendance'!BL81:BL81, "P")+COUNTIF('Detailed Attendance'!BZ81:BZ81, "P")+COUNTIF('Detailed Attendance'!CI81:CI81, "P")+COUNTIF('Detailed Attendance'!CW81:CW81, "P")+COUNTIF('Detailed Attendance'!DF81:DF81, "P")+COUNTIF('Detailed Attendance'!DT81:DT81, "P")+COUNTIF('Detailed Attendance'!EC81:EC81, "P")+COUNTIF('Detailed Attendance'!EQ81:EQ81, "P")+COUNTIF('Detailed Attendance'!EW81:EW81, "P")+COUNTIF('Detailed Attendance'!FK81:FK81, "P")+COUNTIF('Detailed Attendance'!FM81:FM81, "P")+COUNTIF('Detailed Attendance'!GA81:GA81, "P")</f>
        <v/>
      </c>
      <c r="E79" s="46">
        <f>COUNTIF('Detailed Attendance'!R81:R81, "A")+COUNTIF('Detailed Attendance'!X81:X81, "A")+COUNTIF('Detailed Attendance'!AL81:AL81, "A")+COUNTIF('Detailed Attendance'!BF81:BF81, "A")+COUNTIF('Detailed Attendance'!BL81:BL81, "A")+COUNTIF('Detailed Attendance'!BZ81:BZ81, "A")+COUNTIF('Detailed Attendance'!CI81:CI81, "A")+COUNTIF('Detailed Attendance'!CW81:CW81, "A")+COUNTIF('Detailed Attendance'!DF81:DF81, "A")+COUNTIF('Detailed Attendance'!DT81:DT81, "A")+COUNTIF('Detailed Attendance'!EC81:EC81, "A")+COUNTIF('Detailed Attendance'!EQ81:EQ81, "A")+COUNTIF('Detailed Attendance'!EW81:EW81, "A")+COUNTIF('Detailed Attendance'!FK81:FK81, "A")+COUNTIF('Detailed Attendance'!FM81:FM81, "A")+COUNTIF('Detailed Attendance'!GA81:GA81, "A")</f>
        <v/>
      </c>
      <c r="F79" s="72">
        <f>IF((D79+E79)=0, "", D79/(D79+E79))</f>
        <v/>
      </c>
      <c r="G79" s="46">
        <f>COUNTIF('Detailed Attendance'!I81:I81, "P")+COUNTIF('Detailed Attendance'!Q81:Q81, "P")+COUNTIF('Detailed Attendance'!AC81:AC81, "P")+COUNTIF('Detailed Attendance'!AK81:AK81, "P")+COUNTIF('Detailed Attendance'!AW81:AW81, "P")+COUNTIF('Detailed Attendance'!BE81:BE81, "P")+COUNTIF('Detailed Attendance'!BQ81:BQ81, "P")+COUNTIF('Detailed Attendance'!BY81:BY81, "P")+COUNTIF('Detailed Attendance'!CN81:CN81, "P")+COUNTIF('Detailed Attendance'!CV81:CV81, "P")+COUNTIF('Detailed Attendance'!DK81:DK81, "P")+COUNTIF('Detailed Attendance'!DS81:DS81, "P")+COUNTIF('Detailed Attendance'!EH81:EH81, "P")+COUNTIF('Detailed Attendance'!EP81:EP81, "P")+COUNTIF('Detailed Attendance'!FB81:FB81, "P")+COUNTIF('Detailed Attendance'!FJ81:FJ81, "P")+COUNTIF('Detailed Attendance'!FR81:FR81, "P")+COUNTIF('Detailed Attendance'!FZ81:FZ81, "P")</f>
        <v/>
      </c>
      <c r="H79" s="46">
        <f>COUNTIF('Detailed Attendance'!I81:I81, "A")+COUNTIF('Detailed Attendance'!Q81:Q81, "A")+COUNTIF('Detailed Attendance'!AC81:AC81, "A")+COUNTIF('Detailed Attendance'!AK81:AK81, "A")+COUNTIF('Detailed Attendance'!AW81:AW81, "A")+COUNTIF('Detailed Attendance'!BE81:BE81, "A")+COUNTIF('Detailed Attendance'!BQ81:BQ81, "A")+COUNTIF('Detailed Attendance'!BY81:BY81, "A")+COUNTIF('Detailed Attendance'!CN81:CN81, "A")+COUNTIF('Detailed Attendance'!CV81:CV81, "A")+COUNTIF('Detailed Attendance'!DK81:DK81, "A")+COUNTIF('Detailed Attendance'!DS81:DS81, "A")+COUNTIF('Detailed Attendance'!EH81:EH81, "A")+COUNTIF('Detailed Attendance'!EP81:EP81, "A")+COUNTIF('Detailed Attendance'!FB81:FB81, "A")+COUNTIF('Detailed Attendance'!FJ81:FJ81, "A")+COUNTIF('Detailed Attendance'!FR81:FR81, "A")+COUNTIF('Detailed Attendance'!FZ81:FZ81, "A")</f>
        <v/>
      </c>
      <c r="I79" s="72">
        <f>IF((G79+H79)=0, "", G79/(G79+H79))</f>
        <v/>
      </c>
      <c r="J79" s="46">
        <f>COUNTIF('Detailed Attendance'!L81:L81, "P")+COUNTIF('Detailed Attendance'!P81:P81, "P")+COUNTIF('Detailed Attendance'!AF81:AF81, "P")+COUNTIF('Detailed Attendance'!AJ81:AJ81, "P")+COUNTIF('Detailed Attendance'!AZ81:AZ81, "P")+COUNTIF('Detailed Attendance'!BD81:BD81, "P")+COUNTIF('Detailed Attendance'!BT81:BT81, "P")+COUNTIF('Detailed Attendance'!BX81:BX81, "P")+COUNTIF('Detailed Attendance'!CQ81:CQ81, "P")+COUNTIF('Detailed Attendance'!CU81:CU81, "P")+COUNTIF('Detailed Attendance'!DN81:DN81, "P")+COUNTIF('Detailed Attendance'!DR81:DR81, "P")+COUNTIF('Detailed Attendance'!EK81:EK81, "P")+COUNTIF('Detailed Attendance'!EO81:EO81, "P")+COUNTIF('Detailed Attendance'!FE81:FE81, "P")+COUNTIF('Detailed Attendance'!FI81:FI81, "P")+COUNTIF('Detailed Attendance'!FU81:FU81, "P")+COUNTIF('Detailed Attendance'!FY81:FY81, "P")</f>
        <v/>
      </c>
      <c r="K79" s="46">
        <f>COUNTIF('Detailed Attendance'!L81:L81, "A")+COUNTIF('Detailed Attendance'!P81:P81, "A")+COUNTIF('Detailed Attendance'!AF81:AF81, "A")+COUNTIF('Detailed Attendance'!AJ81:AJ81, "A")+COUNTIF('Detailed Attendance'!AZ81:AZ81, "A")+COUNTIF('Detailed Attendance'!BD81:BD81, "A")+COUNTIF('Detailed Attendance'!BT81:BT81, "A")+COUNTIF('Detailed Attendance'!BX81:BX81, "A")+COUNTIF('Detailed Attendance'!CQ81:CQ81, "A")+COUNTIF('Detailed Attendance'!CU81:CU81, "A")+COUNTIF('Detailed Attendance'!DN81:DN81, "A")+COUNTIF('Detailed Attendance'!DR81:DR81, "A")+COUNTIF('Detailed Attendance'!EK81:EK81, "A")+COUNTIF('Detailed Attendance'!EO81:EO81, "A")+COUNTIF('Detailed Attendance'!FE81:FE81, "A")+COUNTIF('Detailed Attendance'!FI81:FI81, "A")+COUNTIF('Detailed Attendance'!FU81:FU81, "A")+COUNTIF('Detailed Attendance'!FY81:FY81, "A")</f>
        <v/>
      </c>
      <c r="L79" s="72">
        <f>IF((J79+K79)=0, "", J79/(J79+K79))</f>
        <v/>
      </c>
      <c r="M79" s="46">
        <f>COUNTIF('Detailed Attendance'!D81:D81, "P")+COUNTIF('Detailed Attendance'!T81:T81, "P")+COUNTIF('Detailed Attendance'!AN81:AN81, "P")+COUNTIF('Detailed Attendance'!AR81:AR81, "P")+COUNTIF('Detailed Attendance'!BH81:BH81, "P")+COUNTIF('Detailed Attendance'!CB81:CB81, "P")+COUNTIF('Detailed Attendance'!CF81:CF81, "P")+COUNTIF('Detailed Attendance'!CY81:CY81, "P")+COUNTIF('Detailed Attendance'!DC81:DC81, "P")+COUNTIF('Detailed Attendance'!DV81:DV81, "P")+COUNTIF('Detailed Attendance'!DZ81:DZ81, "P")+COUNTIF('Detailed Attendance'!ES81:ES81, "P")+COUNTIF('Detailed Attendance'!GC81:GC81, "P")+COUNTIF('Detailed Attendance'!GG81:GG81, "P")</f>
        <v/>
      </c>
      <c r="N79" s="46">
        <f>COUNTIF('Detailed Attendance'!D81:D81, "A")+COUNTIF('Detailed Attendance'!T81:T81, "A")+COUNTIF('Detailed Attendance'!AN81:AN81, "A")+COUNTIF('Detailed Attendance'!AR81:AR81, "A")+COUNTIF('Detailed Attendance'!BH81:BH81, "A")+COUNTIF('Detailed Attendance'!CB81:CB81, "A")+COUNTIF('Detailed Attendance'!CF81:CF81, "A")+COUNTIF('Detailed Attendance'!CY81:CY81, "A")+COUNTIF('Detailed Attendance'!DC81:DC81, "A")+COUNTIF('Detailed Attendance'!DV81:DV81, "A")+COUNTIF('Detailed Attendance'!DZ81:DZ81, "A")+COUNTIF('Detailed Attendance'!ES81:ES81, "A")+COUNTIF('Detailed Attendance'!GC81:GC81, "A")+COUNTIF('Detailed Attendance'!GG81:GG81, "A")</f>
        <v/>
      </c>
      <c r="O79" s="72">
        <f>IF((M79+N79)=0, "", M79/(M79+N79))</f>
        <v/>
      </c>
      <c r="P79" s="46">
        <f>COUNTIF('Detailed Attendance'!M81:M81, "P")+COUNTIF('Detailed Attendance'!U81:U81, "P")+COUNTIF('Detailed Attendance'!AG81:AG81, "P")+COUNTIF('Detailed Attendance'!AO81:AO81, "P")+COUNTIF('Detailed Attendance'!BA81:BA81, "P")+COUNTIF('Detailed Attendance'!BI81:BI81, "P")+COUNTIF('Detailed Attendance'!BU81:BU81, "P")+COUNTIF('Detailed Attendance'!CC81:CC81, "P")+COUNTIF('Detailed Attendance'!CR81:CR81, "P")+COUNTIF('Detailed Attendance'!CZ81:CZ81, "P")+COUNTIF('Detailed Attendance'!DO81:DO81, "P")+COUNTIF('Detailed Attendance'!DW81:DW81, "P")+COUNTIF('Detailed Attendance'!EL81:EL81, "P")+COUNTIF('Detailed Attendance'!ET81:ET81, "P")+COUNTIF('Detailed Attendance'!FF81:FF81, "P")+COUNTIF('Detailed Attendance'!FV81:FV81, "P")+COUNTIF('Detailed Attendance'!GD81:GD81, "P")</f>
        <v/>
      </c>
      <c r="Q79" s="46">
        <f>COUNTIF('Detailed Attendance'!M81:M81, "A")+COUNTIF('Detailed Attendance'!U81:U81, "A")+COUNTIF('Detailed Attendance'!AG81:AG81, "A")+COUNTIF('Detailed Attendance'!AO81:AO81, "A")+COUNTIF('Detailed Attendance'!BA81:BA81, "A")+COUNTIF('Detailed Attendance'!BI81:BI81, "A")+COUNTIF('Detailed Attendance'!BU81:BU81, "A")+COUNTIF('Detailed Attendance'!CC81:CC81, "A")+COUNTIF('Detailed Attendance'!CR81:CR81, "A")+COUNTIF('Detailed Attendance'!CZ81:CZ81, "A")+COUNTIF('Detailed Attendance'!DO81:DO81, "A")+COUNTIF('Detailed Attendance'!DW81:DW81, "A")+COUNTIF('Detailed Attendance'!EL81:EL81, "A")+COUNTIF('Detailed Attendance'!ET81:ET81, "A")+COUNTIF('Detailed Attendance'!FF81:FF81, "A")+COUNTIF('Detailed Attendance'!FV81:FV81, "A")+COUNTIF('Detailed Attendance'!GD81:GD81, "A")</f>
        <v/>
      </c>
      <c r="R79" s="72">
        <f>IF((P79+Q79)=0, "", P79/(P79+Q79))</f>
        <v/>
      </c>
      <c r="S79" s="46">
        <f>COUNTIF('Detailed Attendance'!V81:V81, "P")+COUNTIF('Detailed Attendance'!AP81:AP81, "P")+COUNTIF('Detailed Attendance'!BJ81:BJ81, "P")+COUNTIF('Detailed Attendance'!CD81:CD81, "P")+COUNTIF('Detailed Attendance'!DA81:DA81, "P")+COUNTIF('Detailed Attendance'!DX81:DX81, "P")+COUNTIF('Detailed Attendance'!EU81:EU81, "P")+COUNTIF('Detailed Attendance'!GE81:GE81, "P")</f>
        <v/>
      </c>
      <c r="T79" s="46">
        <f>COUNTIF('Detailed Attendance'!V81:V81, "A")+COUNTIF('Detailed Attendance'!AP81:AP81, "A")+COUNTIF('Detailed Attendance'!BJ81:BJ81, "A")+COUNTIF('Detailed Attendance'!CD81:CD81, "A")+COUNTIF('Detailed Attendance'!DA81:DA81, "A")+COUNTIF('Detailed Attendance'!DX81:DX81, "A")+COUNTIF('Detailed Attendance'!EU81:EU81, "A")+COUNTIF('Detailed Attendance'!GE81:GE81, "A")</f>
        <v/>
      </c>
      <c r="U79" s="73">
        <f>IF((S79+T79)=0, "", S79/(S79+T79))</f>
        <v/>
      </c>
      <c r="V79" s="46">
        <f>COUNTIF('Detailed Attendance'!CH81:CH81, "P")+COUNTIF('Detailed Attendance'!DE81:DE81, "P")+COUNTIF('Detailed Attendance'!EB81:EB81, "P")+COUNTIF('Detailed Attendance'!GI81:GI81, "P")</f>
        <v/>
      </c>
      <c r="W79" s="46">
        <f>COUNTIF('Detailed Attendance'!CH81:CH81, "A")+COUNTIF('Detailed Attendance'!DE81:DE81, "A")+COUNTIF('Detailed Attendance'!EB81:EB81, "A")+COUNTIF('Detailed Attendance'!GI81:GI81, "A")</f>
        <v/>
      </c>
      <c r="X79" s="73">
        <f>IF((V79+W79)=0, "", V79/(V79+W79))</f>
        <v/>
      </c>
      <c r="Y79" s="46">
        <f>COUNTIF('Detailed Attendance'!CG81:CG81, "P")+COUNTIF('Detailed Attendance'!DD81:DD81, "P")+COUNTIF('Detailed Attendance'!EA81:EA81, "P")+COUNTIF('Detailed Attendance'!GH81:GH81, "P")</f>
        <v/>
      </c>
      <c r="Z79" s="46">
        <f>COUNTIF('Detailed Attendance'!CG81:CG81, "A")+COUNTIF('Detailed Attendance'!DD81:DD81, "A")+COUNTIF('Detailed Attendance'!EA81:EA81, "A")+COUNTIF('Detailed Attendance'!GH81:GH81, "A")</f>
        <v/>
      </c>
      <c r="AA79" s="73">
        <f>IF((Y79+Z79)=0, "", Y79/(Y79+Z79))</f>
        <v/>
      </c>
      <c r="AB79" s="46">
        <f>S79+V79+Y79</f>
        <v/>
      </c>
      <c r="AC79" s="46">
        <f>T79+W79+Z79</f>
        <v/>
      </c>
      <c r="AD79" s="73">
        <f>IF((AB79+AC79)=0, "", AB79/(AB79+AC79))</f>
        <v/>
      </c>
      <c r="AE79" s="46" t="inlineStr">
        <is>
          <t>Batch 2</t>
        </is>
      </c>
    </row>
    <row r="80" ht="14.25" customHeight="1" s="34">
      <c r="A80" s="46" t="n">
        <v>79</v>
      </c>
      <c r="B80" s="46" t="inlineStr">
        <is>
          <t>325106410079</t>
        </is>
      </c>
      <c r="C80" s="46" t="inlineStr">
        <is>
          <t>DADJA ELIE APOLLINAIRE TCHANDAO</t>
        </is>
      </c>
      <c r="D80" s="46">
        <f>COUNTIF('Detailed Attendance'!R82:R82, "P")+COUNTIF('Detailed Attendance'!X82:X82, "P")+COUNTIF('Detailed Attendance'!AL82:AL82, "P")+COUNTIF('Detailed Attendance'!BF82:BF82, "P")+COUNTIF('Detailed Attendance'!BL82:BL82, "P")+COUNTIF('Detailed Attendance'!BZ82:BZ82, "P")+COUNTIF('Detailed Attendance'!CI82:CI82, "P")+COUNTIF('Detailed Attendance'!CW82:CW82, "P")+COUNTIF('Detailed Attendance'!DF82:DF82, "P")+COUNTIF('Detailed Attendance'!DT82:DT82, "P")+COUNTIF('Detailed Attendance'!EC82:EC82, "P")+COUNTIF('Detailed Attendance'!EQ82:EQ82, "P")+COUNTIF('Detailed Attendance'!EW82:EW82, "P")+COUNTIF('Detailed Attendance'!FK82:FK82, "P")+COUNTIF('Detailed Attendance'!FM82:FM82, "P")+COUNTIF('Detailed Attendance'!GA82:GA82, "P")</f>
        <v/>
      </c>
      <c r="E80" s="46">
        <f>COUNTIF('Detailed Attendance'!R82:R82, "A")+COUNTIF('Detailed Attendance'!X82:X82, "A")+COUNTIF('Detailed Attendance'!AL82:AL82, "A")+COUNTIF('Detailed Attendance'!BF82:BF82, "A")+COUNTIF('Detailed Attendance'!BL82:BL82, "A")+COUNTIF('Detailed Attendance'!BZ82:BZ82, "A")+COUNTIF('Detailed Attendance'!CI82:CI82, "A")+COUNTIF('Detailed Attendance'!CW82:CW82, "A")+COUNTIF('Detailed Attendance'!DF82:DF82, "A")+COUNTIF('Detailed Attendance'!DT82:DT82, "A")+COUNTIF('Detailed Attendance'!EC82:EC82, "A")+COUNTIF('Detailed Attendance'!EQ82:EQ82, "A")+COUNTIF('Detailed Attendance'!EW82:EW82, "A")+COUNTIF('Detailed Attendance'!FK82:FK82, "A")+COUNTIF('Detailed Attendance'!FM82:FM82, "A")+COUNTIF('Detailed Attendance'!GA82:GA82, "A")</f>
        <v/>
      </c>
      <c r="F80" s="72">
        <f>IF((D80+E80)=0, "", D80/(D80+E80))</f>
        <v/>
      </c>
      <c r="G80" s="46">
        <f>COUNTIF('Detailed Attendance'!I82:I82, "P")+COUNTIF('Detailed Attendance'!Q82:Q82, "P")+COUNTIF('Detailed Attendance'!AC82:AC82, "P")+COUNTIF('Detailed Attendance'!AK82:AK82, "P")+COUNTIF('Detailed Attendance'!AW82:AW82, "P")+COUNTIF('Detailed Attendance'!BE82:BE82, "P")+COUNTIF('Detailed Attendance'!BQ82:BQ82, "P")+COUNTIF('Detailed Attendance'!BY82:BY82, "P")+COUNTIF('Detailed Attendance'!CN82:CN82, "P")+COUNTIF('Detailed Attendance'!CV82:CV82, "P")+COUNTIF('Detailed Attendance'!DK82:DK82, "P")+COUNTIF('Detailed Attendance'!DS82:DS82, "P")+COUNTIF('Detailed Attendance'!EH82:EH82, "P")+COUNTIF('Detailed Attendance'!EP82:EP82, "P")+COUNTIF('Detailed Attendance'!FB82:FB82, "P")+COUNTIF('Detailed Attendance'!FJ82:FJ82, "P")+COUNTIF('Detailed Attendance'!FR82:FR82, "P")+COUNTIF('Detailed Attendance'!FZ82:FZ82, "P")</f>
        <v/>
      </c>
      <c r="H80" s="46">
        <f>COUNTIF('Detailed Attendance'!I82:I82, "A")+COUNTIF('Detailed Attendance'!Q82:Q82, "A")+COUNTIF('Detailed Attendance'!AC82:AC82, "A")+COUNTIF('Detailed Attendance'!AK82:AK82, "A")+COUNTIF('Detailed Attendance'!AW82:AW82, "A")+COUNTIF('Detailed Attendance'!BE82:BE82, "A")+COUNTIF('Detailed Attendance'!BQ82:BQ82, "A")+COUNTIF('Detailed Attendance'!BY82:BY82, "A")+COUNTIF('Detailed Attendance'!CN82:CN82, "A")+COUNTIF('Detailed Attendance'!CV82:CV82, "A")+COUNTIF('Detailed Attendance'!DK82:DK82, "A")+COUNTIF('Detailed Attendance'!DS82:DS82, "A")+COUNTIF('Detailed Attendance'!EH82:EH82, "A")+COUNTIF('Detailed Attendance'!EP82:EP82, "A")+COUNTIF('Detailed Attendance'!FB82:FB82, "A")+COUNTIF('Detailed Attendance'!FJ82:FJ82, "A")+COUNTIF('Detailed Attendance'!FR82:FR82, "A")+COUNTIF('Detailed Attendance'!FZ82:FZ82, "A")</f>
        <v/>
      </c>
      <c r="I80" s="72">
        <f>IF((G80+H80)=0, "", G80/(G80+H80))</f>
        <v/>
      </c>
      <c r="J80" s="46">
        <f>COUNTIF('Detailed Attendance'!L82:L82, "P")+COUNTIF('Detailed Attendance'!P82:P82, "P")+COUNTIF('Detailed Attendance'!AF82:AF82, "P")+COUNTIF('Detailed Attendance'!AJ82:AJ82, "P")+COUNTIF('Detailed Attendance'!AZ82:AZ82, "P")+COUNTIF('Detailed Attendance'!BD82:BD82, "P")+COUNTIF('Detailed Attendance'!BT82:BT82, "P")+COUNTIF('Detailed Attendance'!BX82:BX82, "P")+COUNTIF('Detailed Attendance'!CQ82:CQ82, "P")+COUNTIF('Detailed Attendance'!CU82:CU82, "P")+COUNTIF('Detailed Attendance'!DN82:DN82, "P")+COUNTIF('Detailed Attendance'!DR82:DR82, "P")+COUNTIF('Detailed Attendance'!EK82:EK82, "P")+COUNTIF('Detailed Attendance'!EO82:EO82, "P")+COUNTIF('Detailed Attendance'!FE82:FE82, "P")+COUNTIF('Detailed Attendance'!FI82:FI82, "P")+COUNTIF('Detailed Attendance'!FU82:FU82, "P")+COUNTIF('Detailed Attendance'!FY82:FY82, "P")</f>
        <v/>
      </c>
      <c r="K80" s="46">
        <f>COUNTIF('Detailed Attendance'!L82:L82, "A")+COUNTIF('Detailed Attendance'!P82:P82, "A")+COUNTIF('Detailed Attendance'!AF82:AF82, "A")+COUNTIF('Detailed Attendance'!AJ82:AJ82, "A")+COUNTIF('Detailed Attendance'!AZ82:AZ82, "A")+COUNTIF('Detailed Attendance'!BD82:BD82, "A")+COUNTIF('Detailed Attendance'!BT82:BT82, "A")+COUNTIF('Detailed Attendance'!BX82:BX82, "A")+COUNTIF('Detailed Attendance'!CQ82:CQ82, "A")+COUNTIF('Detailed Attendance'!CU82:CU82, "A")+COUNTIF('Detailed Attendance'!DN82:DN82, "A")+COUNTIF('Detailed Attendance'!DR82:DR82, "A")+COUNTIF('Detailed Attendance'!EK82:EK82, "A")+COUNTIF('Detailed Attendance'!EO82:EO82, "A")+COUNTIF('Detailed Attendance'!FE82:FE82, "A")+COUNTIF('Detailed Attendance'!FI82:FI82, "A")+COUNTIF('Detailed Attendance'!FU82:FU82, "A")+COUNTIF('Detailed Attendance'!FY82:FY82, "A")</f>
        <v/>
      </c>
      <c r="L80" s="72">
        <f>IF((J80+K80)=0, "", J80/(J80+K80))</f>
        <v/>
      </c>
      <c r="M80" s="46">
        <f>COUNTIF('Detailed Attendance'!D82:D82, "P")+COUNTIF('Detailed Attendance'!T82:T82, "P")+COUNTIF('Detailed Attendance'!AN82:AN82, "P")+COUNTIF('Detailed Attendance'!AR82:AR82, "P")+COUNTIF('Detailed Attendance'!BH82:BH82, "P")+COUNTIF('Detailed Attendance'!CB82:CB82, "P")+COUNTIF('Detailed Attendance'!CF82:CF82, "P")+COUNTIF('Detailed Attendance'!CY82:CY82, "P")+COUNTIF('Detailed Attendance'!DC82:DC82, "P")+COUNTIF('Detailed Attendance'!DV82:DV82, "P")+COUNTIF('Detailed Attendance'!DZ82:DZ82, "P")+COUNTIF('Detailed Attendance'!ES82:ES82, "P")+COUNTIF('Detailed Attendance'!GC82:GC82, "P")+COUNTIF('Detailed Attendance'!GG82:GG82, "P")</f>
        <v/>
      </c>
      <c r="N80" s="46">
        <f>COUNTIF('Detailed Attendance'!D82:D82, "A")+COUNTIF('Detailed Attendance'!T82:T82, "A")+COUNTIF('Detailed Attendance'!AN82:AN82, "A")+COUNTIF('Detailed Attendance'!AR82:AR82, "A")+COUNTIF('Detailed Attendance'!BH82:BH82, "A")+COUNTIF('Detailed Attendance'!CB82:CB82, "A")+COUNTIF('Detailed Attendance'!CF82:CF82, "A")+COUNTIF('Detailed Attendance'!CY82:CY82, "A")+COUNTIF('Detailed Attendance'!DC82:DC82, "A")+COUNTIF('Detailed Attendance'!DV82:DV82, "A")+COUNTIF('Detailed Attendance'!DZ82:DZ82, "A")+COUNTIF('Detailed Attendance'!ES82:ES82, "A")+COUNTIF('Detailed Attendance'!GC82:GC82, "A")+COUNTIF('Detailed Attendance'!GG82:GG82, "A")</f>
        <v/>
      </c>
      <c r="O80" s="72">
        <f>IF((M80+N80)=0, "", M80/(M80+N80))</f>
        <v/>
      </c>
      <c r="P80" s="46">
        <f>COUNTIF('Detailed Attendance'!M82:M82, "P")+COUNTIF('Detailed Attendance'!U82:U82, "P")+COUNTIF('Detailed Attendance'!AG82:AG82, "P")+COUNTIF('Detailed Attendance'!AO82:AO82, "P")+COUNTIF('Detailed Attendance'!BA82:BA82, "P")+COUNTIF('Detailed Attendance'!BI82:BI82, "P")+COUNTIF('Detailed Attendance'!BU82:BU82, "P")+COUNTIF('Detailed Attendance'!CC82:CC82, "P")+COUNTIF('Detailed Attendance'!CR82:CR82, "P")+COUNTIF('Detailed Attendance'!CZ82:CZ82, "P")+COUNTIF('Detailed Attendance'!DO82:DO82, "P")+COUNTIF('Detailed Attendance'!DW82:DW82, "P")+COUNTIF('Detailed Attendance'!EL82:EL82, "P")+COUNTIF('Detailed Attendance'!ET82:ET82, "P")+COUNTIF('Detailed Attendance'!FF82:FF82, "P")+COUNTIF('Detailed Attendance'!FV82:FV82, "P")+COUNTIF('Detailed Attendance'!GD82:GD82, "P")</f>
        <v/>
      </c>
      <c r="Q80" s="46">
        <f>COUNTIF('Detailed Attendance'!M82:M82, "A")+COUNTIF('Detailed Attendance'!U82:U82, "A")+COUNTIF('Detailed Attendance'!AG82:AG82, "A")+COUNTIF('Detailed Attendance'!AO82:AO82, "A")+COUNTIF('Detailed Attendance'!BA82:BA82, "A")+COUNTIF('Detailed Attendance'!BI82:BI82, "A")+COUNTIF('Detailed Attendance'!BU82:BU82, "A")+COUNTIF('Detailed Attendance'!CC82:CC82, "A")+COUNTIF('Detailed Attendance'!CR82:CR82, "A")+COUNTIF('Detailed Attendance'!CZ82:CZ82, "A")+COUNTIF('Detailed Attendance'!DO82:DO82, "A")+COUNTIF('Detailed Attendance'!DW82:DW82, "A")+COUNTIF('Detailed Attendance'!EL82:EL82, "A")+COUNTIF('Detailed Attendance'!ET82:ET82, "A")+COUNTIF('Detailed Attendance'!FF82:FF82, "A")+COUNTIF('Detailed Attendance'!FV82:FV82, "A")+COUNTIF('Detailed Attendance'!GD82:GD82, "A")</f>
        <v/>
      </c>
      <c r="R80" s="72">
        <f>IF((P80+Q80)=0, "", P80/(P80+Q80))</f>
        <v/>
      </c>
      <c r="S80" s="46">
        <f>COUNTIF('Detailed Attendance'!V82:V82, "P")+COUNTIF('Detailed Attendance'!AP82:AP82, "P")+COUNTIF('Detailed Attendance'!BJ82:BJ82, "P")+COUNTIF('Detailed Attendance'!CD82:CD82, "P")+COUNTIF('Detailed Attendance'!DA82:DA82, "P")+COUNTIF('Detailed Attendance'!DX82:DX82, "P")+COUNTIF('Detailed Attendance'!EU82:EU82, "P")+COUNTIF('Detailed Attendance'!GE82:GE82, "P")</f>
        <v/>
      </c>
      <c r="T80" s="46">
        <f>COUNTIF('Detailed Attendance'!V82:V82, "A")+COUNTIF('Detailed Attendance'!AP82:AP82, "A")+COUNTIF('Detailed Attendance'!BJ82:BJ82, "A")+COUNTIF('Detailed Attendance'!CD82:CD82, "A")+COUNTIF('Detailed Attendance'!DA82:DA82, "A")+COUNTIF('Detailed Attendance'!DX82:DX82, "A")+COUNTIF('Detailed Attendance'!EU82:EU82, "A")+COUNTIF('Detailed Attendance'!GE82:GE82, "A")</f>
        <v/>
      </c>
      <c r="U80" s="73">
        <f>IF((S80+T80)=0, "", S80/(S80+T80))</f>
        <v/>
      </c>
      <c r="V80" s="46">
        <f>COUNTIF('Detailed Attendance'!CH82:CH82, "P")+COUNTIF('Detailed Attendance'!DE82:DE82, "P")+COUNTIF('Detailed Attendance'!EB82:EB82, "P")+COUNTIF('Detailed Attendance'!GI82:GI82, "P")</f>
        <v/>
      </c>
      <c r="W80" s="46">
        <f>COUNTIF('Detailed Attendance'!CH82:CH82, "A")+COUNTIF('Detailed Attendance'!DE82:DE82, "A")+COUNTIF('Detailed Attendance'!EB82:EB82, "A")+COUNTIF('Detailed Attendance'!GI82:GI82, "A")</f>
        <v/>
      </c>
      <c r="X80" s="73">
        <f>IF((V80+W80)=0, "", V80/(V80+W80))</f>
        <v/>
      </c>
      <c r="Y80" s="46">
        <f>COUNTIF('Detailed Attendance'!CG82:CG82, "P")+COUNTIF('Detailed Attendance'!DD82:DD82, "P")+COUNTIF('Detailed Attendance'!EA82:EA82, "P")+COUNTIF('Detailed Attendance'!GH82:GH82, "P")</f>
        <v/>
      </c>
      <c r="Z80" s="46">
        <f>COUNTIF('Detailed Attendance'!CG82:CG82, "A")+COUNTIF('Detailed Attendance'!DD82:DD82, "A")+COUNTIF('Detailed Attendance'!EA82:EA82, "A")+COUNTIF('Detailed Attendance'!GH82:GH82, "A")</f>
        <v/>
      </c>
      <c r="AA80" s="73">
        <f>IF((Y80+Z80)=0, "", Y80/(Y80+Z80))</f>
        <v/>
      </c>
      <c r="AB80" s="46">
        <f>S80+V80+Y80</f>
        <v/>
      </c>
      <c r="AC80" s="46">
        <f>T80+W80+Z80</f>
        <v/>
      </c>
      <c r="AD80" s="73">
        <f>IF((AB80+AC80)=0, "", AB80/(AB80+AC80))</f>
        <v/>
      </c>
      <c r="AE80" s="46" t="inlineStr">
        <is>
          <t>Batch 2</t>
        </is>
      </c>
    </row>
    <row r="81" ht="14.25" customHeight="1" s="34">
      <c r="A81" s="46" t="n">
        <v>80</v>
      </c>
      <c r="B81" s="46" t="inlineStr">
        <is>
          <t>325106410080</t>
        </is>
      </c>
      <c r="C81" s="46" t="inlineStr">
        <is>
          <t>DIBYA JYOTI ROY</t>
        </is>
      </c>
      <c r="D81" s="46">
        <f>COUNTIF('Detailed Attendance'!R83:R83, "P")+COUNTIF('Detailed Attendance'!X83:X83, "P")+COUNTIF('Detailed Attendance'!AL83:AL83, "P")+COUNTIF('Detailed Attendance'!BF83:BF83, "P")+COUNTIF('Detailed Attendance'!BL83:BL83, "P")+COUNTIF('Detailed Attendance'!BZ83:BZ83, "P")+COUNTIF('Detailed Attendance'!CI83:CI83, "P")+COUNTIF('Detailed Attendance'!CW83:CW83, "P")+COUNTIF('Detailed Attendance'!DF83:DF83, "P")+COUNTIF('Detailed Attendance'!DT83:DT83, "P")+COUNTIF('Detailed Attendance'!EC83:EC83, "P")+COUNTIF('Detailed Attendance'!EQ83:EQ83, "P")+COUNTIF('Detailed Attendance'!EW83:EW83, "P")+COUNTIF('Detailed Attendance'!FK83:FK83, "P")+COUNTIF('Detailed Attendance'!FM83:FM83, "P")+COUNTIF('Detailed Attendance'!GA83:GA83, "P")</f>
        <v/>
      </c>
      <c r="E81" s="46">
        <f>COUNTIF('Detailed Attendance'!R83:R83, "A")+COUNTIF('Detailed Attendance'!X83:X83, "A")+COUNTIF('Detailed Attendance'!AL83:AL83, "A")+COUNTIF('Detailed Attendance'!BF83:BF83, "A")+COUNTIF('Detailed Attendance'!BL83:BL83, "A")+COUNTIF('Detailed Attendance'!BZ83:BZ83, "A")+COUNTIF('Detailed Attendance'!CI83:CI83, "A")+COUNTIF('Detailed Attendance'!CW83:CW83, "A")+COUNTIF('Detailed Attendance'!DF83:DF83, "A")+COUNTIF('Detailed Attendance'!DT83:DT83, "A")+COUNTIF('Detailed Attendance'!EC83:EC83, "A")+COUNTIF('Detailed Attendance'!EQ83:EQ83, "A")+COUNTIF('Detailed Attendance'!EW83:EW83, "A")+COUNTIF('Detailed Attendance'!FK83:FK83, "A")+COUNTIF('Detailed Attendance'!FM83:FM83, "A")+COUNTIF('Detailed Attendance'!GA83:GA83, "A")</f>
        <v/>
      </c>
      <c r="F81" s="72">
        <f>IF((D81+E81)=0, "", D81/(D81+E81))</f>
        <v/>
      </c>
      <c r="G81" s="46">
        <f>COUNTIF('Detailed Attendance'!I83:I83, "P")+COUNTIF('Detailed Attendance'!Q83:Q83, "P")+COUNTIF('Detailed Attendance'!AC83:AC83, "P")+COUNTIF('Detailed Attendance'!AK83:AK83, "P")+COUNTIF('Detailed Attendance'!AW83:AW83, "P")+COUNTIF('Detailed Attendance'!BE83:BE83, "P")+COUNTIF('Detailed Attendance'!BQ83:BQ83, "P")+COUNTIF('Detailed Attendance'!BY83:BY83, "P")+COUNTIF('Detailed Attendance'!CN83:CN83, "P")+COUNTIF('Detailed Attendance'!CV83:CV83, "P")+COUNTIF('Detailed Attendance'!DK83:DK83, "P")+COUNTIF('Detailed Attendance'!DS83:DS83, "P")+COUNTIF('Detailed Attendance'!EH83:EH83, "P")+COUNTIF('Detailed Attendance'!EP83:EP83, "P")+COUNTIF('Detailed Attendance'!FB83:FB83, "P")+COUNTIF('Detailed Attendance'!FJ83:FJ83, "P")+COUNTIF('Detailed Attendance'!FR83:FR83, "P")+COUNTIF('Detailed Attendance'!FZ83:FZ83, "P")</f>
        <v/>
      </c>
      <c r="H81" s="46">
        <f>COUNTIF('Detailed Attendance'!I83:I83, "A")+COUNTIF('Detailed Attendance'!Q83:Q83, "A")+COUNTIF('Detailed Attendance'!AC83:AC83, "A")+COUNTIF('Detailed Attendance'!AK83:AK83, "A")+COUNTIF('Detailed Attendance'!AW83:AW83, "A")+COUNTIF('Detailed Attendance'!BE83:BE83, "A")+COUNTIF('Detailed Attendance'!BQ83:BQ83, "A")+COUNTIF('Detailed Attendance'!BY83:BY83, "A")+COUNTIF('Detailed Attendance'!CN83:CN83, "A")+COUNTIF('Detailed Attendance'!CV83:CV83, "A")+COUNTIF('Detailed Attendance'!DK83:DK83, "A")+COUNTIF('Detailed Attendance'!DS83:DS83, "A")+COUNTIF('Detailed Attendance'!EH83:EH83, "A")+COUNTIF('Detailed Attendance'!EP83:EP83, "A")+COUNTIF('Detailed Attendance'!FB83:FB83, "A")+COUNTIF('Detailed Attendance'!FJ83:FJ83, "A")+COUNTIF('Detailed Attendance'!FR83:FR83, "A")+COUNTIF('Detailed Attendance'!FZ83:FZ83, "A")</f>
        <v/>
      </c>
      <c r="I81" s="72">
        <f>IF((G81+H81)=0, "", G81/(G81+H81))</f>
        <v/>
      </c>
      <c r="J81" s="46">
        <f>COUNTIF('Detailed Attendance'!L83:L83, "P")+COUNTIF('Detailed Attendance'!P83:P83, "P")+COUNTIF('Detailed Attendance'!AF83:AF83, "P")+COUNTIF('Detailed Attendance'!AJ83:AJ83, "P")+COUNTIF('Detailed Attendance'!AZ83:AZ83, "P")+COUNTIF('Detailed Attendance'!BD83:BD83, "P")+COUNTIF('Detailed Attendance'!BT83:BT83, "P")+COUNTIF('Detailed Attendance'!BX83:BX83, "P")+COUNTIF('Detailed Attendance'!CQ83:CQ83, "P")+COUNTIF('Detailed Attendance'!CU83:CU83, "P")+COUNTIF('Detailed Attendance'!DN83:DN83, "P")+COUNTIF('Detailed Attendance'!DR83:DR83, "P")+COUNTIF('Detailed Attendance'!EK83:EK83, "P")+COUNTIF('Detailed Attendance'!EO83:EO83, "P")+COUNTIF('Detailed Attendance'!FE83:FE83, "P")+COUNTIF('Detailed Attendance'!FI83:FI83, "P")+COUNTIF('Detailed Attendance'!FU83:FU83, "P")+COUNTIF('Detailed Attendance'!FY83:FY83, "P")</f>
        <v/>
      </c>
      <c r="K81" s="46">
        <f>COUNTIF('Detailed Attendance'!L83:L83, "A")+COUNTIF('Detailed Attendance'!P83:P83, "A")+COUNTIF('Detailed Attendance'!AF83:AF83, "A")+COUNTIF('Detailed Attendance'!AJ83:AJ83, "A")+COUNTIF('Detailed Attendance'!AZ83:AZ83, "A")+COUNTIF('Detailed Attendance'!BD83:BD83, "A")+COUNTIF('Detailed Attendance'!BT83:BT83, "A")+COUNTIF('Detailed Attendance'!BX83:BX83, "A")+COUNTIF('Detailed Attendance'!CQ83:CQ83, "A")+COUNTIF('Detailed Attendance'!CU83:CU83, "A")+COUNTIF('Detailed Attendance'!DN83:DN83, "A")+COUNTIF('Detailed Attendance'!DR83:DR83, "A")+COUNTIF('Detailed Attendance'!EK83:EK83, "A")+COUNTIF('Detailed Attendance'!EO83:EO83, "A")+COUNTIF('Detailed Attendance'!FE83:FE83, "A")+COUNTIF('Detailed Attendance'!FI83:FI83, "A")+COUNTIF('Detailed Attendance'!FU83:FU83, "A")+COUNTIF('Detailed Attendance'!FY83:FY83, "A")</f>
        <v/>
      </c>
      <c r="L81" s="72">
        <f>IF((J81+K81)=0, "", J81/(J81+K81))</f>
        <v/>
      </c>
      <c r="M81" s="46">
        <f>COUNTIF('Detailed Attendance'!D83:D83, "P")+COUNTIF('Detailed Attendance'!T83:T83, "P")+COUNTIF('Detailed Attendance'!AN83:AN83, "P")+COUNTIF('Detailed Attendance'!AR83:AR83, "P")+COUNTIF('Detailed Attendance'!BH83:BH83, "P")+COUNTIF('Detailed Attendance'!CB83:CB83, "P")+COUNTIF('Detailed Attendance'!CF83:CF83, "P")+COUNTIF('Detailed Attendance'!CY83:CY83, "P")+COUNTIF('Detailed Attendance'!DC83:DC83, "P")+COUNTIF('Detailed Attendance'!DV83:DV83, "P")+COUNTIF('Detailed Attendance'!DZ83:DZ83, "P")+COUNTIF('Detailed Attendance'!ES83:ES83, "P")+COUNTIF('Detailed Attendance'!GC83:GC83, "P")+COUNTIF('Detailed Attendance'!GG83:GG83, "P")</f>
        <v/>
      </c>
      <c r="N81" s="46">
        <f>COUNTIF('Detailed Attendance'!D83:D83, "A")+COUNTIF('Detailed Attendance'!T83:T83, "A")+COUNTIF('Detailed Attendance'!AN83:AN83, "A")+COUNTIF('Detailed Attendance'!AR83:AR83, "A")+COUNTIF('Detailed Attendance'!BH83:BH83, "A")+COUNTIF('Detailed Attendance'!CB83:CB83, "A")+COUNTIF('Detailed Attendance'!CF83:CF83, "A")+COUNTIF('Detailed Attendance'!CY83:CY83, "A")+COUNTIF('Detailed Attendance'!DC83:DC83, "A")+COUNTIF('Detailed Attendance'!DV83:DV83, "A")+COUNTIF('Detailed Attendance'!DZ83:DZ83, "A")+COUNTIF('Detailed Attendance'!ES83:ES83, "A")+COUNTIF('Detailed Attendance'!GC83:GC83, "A")+COUNTIF('Detailed Attendance'!GG83:GG83, "A")</f>
        <v/>
      </c>
      <c r="O81" s="72">
        <f>IF((M81+N81)=0, "", M81/(M81+N81))</f>
        <v/>
      </c>
      <c r="P81" s="46">
        <f>COUNTIF('Detailed Attendance'!M83:M83, "P")+COUNTIF('Detailed Attendance'!U83:U83, "P")+COUNTIF('Detailed Attendance'!AG83:AG83, "P")+COUNTIF('Detailed Attendance'!AO83:AO83, "P")+COUNTIF('Detailed Attendance'!BA83:BA83, "P")+COUNTIF('Detailed Attendance'!BI83:BI83, "P")+COUNTIF('Detailed Attendance'!BU83:BU83, "P")+COUNTIF('Detailed Attendance'!CC83:CC83, "P")+COUNTIF('Detailed Attendance'!CR83:CR83, "P")+COUNTIF('Detailed Attendance'!CZ83:CZ83, "P")+COUNTIF('Detailed Attendance'!DO83:DO83, "P")+COUNTIF('Detailed Attendance'!DW83:DW83, "P")+COUNTIF('Detailed Attendance'!EL83:EL83, "P")+COUNTIF('Detailed Attendance'!ET83:ET83, "P")+COUNTIF('Detailed Attendance'!FF83:FF83, "P")+COUNTIF('Detailed Attendance'!FV83:FV83, "P")+COUNTIF('Detailed Attendance'!GD83:GD83, "P")</f>
        <v/>
      </c>
      <c r="Q81" s="46">
        <f>COUNTIF('Detailed Attendance'!M83:M83, "A")+COUNTIF('Detailed Attendance'!U83:U83, "A")+COUNTIF('Detailed Attendance'!AG83:AG83, "A")+COUNTIF('Detailed Attendance'!AO83:AO83, "A")+COUNTIF('Detailed Attendance'!BA83:BA83, "A")+COUNTIF('Detailed Attendance'!BI83:BI83, "A")+COUNTIF('Detailed Attendance'!BU83:BU83, "A")+COUNTIF('Detailed Attendance'!CC83:CC83, "A")+COUNTIF('Detailed Attendance'!CR83:CR83, "A")+COUNTIF('Detailed Attendance'!CZ83:CZ83, "A")+COUNTIF('Detailed Attendance'!DO83:DO83, "A")+COUNTIF('Detailed Attendance'!DW83:DW83, "A")+COUNTIF('Detailed Attendance'!EL83:EL83, "A")+COUNTIF('Detailed Attendance'!ET83:ET83, "A")+COUNTIF('Detailed Attendance'!FF83:FF83, "A")+COUNTIF('Detailed Attendance'!FV83:FV83, "A")+COUNTIF('Detailed Attendance'!GD83:GD83, "A")</f>
        <v/>
      </c>
      <c r="R81" s="72">
        <f>IF((P81+Q81)=0, "", P81/(P81+Q81))</f>
        <v/>
      </c>
      <c r="S81" s="46">
        <f>COUNTIF('Detailed Attendance'!V83:V83, "P")+COUNTIF('Detailed Attendance'!AP83:AP83, "P")+COUNTIF('Detailed Attendance'!BJ83:BJ83, "P")+COUNTIF('Detailed Attendance'!CD83:CD83, "P")+COUNTIF('Detailed Attendance'!DA83:DA83, "P")+COUNTIF('Detailed Attendance'!DX83:DX83, "P")+COUNTIF('Detailed Attendance'!EU83:EU83, "P")+COUNTIF('Detailed Attendance'!GE83:GE83, "P")</f>
        <v/>
      </c>
      <c r="T81" s="46">
        <f>COUNTIF('Detailed Attendance'!V83:V83, "A")+COUNTIF('Detailed Attendance'!AP83:AP83, "A")+COUNTIF('Detailed Attendance'!BJ83:BJ83, "A")+COUNTIF('Detailed Attendance'!CD83:CD83, "A")+COUNTIF('Detailed Attendance'!DA83:DA83, "A")+COUNTIF('Detailed Attendance'!DX83:DX83, "A")+COUNTIF('Detailed Attendance'!EU83:EU83, "A")+COUNTIF('Detailed Attendance'!GE83:GE83, "A")</f>
        <v/>
      </c>
      <c r="U81" s="73">
        <f>IF((S81+T81)=0, "", S81/(S81+T81))</f>
        <v/>
      </c>
      <c r="V81" s="46">
        <f>COUNTIF('Detailed Attendance'!CH83:CH83, "P")+COUNTIF('Detailed Attendance'!DE83:DE83, "P")+COUNTIF('Detailed Attendance'!EB83:EB83, "P")+COUNTIF('Detailed Attendance'!GI83:GI83, "P")</f>
        <v/>
      </c>
      <c r="W81" s="46">
        <f>COUNTIF('Detailed Attendance'!CH83:CH83, "A")+COUNTIF('Detailed Attendance'!DE83:DE83, "A")+COUNTIF('Detailed Attendance'!EB83:EB83, "A")+COUNTIF('Detailed Attendance'!GI83:GI83, "A")</f>
        <v/>
      </c>
      <c r="X81" s="73">
        <f>IF((V81+W81)=0, "", V81/(V81+W81))</f>
        <v/>
      </c>
      <c r="Y81" s="46">
        <f>COUNTIF('Detailed Attendance'!CG83:CG83, "P")+COUNTIF('Detailed Attendance'!DD83:DD83, "P")+COUNTIF('Detailed Attendance'!EA83:EA83, "P")+COUNTIF('Detailed Attendance'!GH83:GH83, "P")</f>
        <v/>
      </c>
      <c r="Z81" s="46">
        <f>COUNTIF('Detailed Attendance'!CG83:CG83, "A")+COUNTIF('Detailed Attendance'!DD83:DD83, "A")+COUNTIF('Detailed Attendance'!EA83:EA83, "A")+COUNTIF('Detailed Attendance'!GH83:GH83, "A")</f>
        <v/>
      </c>
      <c r="AA81" s="73">
        <f>IF((Y81+Z81)=0, "", Y81/(Y81+Z81))</f>
        <v/>
      </c>
      <c r="AB81" s="46">
        <f>S81+V81+Y81</f>
        <v/>
      </c>
      <c r="AC81" s="46">
        <f>T81+W81+Z81</f>
        <v/>
      </c>
      <c r="AD81" s="73">
        <f>IF((AB81+AC81)=0, "", AB81/(AB81+AC81))</f>
        <v/>
      </c>
      <c r="AE81" s="46" t="inlineStr">
        <is>
          <t>Batch 2</t>
        </is>
      </c>
    </row>
    <row r="82" ht="14.25" customHeight="1" s="34">
      <c r="A82" s="46" t="n">
        <v>81</v>
      </c>
      <c r="B82" s="46" t="inlineStr">
        <is>
          <t>325106410081</t>
        </is>
      </c>
      <c r="C82" s="46" t="inlineStr">
        <is>
          <t>GRACE TRYPHENE DJE</t>
        </is>
      </c>
      <c r="D82" s="46">
        <f>COUNTIF('Detailed Attendance'!R84:R84, "P")+COUNTIF('Detailed Attendance'!X84:X84, "P")+COUNTIF('Detailed Attendance'!AL84:AL84, "P")+COUNTIF('Detailed Attendance'!BF84:BF84, "P")+COUNTIF('Detailed Attendance'!BL84:BL84, "P")+COUNTIF('Detailed Attendance'!BZ84:BZ84, "P")+COUNTIF('Detailed Attendance'!CI84:CI84, "P")+COUNTIF('Detailed Attendance'!CW84:CW84, "P")+COUNTIF('Detailed Attendance'!DF84:DF84, "P")+COUNTIF('Detailed Attendance'!DT84:DT84, "P")+COUNTIF('Detailed Attendance'!EC84:EC84, "P")+COUNTIF('Detailed Attendance'!EQ84:EQ84, "P")+COUNTIF('Detailed Attendance'!EW84:EW84, "P")+COUNTIF('Detailed Attendance'!FK84:FK84, "P")+COUNTIF('Detailed Attendance'!FM84:FM84, "P")+COUNTIF('Detailed Attendance'!GA84:GA84, "P")</f>
        <v/>
      </c>
      <c r="E82" s="46">
        <f>COUNTIF('Detailed Attendance'!R84:R84, "A")+COUNTIF('Detailed Attendance'!X84:X84, "A")+COUNTIF('Detailed Attendance'!AL84:AL84, "A")+COUNTIF('Detailed Attendance'!BF84:BF84, "A")+COUNTIF('Detailed Attendance'!BL84:BL84, "A")+COUNTIF('Detailed Attendance'!BZ84:BZ84, "A")+COUNTIF('Detailed Attendance'!CI84:CI84, "A")+COUNTIF('Detailed Attendance'!CW84:CW84, "A")+COUNTIF('Detailed Attendance'!DF84:DF84, "A")+COUNTIF('Detailed Attendance'!DT84:DT84, "A")+COUNTIF('Detailed Attendance'!EC84:EC84, "A")+COUNTIF('Detailed Attendance'!EQ84:EQ84, "A")+COUNTIF('Detailed Attendance'!EW84:EW84, "A")+COUNTIF('Detailed Attendance'!FK84:FK84, "A")+COUNTIF('Detailed Attendance'!FM84:FM84, "A")+COUNTIF('Detailed Attendance'!GA84:GA84, "A")</f>
        <v/>
      </c>
      <c r="F82" s="72">
        <f>IF((D82+E82)=0, "", D82/(D82+E82))</f>
        <v/>
      </c>
      <c r="G82" s="46">
        <f>COUNTIF('Detailed Attendance'!I84:I84, "P")+COUNTIF('Detailed Attendance'!Q84:Q84, "P")+COUNTIF('Detailed Attendance'!AC84:AC84, "P")+COUNTIF('Detailed Attendance'!AK84:AK84, "P")+COUNTIF('Detailed Attendance'!AW84:AW84, "P")+COUNTIF('Detailed Attendance'!BE84:BE84, "P")+COUNTIF('Detailed Attendance'!BQ84:BQ84, "P")+COUNTIF('Detailed Attendance'!BY84:BY84, "P")+COUNTIF('Detailed Attendance'!CN84:CN84, "P")+COUNTIF('Detailed Attendance'!CV84:CV84, "P")+COUNTIF('Detailed Attendance'!DK84:DK84, "P")+COUNTIF('Detailed Attendance'!DS84:DS84, "P")+COUNTIF('Detailed Attendance'!EH84:EH84, "P")+COUNTIF('Detailed Attendance'!EP84:EP84, "P")+COUNTIF('Detailed Attendance'!FB84:FB84, "P")+COUNTIF('Detailed Attendance'!FJ84:FJ84, "P")+COUNTIF('Detailed Attendance'!FR84:FR84, "P")+COUNTIF('Detailed Attendance'!FZ84:FZ84, "P")</f>
        <v/>
      </c>
      <c r="H82" s="46">
        <f>COUNTIF('Detailed Attendance'!I84:I84, "A")+COUNTIF('Detailed Attendance'!Q84:Q84, "A")+COUNTIF('Detailed Attendance'!AC84:AC84, "A")+COUNTIF('Detailed Attendance'!AK84:AK84, "A")+COUNTIF('Detailed Attendance'!AW84:AW84, "A")+COUNTIF('Detailed Attendance'!BE84:BE84, "A")+COUNTIF('Detailed Attendance'!BQ84:BQ84, "A")+COUNTIF('Detailed Attendance'!BY84:BY84, "A")+COUNTIF('Detailed Attendance'!CN84:CN84, "A")+COUNTIF('Detailed Attendance'!CV84:CV84, "A")+COUNTIF('Detailed Attendance'!DK84:DK84, "A")+COUNTIF('Detailed Attendance'!DS84:DS84, "A")+COUNTIF('Detailed Attendance'!EH84:EH84, "A")+COUNTIF('Detailed Attendance'!EP84:EP84, "A")+COUNTIF('Detailed Attendance'!FB84:FB84, "A")+COUNTIF('Detailed Attendance'!FJ84:FJ84, "A")+COUNTIF('Detailed Attendance'!FR84:FR84, "A")+COUNTIF('Detailed Attendance'!FZ84:FZ84, "A")</f>
        <v/>
      </c>
      <c r="I82" s="72">
        <f>IF((G82+H82)=0, "", G82/(G82+H82))</f>
        <v/>
      </c>
      <c r="J82" s="46">
        <f>COUNTIF('Detailed Attendance'!L84:L84, "P")+COUNTIF('Detailed Attendance'!P84:P84, "P")+COUNTIF('Detailed Attendance'!AF84:AF84, "P")+COUNTIF('Detailed Attendance'!AJ84:AJ84, "P")+COUNTIF('Detailed Attendance'!AZ84:AZ84, "P")+COUNTIF('Detailed Attendance'!BD84:BD84, "P")+COUNTIF('Detailed Attendance'!BT84:BT84, "P")+COUNTIF('Detailed Attendance'!BX84:BX84, "P")+COUNTIF('Detailed Attendance'!CQ84:CQ84, "P")+COUNTIF('Detailed Attendance'!CU84:CU84, "P")+COUNTIF('Detailed Attendance'!DN84:DN84, "P")+COUNTIF('Detailed Attendance'!DR84:DR84, "P")+COUNTIF('Detailed Attendance'!EK84:EK84, "P")+COUNTIF('Detailed Attendance'!EO84:EO84, "P")+COUNTIF('Detailed Attendance'!FE84:FE84, "P")+COUNTIF('Detailed Attendance'!FI84:FI84, "P")+COUNTIF('Detailed Attendance'!FU84:FU84, "P")+COUNTIF('Detailed Attendance'!FY84:FY84, "P")</f>
        <v/>
      </c>
      <c r="K82" s="46">
        <f>COUNTIF('Detailed Attendance'!L84:L84, "A")+COUNTIF('Detailed Attendance'!P84:P84, "A")+COUNTIF('Detailed Attendance'!AF84:AF84, "A")+COUNTIF('Detailed Attendance'!AJ84:AJ84, "A")+COUNTIF('Detailed Attendance'!AZ84:AZ84, "A")+COUNTIF('Detailed Attendance'!BD84:BD84, "A")+COUNTIF('Detailed Attendance'!BT84:BT84, "A")+COUNTIF('Detailed Attendance'!BX84:BX84, "A")+COUNTIF('Detailed Attendance'!CQ84:CQ84, "A")+COUNTIF('Detailed Attendance'!CU84:CU84, "A")+COUNTIF('Detailed Attendance'!DN84:DN84, "A")+COUNTIF('Detailed Attendance'!DR84:DR84, "A")+COUNTIF('Detailed Attendance'!EK84:EK84, "A")+COUNTIF('Detailed Attendance'!EO84:EO84, "A")+COUNTIF('Detailed Attendance'!FE84:FE84, "A")+COUNTIF('Detailed Attendance'!FI84:FI84, "A")+COUNTIF('Detailed Attendance'!FU84:FU84, "A")+COUNTIF('Detailed Attendance'!FY84:FY84, "A")</f>
        <v/>
      </c>
      <c r="L82" s="72">
        <f>IF((J82+K82)=0, "", J82/(J82+K82))</f>
        <v/>
      </c>
      <c r="M82" s="46">
        <f>COUNTIF('Detailed Attendance'!D84:D84, "P")+COUNTIF('Detailed Attendance'!T84:T84, "P")+COUNTIF('Detailed Attendance'!AN84:AN84, "P")+COUNTIF('Detailed Attendance'!AR84:AR84, "P")+COUNTIF('Detailed Attendance'!BH84:BH84, "P")+COUNTIF('Detailed Attendance'!CB84:CB84, "P")+COUNTIF('Detailed Attendance'!CF84:CF84, "P")+COUNTIF('Detailed Attendance'!CY84:CY84, "P")+COUNTIF('Detailed Attendance'!DC84:DC84, "P")+COUNTIF('Detailed Attendance'!DV84:DV84, "P")+COUNTIF('Detailed Attendance'!DZ84:DZ84, "P")+COUNTIF('Detailed Attendance'!ES84:ES84, "P")+COUNTIF('Detailed Attendance'!GC84:GC84, "P")+COUNTIF('Detailed Attendance'!GG84:GG84, "P")</f>
        <v/>
      </c>
      <c r="N82" s="46">
        <f>COUNTIF('Detailed Attendance'!D84:D84, "A")+COUNTIF('Detailed Attendance'!T84:T84, "A")+COUNTIF('Detailed Attendance'!AN84:AN84, "A")+COUNTIF('Detailed Attendance'!AR84:AR84, "A")+COUNTIF('Detailed Attendance'!BH84:BH84, "A")+COUNTIF('Detailed Attendance'!CB84:CB84, "A")+COUNTIF('Detailed Attendance'!CF84:CF84, "A")+COUNTIF('Detailed Attendance'!CY84:CY84, "A")+COUNTIF('Detailed Attendance'!DC84:DC84, "A")+COUNTIF('Detailed Attendance'!DV84:DV84, "A")+COUNTIF('Detailed Attendance'!DZ84:DZ84, "A")+COUNTIF('Detailed Attendance'!ES84:ES84, "A")+COUNTIF('Detailed Attendance'!GC84:GC84, "A")+COUNTIF('Detailed Attendance'!GG84:GG84, "A")</f>
        <v/>
      </c>
      <c r="O82" s="72">
        <f>IF((M82+N82)=0, "", M82/(M82+N82))</f>
        <v/>
      </c>
      <c r="P82" s="46">
        <f>COUNTIF('Detailed Attendance'!M84:M84, "P")+COUNTIF('Detailed Attendance'!U84:U84, "P")+COUNTIF('Detailed Attendance'!AG84:AG84, "P")+COUNTIF('Detailed Attendance'!AO84:AO84, "P")+COUNTIF('Detailed Attendance'!BA84:BA84, "P")+COUNTIF('Detailed Attendance'!BI84:BI84, "P")+COUNTIF('Detailed Attendance'!BU84:BU84, "P")+COUNTIF('Detailed Attendance'!CC84:CC84, "P")+COUNTIF('Detailed Attendance'!CR84:CR84, "P")+COUNTIF('Detailed Attendance'!CZ84:CZ84, "P")+COUNTIF('Detailed Attendance'!DO84:DO84, "P")+COUNTIF('Detailed Attendance'!DW84:DW84, "P")+COUNTIF('Detailed Attendance'!EL84:EL84, "P")+COUNTIF('Detailed Attendance'!ET84:ET84, "P")+COUNTIF('Detailed Attendance'!FF84:FF84, "P")+COUNTIF('Detailed Attendance'!FV84:FV84, "P")+COUNTIF('Detailed Attendance'!GD84:GD84, "P")</f>
        <v/>
      </c>
      <c r="Q82" s="46">
        <f>COUNTIF('Detailed Attendance'!M84:M84, "A")+COUNTIF('Detailed Attendance'!U84:U84, "A")+COUNTIF('Detailed Attendance'!AG84:AG84, "A")+COUNTIF('Detailed Attendance'!AO84:AO84, "A")+COUNTIF('Detailed Attendance'!BA84:BA84, "A")+COUNTIF('Detailed Attendance'!BI84:BI84, "A")+COUNTIF('Detailed Attendance'!BU84:BU84, "A")+COUNTIF('Detailed Attendance'!CC84:CC84, "A")+COUNTIF('Detailed Attendance'!CR84:CR84, "A")+COUNTIF('Detailed Attendance'!CZ84:CZ84, "A")+COUNTIF('Detailed Attendance'!DO84:DO84, "A")+COUNTIF('Detailed Attendance'!DW84:DW84, "A")+COUNTIF('Detailed Attendance'!EL84:EL84, "A")+COUNTIF('Detailed Attendance'!ET84:ET84, "A")+COUNTIF('Detailed Attendance'!FF84:FF84, "A")+COUNTIF('Detailed Attendance'!FV84:FV84, "A")+COUNTIF('Detailed Attendance'!GD84:GD84, "A")</f>
        <v/>
      </c>
      <c r="R82" s="72">
        <f>IF((P82+Q82)=0, "", P82/(P82+Q82))</f>
        <v/>
      </c>
      <c r="S82" s="46">
        <f>COUNTIF('Detailed Attendance'!V84:V84, "P")+COUNTIF('Detailed Attendance'!AP84:AP84, "P")+COUNTIF('Detailed Attendance'!BJ84:BJ84, "P")+COUNTIF('Detailed Attendance'!CD84:CD84, "P")+COUNTIF('Detailed Attendance'!DA84:DA84, "P")+COUNTIF('Detailed Attendance'!DX84:DX84, "P")+COUNTIF('Detailed Attendance'!EU84:EU84, "P")+COUNTIF('Detailed Attendance'!GE84:GE84, "P")</f>
        <v/>
      </c>
      <c r="T82" s="46">
        <f>COUNTIF('Detailed Attendance'!V84:V84, "A")+COUNTIF('Detailed Attendance'!AP84:AP84, "A")+COUNTIF('Detailed Attendance'!BJ84:BJ84, "A")+COUNTIF('Detailed Attendance'!CD84:CD84, "A")+COUNTIF('Detailed Attendance'!DA84:DA84, "A")+COUNTIF('Detailed Attendance'!DX84:DX84, "A")+COUNTIF('Detailed Attendance'!EU84:EU84, "A")+COUNTIF('Detailed Attendance'!GE84:GE84, "A")</f>
        <v/>
      </c>
      <c r="U82" s="73">
        <f>IF((S82+T82)=0, "", S82/(S82+T82))</f>
        <v/>
      </c>
      <c r="V82" s="46">
        <f>COUNTIF('Detailed Attendance'!CH84:CH84, "P")+COUNTIF('Detailed Attendance'!DE84:DE84, "P")+COUNTIF('Detailed Attendance'!EB84:EB84, "P")+COUNTIF('Detailed Attendance'!GI84:GI84, "P")</f>
        <v/>
      </c>
      <c r="W82" s="46">
        <f>COUNTIF('Detailed Attendance'!CH84:CH84, "A")+COUNTIF('Detailed Attendance'!DE84:DE84, "A")+COUNTIF('Detailed Attendance'!EB84:EB84, "A")+COUNTIF('Detailed Attendance'!GI84:GI84, "A")</f>
        <v/>
      </c>
      <c r="X82" s="73">
        <f>IF((V82+W82)=0, "", V82/(V82+W82))</f>
        <v/>
      </c>
      <c r="Y82" s="46">
        <f>COUNTIF('Detailed Attendance'!CG84:CG84, "P")+COUNTIF('Detailed Attendance'!DD84:DD84, "P")+COUNTIF('Detailed Attendance'!EA84:EA84, "P")+COUNTIF('Detailed Attendance'!GH84:GH84, "P")</f>
        <v/>
      </c>
      <c r="Z82" s="46">
        <f>COUNTIF('Detailed Attendance'!CG84:CG84, "A")+COUNTIF('Detailed Attendance'!DD84:DD84, "A")+COUNTIF('Detailed Attendance'!EA84:EA84, "A")+COUNTIF('Detailed Attendance'!GH84:GH84, "A")</f>
        <v/>
      </c>
      <c r="AA82" s="73">
        <f>IF((Y82+Z82)=0, "", Y82/(Y82+Z82))</f>
        <v/>
      </c>
      <c r="AB82" s="46">
        <f>S82+V82+Y82</f>
        <v/>
      </c>
      <c r="AC82" s="46">
        <f>T82+W82+Z82</f>
        <v/>
      </c>
      <c r="AD82" s="73">
        <f>IF((AB82+AC82)=0, "", AB82/(AB82+AC82))</f>
        <v/>
      </c>
      <c r="AE82" s="46" t="inlineStr">
        <is>
          <t>Batch 2</t>
        </is>
      </c>
    </row>
    <row r="83" ht="14.25" customHeight="1" s="34">
      <c r="A83" s="46" t="n">
        <v>82</v>
      </c>
      <c r="B83" s="46" t="inlineStr">
        <is>
          <t>325106410082</t>
        </is>
      </c>
      <c r="C83" s="46" t="inlineStr">
        <is>
          <t>EBRIMA WARCH</t>
        </is>
      </c>
      <c r="D83" s="46">
        <f>COUNTIF('Detailed Attendance'!R85:R85, "P")+COUNTIF('Detailed Attendance'!X85:X85, "P")+COUNTIF('Detailed Attendance'!AL85:AL85, "P")+COUNTIF('Detailed Attendance'!BF85:BF85, "P")+COUNTIF('Detailed Attendance'!BL85:BL85, "P")+COUNTIF('Detailed Attendance'!BZ85:BZ85, "P")+COUNTIF('Detailed Attendance'!CI85:CI85, "P")+COUNTIF('Detailed Attendance'!CW85:CW85, "P")+COUNTIF('Detailed Attendance'!DF85:DF85, "P")+COUNTIF('Detailed Attendance'!DT85:DT85, "P")+COUNTIF('Detailed Attendance'!EC85:EC85, "P")+COUNTIF('Detailed Attendance'!EQ85:EQ85, "P")+COUNTIF('Detailed Attendance'!EW85:EW85, "P")+COUNTIF('Detailed Attendance'!FK85:FK85, "P")+COUNTIF('Detailed Attendance'!FM85:FM85, "P")+COUNTIF('Detailed Attendance'!GA85:GA85, "P")</f>
        <v/>
      </c>
      <c r="E83" s="46">
        <f>COUNTIF('Detailed Attendance'!R85:R85, "A")+COUNTIF('Detailed Attendance'!X85:X85, "A")+COUNTIF('Detailed Attendance'!AL85:AL85, "A")+COUNTIF('Detailed Attendance'!BF85:BF85, "A")+COUNTIF('Detailed Attendance'!BL85:BL85, "A")+COUNTIF('Detailed Attendance'!BZ85:BZ85, "A")+COUNTIF('Detailed Attendance'!CI85:CI85, "A")+COUNTIF('Detailed Attendance'!CW85:CW85, "A")+COUNTIF('Detailed Attendance'!DF85:DF85, "A")+COUNTIF('Detailed Attendance'!DT85:DT85, "A")+COUNTIF('Detailed Attendance'!EC85:EC85, "A")+COUNTIF('Detailed Attendance'!EQ85:EQ85, "A")+COUNTIF('Detailed Attendance'!EW85:EW85, "A")+COUNTIF('Detailed Attendance'!FK85:FK85, "A")+COUNTIF('Detailed Attendance'!FM85:FM85, "A")+COUNTIF('Detailed Attendance'!GA85:GA85, "A")</f>
        <v/>
      </c>
      <c r="F83" s="72">
        <f>IF((D83+E83)=0, "", D83/(D83+E83))</f>
        <v/>
      </c>
      <c r="G83" s="46">
        <f>COUNTIF('Detailed Attendance'!I85:I85, "P")+COUNTIF('Detailed Attendance'!Q85:Q85, "P")+COUNTIF('Detailed Attendance'!AC85:AC85, "P")+COUNTIF('Detailed Attendance'!AK85:AK85, "P")+COUNTIF('Detailed Attendance'!AW85:AW85, "P")+COUNTIF('Detailed Attendance'!BE85:BE85, "P")+COUNTIF('Detailed Attendance'!BQ85:BQ85, "P")+COUNTIF('Detailed Attendance'!BY85:BY85, "P")+COUNTIF('Detailed Attendance'!CN85:CN85, "P")+COUNTIF('Detailed Attendance'!CV85:CV85, "P")+COUNTIF('Detailed Attendance'!DK85:DK85, "P")+COUNTIF('Detailed Attendance'!DS85:DS85, "P")+COUNTIF('Detailed Attendance'!EH85:EH85, "P")+COUNTIF('Detailed Attendance'!EP85:EP85, "P")+COUNTIF('Detailed Attendance'!FB85:FB85, "P")+COUNTIF('Detailed Attendance'!FJ85:FJ85, "P")+COUNTIF('Detailed Attendance'!FR85:FR85, "P")+COUNTIF('Detailed Attendance'!FZ85:FZ85, "P")</f>
        <v/>
      </c>
      <c r="H83" s="46">
        <f>COUNTIF('Detailed Attendance'!I85:I85, "A")+COUNTIF('Detailed Attendance'!Q85:Q85, "A")+COUNTIF('Detailed Attendance'!AC85:AC85, "A")+COUNTIF('Detailed Attendance'!AK85:AK85, "A")+COUNTIF('Detailed Attendance'!AW85:AW85, "A")+COUNTIF('Detailed Attendance'!BE85:BE85, "A")+COUNTIF('Detailed Attendance'!BQ85:BQ85, "A")+COUNTIF('Detailed Attendance'!BY85:BY85, "A")+COUNTIF('Detailed Attendance'!CN85:CN85, "A")+COUNTIF('Detailed Attendance'!CV85:CV85, "A")+COUNTIF('Detailed Attendance'!DK85:DK85, "A")+COUNTIF('Detailed Attendance'!DS85:DS85, "A")+COUNTIF('Detailed Attendance'!EH85:EH85, "A")+COUNTIF('Detailed Attendance'!EP85:EP85, "A")+COUNTIF('Detailed Attendance'!FB85:FB85, "A")+COUNTIF('Detailed Attendance'!FJ85:FJ85, "A")+COUNTIF('Detailed Attendance'!FR85:FR85, "A")+COUNTIF('Detailed Attendance'!FZ85:FZ85, "A")</f>
        <v/>
      </c>
      <c r="I83" s="72">
        <f>IF((G83+H83)=0, "", G83/(G83+H83))</f>
        <v/>
      </c>
      <c r="J83" s="46">
        <f>COUNTIF('Detailed Attendance'!L85:L85, "P")+COUNTIF('Detailed Attendance'!P85:P85, "P")+COUNTIF('Detailed Attendance'!AF85:AF85, "P")+COUNTIF('Detailed Attendance'!AJ85:AJ85, "P")+COUNTIF('Detailed Attendance'!AZ85:AZ85, "P")+COUNTIF('Detailed Attendance'!BD85:BD85, "P")+COUNTIF('Detailed Attendance'!BT85:BT85, "P")+COUNTIF('Detailed Attendance'!BX85:BX85, "P")+COUNTIF('Detailed Attendance'!CQ85:CQ85, "P")+COUNTIF('Detailed Attendance'!CU85:CU85, "P")+COUNTIF('Detailed Attendance'!DN85:DN85, "P")+COUNTIF('Detailed Attendance'!DR85:DR85, "P")+COUNTIF('Detailed Attendance'!EK85:EK85, "P")+COUNTIF('Detailed Attendance'!EO85:EO85, "P")+COUNTIF('Detailed Attendance'!FE85:FE85, "P")+COUNTIF('Detailed Attendance'!FI85:FI85, "P")+COUNTIF('Detailed Attendance'!FU85:FU85, "P")+COUNTIF('Detailed Attendance'!FY85:FY85, "P")</f>
        <v/>
      </c>
      <c r="K83" s="46">
        <f>COUNTIF('Detailed Attendance'!L85:L85, "A")+COUNTIF('Detailed Attendance'!P85:P85, "A")+COUNTIF('Detailed Attendance'!AF85:AF85, "A")+COUNTIF('Detailed Attendance'!AJ85:AJ85, "A")+COUNTIF('Detailed Attendance'!AZ85:AZ85, "A")+COUNTIF('Detailed Attendance'!BD85:BD85, "A")+COUNTIF('Detailed Attendance'!BT85:BT85, "A")+COUNTIF('Detailed Attendance'!BX85:BX85, "A")+COUNTIF('Detailed Attendance'!CQ85:CQ85, "A")+COUNTIF('Detailed Attendance'!CU85:CU85, "A")+COUNTIF('Detailed Attendance'!DN85:DN85, "A")+COUNTIF('Detailed Attendance'!DR85:DR85, "A")+COUNTIF('Detailed Attendance'!EK85:EK85, "A")+COUNTIF('Detailed Attendance'!EO85:EO85, "A")+COUNTIF('Detailed Attendance'!FE85:FE85, "A")+COUNTIF('Detailed Attendance'!FI85:FI85, "A")+COUNTIF('Detailed Attendance'!FU85:FU85, "A")+COUNTIF('Detailed Attendance'!FY85:FY85, "A")</f>
        <v/>
      </c>
      <c r="L83" s="72">
        <f>IF((J83+K83)=0, "", J83/(J83+K83))</f>
        <v/>
      </c>
      <c r="M83" s="46">
        <f>COUNTIF('Detailed Attendance'!D85:D85, "P")+COUNTIF('Detailed Attendance'!T85:T85, "P")+COUNTIF('Detailed Attendance'!AN85:AN85, "P")+COUNTIF('Detailed Attendance'!AR85:AR85, "P")+COUNTIF('Detailed Attendance'!BH85:BH85, "P")+COUNTIF('Detailed Attendance'!CB85:CB85, "P")+COUNTIF('Detailed Attendance'!CF85:CF85, "P")+COUNTIF('Detailed Attendance'!CY85:CY85, "P")+COUNTIF('Detailed Attendance'!DC85:DC85, "P")+COUNTIF('Detailed Attendance'!DV85:DV85, "P")+COUNTIF('Detailed Attendance'!DZ85:DZ85, "P")+COUNTIF('Detailed Attendance'!ES85:ES85, "P")+COUNTIF('Detailed Attendance'!GC85:GC85, "P")+COUNTIF('Detailed Attendance'!GG85:GG85, "P")</f>
        <v/>
      </c>
      <c r="N83" s="46">
        <f>COUNTIF('Detailed Attendance'!D85:D85, "A")+COUNTIF('Detailed Attendance'!T85:T85, "A")+COUNTIF('Detailed Attendance'!AN85:AN85, "A")+COUNTIF('Detailed Attendance'!AR85:AR85, "A")+COUNTIF('Detailed Attendance'!BH85:BH85, "A")+COUNTIF('Detailed Attendance'!CB85:CB85, "A")+COUNTIF('Detailed Attendance'!CF85:CF85, "A")+COUNTIF('Detailed Attendance'!CY85:CY85, "A")+COUNTIF('Detailed Attendance'!DC85:DC85, "A")+COUNTIF('Detailed Attendance'!DV85:DV85, "A")+COUNTIF('Detailed Attendance'!DZ85:DZ85, "A")+COUNTIF('Detailed Attendance'!ES85:ES85, "A")+COUNTIF('Detailed Attendance'!GC85:GC85, "A")+COUNTIF('Detailed Attendance'!GG85:GG85, "A")</f>
        <v/>
      </c>
      <c r="O83" s="72">
        <f>IF((M83+N83)=0, "", M83/(M83+N83))</f>
        <v/>
      </c>
      <c r="P83" s="46">
        <f>COUNTIF('Detailed Attendance'!M85:M85, "P")+COUNTIF('Detailed Attendance'!U85:U85, "P")+COUNTIF('Detailed Attendance'!AG85:AG85, "P")+COUNTIF('Detailed Attendance'!AO85:AO85, "P")+COUNTIF('Detailed Attendance'!BA85:BA85, "P")+COUNTIF('Detailed Attendance'!BI85:BI85, "P")+COUNTIF('Detailed Attendance'!BU85:BU85, "P")+COUNTIF('Detailed Attendance'!CC85:CC85, "P")+COUNTIF('Detailed Attendance'!CR85:CR85, "P")+COUNTIF('Detailed Attendance'!CZ85:CZ85, "P")+COUNTIF('Detailed Attendance'!DO85:DO85, "P")+COUNTIF('Detailed Attendance'!DW85:DW85, "P")+COUNTIF('Detailed Attendance'!EL85:EL85, "P")+COUNTIF('Detailed Attendance'!ET85:ET85, "P")+COUNTIF('Detailed Attendance'!FF85:FF85, "P")+COUNTIF('Detailed Attendance'!FV85:FV85, "P")+COUNTIF('Detailed Attendance'!GD85:GD85, "P")</f>
        <v/>
      </c>
      <c r="Q83" s="46">
        <f>COUNTIF('Detailed Attendance'!M85:M85, "A")+COUNTIF('Detailed Attendance'!U85:U85, "A")+COUNTIF('Detailed Attendance'!AG85:AG85, "A")+COUNTIF('Detailed Attendance'!AO85:AO85, "A")+COUNTIF('Detailed Attendance'!BA85:BA85, "A")+COUNTIF('Detailed Attendance'!BI85:BI85, "A")+COUNTIF('Detailed Attendance'!BU85:BU85, "A")+COUNTIF('Detailed Attendance'!CC85:CC85, "A")+COUNTIF('Detailed Attendance'!CR85:CR85, "A")+COUNTIF('Detailed Attendance'!CZ85:CZ85, "A")+COUNTIF('Detailed Attendance'!DO85:DO85, "A")+COUNTIF('Detailed Attendance'!DW85:DW85, "A")+COUNTIF('Detailed Attendance'!EL85:EL85, "A")+COUNTIF('Detailed Attendance'!ET85:ET85, "A")+COUNTIF('Detailed Attendance'!FF85:FF85, "A")+COUNTIF('Detailed Attendance'!FV85:FV85, "A")+COUNTIF('Detailed Attendance'!GD85:GD85, "A")</f>
        <v/>
      </c>
      <c r="R83" s="72">
        <f>IF((P83+Q83)=0, "", P83/(P83+Q83))</f>
        <v/>
      </c>
      <c r="S83" s="46">
        <f>COUNTIF('Detailed Attendance'!V85:V85, "P")+COUNTIF('Detailed Attendance'!AP85:AP85, "P")+COUNTIF('Detailed Attendance'!BJ85:BJ85, "P")+COUNTIF('Detailed Attendance'!CD85:CD85, "P")+COUNTIF('Detailed Attendance'!DA85:DA85, "P")+COUNTIF('Detailed Attendance'!DX85:DX85, "P")+COUNTIF('Detailed Attendance'!EU85:EU85, "P")+COUNTIF('Detailed Attendance'!GE85:GE85, "P")</f>
        <v/>
      </c>
      <c r="T83" s="46">
        <f>COUNTIF('Detailed Attendance'!V85:V85, "A")+COUNTIF('Detailed Attendance'!AP85:AP85, "A")+COUNTIF('Detailed Attendance'!BJ85:BJ85, "A")+COUNTIF('Detailed Attendance'!CD85:CD85, "A")+COUNTIF('Detailed Attendance'!DA85:DA85, "A")+COUNTIF('Detailed Attendance'!DX85:DX85, "A")+COUNTIF('Detailed Attendance'!EU85:EU85, "A")+COUNTIF('Detailed Attendance'!GE85:GE85, "A")</f>
        <v/>
      </c>
      <c r="U83" s="73">
        <f>IF((S83+T83)=0, "", S83/(S83+T83))</f>
        <v/>
      </c>
      <c r="V83" s="46">
        <f>COUNTIF('Detailed Attendance'!CH85:CH85, "P")+COUNTIF('Detailed Attendance'!DE85:DE85, "P")+COUNTIF('Detailed Attendance'!EB85:EB85, "P")+COUNTIF('Detailed Attendance'!GI85:GI85, "P")</f>
        <v/>
      </c>
      <c r="W83" s="46">
        <f>COUNTIF('Detailed Attendance'!CH85:CH85, "A")+COUNTIF('Detailed Attendance'!DE85:DE85, "A")+COUNTIF('Detailed Attendance'!EB85:EB85, "A")+COUNTIF('Detailed Attendance'!GI85:GI85, "A")</f>
        <v/>
      </c>
      <c r="X83" s="73">
        <f>IF((V83+W83)=0, "", V83/(V83+W83))</f>
        <v/>
      </c>
      <c r="Y83" s="46">
        <f>COUNTIF('Detailed Attendance'!CG85:CG85, "P")+COUNTIF('Detailed Attendance'!DD85:DD85, "P")+COUNTIF('Detailed Attendance'!EA85:EA85, "P")+COUNTIF('Detailed Attendance'!GH85:GH85, "P")</f>
        <v/>
      </c>
      <c r="Z83" s="46">
        <f>COUNTIF('Detailed Attendance'!CG85:CG85, "A")+COUNTIF('Detailed Attendance'!DD85:DD85, "A")+COUNTIF('Detailed Attendance'!EA85:EA85, "A")+COUNTIF('Detailed Attendance'!GH85:GH85, "A")</f>
        <v/>
      </c>
      <c r="AA83" s="73">
        <f>IF((Y83+Z83)=0, "", Y83/(Y83+Z83))</f>
        <v/>
      </c>
      <c r="AB83" s="46">
        <f>S83+V83+Y83</f>
        <v/>
      </c>
      <c r="AC83" s="46">
        <f>T83+W83+Z83</f>
        <v/>
      </c>
      <c r="AD83" s="73">
        <f>IF((AB83+AC83)=0, "", AB83/(AB83+AC83))</f>
        <v/>
      </c>
      <c r="AE83" s="46" t="inlineStr">
        <is>
          <t>Batch 2</t>
        </is>
      </c>
    </row>
    <row r="84" ht="14.25" customHeight="1" s="34">
      <c r="A84" s="46" t="n">
        <v>83</v>
      </c>
      <c r="B84" s="46" t="inlineStr">
        <is>
          <t>325106410083</t>
        </is>
      </c>
      <c r="C84" s="46" t="inlineStr">
        <is>
          <t>HAILEYESUS BITEW</t>
        </is>
      </c>
      <c r="D84" s="46">
        <f>COUNTIF('Detailed Attendance'!R86:R86, "P")+COUNTIF('Detailed Attendance'!X86:X86, "P")+COUNTIF('Detailed Attendance'!AL86:AL86, "P")+COUNTIF('Detailed Attendance'!BF86:BF86, "P")+COUNTIF('Detailed Attendance'!BL86:BL86, "P")+COUNTIF('Detailed Attendance'!BZ86:BZ86, "P")+COUNTIF('Detailed Attendance'!CI86:CI86, "P")+COUNTIF('Detailed Attendance'!CW86:CW86, "P")+COUNTIF('Detailed Attendance'!DF86:DF86, "P")+COUNTIF('Detailed Attendance'!DT86:DT86, "P")+COUNTIF('Detailed Attendance'!EC86:EC86, "P")+COUNTIF('Detailed Attendance'!EQ86:EQ86, "P")+COUNTIF('Detailed Attendance'!EW86:EW86, "P")+COUNTIF('Detailed Attendance'!FK86:FK86, "P")+COUNTIF('Detailed Attendance'!FM86:FM86, "P")+COUNTIF('Detailed Attendance'!GA86:GA86, "P")</f>
        <v/>
      </c>
      <c r="E84" s="46">
        <f>COUNTIF('Detailed Attendance'!R86:R86, "A")+COUNTIF('Detailed Attendance'!X86:X86, "A")+COUNTIF('Detailed Attendance'!AL86:AL86, "A")+COUNTIF('Detailed Attendance'!BF86:BF86, "A")+COUNTIF('Detailed Attendance'!BL86:BL86, "A")+COUNTIF('Detailed Attendance'!BZ86:BZ86, "A")+COUNTIF('Detailed Attendance'!CI86:CI86, "A")+COUNTIF('Detailed Attendance'!CW86:CW86, "A")+COUNTIF('Detailed Attendance'!DF86:DF86, "A")+COUNTIF('Detailed Attendance'!DT86:DT86, "A")+COUNTIF('Detailed Attendance'!EC86:EC86, "A")+COUNTIF('Detailed Attendance'!EQ86:EQ86, "A")+COUNTIF('Detailed Attendance'!EW86:EW86, "A")+COUNTIF('Detailed Attendance'!FK86:FK86, "A")+COUNTIF('Detailed Attendance'!FM86:FM86, "A")+COUNTIF('Detailed Attendance'!GA86:GA86, "A")</f>
        <v/>
      </c>
      <c r="F84" s="72">
        <f>IF((D84+E84)=0, "", D84/(D84+E84))</f>
        <v/>
      </c>
      <c r="G84" s="46">
        <f>COUNTIF('Detailed Attendance'!I86:I86, "P")+COUNTIF('Detailed Attendance'!Q86:Q86, "P")+COUNTIF('Detailed Attendance'!AC86:AC86, "P")+COUNTIF('Detailed Attendance'!AK86:AK86, "P")+COUNTIF('Detailed Attendance'!AW86:AW86, "P")+COUNTIF('Detailed Attendance'!BE86:BE86, "P")+COUNTIF('Detailed Attendance'!BQ86:BQ86, "P")+COUNTIF('Detailed Attendance'!BY86:BY86, "P")+COUNTIF('Detailed Attendance'!CN86:CN86, "P")+COUNTIF('Detailed Attendance'!CV86:CV86, "P")+COUNTIF('Detailed Attendance'!DK86:DK86, "P")+COUNTIF('Detailed Attendance'!DS86:DS86, "P")+COUNTIF('Detailed Attendance'!EH86:EH86, "P")+COUNTIF('Detailed Attendance'!EP86:EP86, "P")+COUNTIF('Detailed Attendance'!FB86:FB86, "P")+COUNTIF('Detailed Attendance'!FJ86:FJ86, "P")+COUNTIF('Detailed Attendance'!FR86:FR86, "P")+COUNTIF('Detailed Attendance'!FZ86:FZ86, "P")</f>
        <v/>
      </c>
      <c r="H84" s="46">
        <f>COUNTIF('Detailed Attendance'!I86:I86, "A")+COUNTIF('Detailed Attendance'!Q86:Q86, "A")+COUNTIF('Detailed Attendance'!AC86:AC86, "A")+COUNTIF('Detailed Attendance'!AK86:AK86, "A")+COUNTIF('Detailed Attendance'!AW86:AW86, "A")+COUNTIF('Detailed Attendance'!BE86:BE86, "A")+COUNTIF('Detailed Attendance'!BQ86:BQ86, "A")+COUNTIF('Detailed Attendance'!BY86:BY86, "A")+COUNTIF('Detailed Attendance'!CN86:CN86, "A")+COUNTIF('Detailed Attendance'!CV86:CV86, "A")+COUNTIF('Detailed Attendance'!DK86:DK86, "A")+COUNTIF('Detailed Attendance'!DS86:DS86, "A")+COUNTIF('Detailed Attendance'!EH86:EH86, "A")+COUNTIF('Detailed Attendance'!EP86:EP86, "A")+COUNTIF('Detailed Attendance'!FB86:FB86, "A")+COUNTIF('Detailed Attendance'!FJ86:FJ86, "A")+COUNTIF('Detailed Attendance'!FR86:FR86, "A")+COUNTIF('Detailed Attendance'!FZ86:FZ86, "A")</f>
        <v/>
      </c>
      <c r="I84" s="72">
        <f>IF((G84+H84)=0, "", G84/(G84+H84))</f>
        <v/>
      </c>
      <c r="J84" s="46">
        <f>COUNTIF('Detailed Attendance'!L86:L86, "P")+COUNTIF('Detailed Attendance'!P86:P86, "P")+COUNTIF('Detailed Attendance'!AF86:AF86, "P")+COUNTIF('Detailed Attendance'!AJ86:AJ86, "P")+COUNTIF('Detailed Attendance'!AZ86:AZ86, "P")+COUNTIF('Detailed Attendance'!BD86:BD86, "P")+COUNTIF('Detailed Attendance'!BT86:BT86, "P")+COUNTIF('Detailed Attendance'!BX86:BX86, "P")+COUNTIF('Detailed Attendance'!CQ86:CQ86, "P")+COUNTIF('Detailed Attendance'!CU86:CU86, "P")+COUNTIF('Detailed Attendance'!DN86:DN86, "P")+COUNTIF('Detailed Attendance'!DR86:DR86, "P")+COUNTIF('Detailed Attendance'!EK86:EK86, "P")+COUNTIF('Detailed Attendance'!EO86:EO86, "P")+COUNTIF('Detailed Attendance'!FE86:FE86, "P")+COUNTIF('Detailed Attendance'!FI86:FI86, "P")+COUNTIF('Detailed Attendance'!FU86:FU86, "P")+COUNTIF('Detailed Attendance'!FY86:FY86, "P")</f>
        <v/>
      </c>
      <c r="K84" s="46">
        <f>COUNTIF('Detailed Attendance'!L86:L86, "A")+COUNTIF('Detailed Attendance'!P86:P86, "A")+COUNTIF('Detailed Attendance'!AF86:AF86, "A")+COUNTIF('Detailed Attendance'!AJ86:AJ86, "A")+COUNTIF('Detailed Attendance'!AZ86:AZ86, "A")+COUNTIF('Detailed Attendance'!BD86:BD86, "A")+COUNTIF('Detailed Attendance'!BT86:BT86, "A")+COUNTIF('Detailed Attendance'!BX86:BX86, "A")+COUNTIF('Detailed Attendance'!CQ86:CQ86, "A")+COUNTIF('Detailed Attendance'!CU86:CU86, "A")+COUNTIF('Detailed Attendance'!DN86:DN86, "A")+COUNTIF('Detailed Attendance'!DR86:DR86, "A")+COUNTIF('Detailed Attendance'!EK86:EK86, "A")+COUNTIF('Detailed Attendance'!EO86:EO86, "A")+COUNTIF('Detailed Attendance'!FE86:FE86, "A")+COUNTIF('Detailed Attendance'!FI86:FI86, "A")+COUNTIF('Detailed Attendance'!FU86:FU86, "A")+COUNTIF('Detailed Attendance'!FY86:FY86, "A")</f>
        <v/>
      </c>
      <c r="L84" s="72">
        <f>IF((J84+K84)=0, "", J84/(J84+K84))</f>
        <v/>
      </c>
      <c r="M84" s="46">
        <f>COUNTIF('Detailed Attendance'!D86:D86, "P")+COUNTIF('Detailed Attendance'!T86:T86, "P")+COUNTIF('Detailed Attendance'!AN86:AN86, "P")+COUNTIF('Detailed Attendance'!AR86:AR86, "P")+COUNTIF('Detailed Attendance'!BH86:BH86, "P")+COUNTIF('Detailed Attendance'!CB86:CB86, "P")+COUNTIF('Detailed Attendance'!CF86:CF86, "P")+COUNTIF('Detailed Attendance'!CY86:CY86, "P")+COUNTIF('Detailed Attendance'!DC86:DC86, "P")+COUNTIF('Detailed Attendance'!DV86:DV86, "P")+COUNTIF('Detailed Attendance'!DZ86:DZ86, "P")+COUNTIF('Detailed Attendance'!ES86:ES86, "P")+COUNTIF('Detailed Attendance'!GC86:GC86, "P")+COUNTIF('Detailed Attendance'!GG86:GG86, "P")</f>
        <v/>
      </c>
      <c r="N84" s="46">
        <f>COUNTIF('Detailed Attendance'!D86:D86, "A")+COUNTIF('Detailed Attendance'!T86:T86, "A")+COUNTIF('Detailed Attendance'!AN86:AN86, "A")+COUNTIF('Detailed Attendance'!AR86:AR86, "A")+COUNTIF('Detailed Attendance'!BH86:BH86, "A")+COUNTIF('Detailed Attendance'!CB86:CB86, "A")+COUNTIF('Detailed Attendance'!CF86:CF86, "A")+COUNTIF('Detailed Attendance'!CY86:CY86, "A")+COUNTIF('Detailed Attendance'!DC86:DC86, "A")+COUNTIF('Detailed Attendance'!DV86:DV86, "A")+COUNTIF('Detailed Attendance'!DZ86:DZ86, "A")+COUNTIF('Detailed Attendance'!ES86:ES86, "A")+COUNTIF('Detailed Attendance'!GC86:GC86, "A")+COUNTIF('Detailed Attendance'!GG86:GG86, "A")</f>
        <v/>
      </c>
      <c r="O84" s="72">
        <f>IF((M84+N84)=0, "", M84/(M84+N84))</f>
        <v/>
      </c>
      <c r="P84" s="46">
        <f>COUNTIF('Detailed Attendance'!M86:M86, "P")+COUNTIF('Detailed Attendance'!U86:U86, "P")+COUNTIF('Detailed Attendance'!AG86:AG86, "P")+COUNTIF('Detailed Attendance'!AO86:AO86, "P")+COUNTIF('Detailed Attendance'!BA86:BA86, "P")+COUNTIF('Detailed Attendance'!BI86:BI86, "P")+COUNTIF('Detailed Attendance'!BU86:BU86, "P")+COUNTIF('Detailed Attendance'!CC86:CC86, "P")+COUNTIF('Detailed Attendance'!CR86:CR86, "P")+COUNTIF('Detailed Attendance'!CZ86:CZ86, "P")+COUNTIF('Detailed Attendance'!DO86:DO86, "P")+COUNTIF('Detailed Attendance'!DW86:DW86, "P")+COUNTIF('Detailed Attendance'!EL86:EL86, "P")+COUNTIF('Detailed Attendance'!ET86:ET86, "P")+COUNTIF('Detailed Attendance'!FF86:FF86, "P")+COUNTIF('Detailed Attendance'!FV86:FV86, "P")+COUNTIF('Detailed Attendance'!GD86:GD86, "P")</f>
        <v/>
      </c>
      <c r="Q84" s="46">
        <f>COUNTIF('Detailed Attendance'!M86:M86, "A")+COUNTIF('Detailed Attendance'!U86:U86, "A")+COUNTIF('Detailed Attendance'!AG86:AG86, "A")+COUNTIF('Detailed Attendance'!AO86:AO86, "A")+COUNTIF('Detailed Attendance'!BA86:BA86, "A")+COUNTIF('Detailed Attendance'!BI86:BI86, "A")+COUNTIF('Detailed Attendance'!BU86:BU86, "A")+COUNTIF('Detailed Attendance'!CC86:CC86, "A")+COUNTIF('Detailed Attendance'!CR86:CR86, "A")+COUNTIF('Detailed Attendance'!CZ86:CZ86, "A")+COUNTIF('Detailed Attendance'!DO86:DO86, "A")+COUNTIF('Detailed Attendance'!DW86:DW86, "A")+COUNTIF('Detailed Attendance'!EL86:EL86, "A")+COUNTIF('Detailed Attendance'!ET86:ET86, "A")+COUNTIF('Detailed Attendance'!FF86:FF86, "A")+COUNTIF('Detailed Attendance'!FV86:FV86, "A")+COUNTIF('Detailed Attendance'!GD86:GD86, "A")</f>
        <v/>
      </c>
      <c r="R84" s="72">
        <f>IF((P84+Q84)=0, "", P84/(P84+Q84))</f>
        <v/>
      </c>
      <c r="S84" s="46">
        <f>COUNTIF('Detailed Attendance'!H86:H86, "P")+COUNTIF('Detailed Attendance'!AB86:AB86, "P")+COUNTIF('Detailed Attendance'!AV86:AV86, "P")+COUNTIF('Detailed Attendance'!BP86:BP86, "P")+COUNTIF('Detailed Attendance'!CM86:CM86, "P")+COUNTIF('Detailed Attendance'!DJ86:DJ86, "P")+COUNTIF('Detailed Attendance'!EG86:EG86, "P")+COUNTIF('Detailed Attendance'!FA86:FA86, "P")+COUNTIF('Detailed Attendance'!FQ86:FQ86, "P")</f>
        <v/>
      </c>
      <c r="T84" s="46">
        <f>COUNTIF('Detailed Attendance'!H86:H86, "A")+COUNTIF('Detailed Attendance'!AB86:AB86, "A")+COUNTIF('Detailed Attendance'!AV86:AV86, "A")+COUNTIF('Detailed Attendance'!BP86:BP86, "A")+COUNTIF('Detailed Attendance'!CM86:CM86, "A")+COUNTIF('Detailed Attendance'!DJ86:DJ86, "A")+COUNTIF('Detailed Attendance'!EG86:EG86, "A")+COUNTIF('Detailed Attendance'!FA86:FA86, "A")+COUNTIF('Detailed Attendance'!FQ86:FQ86, "A")</f>
        <v/>
      </c>
      <c r="U84" s="73">
        <f>IF((S84+T84)=0, "", S84/(S84+T84))</f>
        <v/>
      </c>
      <c r="V84" s="46">
        <f>COUNTIF('Detailed Attendance'!E86:E86, "P")+COUNTIF('Detailed Attendance'!Y86:Y86, "P")+COUNTIF('Detailed Attendance'!AS86:AS86, "P")+COUNTIF('Detailed Attendance'!BM86:BM86, "P")+COUNTIF('Detailed Attendance'!CJ86:CJ86, "P")+COUNTIF('Detailed Attendance'!DG86:DG86, "P")+COUNTIF('Detailed Attendance'!ED86:ED86, "P")+COUNTIF('Detailed Attendance'!EX86:EX86, "P")+COUNTIF('Detailed Attendance'!FN86:FN86, "P")</f>
        <v/>
      </c>
      <c r="W84" s="46">
        <f>COUNTIF('Detailed Attendance'!E86:E86, "A")+COUNTIF('Detailed Attendance'!Y86:Y86, "A")+COUNTIF('Detailed Attendance'!AS86:AS86, "A")+COUNTIF('Detailed Attendance'!BM86:BM86, "A")+COUNTIF('Detailed Attendance'!CJ86:CJ86, "A")+COUNTIF('Detailed Attendance'!DG86:DG86, "A")+COUNTIF('Detailed Attendance'!ED86:ED86, "A")+COUNTIF('Detailed Attendance'!EX86:EX86, "A")+COUNTIF('Detailed Attendance'!FN86:FN86, "A")</f>
        <v/>
      </c>
      <c r="X84" s="73">
        <f>IF((V84+W84)=0, "", V84/(V84+W84))</f>
        <v/>
      </c>
      <c r="Y84" s="46">
        <f>COUNTIF('Detailed Attendance'!CH86:CH86, "P")+COUNTIF('Detailed Attendance'!DE86:DE86, "P")+COUNTIF('Detailed Attendance'!EB86:EB86, "P")+COUNTIF('Detailed Attendance'!GI86:GI86, "P")</f>
        <v/>
      </c>
      <c r="Z84" s="46">
        <f>COUNTIF('Detailed Attendance'!CH86:CH86, "A")+COUNTIF('Detailed Attendance'!DE86:DE86, "A")+COUNTIF('Detailed Attendance'!EB86:EB86, "A")+COUNTIF('Detailed Attendance'!GI86:GI86, "A")</f>
        <v/>
      </c>
      <c r="AA84" s="73">
        <f>IF((Y84+Z84)=0, "", Y84/(Y84+Z84))</f>
        <v/>
      </c>
      <c r="AB84" s="46">
        <f>S84+V84+Y84</f>
        <v/>
      </c>
      <c r="AC84" s="46">
        <f>T84+W84+Z84</f>
        <v/>
      </c>
      <c r="AD84" s="73">
        <f>IF((AB84+AC84)=0, "", AB84/(AB84+AC84))</f>
        <v/>
      </c>
      <c r="AE84" s="46" t="inlineStr">
        <is>
          <t>Batch 3</t>
        </is>
      </c>
    </row>
    <row r="85" ht="14.25" customHeight="1" s="34">
      <c r="A85" s="46" t="n">
        <v>84</v>
      </c>
      <c r="B85" s="46" t="inlineStr">
        <is>
          <t>325106410084</t>
        </is>
      </c>
      <c r="C85" s="46" t="inlineStr">
        <is>
          <t>HOR SONCHANDEVIN</t>
        </is>
      </c>
      <c r="D85" s="46">
        <f>COUNTIF('Detailed Attendance'!R87:R87, "P")+COUNTIF('Detailed Attendance'!X87:X87, "P")+COUNTIF('Detailed Attendance'!AL87:AL87, "P")+COUNTIF('Detailed Attendance'!BF87:BF87, "P")+COUNTIF('Detailed Attendance'!BL87:BL87, "P")+COUNTIF('Detailed Attendance'!BZ87:BZ87, "P")+COUNTIF('Detailed Attendance'!CI87:CI87, "P")+COUNTIF('Detailed Attendance'!CW87:CW87, "P")+COUNTIF('Detailed Attendance'!DF87:DF87, "P")+COUNTIF('Detailed Attendance'!DT87:DT87, "P")+COUNTIF('Detailed Attendance'!EC87:EC87, "P")+COUNTIF('Detailed Attendance'!EQ87:EQ87, "P")+COUNTIF('Detailed Attendance'!EW87:EW87, "P")+COUNTIF('Detailed Attendance'!FK87:FK87, "P")+COUNTIF('Detailed Attendance'!FM87:FM87, "P")+COUNTIF('Detailed Attendance'!GA87:GA87, "P")</f>
        <v/>
      </c>
      <c r="E85" s="46">
        <f>COUNTIF('Detailed Attendance'!R87:R87, "A")+COUNTIF('Detailed Attendance'!X87:X87, "A")+COUNTIF('Detailed Attendance'!AL87:AL87, "A")+COUNTIF('Detailed Attendance'!BF87:BF87, "A")+COUNTIF('Detailed Attendance'!BL87:BL87, "A")+COUNTIF('Detailed Attendance'!BZ87:BZ87, "A")+COUNTIF('Detailed Attendance'!CI87:CI87, "A")+COUNTIF('Detailed Attendance'!CW87:CW87, "A")+COUNTIF('Detailed Attendance'!DF87:DF87, "A")+COUNTIF('Detailed Attendance'!DT87:DT87, "A")+COUNTIF('Detailed Attendance'!EC87:EC87, "A")+COUNTIF('Detailed Attendance'!EQ87:EQ87, "A")+COUNTIF('Detailed Attendance'!EW87:EW87, "A")+COUNTIF('Detailed Attendance'!FK87:FK87, "A")+COUNTIF('Detailed Attendance'!FM87:FM87, "A")+COUNTIF('Detailed Attendance'!GA87:GA87, "A")</f>
        <v/>
      </c>
      <c r="F85" s="72">
        <f>IF((D85+E85)=0, "", D85/(D85+E85))</f>
        <v/>
      </c>
      <c r="G85" s="46">
        <f>COUNTIF('Detailed Attendance'!I87:I87, "P")+COUNTIF('Detailed Attendance'!Q87:Q87, "P")+COUNTIF('Detailed Attendance'!AC87:AC87, "P")+COUNTIF('Detailed Attendance'!AK87:AK87, "P")+COUNTIF('Detailed Attendance'!AW87:AW87, "P")+COUNTIF('Detailed Attendance'!BE87:BE87, "P")+COUNTIF('Detailed Attendance'!BQ87:BQ87, "P")+COUNTIF('Detailed Attendance'!BY87:BY87, "P")+COUNTIF('Detailed Attendance'!CN87:CN87, "P")+COUNTIF('Detailed Attendance'!CV87:CV87, "P")+COUNTIF('Detailed Attendance'!DK87:DK87, "P")+COUNTIF('Detailed Attendance'!DS87:DS87, "P")+COUNTIF('Detailed Attendance'!EH87:EH87, "P")+COUNTIF('Detailed Attendance'!EP87:EP87, "P")+COUNTIF('Detailed Attendance'!FB87:FB87, "P")+COUNTIF('Detailed Attendance'!FJ87:FJ87, "P")+COUNTIF('Detailed Attendance'!FR87:FR87, "P")+COUNTIF('Detailed Attendance'!FZ87:FZ87, "P")</f>
        <v/>
      </c>
      <c r="H85" s="46">
        <f>COUNTIF('Detailed Attendance'!I87:I87, "A")+COUNTIF('Detailed Attendance'!Q87:Q87, "A")+COUNTIF('Detailed Attendance'!AC87:AC87, "A")+COUNTIF('Detailed Attendance'!AK87:AK87, "A")+COUNTIF('Detailed Attendance'!AW87:AW87, "A")+COUNTIF('Detailed Attendance'!BE87:BE87, "A")+COUNTIF('Detailed Attendance'!BQ87:BQ87, "A")+COUNTIF('Detailed Attendance'!BY87:BY87, "A")+COUNTIF('Detailed Attendance'!CN87:CN87, "A")+COUNTIF('Detailed Attendance'!CV87:CV87, "A")+COUNTIF('Detailed Attendance'!DK87:DK87, "A")+COUNTIF('Detailed Attendance'!DS87:DS87, "A")+COUNTIF('Detailed Attendance'!EH87:EH87, "A")+COUNTIF('Detailed Attendance'!EP87:EP87, "A")+COUNTIF('Detailed Attendance'!FB87:FB87, "A")+COUNTIF('Detailed Attendance'!FJ87:FJ87, "A")+COUNTIF('Detailed Attendance'!FR87:FR87, "A")+COUNTIF('Detailed Attendance'!FZ87:FZ87, "A")</f>
        <v/>
      </c>
      <c r="I85" s="72">
        <f>IF((G85+H85)=0, "", G85/(G85+H85))</f>
        <v/>
      </c>
      <c r="J85" s="46">
        <f>COUNTIF('Detailed Attendance'!L87:L87, "P")+COUNTIF('Detailed Attendance'!P87:P87, "P")+COUNTIF('Detailed Attendance'!AF87:AF87, "P")+COUNTIF('Detailed Attendance'!AJ87:AJ87, "P")+COUNTIF('Detailed Attendance'!AZ87:AZ87, "P")+COUNTIF('Detailed Attendance'!BD87:BD87, "P")+COUNTIF('Detailed Attendance'!BT87:BT87, "P")+COUNTIF('Detailed Attendance'!BX87:BX87, "P")+COUNTIF('Detailed Attendance'!CQ87:CQ87, "P")+COUNTIF('Detailed Attendance'!CU87:CU87, "P")+COUNTIF('Detailed Attendance'!DN87:DN87, "P")+COUNTIF('Detailed Attendance'!DR87:DR87, "P")+COUNTIF('Detailed Attendance'!EK87:EK87, "P")+COUNTIF('Detailed Attendance'!EO87:EO87, "P")+COUNTIF('Detailed Attendance'!FE87:FE87, "P")+COUNTIF('Detailed Attendance'!FI87:FI87, "P")+COUNTIF('Detailed Attendance'!FU87:FU87, "P")+COUNTIF('Detailed Attendance'!FY87:FY87, "P")</f>
        <v/>
      </c>
      <c r="K85" s="46">
        <f>COUNTIF('Detailed Attendance'!L87:L87, "A")+COUNTIF('Detailed Attendance'!P87:P87, "A")+COUNTIF('Detailed Attendance'!AF87:AF87, "A")+COUNTIF('Detailed Attendance'!AJ87:AJ87, "A")+COUNTIF('Detailed Attendance'!AZ87:AZ87, "A")+COUNTIF('Detailed Attendance'!BD87:BD87, "A")+COUNTIF('Detailed Attendance'!BT87:BT87, "A")+COUNTIF('Detailed Attendance'!BX87:BX87, "A")+COUNTIF('Detailed Attendance'!CQ87:CQ87, "A")+COUNTIF('Detailed Attendance'!CU87:CU87, "A")+COUNTIF('Detailed Attendance'!DN87:DN87, "A")+COUNTIF('Detailed Attendance'!DR87:DR87, "A")+COUNTIF('Detailed Attendance'!EK87:EK87, "A")+COUNTIF('Detailed Attendance'!EO87:EO87, "A")+COUNTIF('Detailed Attendance'!FE87:FE87, "A")+COUNTIF('Detailed Attendance'!FI87:FI87, "A")+COUNTIF('Detailed Attendance'!FU87:FU87, "A")+COUNTIF('Detailed Attendance'!FY87:FY87, "A")</f>
        <v/>
      </c>
      <c r="L85" s="72">
        <f>IF((J85+K85)=0, "", J85/(J85+K85))</f>
        <v/>
      </c>
      <c r="M85" s="46">
        <f>COUNTIF('Detailed Attendance'!D87:D87, "P")+COUNTIF('Detailed Attendance'!T87:T87, "P")+COUNTIF('Detailed Attendance'!AN87:AN87, "P")+COUNTIF('Detailed Attendance'!AR87:AR87, "P")+COUNTIF('Detailed Attendance'!BH87:BH87, "P")+COUNTIF('Detailed Attendance'!CB87:CB87, "P")+COUNTIF('Detailed Attendance'!CF87:CF87, "P")+COUNTIF('Detailed Attendance'!CY87:CY87, "P")+COUNTIF('Detailed Attendance'!DC87:DC87, "P")+COUNTIF('Detailed Attendance'!DV87:DV87, "P")+COUNTIF('Detailed Attendance'!DZ87:DZ87, "P")+COUNTIF('Detailed Attendance'!ES87:ES87, "P")+COUNTIF('Detailed Attendance'!GC87:GC87, "P")+COUNTIF('Detailed Attendance'!GG87:GG87, "P")</f>
        <v/>
      </c>
      <c r="N85" s="46">
        <f>COUNTIF('Detailed Attendance'!D87:D87, "A")+COUNTIF('Detailed Attendance'!T87:T87, "A")+COUNTIF('Detailed Attendance'!AN87:AN87, "A")+COUNTIF('Detailed Attendance'!AR87:AR87, "A")+COUNTIF('Detailed Attendance'!BH87:BH87, "A")+COUNTIF('Detailed Attendance'!CB87:CB87, "A")+COUNTIF('Detailed Attendance'!CF87:CF87, "A")+COUNTIF('Detailed Attendance'!CY87:CY87, "A")+COUNTIF('Detailed Attendance'!DC87:DC87, "A")+COUNTIF('Detailed Attendance'!DV87:DV87, "A")+COUNTIF('Detailed Attendance'!DZ87:DZ87, "A")+COUNTIF('Detailed Attendance'!ES87:ES87, "A")+COUNTIF('Detailed Attendance'!GC87:GC87, "A")+COUNTIF('Detailed Attendance'!GG87:GG87, "A")</f>
        <v/>
      </c>
      <c r="O85" s="72">
        <f>IF((M85+N85)=0, "", M85/(M85+N85))</f>
        <v/>
      </c>
      <c r="P85" s="46">
        <f>COUNTIF('Detailed Attendance'!M87:M87, "P")+COUNTIF('Detailed Attendance'!U87:U87, "P")+COUNTIF('Detailed Attendance'!AG87:AG87, "P")+COUNTIF('Detailed Attendance'!AO87:AO87, "P")+COUNTIF('Detailed Attendance'!BA87:BA87, "P")+COUNTIF('Detailed Attendance'!BI87:BI87, "P")+COUNTIF('Detailed Attendance'!BU87:BU87, "P")+COUNTIF('Detailed Attendance'!CC87:CC87, "P")+COUNTIF('Detailed Attendance'!CR87:CR87, "P")+COUNTIF('Detailed Attendance'!CZ87:CZ87, "P")+COUNTIF('Detailed Attendance'!DO87:DO87, "P")+COUNTIF('Detailed Attendance'!DW87:DW87, "P")+COUNTIF('Detailed Attendance'!EL87:EL87, "P")+COUNTIF('Detailed Attendance'!ET87:ET87, "P")+COUNTIF('Detailed Attendance'!FF87:FF87, "P")+COUNTIF('Detailed Attendance'!FV87:FV87, "P")+COUNTIF('Detailed Attendance'!GD87:GD87, "P")</f>
        <v/>
      </c>
      <c r="Q85" s="46">
        <f>COUNTIF('Detailed Attendance'!M87:M87, "A")+COUNTIF('Detailed Attendance'!U87:U87, "A")+COUNTIF('Detailed Attendance'!AG87:AG87, "A")+COUNTIF('Detailed Attendance'!AO87:AO87, "A")+COUNTIF('Detailed Attendance'!BA87:BA87, "A")+COUNTIF('Detailed Attendance'!BI87:BI87, "A")+COUNTIF('Detailed Attendance'!BU87:BU87, "A")+COUNTIF('Detailed Attendance'!CC87:CC87, "A")+COUNTIF('Detailed Attendance'!CR87:CR87, "A")+COUNTIF('Detailed Attendance'!CZ87:CZ87, "A")+COUNTIF('Detailed Attendance'!DO87:DO87, "A")+COUNTIF('Detailed Attendance'!DW87:DW87, "A")+COUNTIF('Detailed Attendance'!EL87:EL87, "A")+COUNTIF('Detailed Attendance'!ET87:ET87, "A")+COUNTIF('Detailed Attendance'!FF87:FF87, "A")+COUNTIF('Detailed Attendance'!FV87:FV87, "A")+COUNTIF('Detailed Attendance'!GD87:GD87, "A")</f>
        <v/>
      </c>
      <c r="R85" s="72">
        <f>IF((P85+Q85)=0, "", P85/(P85+Q85))</f>
        <v/>
      </c>
      <c r="S85" s="46">
        <f>COUNTIF('Detailed Attendance'!H87:H87, "P")+COUNTIF('Detailed Attendance'!AB87:AB87, "P")+COUNTIF('Detailed Attendance'!AV87:AV87, "P")+COUNTIF('Detailed Attendance'!BP87:BP87, "P")+COUNTIF('Detailed Attendance'!CM87:CM87, "P")+COUNTIF('Detailed Attendance'!DJ87:DJ87, "P")+COUNTIF('Detailed Attendance'!EG87:EG87, "P")+COUNTIF('Detailed Attendance'!FA87:FA87, "P")+COUNTIF('Detailed Attendance'!FQ87:FQ87, "P")</f>
        <v/>
      </c>
      <c r="T85" s="46">
        <f>COUNTIF('Detailed Attendance'!H87:H87, "A")+COUNTIF('Detailed Attendance'!AB87:AB87, "A")+COUNTIF('Detailed Attendance'!AV87:AV87, "A")+COUNTIF('Detailed Attendance'!BP87:BP87, "A")+COUNTIF('Detailed Attendance'!CM87:CM87, "A")+COUNTIF('Detailed Attendance'!DJ87:DJ87, "A")+COUNTIF('Detailed Attendance'!EG87:EG87, "A")+COUNTIF('Detailed Attendance'!FA87:FA87, "A")+COUNTIF('Detailed Attendance'!FQ87:FQ87, "A")</f>
        <v/>
      </c>
      <c r="U85" s="73">
        <f>IF((S85+T85)=0, "", S85/(S85+T85))</f>
        <v/>
      </c>
      <c r="V85" s="46">
        <f>COUNTIF('Detailed Attendance'!E87:E87, "P")+COUNTIF('Detailed Attendance'!Y87:Y87, "P")+COUNTIF('Detailed Attendance'!AS87:AS87, "P")+COUNTIF('Detailed Attendance'!BM87:BM87, "P")+COUNTIF('Detailed Attendance'!CJ87:CJ87, "P")+COUNTIF('Detailed Attendance'!DG87:DG87, "P")+COUNTIF('Detailed Attendance'!ED87:ED87, "P")+COUNTIF('Detailed Attendance'!EX87:EX87, "P")+COUNTIF('Detailed Attendance'!FN87:FN87, "P")</f>
        <v/>
      </c>
      <c r="W85" s="46">
        <f>COUNTIF('Detailed Attendance'!E87:E87, "A")+COUNTIF('Detailed Attendance'!Y87:Y87, "A")+COUNTIF('Detailed Attendance'!AS87:AS87, "A")+COUNTIF('Detailed Attendance'!BM87:BM87, "A")+COUNTIF('Detailed Attendance'!CJ87:CJ87, "A")+COUNTIF('Detailed Attendance'!DG87:DG87, "A")+COUNTIF('Detailed Attendance'!ED87:ED87, "A")+COUNTIF('Detailed Attendance'!EX87:EX87, "A")+COUNTIF('Detailed Attendance'!FN87:FN87, "A")</f>
        <v/>
      </c>
      <c r="X85" s="73">
        <f>IF((V85+W85)=0, "", V85/(V85+W85))</f>
        <v/>
      </c>
      <c r="Y85" s="46">
        <f>COUNTIF('Detailed Attendance'!CH87:CH87, "P")+COUNTIF('Detailed Attendance'!DE87:DE87, "P")+COUNTIF('Detailed Attendance'!EB87:EB87, "P")+COUNTIF('Detailed Attendance'!GI87:GI87, "P")</f>
        <v/>
      </c>
      <c r="Z85" s="46">
        <f>COUNTIF('Detailed Attendance'!CH87:CH87, "A")+COUNTIF('Detailed Attendance'!DE87:DE87, "A")+COUNTIF('Detailed Attendance'!EB87:EB87, "A")+COUNTIF('Detailed Attendance'!GI87:GI87, "A")</f>
        <v/>
      </c>
      <c r="AA85" s="73">
        <f>IF((Y85+Z85)=0, "", Y85/(Y85+Z85))</f>
        <v/>
      </c>
      <c r="AB85" s="46">
        <f>S85+V85+Y85</f>
        <v/>
      </c>
      <c r="AC85" s="46">
        <f>T85+W85+Z85</f>
        <v/>
      </c>
      <c r="AD85" s="73">
        <f>IF((AB85+AC85)=0, "", AB85/(AB85+AC85))</f>
        <v/>
      </c>
      <c r="AE85" s="46" t="inlineStr">
        <is>
          <t>Batch 3</t>
        </is>
      </c>
    </row>
    <row r="86" ht="14.25" customHeight="1" s="34">
      <c r="A86" s="46" t="n">
        <v>85</v>
      </c>
      <c r="B86" s="46" t="inlineStr">
        <is>
          <t>325106410085</t>
        </is>
      </c>
      <c r="C86" s="46" t="inlineStr">
        <is>
          <t>JOVAN PONUEL BISWAS</t>
        </is>
      </c>
      <c r="D86" s="46">
        <f>COUNTIF('Detailed Attendance'!R88:R88, "P")+COUNTIF('Detailed Attendance'!X88:X88, "P")+COUNTIF('Detailed Attendance'!AL88:AL88, "P")+COUNTIF('Detailed Attendance'!BF88:BF88, "P")+COUNTIF('Detailed Attendance'!BL88:BL88, "P")+COUNTIF('Detailed Attendance'!BZ88:BZ88, "P")+COUNTIF('Detailed Attendance'!CI88:CI88, "P")+COUNTIF('Detailed Attendance'!CW88:CW88, "P")+COUNTIF('Detailed Attendance'!DF88:DF88, "P")+COUNTIF('Detailed Attendance'!DT88:DT88, "P")+COUNTIF('Detailed Attendance'!EC88:EC88, "P")+COUNTIF('Detailed Attendance'!EQ88:EQ88, "P")+COUNTIF('Detailed Attendance'!EW88:EW88, "P")+COUNTIF('Detailed Attendance'!FK88:FK88, "P")+COUNTIF('Detailed Attendance'!FM88:FM88, "P")+COUNTIF('Detailed Attendance'!GA88:GA88, "P")</f>
        <v/>
      </c>
      <c r="E86" s="46">
        <f>COUNTIF('Detailed Attendance'!R88:R88, "A")+COUNTIF('Detailed Attendance'!X88:X88, "A")+COUNTIF('Detailed Attendance'!AL88:AL88, "A")+COUNTIF('Detailed Attendance'!BF88:BF88, "A")+COUNTIF('Detailed Attendance'!BL88:BL88, "A")+COUNTIF('Detailed Attendance'!BZ88:BZ88, "A")+COUNTIF('Detailed Attendance'!CI88:CI88, "A")+COUNTIF('Detailed Attendance'!CW88:CW88, "A")+COUNTIF('Detailed Attendance'!DF88:DF88, "A")+COUNTIF('Detailed Attendance'!DT88:DT88, "A")+COUNTIF('Detailed Attendance'!EC88:EC88, "A")+COUNTIF('Detailed Attendance'!EQ88:EQ88, "A")+COUNTIF('Detailed Attendance'!EW88:EW88, "A")+COUNTIF('Detailed Attendance'!FK88:FK88, "A")+COUNTIF('Detailed Attendance'!FM88:FM88, "A")+COUNTIF('Detailed Attendance'!GA88:GA88, "A")</f>
        <v/>
      </c>
      <c r="F86" s="72">
        <f>IF((D86+E86)=0, "", D86/(D86+E86))</f>
        <v/>
      </c>
      <c r="G86" s="46">
        <f>COUNTIF('Detailed Attendance'!I88:I88, "P")+COUNTIF('Detailed Attendance'!Q88:Q88, "P")+COUNTIF('Detailed Attendance'!AC88:AC88, "P")+COUNTIF('Detailed Attendance'!AK88:AK88, "P")+COUNTIF('Detailed Attendance'!AW88:AW88, "P")+COUNTIF('Detailed Attendance'!BE88:BE88, "P")+COUNTIF('Detailed Attendance'!BQ88:BQ88, "P")+COUNTIF('Detailed Attendance'!BY88:BY88, "P")+COUNTIF('Detailed Attendance'!CN88:CN88, "P")+COUNTIF('Detailed Attendance'!CV88:CV88, "P")+COUNTIF('Detailed Attendance'!DK88:DK88, "P")+COUNTIF('Detailed Attendance'!DS88:DS88, "P")+COUNTIF('Detailed Attendance'!EH88:EH88, "P")+COUNTIF('Detailed Attendance'!EP88:EP88, "P")+COUNTIF('Detailed Attendance'!FB88:FB88, "P")+COUNTIF('Detailed Attendance'!FJ88:FJ88, "P")+COUNTIF('Detailed Attendance'!FR88:FR88, "P")+COUNTIF('Detailed Attendance'!FZ88:FZ88, "P")</f>
        <v/>
      </c>
      <c r="H86" s="46">
        <f>COUNTIF('Detailed Attendance'!I88:I88, "A")+COUNTIF('Detailed Attendance'!Q88:Q88, "A")+COUNTIF('Detailed Attendance'!AC88:AC88, "A")+COUNTIF('Detailed Attendance'!AK88:AK88, "A")+COUNTIF('Detailed Attendance'!AW88:AW88, "A")+COUNTIF('Detailed Attendance'!BE88:BE88, "A")+COUNTIF('Detailed Attendance'!BQ88:BQ88, "A")+COUNTIF('Detailed Attendance'!BY88:BY88, "A")+COUNTIF('Detailed Attendance'!CN88:CN88, "A")+COUNTIF('Detailed Attendance'!CV88:CV88, "A")+COUNTIF('Detailed Attendance'!DK88:DK88, "A")+COUNTIF('Detailed Attendance'!DS88:DS88, "A")+COUNTIF('Detailed Attendance'!EH88:EH88, "A")+COUNTIF('Detailed Attendance'!EP88:EP88, "A")+COUNTIF('Detailed Attendance'!FB88:FB88, "A")+COUNTIF('Detailed Attendance'!FJ88:FJ88, "A")+COUNTIF('Detailed Attendance'!FR88:FR88, "A")+COUNTIF('Detailed Attendance'!FZ88:FZ88, "A")</f>
        <v/>
      </c>
      <c r="I86" s="72">
        <f>IF((G86+H86)=0, "", G86/(G86+H86))</f>
        <v/>
      </c>
      <c r="J86" s="46">
        <f>COUNTIF('Detailed Attendance'!L88:L88, "P")+COUNTIF('Detailed Attendance'!P88:P88, "P")+COUNTIF('Detailed Attendance'!AF88:AF88, "P")+COUNTIF('Detailed Attendance'!AJ88:AJ88, "P")+COUNTIF('Detailed Attendance'!AZ88:AZ88, "P")+COUNTIF('Detailed Attendance'!BD88:BD88, "P")+COUNTIF('Detailed Attendance'!BT88:BT88, "P")+COUNTIF('Detailed Attendance'!BX88:BX88, "P")+COUNTIF('Detailed Attendance'!CQ88:CQ88, "P")+COUNTIF('Detailed Attendance'!CU88:CU88, "P")+COUNTIF('Detailed Attendance'!DN88:DN88, "P")+COUNTIF('Detailed Attendance'!DR88:DR88, "P")+COUNTIF('Detailed Attendance'!EK88:EK88, "P")+COUNTIF('Detailed Attendance'!EO88:EO88, "P")+COUNTIF('Detailed Attendance'!FE88:FE88, "P")+COUNTIF('Detailed Attendance'!FI88:FI88, "P")+COUNTIF('Detailed Attendance'!FU88:FU88, "P")+COUNTIF('Detailed Attendance'!FY88:FY88, "P")</f>
        <v/>
      </c>
      <c r="K86" s="46">
        <f>COUNTIF('Detailed Attendance'!L88:L88, "A")+COUNTIF('Detailed Attendance'!P88:P88, "A")+COUNTIF('Detailed Attendance'!AF88:AF88, "A")+COUNTIF('Detailed Attendance'!AJ88:AJ88, "A")+COUNTIF('Detailed Attendance'!AZ88:AZ88, "A")+COUNTIF('Detailed Attendance'!BD88:BD88, "A")+COUNTIF('Detailed Attendance'!BT88:BT88, "A")+COUNTIF('Detailed Attendance'!BX88:BX88, "A")+COUNTIF('Detailed Attendance'!CQ88:CQ88, "A")+COUNTIF('Detailed Attendance'!CU88:CU88, "A")+COUNTIF('Detailed Attendance'!DN88:DN88, "A")+COUNTIF('Detailed Attendance'!DR88:DR88, "A")+COUNTIF('Detailed Attendance'!EK88:EK88, "A")+COUNTIF('Detailed Attendance'!EO88:EO88, "A")+COUNTIF('Detailed Attendance'!FE88:FE88, "A")+COUNTIF('Detailed Attendance'!FI88:FI88, "A")+COUNTIF('Detailed Attendance'!FU88:FU88, "A")+COUNTIF('Detailed Attendance'!FY88:FY88, "A")</f>
        <v/>
      </c>
      <c r="L86" s="72">
        <f>IF((J86+K86)=0, "", J86/(J86+K86))</f>
        <v/>
      </c>
      <c r="M86" s="46">
        <f>COUNTIF('Detailed Attendance'!D88:D88, "P")+COUNTIF('Detailed Attendance'!T88:T88, "P")+COUNTIF('Detailed Attendance'!AN88:AN88, "P")+COUNTIF('Detailed Attendance'!AR88:AR88, "P")+COUNTIF('Detailed Attendance'!BH88:BH88, "P")+COUNTIF('Detailed Attendance'!CB88:CB88, "P")+COUNTIF('Detailed Attendance'!CF88:CF88, "P")+COUNTIF('Detailed Attendance'!CY88:CY88, "P")+COUNTIF('Detailed Attendance'!DC88:DC88, "P")+COUNTIF('Detailed Attendance'!DV88:DV88, "P")+COUNTIF('Detailed Attendance'!DZ88:DZ88, "P")+COUNTIF('Detailed Attendance'!ES88:ES88, "P")+COUNTIF('Detailed Attendance'!GC88:GC88, "P")+COUNTIF('Detailed Attendance'!GG88:GG88, "P")</f>
        <v/>
      </c>
      <c r="N86" s="46">
        <f>COUNTIF('Detailed Attendance'!D88:D88, "A")+COUNTIF('Detailed Attendance'!T88:T88, "A")+COUNTIF('Detailed Attendance'!AN88:AN88, "A")+COUNTIF('Detailed Attendance'!AR88:AR88, "A")+COUNTIF('Detailed Attendance'!BH88:BH88, "A")+COUNTIF('Detailed Attendance'!CB88:CB88, "A")+COUNTIF('Detailed Attendance'!CF88:CF88, "A")+COUNTIF('Detailed Attendance'!CY88:CY88, "A")+COUNTIF('Detailed Attendance'!DC88:DC88, "A")+COUNTIF('Detailed Attendance'!DV88:DV88, "A")+COUNTIF('Detailed Attendance'!DZ88:DZ88, "A")+COUNTIF('Detailed Attendance'!ES88:ES88, "A")+COUNTIF('Detailed Attendance'!GC88:GC88, "A")+COUNTIF('Detailed Attendance'!GG88:GG88, "A")</f>
        <v/>
      </c>
      <c r="O86" s="72">
        <f>IF((M86+N86)=0, "", M86/(M86+N86))</f>
        <v/>
      </c>
      <c r="P86" s="46">
        <f>COUNTIF('Detailed Attendance'!M88:M88, "P")+COUNTIF('Detailed Attendance'!U88:U88, "P")+COUNTIF('Detailed Attendance'!AG88:AG88, "P")+COUNTIF('Detailed Attendance'!AO88:AO88, "P")+COUNTIF('Detailed Attendance'!BA88:BA88, "P")+COUNTIF('Detailed Attendance'!BI88:BI88, "P")+COUNTIF('Detailed Attendance'!BU88:BU88, "P")+COUNTIF('Detailed Attendance'!CC88:CC88, "P")+COUNTIF('Detailed Attendance'!CR88:CR88, "P")+COUNTIF('Detailed Attendance'!CZ88:CZ88, "P")+COUNTIF('Detailed Attendance'!DO88:DO88, "P")+COUNTIF('Detailed Attendance'!DW88:DW88, "P")+COUNTIF('Detailed Attendance'!EL88:EL88, "P")+COUNTIF('Detailed Attendance'!ET88:ET88, "P")+COUNTIF('Detailed Attendance'!FF88:FF88, "P")+COUNTIF('Detailed Attendance'!FV88:FV88, "P")+COUNTIF('Detailed Attendance'!GD88:GD88, "P")</f>
        <v/>
      </c>
      <c r="Q86" s="46">
        <f>COUNTIF('Detailed Attendance'!M88:M88, "A")+COUNTIF('Detailed Attendance'!U88:U88, "A")+COUNTIF('Detailed Attendance'!AG88:AG88, "A")+COUNTIF('Detailed Attendance'!AO88:AO88, "A")+COUNTIF('Detailed Attendance'!BA88:BA88, "A")+COUNTIF('Detailed Attendance'!BI88:BI88, "A")+COUNTIF('Detailed Attendance'!BU88:BU88, "A")+COUNTIF('Detailed Attendance'!CC88:CC88, "A")+COUNTIF('Detailed Attendance'!CR88:CR88, "A")+COUNTIF('Detailed Attendance'!CZ88:CZ88, "A")+COUNTIF('Detailed Attendance'!DO88:DO88, "A")+COUNTIF('Detailed Attendance'!DW88:DW88, "A")+COUNTIF('Detailed Attendance'!EL88:EL88, "A")+COUNTIF('Detailed Attendance'!ET88:ET88, "A")+COUNTIF('Detailed Attendance'!FF88:FF88, "A")+COUNTIF('Detailed Attendance'!FV88:FV88, "A")+COUNTIF('Detailed Attendance'!GD88:GD88, "A")</f>
        <v/>
      </c>
      <c r="R86" s="72">
        <f>IF((P86+Q86)=0, "", P86/(P86+Q86))</f>
        <v/>
      </c>
      <c r="S86" s="46">
        <f>COUNTIF('Detailed Attendance'!H88:H88, "P")+COUNTIF('Detailed Attendance'!AB88:AB88, "P")+COUNTIF('Detailed Attendance'!AV88:AV88, "P")+COUNTIF('Detailed Attendance'!BP88:BP88, "P")+COUNTIF('Detailed Attendance'!CM88:CM88, "P")+COUNTIF('Detailed Attendance'!DJ88:DJ88, "P")+COUNTIF('Detailed Attendance'!EG88:EG88, "P")+COUNTIF('Detailed Attendance'!FA88:FA88, "P")+COUNTIF('Detailed Attendance'!FQ88:FQ88, "P")</f>
        <v/>
      </c>
      <c r="T86" s="46">
        <f>COUNTIF('Detailed Attendance'!H88:H88, "A")+COUNTIF('Detailed Attendance'!AB88:AB88, "A")+COUNTIF('Detailed Attendance'!AV88:AV88, "A")+COUNTIF('Detailed Attendance'!BP88:BP88, "A")+COUNTIF('Detailed Attendance'!CM88:CM88, "A")+COUNTIF('Detailed Attendance'!DJ88:DJ88, "A")+COUNTIF('Detailed Attendance'!EG88:EG88, "A")+COUNTIF('Detailed Attendance'!FA88:FA88, "A")+COUNTIF('Detailed Attendance'!FQ88:FQ88, "A")</f>
        <v/>
      </c>
      <c r="U86" s="73">
        <f>IF((S86+T86)=0, "", S86/(S86+T86))</f>
        <v/>
      </c>
      <c r="V86" s="46">
        <f>COUNTIF('Detailed Attendance'!E88:E88, "P")+COUNTIF('Detailed Attendance'!Y88:Y88, "P")+COUNTIF('Detailed Attendance'!AS88:AS88, "P")+COUNTIF('Detailed Attendance'!BM88:BM88, "P")+COUNTIF('Detailed Attendance'!CJ88:CJ88, "P")+COUNTIF('Detailed Attendance'!DG88:DG88, "P")+COUNTIF('Detailed Attendance'!ED88:ED88, "P")+COUNTIF('Detailed Attendance'!EX88:EX88, "P")+COUNTIF('Detailed Attendance'!FN88:FN88, "P")</f>
        <v/>
      </c>
      <c r="W86" s="46">
        <f>COUNTIF('Detailed Attendance'!E88:E88, "A")+COUNTIF('Detailed Attendance'!Y88:Y88, "A")+COUNTIF('Detailed Attendance'!AS88:AS88, "A")+COUNTIF('Detailed Attendance'!BM88:BM88, "A")+COUNTIF('Detailed Attendance'!CJ88:CJ88, "A")+COUNTIF('Detailed Attendance'!DG88:DG88, "A")+COUNTIF('Detailed Attendance'!ED88:ED88, "A")+COUNTIF('Detailed Attendance'!EX88:EX88, "A")+COUNTIF('Detailed Attendance'!FN88:FN88, "A")</f>
        <v/>
      </c>
      <c r="X86" s="73">
        <f>IF((V86+W86)=0, "", V86/(V86+W86))</f>
        <v/>
      </c>
      <c r="Y86" s="46">
        <f>COUNTIF('Detailed Attendance'!CH88:CH88, "P")+COUNTIF('Detailed Attendance'!DE88:DE88, "P")+COUNTIF('Detailed Attendance'!EB88:EB88, "P")+COUNTIF('Detailed Attendance'!GI88:GI88, "P")</f>
        <v/>
      </c>
      <c r="Z86" s="46">
        <f>COUNTIF('Detailed Attendance'!CH88:CH88, "A")+COUNTIF('Detailed Attendance'!DE88:DE88, "A")+COUNTIF('Detailed Attendance'!EB88:EB88, "A")+COUNTIF('Detailed Attendance'!GI88:GI88, "A")</f>
        <v/>
      </c>
      <c r="AA86" s="73">
        <f>IF((Y86+Z86)=0, "", Y86/(Y86+Z86))</f>
        <v/>
      </c>
      <c r="AB86" s="46">
        <f>S86+V86+Y86</f>
        <v/>
      </c>
      <c r="AC86" s="46">
        <f>T86+W86+Z86</f>
        <v/>
      </c>
      <c r="AD86" s="73">
        <f>IF((AB86+AC86)=0, "", AB86/(AB86+AC86))</f>
        <v/>
      </c>
      <c r="AE86" s="46" t="inlineStr">
        <is>
          <t>Batch 3</t>
        </is>
      </c>
    </row>
    <row r="87" ht="14.25" customHeight="1" s="34">
      <c r="A87" s="46" t="n">
        <v>86</v>
      </c>
      <c r="B87" s="46" t="inlineStr">
        <is>
          <t>325106410086</t>
        </is>
      </c>
      <c r="C87" s="46" t="inlineStr">
        <is>
          <t>KONATE MARIAM DJAMILA</t>
        </is>
      </c>
      <c r="D87" s="46">
        <f>COUNTIF('Detailed Attendance'!R89:R89, "P")+COUNTIF('Detailed Attendance'!X89:X89, "P")+COUNTIF('Detailed Attendance'!AL89:AL89, "P")+COUNTIF('Detailed Attendance'!BF89:BF89, "P")+COUNTIF('Detailed Attendance'!BL89:BL89, "P")+COUNTIF('Detailed Attendance'!BZ89:BZ89, "P")+COUNTIF('Detailed Attendance'!CI89:CI89, "P")+COUNTIF('Detailed Attendance'!CW89:CW89, "P")+COUNTIF('Detailed Attendance'!DF89:DF89, "P")+COUNTIF('Detailed Attendance'!DT89:DT89, "P")+COUNTIF('Detailed Attendance'!EC89:EC89, "P")+COUNTIF('Detailed Attendance'!EQ89:EQ89, "P")+COUNTIF('Detailed Attendance'!EW89:EW89, "P")+COUNTIF('Detailed Attendance'!FK89:FK89, "P")+COUNTIF('Detailed Attendance'!FM89:FM89, "P")+COUNTIF('Detailed Attendance'!GA89:GA89, "P")</f>
        <v/>
      </c>
      <c r="E87" s="46">
        <f>COUNTIF('Detailed Attendance'!R89:R89, "A")+COUNTIF('Detailed Attendance'!X89:X89, "A")+COUNTIF('Detailed Attendance'!AL89:AL89, "A")+COUNTIF('Detailed Attendance'!BF89:BF89, "A")+COUNTIF('Detailed Attendance'!BL89:BL89, "A")+COUNTIF('Detailed Attendance'!BZ89:BZ89, "A")+COUNTIF('Detailed Attendance'!CI89:CI89, "A")+COUNTIF('Detailed Attendance'!CW89:CW89, "A")+COUNTIF('Detailed Attendance'!DF89:DF89, "A")+COUNTIF('Detailed Attendance'!DT89:DT89, "A")+COUNTIF('Detailed Attendance'!EC89:EC89, "A")+COUNTIF('Detailed Attendance'!EQ89:EQ89, "A")+COUNTIF('Detailed Attendance'!EW89:EW89, "A")+COUNTIF('Detailed Attendance'!FK89:FK89, "A")+COUNTIF('Detailed Attendance'!FM89:FM89, "A")+COUNTIF('Detailed Attendance'!GA89:GA89, "A")</f>
        <v/>
      </c>
      <c r="F87" s="72">
        <f>IF((D87+E87)=0, "", D87/(D87+E87))</f>
        <v/>
      </c>
      <c r="G87" s="46">
        <f>COUNTIF('Detailed Attendance'!I89:I89, "P")+COUNTIF('Detailed Attendance'!Q89:Q89, "P")+COUNTIF('Detailed Attendance'!AC89:AC89, "P")+COUNTIF('Detailed Attendance'!AK89:AK89, "P")+COUNTIF('Detailed Attendance'!AW89:AW89, "P")+COUNTIF('Detailed Attendance'!BE89:BE89, "P")+COUNTIF('Detailed Attendance'!BQ89:BQ89, "P")+COUNTIF('Detailed Attendance'!BY89:BY89, "P")+COUNTIF('Detailed Attendance'!CN89:CN89, "P")+COUNTIF('Detailed Attendance'!CV89:CV89, "P")+COUNTIF('Detailed Attendance'!DK89:DK89, "P")+COUNTIF('Detailed Attendance'!DS89:DS89, "P")+COUNTIF('Detailed Attendance'!EH89:EH89, "P")+COUNTIF('Detailed Attendance'!EP89:EP89, "P")+COUNTIF('Detailed Attendance'!FB89:FB89, "P")+COUNTIF('Detailed Attendance'!FJ89:FJ89, "P")+COUNTIF('Detailed Attendance'!FR89:FR89, "P")+COUNTIF('Detailed Attendance'!FZ89:FZ89, "P")</f>
        <v/>
      </c>
      <c r="H87" s="46">
        <f>COUNTIF('Detailed Attendance'!I89:I89, "A")+COUNTIF('Detailed Attendance'!Q89:Q89, "A")+COUNTIF('Detailed Attendance'!AC89:AC89, "A")+COUNTIF('Detailed Attendance'!AK89:AK89, "A")+COUNTIF('Detailed Attendance'!AW89:AW89, "A")+COUNTIF('Detailed Attendance'!BE89:BE89, "A")+COUNTIF('Detailed Attendance'!BQ89:BQ89, "A")+COUNTIF('Detailed Attendance'!BY89:BY89, "A")+COUNTIF('Detailed Attendance'!CN89:CN89, "A")+COUNTIF('Detailed Attendance'!CV89:CV89, "A")+COUNTIF('Detailed Attendance'!DK89:DK89, "A")+COUNTIF('Detailed Attendance'!DS89:DS89, "A")+COUNTIF('Detailed Attendance'!EH89:EH89, "A")+COUNTIF('Detailed Attendance'!EP89:EP89, "A")+COUNTIF('Detailed Attendance'!FB89:FB89, "A")+COUNTIF('Detailed Attendance'!FJ89:FJ89, "A")+COUNTIF('Detailed Attendance'!FR89:FR89, "A")+COUNTIF('Detailed Attendance'!FZ89:FZ89, "A")</f>
        <v/>
      </c>
      <c r="I87" s="72">
        <f>IF((G87+H87)=0, "", G87/(G87+H87))</f>
        <v/>
      </c>
      <c r="J87" s="46">
        <f>COUNTIF('Detailed Attendance'!L89:L89, "P")+COUNTIF('Detailed Attendance'!P89:P89, "P")+COUNTIF('Detailed Attendance'!AF89:AF89, "P")+COUNTIF('Detailed Attendance'!AJ89:AJ89, "P")+COUNTIF('Detailed Attendance'!AZ89:AZ89, "P")+COUNTIF('Detailed Attendance'!BD89:BD89, "P")+COUNTIF('Detailed Attendance'!BT89:BT89, "P")+COUNTIF('Detailed Attendance'!BX89:BX89, "P")+COUNTIF('Detailed Attendance'!CQ89:CQ89, "P")+COUNTIF('Detailed Attendance'!CU89:CU89, "P")+COUNTIF('Detailed Attendance'!DN89:DN89, "P")+COUNTIF('Detailed Attendance'!DR89:DR89, "P")+COUNTIF('Detailed Attendance'!EK89:EK89, "P")+COUNTIF('Detailed Attendance'!EO89:EO89, "P")+COUNTIF('Detailed Attendance'!FE89:FE89, "P")+COUNTIF('Detailed Attendance'!FI89:FI89, "P")+COUNTIF('Detailed Attendance'!FU89:FU89, "P")+COUNTIF('Detailed Attendance'!FY89:FY89, "P")</f>
        <v/>
      </c>
      <c r="K87" s="46">
        <f>COUNTIF('Detailed Attendance'!L89:L89, "A")+COUNTIF('Detailed Attendance'!P89:P89, "A")+COUNTIF('Detailed Attendance'!AF89:AF89, "A")+COUNTIF('Detailed Attendance'!AJ89:AJ89, "A")+COUNTIF('Detailed Attendance'!AZ89:AZ89, "A")+COUNTIF('Detailed Attendance'!BD89:BD89, "A")+COUNTIF('Detailed Attendance'!BT89:BT89, "A")+COUNTIF('Detailed Attendance'!BX89:BX89, "A")+COUNTIF('Detailed Attendance'!CQ89:CQ89, "A")+COUNTIF('Detailed Attendance'!CU89:CU89, "A")+COUNTIF('Detailed Attendance'!DN89:DN89, "A")+COUNTIF('Detailed Attendance'!DR89:DR89, "A")+COUNTIF('Detailed Attendance'!EK89:EK89, "A")+COUNTIF('Detailed Attendance'!EO89:EO89, "A")+COUNTIF('Detailed Attendance'!FE89:FE89, "A")+COUNTIF('Detailed Attendance'!FI89:FI89, "A")+COUNTIF('Detailed Attendance'!FU89:FU89, "A")+COUNTIF('Detailed Attendance'!FY89:FY89, "A")</f>
        <v/>
      </c>
      <c r="L87" s="72">
        <f>IF((J87+K87)=0, "", J87/(J87+K87))</f>
        <v/>
      </c>
      <c r="M87" s="46">
        <f>COUNTIF('Detailed Attendance'!D89:D89, "P")+COUNTIF('Detailed Attendance'!T89:T89, "P")+COUNTIF('Detailed Attendance'!AN89:AN89, "P")+COUNTIF('Detailed Attendance'!AR89:AR89, "P")+COUNTIF('Detailed Attendance'!BH89:BH89, "P")+COUNTIF('Detailed Attendance'!CB89:CB89, "P")+COUNTIF('Detailed Attendance'!CF89:CF89, "P")+COUNTIF('Detailed Attendance'!CY89:CY89, "P")+COUNTIF('Detailed Attendance'!DC89:DC89, "P")+COUNTIF('Detailed Attendance'!DV89:DV89, "P")+COUNTIF('Detailed Attendance'!DZ89:DZ89, "P")+COUNTIF('Detailed Attendance'!ES89:ES89, "P")+COUNTIF('Detailed Attendance'!GC89:GC89, "P")+COUNTIF('Detailed Attendance'!GG89:GG89, "P")</f>
        <v/>
      </c>
      <c r="N87" s="46">
        <f>COUNTIF('Detailed Attendance'!D89:D89, "A")+COUNTIF('Detailed Attendance'!T89:T89, "A")+COUNTIF('Detailed Attendance'!AN89:AN89, "A")+COUNTIF('Detailed Attendance'!AR89:AR89, "A")+COUNTIF('Detailed Attendance'!BH89:BH89, "A")+COUNTIF('Detailed Attendance'!CB89:CB89, "A")+COUNTIF('Detailed Attendance'!CF89:CF89, "A")+COUNTIF('Detailed Attendance'!CY89:CY89, "A")+COUNTIF('Detailed Attendance'!DC89:DC89, "A")+COUNTIF('Detailed Attendance'!DV89:DV89, "A")+COUNTIF('Detailed Attendance'!DZ89:DZ89, "A")+COUNTIF('Detailed Attendance'!ES89:ES89, "A")+COUNTIF('Detailed Attendance'!GC89:GC89, "A")+COUNTIF('Detailed Attendance'!GG89:GG89, "A")</f>
        <v/>
      </c>
      <c r="O87" s="72">
        <f>IF((M87+N87)=0, "", M87/(M87+N87))</f>
        <v/>
      </c>
      <c r="P87" s="46">
        <f>COUNTIF('Detailed Attendance'!M89:M89, "P")+COUNTIF('Detailed Attendance'!U89:U89, "P")+COUNTIF('Detailed Attendance'!AG89:AG89, "P")+COUNTIF('Detailed Attendance'!AO89:AO89, "P")+COUNTIF('Detailed Attendance'!BA89:BA89, "P")+COUNTIF('Detailed Attendance'!BI89:BI89, "P")+COUNTIF('Detailed Attendance'!BU89:BU89, "P")+COUNTIF('Detailed Attendance'!CC89:CC89, "P")+COUNTIF('Detailed Attendance'!CR89:CR89, "P")+COUNTIF('Detailed Attendance'!CZ89:CZ89, "P")+COUNTIF('Detailed Attendance'!DO89:DO89, "P")+COUNTIF('Detailed Attendance'!DW89:DW89, "P")+COUNTIF('Detailed Attendance'!EL89:EL89, "P")+COUNTIF('Detailed Attendance'!ET89:ET89, "P")+COUNTIF('Detailed Attendance'!FF89:FF89, "P")+COUNTIF('Detailed Attendance'!FV89:FV89, "P")+COUNTIF('Detailed Attendance'!GD89:GD89, "P")</f>
        <v/>
      </c>
      <c r="Q87" s="46">
        <f>COUNTIF('Detailed Attendance'!M89:M89, "A")+COUNTIF('Detailed Attendance'!U89:U89, "A")+COUNTIF('Detailed Attendance'!AG89:AG89, "A")+COUNTIF('Detailed Attendance'!AO89:AO89, "A")+COUNTIF('Detailed Attendance'!BA89:BA89, "A")+COUNTIF('Detailed Attendance'!BI89:BI89, "A")+COUNTIF('Detailed Attendance'!BU89:BU89, "A")+COUNTIF('Detailed Attendance'!CC89:CC89, "A")+COUNTIF('Detailed Attendance'!CR89:CR89, "A")+COUNTIF('Detailed Attendance'!CZ89:CZ89, "A")+COUNTIF('Detailed Attendance'!DO89:DO89, "A")+COUNTIF('Detailed Attendance'!DW89:DW89, "A")+COUNTIF('Detailed Attendance'!EL89:EL89, "A")+COUNTIF('Detailed Attendance'!ET89:ET89, "A")+COUNTIF('Detailed Attendance'!FF89:FF89, "A")+COUNTIF('Detailed Attendance'!FV89:FV89, "A")+COUNTIF('Detailed Attendance'!GD89:GD89, "A")</f>
        <v/>
      </c>
      <c r="R87" s="72">
        <f>IF((P87+Q87)=0, "", P87/(P87+Q87))</f>
        <v/>
      </c>
      <c r="S87" s="46">
        <f>COUNTIF('Detailed Attendance'!H89:H89, "P")+COUNTIF('Detailed Attendance'!AB89:AB89, "P")+COUNTIF('Detailed Attendance'!AV89:AV89, "P")+COUNTIF('Detailed Attendance'!BP89:BP89, "P")+COUNTIF('Detailed Attendance'!CM89:CM89, "P")+COUNTIF('Detailed Attendance'!DJ89:DJ89, "P")+COUNTIF('Detailed Attendance'!EG89:EG89, "P")+COUNTIF('Detailed Attendance'!FA89:FA89, "P")+COUNTIF('Detailed Attendance'!FQ89:FQ89, "P")</f>
        <v/>
      </c>
      <c r="T87" s="46">
        <f>COUNTIF('Detailed Attendance'!H89:H89, "A")+COUNTIF('Detailed Attendance'!AB89:AB89, "A")+COUNTIF('Detailed Attendance'!AV89:AV89, "A")+COUNTIF('Detailed Attendance'!BP89:BP89, "A")+COUNTIF('Detailed Attendance'!CM89:CM89, "A")+COUNTIF('Detailed Attendance'!DJ89:DJ89, "A")+COUNTIF('Detailed Attendance'!EG89:EG89, "A")+COUNTIF('Detailed Attendance'!FA89:FA89, "A")+COUNTIF('Detailed Attendance'!FQ89:FQ89, "A")</f>
        <v/>
      </c>
      <c r="U87" s="73">
        <f>IF((S87+T87)=0, "", S87/(S87+T87))</f>
        <v/>
      </c>
      <c r="V87" s="46">
        <f>COUNTIF('Detailed Attendance'!E89:E89, "P")+COUNTIF('Detailed Attendance'!Y89:Y89, "P")+COUNTIF('Detailed Attendance'!AS89:AS89, "P")+COUNTIF('Detailed Attendance'!BM89:BM89, "P")+COUNTIF('Detailed Attendance'!CJ89:CJ89, "P")+COUNTIF('Detailed Attendance'!DG89:DG89, "P")+COUNTIF('Detailed Attendance'!ED89:ED89, "P")+COUNTIF('Detailed Attendance'!EX89:EX89, "P")+COUNTIF('Detailed Attendance'!FN89:FN89, "P")</f>
        <v/>
      </c>
      <c r="W87" s="46">
        <f>COUNTIF('Detailed Attendance'!E89:E89, "A")+COUNTIF('Detailed Attendance'!Y89:Y89, "A")+COUNTIF('Detailed Attendance'!AS89:AS89, "A")+COUNTIF('Detailed Attendance'!BM89:BM89, "A")+COUNTIF('Detailed Attendance'!CJ89:CJ89, "A")+COUNTIF('Detailed Attendance'!DG89:DG89, "A")+COUNTIF('Detailed Attendance'!ED89:ED89, "A")+COUNTIF('Detailed Attendance'!EX89:EX89, "A")+COUNTIF('Detailed Attendance'!FN89:FN89, "A")</f>
        <v/>
      </c>
      <c r="X87" s="73">
        <f>IF((V87+W87)=0, "", V87/(V87+W87))</f>
        <v/>
      </c>
      <c r="Y87" s="46">
        <f>COUNTIF('Detailed Attendance'!CH89:CH89, "P")+COUNTIF('Detailed Attendance'!DE89:DE89, "P")+COUNTIF('Detailed Attendance'!EB89:EB89, "P")+COUNTIF('Detailed Attendance'!GI89:GI89, "P")</f>
        <v/>
      </c>
      <c r="Z87" s="46">
        <f>COUNTIF('Detailed Attendance'!CH89:CH89, "A")+COUNTIF('Detailed Attendance'!DE89:DE89, "A")+COUNTIF('Detailed Attendance'!EB89:EB89, "A")+COUNTIF('Detailed Attendance'!GI89:GI89, "A")</f>
        <v/>
      </c>
      <c r="AA87" s="73">
        <f>IF((Y87+Z87)=0, "", Y87/(Y87+Z87))</f>
        <v/>
      </c>
      <c r="AB87" s="46">
        <f>S87+V87+Y87</f>
        <v/>
      </c>
      <c r="AC87" s="46">
        <f>T87+W87+Z87</f>
        <v/>
      </c>
      <c r="AD87" s="73">
        <f>IF((AB87+AC87)=0, "", AB87/(AB87+AC87))</f>
        <v/>
      </c>
      <c r="AE87" s="46" t="inlineStr">
        <is>
          <t>Batch 3</t>
        </is>
      </c>
    </row>
    <row r="88" ht="14.25" customHeight="1" s="34">
      <c r="A88" s="46" t="n">
        <v>87</v>
      </c>
      <c r="B88" s="46" t="inlineStr">
        <is>
          <t>325106410087</t>
        </is>
      </c>
      <c r="C88" s="46" t="inlineStr">
        <is>
          <t>LINDOKUHLE FRANCE DLAMINI</t>
        </is>
      </c>
      <c r="D88" s="46">
        <f>COUNTIF('Detailed Attendance'!R90:R90, "P")+COUNTIF('Detailed Attendance'!X90:X90, "P")+COUNTIF('Detailed Attendance'!AL90:AL90, "P")+COUNTIF('Detailed Attendance'!BF90:BF90, "P")+COUNTIF('Detailed Attendance'!BL90:BL90, "P")+COUNTIF('Detailed Attendance'!BZ90:BZ90, "P")+COUNTIF('Detailed Attendance'!CI90:CI90, "P")+COUNTIF('Detailed Attendance'!CW90:CW90, "P")+COUNTIF('Detailed Attendance'!DF90:DF90, "P")+COUNTIF('Detailed Attendance'!DT90:DT90, "P")+COUNTIF('Detailed Attendance'!EC90:EC90, "P")+COUNTIF('Detailed Attendance'!EQ90:EQ90, "P")+COUNTIF('Detailed Attendance'!EW90:EW90, "P")+COUNTIF('Detailed Attendance'!FK90:FK90, "P")+COUNTIF('Detailed Attendance'!FM90:FM90, "P")+COUNTIF('Detailed Attendance'!GA90:GA90, "P")</f>
        <v/>
      </c>
      <c r="E88" s="46">
        <f>COUNTIF('Detailed Attendance'!R90:R90, "A")+COUNTIF('Detailed Attendance'!X90:X90, "A")+COUNTIF('Detailed Attendance'!AL90:AL90, "A")+COUNTIF('Detailed Attendance'!BF90:BF90, "A")+COUNTIF('Detailed Attendance'!BL90:BL90, "A")+COUNTIF('Detailed Attendance'!BZ90:BZ90, "A")+COUNTIF('Detailed Attendance'!CI90:CI90, "A")+COUNTIF('Detailed Attendance'!CW90:CW90, "A")+COUNTIF('Detailed Attendance'!DF90:DF90, "A")+COUNTIF('Detailed Attendance'!DT90:DT90, "A")+COUNTIF('Detailed Attendance'!EC90:EC90, "A")+COUNTIF('Detailed Attendance'!EQ90:EQ90, "A")+COUNTIF('Detailed Attendance'!EW90:EW90, "A")+COUNTIF('Detailed Attendance'!FK90:FK90, "A")+COUNTIF('Detailed Attendance'!FM90:FM90, "A")+COUNTIF('Detailed Attendance'!GA90:GA90, "A")</f>
        <v/>
      </c>
      <c r="F88" s="72">
        <f>IF((D88+E88)=0, "", D88/(D88+E88))</f>
        <v/>
      </c>
      <c r="G88" s="46">
        <f>COUNTIF('Detailed Attendance'!I90:I90, "P")+COUNTIF('Detailed Attendance'!Q90:Q90, "P")+COUNTIF('Detailed Attendance'!AC90:AC90, "P")+COUNTIF('Detailed Attendance'!AK90:AK90, "P")+COUNTIF('Detailed Attendance'!AW90:AW90, "P")+COUNTIF('Detailed Attendance'!BE90:BE90, "P")+COUNTIF('Detailed Attendance'!BQ90:BQ90, "P")+COUNTIF('Detailed Attendance'!BY90:BY90, "P")+COUNTIF('Detailed Attendance'!CN90:CN90, "P")+COUNTIF('Detailed Attendance'!CV90:CV90, "P")+COUNTIF('Detailed Attendance'!DK90:DK90, "P")+COUNTIF('Detailed Attendance'!DS90:DS90, "P")+COUNTIF('Detailed Attendance'!EH90:EH90, "P")+COUNTIF('Detailed Attendance'!EP90:EP90, "P")+COUNTIF('Detailed Attendance'!FB90:FB90, "P")+COUNTIF('Detailed Attendance'!FJ90:FJ90, "P")+COUNTIF('Detailed Attendance'!FR90:FR90, "P")+COUNTIF('Detailed Attendance'!FZ90:FZ90, "P")</f>
        <v/>
      </c>
      <c r="H88" s="46">
        <f>COUNTIF('Detailed Attendance'!I90:I90, "A")+COUNTIF('Detailed Attendance'!Q90:Q90, "A")+COUNTIF('Detailed Attendance'!AC90:AC90, "A")+COUNTIF('Detailed Attendance'!AK90:AK90, "A")+COUNTIF('Detailed Attendance'!AW90:AW90, "A")+COUNTIF('Detailed Attendance'!BE90:BE90, "A")+COUNTIF('Detailed Attendance'!BQ90:BQ90, "A")+COUNTIF('Detailed Attendance'!BY90:BY90, "A")+COUNTIF('Detailed Attendance'!CN90:CN90, "A")+COUNTIF('Detailed Attendance'!CV90:CV90, "A")+COUNTIF('Detailed Attendance'!DK90:DK90, "A")+COUNTIF('Detailed Attendance'!DS90:DS90, "A")+COUNTIF('Detailed Attendance'!EH90:EH90, "A")+COUNTIF('Detailed Attendance'!EP90:EP90, "A")+COUNTIF('Detailed Attendance'!FB90:FB90, "A")+COUNTIF('Detailed Attendance'!FJ90:FJ90, "A")+COUNTIF('Detailed Attendance'!FR90:FR90, "A")+COUNTIF('Detailed Attendance'!FZ90:FZ90, "A")</f>
        <v/>
      </c>
      <c r="I88" s="72">
        <f>IF((G88+H88)=0, "", G88/(G88+H88))</f>
        <v/>
      </c>
      <c r="J88" s="46">
        <f>COUNTIF('Detailed Attendance'!L90:L90, "P")+COUNTIF('Detailed Attendance'!P90:P90, "P")+COUNTIF('Detailed Attendance'!AF90:AF90, "P")+COUNTIF('Detailed Attendance'!AJ90:AJ90, "P")+COUNTIF('Detailed Attendance'!AZ90:AZ90, "P")+COUNTIF('Detailed Attendance'!BD90:BD90, "P")+COUNTIF('Detailed Attendance'!BT90:BT90, "P")+COUNTIF('Detailed Attendance'!BX90:BX90, "P")+COUNTIF('Detailed Attendance'!CQ90:CQ90, "P")+COUNTIF('Detailed Attendance'!CU90:CU90, "P")+COUNTIF('Detailed Attendance'!DN90:DN90, "P")+COUNTIF('Detailed Attendance'!DR90:DR90, "P")+COUNTIF('Detailed Attendance'!EK90:EK90, "P")+COUNTIF('Detailed Attendance'!EO90:EO90, "P")+COUNTIF('Detailed Attendance'!FE90:FE90, "P")+COUNTIF('Detailed Attendance'!FI90:FI90, "P")+COUNTIF('Detailed Attendance'!FU90:FU90, "P")+COUNTIF('Detailed Attendance'!FY90:FY90, "P")</f>
        <v/>
      </c>
      <c r="K88" s="46">
        <f>COUNTIF('Detailed Attendance'!L90:L90, "A")+COUNTIF('Detailed Attendance'!P90:P90, "A")+COUNTIF('Detailed Attendance'!AF90:AF90, "A")+COUNTIF('Detailed Attendance'!AJ90:AJ90, "A")+COUNTIF('Detailed Attendance'!AZ90:AZ90, "A")+COUNTIF('Detailed Attendance'!BD90:BD90, "A")+COUNTIF('Detailed Attendance'!BT90:BT90, "A")+COUNTIF('Detailed Attendance'!BX90:BX90, "A")+COUNTIF('Detailed Attendance'!CQ90:CQ90, "A")+COUNTIF('Detailed Attendance'!CU90:CU90, "A")+COUNTIF('Detailed Attendance'!DN90:DN90, "A")+COUNTIF('Detailed Attendance'!DR90:DR90, "A")+COUNTIF('Detailed Attendance'!EK90:EK90, "A")+COUNTIF('Detailed Attendance'!EO90:EO90, "A")+COUNTIF('Detailed Attendance'!FE90:FE90, "A")+COUNTIF('Detailed Attendance'!FI90:FI90, "A")+COUNTIF('Detailed Attendance'!FU90:FU90, "A")+COUNTIF('Detailed Attendance'!FY90:FY90, "A")</f>
        <v/>
      </c>
      <c r="L88" s="72">
        <f>IF((J88+K88)=0, "", J88/(J88+K88))</f>
        <v/>
      </c>
      <c r="M88" s="46">
        <f>COUNTIF('Detailed Attendance'!D90:D90, "P")+COUNTIF('Detailed Attendance'!T90:T90, "P")+COUNTIF('Detailed Attendance'!AN90:AN90, "P")+COUNTIF('Detailed Attendance'!AR90:AR90, "P")+COUNTIF('Detailed Attendance'!BH90:BH90, "P")+COUNTIF('Detailed Attendance'!CB90:CB90, "P")+COUNTIF('Detailed Attendance'!CF90:CF90, "P")+COUNTIF('Detailed Attendance'!CY90:CY90, "P")+COUNTIF('Detailed Attendance'!DC90:DC90, "P")+COUNTIF('Detailed Attendance'!DV90:DV90, "P")+COUNTIF('Detailed Attendance'!DZ90:DZ90, "P")+COUNTIF('Detailed Attendance'!ES90:ES90, "P")+COUNTIF('Detailed Attendance'!GC90:GC90, "P")+COUNTIF('Detailed Attendance'!GG90:GG90, "P")</f>
        <v/>
      </c>
      <c r="N88" s="46">
        <f>COUNTIF('Detailed Attendance'!D90:D90, "A")+COUNTIF('Detailed Attendance'!T90:T90, "A")+COUNTIF('Detailed Attendance'!AN90:AN90, "A")+COUNTIF('Detailed Attendance'!AR90:AR90, "A")+COUNTIF('Detailed Attendance'!BH90:BH90, "A")+COUNTIF('Detailed Attendance'!CB90:CB90, "A")+COUNTIF('Detailed Attendance'!CF90:CF90, "A")+COUNTIF('Detailed Attendance'!CY90:CY90, "A")+COUNTIF('Detailed Attendance'!DC90:DC90, "A")+COUNTIF('Detailed Attendance'!DV90:DV90, "A")+COUNTIF('Detailed Attendance'!DZ90:DZ90, "A")+COUNTIF('Detailed Attendance'!ES90:ES90, "A")+COUNTIF('Detailed Attendance'!GC90:GC90, "A")+COUNTIF('Detailed Attendance'!GG90:GG90, "A")</f>
        <v/>
      </c>
      <c r="O88" s="72">
        <f>IF((M88+N88)=0, "", M88/(M88+N88))</f>
        <v/>
      </c>
      <c r="P88" s="46">
        <f>COUNTIF('Detailed Attendance'!M90:M90, "P")+COUNTIF('Detailed Attendance'!U90:U90, "P")+COUNTIF('Detailed Attendance'!AG90:AG90, "P")+COUNTIF('Detailed Attendance'!AO90:AO90, "P")+COUNTIF('Detailed Attendance'!BA90:BA90, "P")+COUNTIF('Detailed Attendance'!BI90:BI90, "P")+COUNTIF('Detailed Attendance'!BU90:BU90, "P")+COUNTIF('Detailed Attendance'!CC90:CC90, "P")+COUNTIF('Detailed Attendance'!CR90:CR90, "P")+COUNTIF('Detailed Attendance'!CZ90:CZ90, "P")+COUNTIF('Detailed Attendance'!DO90:DO90, "P")+COUNTIF('Detailed Attendance'!DW90:DW90, "P")+COUNTIF('Detailed Attendance'!EL90:EL90, "P")+COUNTIF('Detailed Attendance'!ET90:ET90, "P")+COUNTIF('Detailed Attendance'!FF90:FF90, "P")+COUNTIF('Detailed Attendance'!FV90:FV90, "P")+COUNTIF('Detailed Attendance'!GD90:GD90, "P")</f>
        <v/>
      </c>
      <c r="Q88" s="46">
        <f>COUNTIF('Detailed Attendance'!M90:M90, "A")+COUNTIF('Detailed Attendance'!U90:U90, "A")+COUNTIF('Detailed Attendance'!AG90:AG90, "A")+COUNTIF('Detailed Attendance'!AO90:AO90, "A")+COUNTIF('Detailed Attendance'!BA90:BA90, "A")+COUNTIF('Detailed Attendance'!BI90:BI90, "A")+COUNTIF('Detailed Attendance'!BU90:BU90, "A")+COUNTIF('Detailed Attendance'!CC90:CC90, "A")+COUNTIF('Detailed Attendance'!CR90:CR90, "A")+COUNTIF('Detailed Attendance'!CZ90:CZ90, "A")+COUNTIF('Detailed Attendance'!DO90:DO90, "A")+COUNTIF('Detailed Attendance'!DW90:DW90, "A")+COUNTIF('Detailed Attendance'!EL90:EL90, "A")+COUNTIF('Detailed Attendance'!ET90:ET90, "A")+COUNTIF('Detailed Attendance'!FF90:FF90, "A")+COUNTIF('Detailed Attendance'!FV90:FV90, "A")+COUNTIF('Detailed Attendance'!GD90:GD90, "A")</f>
        <v/>
      </c>
      <c r="R88" s="72">
        <f>IF((P88+Q88)=0, "", P88/(P88+Q88))</f>
        <v/>
      </c>
      <c r="S88" s="46">
        <f>COUNTIF('Detailed Attendance'!H90:H90, "P")+COUNTIF('Detailed Attendance'!AB90:AB90, "P")+COUNTIF('Detailed Attendance'!AV90:AV90, "P")+COUNTIF('Detailed Attendance'!BP90:BP90, "P")+COUNTIF('Detailed Attendance'!CM90:CM90, "P")+COUNTIF('Detailed Attendance'!DJ90:DJ90, "P")+COUNTIF('Detailed Attendance'!EG90:EG90, "P")+COUNTIF('Detailed Attendance'!FA90:FA90, "P")+COUNTIF('Detailed Attendance'!FQ90:FQ90, "P")</f>
        <v/>
      </c>
      <c r="T88" s="46">
        <f>COUNTIF('Detailed Attendance'!H90:H90, "A")+COUNTIF('Detailed Attendance'!AB90:AB90, "A")+COUNTIF('Detailed Attendance'!AV90:AV90, "A")+COUNTIF('Detailed Attendance'!BP90:BP90, "A")+COUNTIF('Detailed Attendance'!CM90:CM90, "A")+COUNTIF('Detailed Attendance'!DJ90:DJ90, "A")+COUNTIF('Detailed Attendance'!EG90:EG90, "A")+COUNTIF('Detailed Attendance'!FA90:FA90, "A")+COUNTIF('Detailed Attendance'!FQ90:FQ90, "A")</f>
        <v/>
      </c>
      <c r="U88" s="73">
        <f>IF((S88+T88)=0, "", S88/(S88+T88))</f>
        <v/>
      </c>
      <c r="V88" s="46">
        <f>COUNTIF('Detailed Attendance'!E90:E90, "P")+COUNTIF('Detailed Attendance'!Y90:Y90, "P")+COUNTIF('Detailed Attendance'!AS90:AS90, "P")+COUNTIF('Detailed Attendance'!BM90:BM90, "P")+COUNTIF('Detailed Attendance'!CJ90:CJ90, "P")+COUNTIF('Detailed Attendance'!DG90:DG90, "P")+COUNTIF('Detailed Attendance'!ED90:ED90, "P")+COUNTIF('Detailed Attendance'!EX90:EX90, "P")+COUNTIF('Detailed Attendance'!FN90:FN90, "P")</f>
        <v/>
      </c>
      <c r="W88" s="46">
        <f>COUNTIF('Detailed Attendance'!E90:E90, "A")+COUNTIF('Detailed Attendance'!Y90:Y90, "A")+COUNTIF('Detailed Attendance'!AS90:AS90, "A")+COUNTIF('Detailed Attendance'!BM90:BM90, "A")+COUNTIF('Detailed Attendance'!CJ90:CJ90, "A")+COUNTIF('Detailed Attendance'!DG90:DG90, "A")+COUNTIF('Detailed Attendance'!ED90:ED90, "A")+COUNTIF('Detailed Attendance'!EX90:EX90, "A")+COUNTIF('Detailed Attendance'!FN90:FN90, "A")</f>
        <v/>
      </c>
      <c r="X88" s="73">
        <f>IF((V88+W88)=0, "", V88/(V88+W88))</f>
        <v/>
      </c>
      <c r="Y88" s="46">
        <f>COUNTIF('Detailed Attendance'!CH90:CH90, "P")+COUNTIF('Detailed Attendance'!DE90:DE90, "P")+COUNTIF('Detailed Attendance'!EB90:EB90, "P")+COUNTIF('Detailed Attendance'!GI90:GI90, "P")</f>
        <v/>
      </c>
      <c r="Z88" s="46">
        <f>COUNTIF('Detailed Attendance'!CH90:CH90, "A")+COUNTIF('Detailed Attendance'!DE90:DE90, "A")+COUNTIF('Detailed Attendance'!EB90:EB90, "A")+COUNTIF('Detailed Attendance'!GI90:GI90, "A")</f>
        <v/>
      </c>
      <c r="AA88" s="73">
        <f>IF((Y88+Z88)=0, "", Y88/(Y88+Z88))</f>
        <v/>
      </c>
      <c r="AB88" s="46">
        <f>S88+V88+Y88</f>
        <v/>
      </c>
      <c r="AC88" s="46">
        <f>T88+W88+Z88</f>
        <v/>
      </c>
      <c r="AD88" s="73">
        <f>IF((AB88+AC88)=0, "", AB88/(AB88+AC88))</f>
        <v/>
      </c>
      <c r="AE88" s="46" t="inlineStr">
        <is>
          <t>Batch 3</t>
        </is>
      </c>
    </row>
    <row r="89" ht="14.25" customHeight="1" s="34">
      <c r="A89" s="46" t="n">
        <v>88</v>
      </c>
      <c r="B89" s="46" t="inlineStr">
        <is>
          <t>325106410088</t>
        </is>
      </c>
      <c r="C89" s="46" t="inlineStr">
        <is>
          <t>------</t>
        </is>
      </c>
      <c r="D89" s="46">
        <f>COUNTIF('Detailed Attendance'!R91:R91, "P")+COUNTIF('Detailed Attendance'!X91:X91, "P")+COUNTIF('Detailed Attendance'!AL91:AL91, "P")+COUNTIF('Detailed Attendance'!BF91:BF91, "P")+COUNTIF('Detailed Attendance'!BL91:BL91, "P")+COUNTIF('Detailed Attendance'!BZ91:BZ91, "P")+COUNTIF('Detailed Attendance'!CI91:CI91, "P")+COUNTIF('Detailed Attendance'!CW91:CW91, "P")+COUNTIF('Detailed Attendance'!DF91:DF91, "P")+COUNTIF('Detailed Attendance'!DT91:DT91, "P")+COUNTIF('Detailed Attendance'!EC91:EC91, "P")+COUNTIF('Detailed Attendance'!EQ91:EQ91, "P")+COUNTIF('Detailed Attendance'!EW91:EW91, "P")+COUNTIF('Detailed Attendance'!FK91:FK91, "P")+COUNTIF('Detailed Attendance'!FM91:FM91, "P")+COUNTIF('Detailed Attendance'!GA91:GA91, "P")</f>
        <v/>
      </c>
      <c r="E89" s="46">
        <f>COUNTIF('Detailed Attendance'!R91:R91, "A")+COUNTIF('Detailed Attendance'!X91:X91, "A")+COUNTIF('Detailed Attendance'!AL91:AL91, "A")+COUNTIF('Detailed Attendance'!BF91:BF91, "A")+COUNTIF('Detailed Attendance'!BL91:BL91, "A")+COUNTIF('Detailed Attendance'!BZ91:BZ91, "A")+COUNTIF('Detailed Attendance'!CI91:CI91, "A")+COUNTIF('Detailed Attendance'!CW91:CW91, "A")+COUNTIF('Detailed Attendance'!DF91:DF91, "A")+COUNTIF('Detailed Attendance'!DT91:DT91, "A")+COUNTIF('Detailed Attendance'!EC91:EC91, "A")+COUNTIF('Detailed Attendance'!EQ91:EQ91, "A")+COUNTIF('Detailed Attendance'!EW91:EW91, "A")+COUNTIF('Detailed Attendance'!FK91:FK91, "A")+COUNTIF('Detailed Attendance'!FM91:FM91, "A")+COUNTIF('Detailed Attendance'!GA91:GA91, "A")</f>
        <v/>
      </c>
      <c r="F89" s="72">
        <f>IF((D89+E89)=0, "", D89/(D89+E89))</f>
        <v/>
      </c>
      <c r="G89" s="46">
        <f>COUNTIF('Detailed Attendance'!I91:I91, "P")+COUNTIF('Detailed Attendance'!Q91:Q91, "P")+COUNTIF('Detailed Attendance'!AC91:AC91, "P")+COUNTIF('Detailed Attendance'!AK91:AK91, "P")+COUNTIF('Detailed Attendance'!AW91:AW91, "P")+COUNTIF('Detailed Attendance'!BE91:BE91, "P")+COUNTIF('Detailed Attendance'!BQ91:BQ91, "P")+COUNTIF('Detailed Attendance'!BY91:BY91, "P")+COUNTIF('Detailed Attendance'!CN91:CN91, "P")+COUNTIF('Detailed Attendance'!CV91:CV91, "P")+COUNTIF('Detailed Attendance'!DK91:DK91, "P")+COUNTIF('Detailed Attendance'!DS91:DS91, "P")+COUNTIF('Detailed Attendance'!EH91:EH91, "P")+COUNTIF('Detailed Attendance'!EP91:EP91, "P")+COUNTIF('Detailed Attendance'!FB91:FB91, "P")+COUNTIF('Detailed Attendance'!FJ91:FJ91, "P")+COUNTIF('Detailed Attendance'!FR91:FR91, "P")+COUNTIF('Detailed Attendance'!FZ91:FZ91, "P")</f>
        <v/>
      </c>
      <c r="H89" s="46">
        <f>COUNTIF('Detailed Attendance'!I91:I91, "A")+COUNTIF('Detailed Attendance'!Q91:Q91, "A")+COUNTIF('Detailed Attendance'!AC91:AC91, "A")+COUNTIF('Detailed Attendance'!AK91:AK91, "A")+COUNTIF('Detailed Attendance'!AW91:AW91, "A")+COUNTIF('Detailed Attendance'!BE91:BE91, "A")+COUNTIF('Detailed Attendance'!BQ91:BQ91, "A")+COUNTIF('Detailed Attendance'!BY91:BY91, "A")+COUNTIF('Detailed Attendance'!CN91:CN91, "A")+COUNTIF('Detailed Attendance'!CV91:CV91, "A")+COUNTIF('Detailed Attendance'!DK91:DK91, "A")+COUNTIF('Detailed Attendance'!DS91:DS91, "A")+COUNTIF('Detailed Attendance'!EH91:EH91, "A")+COUNTIF('Detailed Attendance'!EP91:EP91, "A")+COUNTIF('Detailed Attendance'!FB91:FB91, "A")+COUNTIF('Detailed Attendance'!FJ91:FJ91, "A")+COUNTIF('Detailed Attendance'!FR91:FR91, "A")+COUNTIF('Detailed Attendance'!FZ91:FZ91, "A")</f>
        <v/>
      </c>
      <c r="I89" s="72">
        <f>IF((G89+H89)=0, "", G89/(G89+H89))</f>
        <v/>
      </c>
      <c r="J89" s="46">
        <f>COUNTIF('Detailed Attendance'!L91:L91, "P")+COUNTIF('Detailed Attendance'!P91:P91, "P")+COUNTIF('Detailed Attendance'!AF91:AF91, "P")+COUNTIF('Detailed Attendance'!AJ91:AJ91, "P")+COUNTIF('Detailed Attendance'!AZ91:AZ91, "P")+COUNTIF('Detailed Attendance'!BD91:BD91, "P")+COUNTIF('Detailed Attendance'!BT91:BT91, "P")+COUNTIF('Detailed Attendance'!BX91:BX91, "P")+COUNTIF('Detailed Attendance'!CQ91:CQ91, "P")+COUNTIF('Detailed Attendance'!CU91:CU91, "P")+COUNTIF('Detailed Attendance'!DN91:DN91, "P")+COUNTIF('Detailed Attendance'!DR91:DR91, "P")+COUNTIF('Detailed Attendance'!EK91:EK91, "P")+COUNTIF('Detailed Attendance'!EO91:EO91, "P")+COUNTIF('Detailed Attendance'!FE91:FE91, "P")+COUNTIF('Detailed Attendance'!FI91:FI91, "P")+COUNTIF('Detailed Attendance'!FU91:FU91, "P")+COUNTIF('Detailed Attendance'!FY91:FY91, "P")</f>
        <v/>
      </c>
      <c r="K89" s="46">
        <f>COUNTIF('Detailed Attendance'!L91:L91, "A")+COUNTIF('Detailed Attendance'!P91:P91, "A")+COUNTIF('Detailed Attendance'!AF91:AF91, "A")+COUNTIF('Detailed Attendance'!AJ91:AJ91, "A")+COUNTIF('Detailed Attendance'!AZ91:AZ91, "A")+COUNTIF('Detailed Attendance'!BD91:BD91, "A")+COUNTIF('Detailed Attendance'!BT91:BT91, "A")+COUNTIF('Detailed Attendance'!BX91:BX91, "A")+COUNTIF('Detailed Attendance'!CQ91:CQ91, "A")+COUNTIF('Detailed Attendance'!CU91:CU91, "A")+COUNTIF('Detailed Attendance'!DN91:DN91, "A")+COUNTIF('Detailed Attendance'!DR91:DR91, "A")+COUNTIF('Detailed Attendance'!EK91:EK91, "A")+COUNTIF('Detailed Attendance'!EO91:EO91, "A")+COUNTIF('Detailed Attendance'!FE91:FE91, "A")+COUNTIF('Detailed Attendance'!FI91:FI91, "A")+COUNTIF('Detailed Attendance'!FU91:FU91, "A")+COUNTIF('Detailed Attendance'!FY91:FY91, "A")</f>
        <v/>
      </c>
      <c r="L89" s="72">
        <f>IF((J89+K89)=0, "", J89/(J89+K89))</f>
        <v/>
      </c>
      <c r="M89" s="46">
        <f>COUNTIF('Detailed Attendance'!D91:D91, "P")+COUNTIF('Detailed Attendance'!T91:T91, "P")+COUNTIF('Detailed Attendance'!AN91:AN91, "P")+COUNTIF('Detailed Attendance'!AR91:AR91, "P")+COUNTIF('Detailed Attendance'!BH91:BH91, "P")+COUNTIF('Detailed Attendance'!CB91:CB91, "P")+COUNTIF('Detailed Attendance'!CF91:CF91, "P")+COUNTIF('Detailed Attendance'!CY91:CY91, "P")+COUNTIF('Detailed Attendance'!DC91:DC91, "P")+COUNTIF('Detailed Attendance'!DV91:DV91, "P")+COUNTIF('Detailed Attendance'!DZ91:DZ91, "P")+COUNTIF('Detailed Attendance'!ES91:ES91, "P")+COUNTIF('Detailed Attendance'!GC91:GC91, "P")+COUNTIF('Detailed Attendance'!GG91:GG91, "P")</f>
        <v/>
      </c>
      <c r="N89" s="46">
        <f>COUNTIF('Detailed Attendance'!D91:D91, "A")+COUNTIF('Detailed Attendance'!T91:T91, "A")+COUNTIF('Detailed Attendance'!AN91:AN91, "A")+COUNTIF('Detailed Attendance'!AR91:AR91, "A")+COUNTIF('Detailed Attendance'!BH91:BH91, "A")+COUNTIF('Detailed Attendance'!CB91:CB91, "A")+COUNTIF('Detailed Attendance'!CF91:CF91, "A")+COUNTIF('Detailed Attendance'!CY91:CY91, "A")+COUNTIF('Detailed Attendance'!DC91:DC91, "A")+COUNTIF('Detailed Attendance'!DV91:DV91, "A")+COUNTIF('Detailed Attendance'!DZ91:DZ91, "A")+COUNTIF('Detailed Attendance'!ES91:ES91, "A")+COUNTIF('Detailed Attendance'!GC91:GC91, "A")+COUNTIF('Detailed Attendance'!GG91:GG91, "A")</f>
        <v/>
      </c>
      <c r="O89" s="72">
        <f>IF((M89+N89)=0, "", M89/(M89+N89))</f>
        <v/>
      </c>
      <c r="P89" s="46">
        <f>COUNTIF('Detailed Attendance'!M91:M91, "P")+COUNTIF('Detailed Attendance'!U91:U91, "P")+COUNTIF('Detailed Attendance'!AG91:AG91, "P")+COUNTIF('Detailed Attendance'!AO91:AO91, "P")+COUNTIF('Detailed Attendance'!BA91:BA91, "P")+COUNTIF('Detailed Attendance'!BI91:BI91, "P")+COUNTIF('Detailed Attendance'!BU91:BU91, "P")+COUNTIF('Detailed Attendance'!CC91:CC91, "P")+COUNTIF('Detailed Attendance'!CR91:CR91, "P")+COUNTIF('Detailed Attendance'!CZ91:CZ91, "P")+COUNTIF('Detailed Attendance'!DO91:DO91, "P")+COUNTIF('Detailed Attendance'!DW91:DW91, "P")+COUNTIF('Detailed Attendance'!EL91:EL91, "P")+COUNTIF('Detailed Attendance'!ET91:ET91, "P")+COUNTIF('Detailed Attendance'!FF91:FF91, "P")+COUNTIF('Detailed Attendance'!FV91:FV91, "P")+COUNTIF('Detailed Attendance'!GD91:GD91, "P")</f>
        <v/>
      </c>
      <c r="Q89" s="46">
        <f>COUNTIF('Detailed Attendance'!M91:M91, "A")+COUNTIF('Detailed Attendance'!U91:U91, "A")+COUNTIF('Detailed Attendance'!AG91:AG91, "A")+COUNTIF('Detailed Attendance'!AO91:AO91, "A")+COUNTIF('Detailed Attendance'!BA91:BA91, "A")+COUNTIF('Detailed Attendance'!BI91:BI91, "A")+COUNTIF('Detailed Attendance'!BU91:BU91, "A")+COUNTIF('Detailed Attendance'!CC91:CC91, "A")+COUNTIF('Detailed Attendance'!CR91:CR91, "A")+COUNTIF('Detailed Attendance'!CZ91:CZ91, "A")+COUNTIF('Detailed Attendance'!DO91:DO91, "A")+COUNTIF('Detailed Attendance'!DW91:DW91, "A")+COUNTIF('Detailed Attendance'!EL91:EL91, "A")+COUNTIF('Detailed Attendance'!ET91:ET91, "A")+COUNTIF('Detailed Attendance'!FF91:FF91, "A")+COUNTIF('Detailed Attendance'!FV91:FV91, "A")+COUNTIF('Detailed Attendance'!GD91:GD91, "A")</f>
        <v/>
      </c>
      <c r="R89" s="72">
        <f>IF((P89+Q89)=0, "", P89/(P89+Q89))</f>
        <v/>
      </c>
      <c r="S89" s="46">
        <f>COUNTIF('Detailed Attendance'!H91:H91, "P")+COUNTIF('Detailed Attendance'!AB91:AB91, "P")+COUNTIF('Detailed Attendance'!AV91:AV91, "P")+COUNTIF('Detailed Attendance'!BP91:BP91, "P")+COUNTIF('Detailed Attendance'!CM91:CM91, "P")+COUNTIF('Detailed Attendance'!DJ91:DJ91, "P")+COUNTIF('Detailed Attendance'!EG91:EG91, "P")+COUNTIF('Detailed Attendance'!FA91:FA91, "P")+COUNTIF('Detailed Attendance'!FQ91:FQ91, "P")</f>
        <v/>
      </c>
      <c r="T89" s="46">
        <f>COUNTIF('Detailed Attendance'!H91:H91, "A")+COUNTIF('Detailed Attendance'!AB91:AB91, "A")+COUNTIF('Detailed Attendance'!AV91:AV91, "A")+COUNTIF('Detailed Attendance'!BP91:BP91, "A")+COUNTIF('Detailed Attendance'!CM91:CM91, "A")+COUNTIF('Detailed Attendance'!DJ91:DJ91, "A")+COUNTIF('Detailed Attendance'!EG91:EG91, "A")+COUNTIF('Detailed Attendance'!FA91:FA91, "A")+COUNTIF('Detailed Attendance'!FQ91:FQ91, "A")</f>
        <v/>
      </c>
      <c r="U89" s="73">
        <f>IF((S89+T89)=0, "", S89/(S89+T89))</f>
        <v/>
      </c>
      <c r="V89" s="46">
        <f>COUNTIF('Detailed Attendance'!E91:E91, "P")+COUNTIF('Detailed Attendance'!Y91:Y91, "P")+COUNTIF('Detailed Attendance'!AS91:AS91, "P")+COUNTIF('Detailed Attendance'!BM91:BM91, "P")+COUNTIF('Detailed Attendance'!CJ91:CJ91, "P")+COUNTIF('Detailed Attendance'!DG91:DG91, "P")+COUNTIF('Detailed Attendance'!ED91:ED91, "P")+COUNTIF('Detailed Attendance'!EX91:EX91, "P")+COUNTIF('Detailed Attendance'!FN91:FN91, "P")</f>
        <v/>
      </c>
      <c r="W89" s="46">
        <f>COUNTIF('Detailed Attendance'!E91:E91, "A")+COUNTIF('Detailed Attendance'!Y91:Y91, "A")+COUNTIF('Detailed Attendance'!AS91:AS91, "A")+COUNTIF('Detailed Attendance'!BM91:BM91, "A")+COUNTIF('Detailed Attendance'!CJ91:CJ91, "A")+COUNTIF('Detailed Attendance'!DG91:DG91, "A")+COUNTIF('Detailed Attendance'!ED91:ED91, "A")+COUNTIF('Detailed Attendance'!EX91:EX91, "A")+COUNTIF('Detailed Attendance'!FN91:FN91, "A")</f>
        <v/>
      </c>
      <c r="X89" s="73">
        <f>IF((V89+W89)=0, "", V89/(V89+W89))</f>
        <v/>
      </c>
      <c r="Y89" s="46">
        <f>COUNTIF('Detailed Attendance'!CH91:CH91, "P")+COUNTIF('Detailed Attendance'!DE91:DE91, "P")+COUNTIF('Detailed Attendance'!EB91:EB91, "P")+COUNTIF('Detailed Attendance'!GI91:GI91, "P")</f>
        <v/>
      </c>
      <c r="Z89" s="46">
        <f>COUNTIF('Detailed Attendance'!CH91:CH91, "A")+COUNTIF('Detailed Attendance'!DE91:DE91, "A")+COUNTIF('Detailed Attendance'!EB91:EB91, "A")+COUNTIF('Detailed Attendance'!GI91:GI91, "A")</f>
        <v/>
      </c>
      <c r="AA89" s="73">
        <f>IF((Y89+Z89)=0, "", Y89/(Y89+Z89))</f>
        <v/>
      </c>
      <c r="AB89" s="46">
        <f>S89+V89+Y89</f>
        <v/>
      </c>
      <c r="AC89" s="46">
        <f>T89+W89+Z89</f>
        <v/>
      </c>
      <c r="AD89" s="73">
        <f>IF((AB89+AC89)=0, "", AB89/(AB89+AC89))</f>
        <v/>
      </c>
      <c r="AE89" s="46" t="inlineStr">
        <is>
          <t>Batch 3</t>
        </is>
      </c>
    </row>
    <row r="90" ht="14.25" customHeight="1" s="34">
      <c r="A90" s="46" t="n">
        <v>89</v>
      </c>
      <c r="B90" s="46" t="inlineStr">
        <is>
          <t>325106410089</t>
        </is>
      </c>
      <c r="C90" s="46" t="inlineStr">
        <is>
          <t>MARSON DOS SANTOS</t>
        </is>
      </c>
      <c r="D90" s="46">
        <f>COUNTIF('Detailed Attendance'!R92:R92, "P")+COUNTIF('Detailed Attendance'!X92:X92, "P")+COUNTIF('Detailed Attendance'!AL92:AL92, "P")+COUNTIF('Detailed Attendance'!BF92:BF92, "P")+COUNTIF('Detailed Attendance'!BL92:BL92, "P")+COUNTIF('Detailed Attendance'!BZ92:BZ92, "P")+COUNTIF('Detailed Attendance'!CI92:CI92, "P")+COUNTIF('Detailed Attendance'!CW92:CW92, "P")+COUNTIF('Detailed Attendance'!DF92:DF92, "P")+COUNTIF('Detailed Attendance'!DT92:DT92, "P")+COUNTIF('Detailed Attendance'!EC92:EC92, "P")+COUNTIF('Detailed Attendance'!EQ92:EQ92, "P")+COUNTIF('Detailed Attendance'!EW92:EW92, "P")+COUNTIF('Detailed Attendance'!FK92:FK92, "P")+COUNTIF('Detailed Attendance'!FM92:FM92, "P")+COUNTIF('Detailed Attendance'!GA92:GA92, "P")</f>
        <v/>
      </c>
      <c r="E90" s="46">
        <f>COUNTIF('Detailed Attendance'!R92:R92, "A")+COUNTIF('Detailed Attendance'!X92:X92, "A")+COUNTIF('Detailed Attendance'!AL92:AL92, "A")+COUNTIF('Detailed Attendance'!BF92:BF92, "A")+COUNTIF('Detailed Attendance'!BL92:BL92, "A")+COUNTIF('Detailed Attendance'!BZ92:BZ92, "A")+COUNTIF('Detailed Attendance'!CI92:CI92, "A")+COUNTIF('Detailed Attendance'!CW92:CW92, "A")+COUNTIF('Detailed Attendance'!DF92:DF92, "A")+COUNTIF('Detailed Attendance'!DT92:DT92, "A")+COUNTIF('Detailed Attendance'!EC92:EC92, "A")+COUNTIF('Detailed Attendance'!EQ92:EQ92, "A")+COUNTIF('Detailed Attendance'!EW92:EW92, "A")+COUNTIF('Detailed Attendance'!FK92:FK92, "A")+COUNTIF('Detailed Attendance'!FM92:FM92, "A")+COUNTIF('Detailed Attendance'!GA92:GA92, "A")</f>
        <v/>
      </c>
      <c r="F90" s="72">
        <f>IF((D90+E90)=0, "", D90/(D90+E90))</f>
        <v/>
      </c>
      <c r="G90" s="46">
        <f>COUNTIF('Detailed Attendance'!I92:I92, "P")+COUNTIF('Detailed Attendance'!Q92:Q92, "P")+COUNTIF('Detailed Attendance'!AC92:AC92, "P")+COUNTIF('Detailed Attendance'!AK92:AK92, "P")+COUNTIF('Detailed Attendance'!AW92:AW92, "P")+COUNTIF('Detailed Attendance'!BE92:BE92, "P")+COUNTIF('Detailed Attendance'!BQ92:BQ92, "P")+COUNTIF('Detailed Attendance'!BY92:BY92, "P")+COUNTIF('Detailed Attendance'!CN92:CN92, "P")+COUNTIF('Detailed Attendance'!CV92:CV92, "P")+COUNTIF('Detailed Attendance'!DK92:DK92, "P")+COUNTIF('Detailed Attendance'!DS92:DS92, "P")+COUNTIF('Detailed Attendance'!EH92:EH92, "P")+COUNTIF('Detailed Attendance'!EP92:EP92, "P")+COUNTIF('Detailed Attendance'!FB92:FB92, "P")+COUNTIF('Detailed Attendance'!FJ92:FJ92, "P")+COUNTIF('Detailed Attendance'!FR92:FR92, "P")+COUNTIF('Detailed Attendance'!FZ92:FZ92, "P")</f>
        <v/>
      </c>
      <c r="H90" s="46">
        <f>COUNTIF('Detailed Attendance'!I92:I92, "A")+COUNTIF('Detailed Attendance'!Q92:Q92, "A")+COUNTIF('Detailed Attendance'!AC92:AC92, "A")+COUNTIF('Detailed Attendance'!AK92:AK92, "A")+COUNTIF('Detailed Attendance'!AW92:AW92, "A")+COUNTIF('Detailed Attendance'!BE92:BE92, "A")+COUNTIF('Detailed Attendance'!BQ92:BQ92, "A")+COUNTIF('Detailed Attendance'!BY92:BY92, "A")+COUNTIF('Detailed Attendance'!CN92:CN92, "A")+COUNTIF('Detailed Attendance'!CV92:CV92, "A")+COUNTIF('Detailed Attendance'!DK92:DK92, "A")+COUNTIF('Detailed Attendance'!DS92:DS92, "A")+COUNTIF('Detailed Attendance'!EH92:EH92, "A")+COUNTIF('Detailed Attendance'!EP92:EP92, "A")+COUNTIF('Detailed Attendance'!FB92:FB92, "A")+COUNTIF('Detailed Attendance'!FJ92:FJ92, "A")+COUNTIF('Detailed Attendance'!FR92:FR92, "A")+COUNTIF('Detailed Attendance'!FZ92:FZ92, "A")</f>
        <v/>
      </c>
      <c r="I90" s="72">
        <f>IF((G90+H90)=0, "", G90/(G90+H90))</f>
        <v/>
      </c>
      <c r="J90" s="46">
        <f>COUNTIF('Detailed Attendance'!L92:L92, "P")+COUNTIF('Detailed Attendance'!P92:P92, "P")+COUNTIF('Detailed Attendance'!AF92:AF92, "P")+COUNTIF('Detailed Attendance'!AJ92:AJ92, "P")+COUNTIF('Detailed Attendance'!AZ92:AZ92, "P")+COUNTIF('Detailed Attendance'!BD92:BD92, "P")+COUNTIF('Detailed Attendance'!BT92:BT92, "P")+COUNTIF('Detailed Attendance'!BX92:BX92, "P")+COUNTIF('Detailed Attendance'!CQ92:CQ92, "P")+COUNTIF('Detailed Attendance'!CU92:CU92, "P")+COUNTIF('Detailed Attendance'!DN92:DN92, "P")+COUNTIF('Detailed Attendance'!DR92:DR92, "P")+COUNTIF('Detailed Attendance'!EK92:EK92, "P")+COUNTIF('Detailed Attendance'!EO92:EO92, "P")+COUNTIF('Detailed Attendance'!FE92:FE92, "P")+COUNTIF('Detailed Attendance'!FI92:FI92, "P")+COUNTIF('Detailed Attendance'!FU92:FU92, "P")+COUNTIF('Detailed Attendance'!FY92:FY92, "P")</f>
        <v/>
      </c>
      <c r="K90" s="46">
        <f>COUNTIF('Detailed Attendance'!L92:L92, "A")+COUNTIF('Detailed Attendance'!P92:P92, "A")+COUNTIF('Detailed Attendance'!AF92:AF92, "A")+COUNTIF('Detailed Attendance'!AJ92:AJ92, "A")+COUNTIF('Detailed Attendance'!AZ92:AZ92, "A")+COUNTIF('Detailed Attendance'!BD92:BD92, "A")+COUNTIF('Detailed Attendance'!BT92:BT92, "A")+COUNTIF('Detailed Attendance'!BX92:BX92, "A")+COUNTIF('Detailed Attendance'!CQ92:CQ92, "A")+COUNTIF('Detailed Attendance'!CU92:CU92, "A")+COUNTIF('Detailed Attendance'!DN92:DN92, "A")+COUNTIF('Detailed Attendance'!DR92:DR92, "A")+COUNTIF('Detailed Attendance'!EK92:EK92, "A")+COUNTIF('Detailed Attendance'!EO92:EO92, "A")+COUNTIF('Detailed Attendance'!FE92:FE92, "A")+COUNTIF('Detailed Attendance'!FI92:FI92, "A")+COUNTIF('Detailed Attendance'!FU92:FU92, "A")+COUNTIF('Detailed Attendance'!FY92:FY92, "A")</f>
        <v/>
      </c>
      <c r="L90" s="72">
        <f>IF((J90+K90)=0, "", J90/(J90+K90))</f>
        <v/>
      </c>
      <c r="M90" s="46">
        <f>COUNTIF('Detailed Attendance'!D92:D92, "P")+COUNTIF('Detailed Attendance'!T92:T92, "P")+COUNTIF('Detailed Attendance'!AN92:AN92, "P")+COUNTIF('Detailed Attendance'!AR92:AR92, "P")+COUNTIF('Detailed Attendance'!BH92:BH92, "P")+COUNTIF('Detailed Attendance'!CB92:CB92, "P")+COUNTIF('Detailed Attendance'!CF92:CF92, "P")+COUNTIF('Detailed Attendance'!CY92:CY92, "P")+COUNTIF('Detailed Attendance'!DC92:DC92, "P")+COUNTIF('Detailed Attendance'!DV92:DV92, "P")+COUNTIF('Detailed Attendance'!DZ92:DZ92, "P")+COUNTIF('Detailed Attendance'!ES92:ES92, "P")+COUNTIF('Detailed Attendance'!GC92:GC92, "P")+COUNTIF('Detailed Attendance'!GG92:GG92, "P")</f>
        <v/>
      </c>
      <c r="N90" s="46">
        <f>COUNTIF('Detailed Attendance'!D92:D92, "A")+COUNTIF('Detailed Attendance'!T92:T92, "A")+COUNTIF('Detailed Attendance'!AN92:AN92, "A")+COUNTIF('Detailed Attendance'!AR92:AR92, "A")+COUNTIF('Detailed Attendance'!BH92:BH92, "A")+COUNTIF('Detailed Attendance'!CB92:CB92, "A")+COUNTIF('Detailed Attendance'!CF92:CF92, "A")+COUNTIF('Detailed Attendance'!CY92:CY92, "A")+COUNTIF('Detailed Attendance'!DC92:DC92, "A")+COUNTIF('Detailed Attendance'!DV92:DV92, "A")+COUNTIF('Detailed Attendance'!DZ92:DZ92, "A")+COUNTIF('Detailed Attendance'!ES92:ES92, "A")+COUNTIF('Detailed Attendance'!GC92:GC92, "A")+COUNTIF('Detailed Attendance'!GG92:GG92, "A")</f>
        <v/>
      </c>
      <c r="O90" s="72">
        <f>IF((M90+N90)=0, "", M90/(M90+N90))</f>
        <v/>
      </c>
      <c r="P90" s="46">
        <f>COUNTIF('Detailed Attendance'!M92:M92, "P")+COUNTIF('Detailed Attendance'!U92:U92, "P")+COUNTIF('Detailed Attendance'!AG92:AG92, "P")+COUNTIF('Detailed Attendance'!AO92:AO92, "P")+COUNTIF('Detailed Attendance'!BA92:BA92, "P")+COUNTIF('Detailed Attendance'!BI92:BI92, "P")+COUNTIF('Detailed Attendance'!BU92:BU92, "P")+COUNTIF('Detailed Attendance'!CC92:CC92, "P")+COUNTIF('Detailed Attendance'!CR92:CR92, "P")+COUNTIF('Detailed Attendance'!CZ92:CZ92, "P")+COUNTIF('Detailed Attendance'!DO92:DO92, "P")+COUNTIF('Detailed Attendance'!DW92:DW92, "P")+COUNTIF('Detailed Attendance'!EL92:EL92, "P")+COUNTIF('Detailed Attendance'!ET92:ET92, "P")+COUNTIF('Detailed Attendance'!FF92:FF92, "P")+COUNTIF('Detailed Attendance'!FV92:FV92, "P")+COUNTIF('Detailed Attendance'!GD92:GD92, "P")</f>
        <v/>
      </c>
      <c r="Q90" s="46">
        <f>COUNTIF('Detailed Attendance'!M92:M92, "A")+COUNTIF('Detailed Attendance'!U92:U92, "A")+COUNTIF('Detailed Attendance'!AG92:AG92, "A")+COUNTIF('Detailed Attendance'!AO92:AO92, "A")+COUNTIF('Detailed Attendance'!BA92:BA92, "A")+COUNTIF('Detailed Attendance'!BI92:BI92, "A")+COUNTIF('Detailed Attendance'!BU92:BU92, "A")+COUNTIF('Detailed Attendance'!CC92:CC92, "A")+COUNTIF('Detailed Attendance'!CR92:CR92, "A")+COUNTIF('Detailed Attendance'!CZ92:CZ92, "A")+COUNTIF('Detailed Attendance'!DO92:DO92, "A")+COUNTIF('Detailed Attendance'!DW92:DW92, "A")+COUNTIF('Detailed Attendance'!EL92:EL92, "A")+COUNTIF('Detailed Attendance'!ET92:ET92, "A")+COUNTIF('Detailed Attendance'!FF92:FF92, "A")+COUNTIF('Detailed Attendance'!FV92:FV92, "A")+COUNTIF('Detailed Attendance'!GD92:GD92, "A")</f>
        <v/>
      </c>
      <c r="R90" s="72">
        <f>IF((P90+Q90)=0, "", P90/(P90+Q90))</f>
        <v/>
      </c>
      <c r="S90" s="46">
        <f>COUNTIF('Detailed Attendance'!H92:H92, "P")+COUNTIF('Detailed Attendance'!AB92:AB92, "P")+COUNTIF('Detailed Attendance'!AV92:AV92, "P")+COUNTIF('Detailed Attendance'!BP92:BP92, "P")+COUNTIF('Detailed Attendance'!CM92:CM92, "P")+COUNTIF('Detailed Attendance'!DJ92:DJ92, "P")+COUNTIF('Detailed Attendance'!EG92:EG92, "P")+COUNTIF('Detailed Attendance'!FA92:FA92, "P")+COUNTIF('Detailed Attendance'!FQ92:FQ92, "P")</f>
        <v/>
      </c>
      <c r="T90" s="46">
        <f>COUNTIF('Detailed Attendance'!H92:H92, "A")+COUNTIF('Detailed Attendance'!AB92:AB92, "A")+COUNTIF('Detailed Attendance'!AV92:AV92, "A")+COUNTIF('Detailed Attendance'!BP92:BP92, "A")+COUNTIF('Detailed Attendance'!CM92:CM92, "A")+COUNTIF('Detailed Attendance'!DJ92:DJ92, "A")+COUNTIF('Detailed Attendance'!EG92:EG92, "A")+COUNTIF('Detailed Attendance'!FA92:FA92, "A")+COUNTIF('Detailed Attendance'!FQ92:FQ92, "A")</f>
        <v/>
      </c>
      <c r="U90" s="73">
        <f>IF((S90+T90)=0, "", S90/(S90+T90))</f>
        <v/>
      </c>
      <c r="V90" s="46">
        <f>COUNTIF('Detailed Attendance'!E92:E92, "P")+COUNTIF('Detailed Attendance'!Y92:Y92, "P")+COUNTIF('Detailed Attendance'!AS92:AS92, "P")+COUNTIF('Detailed Attendance'!BM92:BM92, "P")+COUNTIF('Detailed Attendance'!CJ92:CJ92, "P")+COUNTIF('Detailed Attendance'!DG92:DG92, "P")+COUNTIF('Detailed Attendance'!ED92:ED92, "P")+COUNTIF('Detailed Attendance'!EX92:EX92, "P")+COUNTIF('Detailed Attendance'!FN92:FN92, "P")</f>
        <v/>
      </c>
      <c r="W90" s="46">
        <f>COUNTIF('Detailed Attendance'!E92:E92, "A")+COUNTIF('Detailed Attendance'!Y92:Y92, "A")+COUNTIF('Detailed Attendance'!AS92:AS92, "A")+COUNTIF('Detailed Attendance'!BM92:BM92, "A")+COUNTIF('Detailed Attendance'!CJ92:CJ92, "A")+COUNTIF('Detailed Attendance'!DG92:DG92, "A")+COUNTIF('Detailed Attendance'!ED92:ED92, "A")+COUNTIF('Detailed Attendance'!EX92:EX92, "A")+COUNTIF('Detailed Attendance'!FN92:FN92, "A")</f>
        <v/>
      </c>
      <c r="X90" s="73">
        <f>IF((V90+W90)=0, "", V90/(V90+W90))</f>
        <v/>
      </c>
      <c r="Y90" s="46">
        <f>COUNTIF('Detailed Attendance'!CH92:CH92, "P")+COUNTIF('Detailed Attendance'!DE92:DE92, "P")+COUNTIF('Detailed Attendance'!EB92:EB92, "P")+COUNTIF('Detailed Attendance'!GI92:GI92, "P")</f>
        <v/>
      </c>
      <c r="Z90" s="46">
        <f>COUNTIF('Detailed Attendance'!CH92:CH92, "A")+COUNTIF('Detailed Attendance'!DE92:DE92, "A")+COUNTIF('Detailed Attendance'!EB92:EB92, "A")+COUNTIF('Detailed Attendance'!GI92:GI92, "A")</f>
        <v/>
      </c>
      <c r="AA90" s="73">
        <f>IF((Y90+Z90)=0, "", Y90/(Y90+Z90))</f>
        <v/>
      </c>
      <c r="AB90" s="46">
        <f>S90+V90+Y90</f>
        <v/>
      </c>
      <c r="AC90" s="46">
        <f>T90+W90+Z90</f>
        <v/>
      </c>
      <c r="AD90" s="73">
        <f>IF((AB90+AC90)=0, "", AB90/(AB90+AC90))</f>
        <v/>
      </c>
      <c r="AE90" s="46" t="inlineStr">
        <is>
          <t>Batch 3</t>
        </is>
      </c>
    </row>
    <row r="91" ht="14.25" customHeight="1" s="34">
      <c r="A91" s="46" t="n">
        <v>90</v>
      </c>
      <c r="B91" s="46" t="inlineStr">
        <is>
          <t>325106410090</t>
        </is>
      </c>
      <c r="C91" s="46" t="inlineStr">
        <is>
          <t>MIKIAS GURMESA</t>
        </is>
      </c>
      <c r="D91" s="46">
        <f>COUNTIF('Detailed Attendance'!R93:R93, "P")+COUNTIF('Detailed Attendance'!X93:X93, "P")+COUNTIF('Detailed Attendance'!AL93:AL93, "P")+COUNTIF('Detailed Attendance'!BF93:BF93, "P")+COUNTIF('Detailed Attendance'!BL93:BL93, "P")+COUNTIF('Detailed Attendance'!BZ93:BZ93, "P")+COUNTIF('Detailed Attendance'!CI93:CI93, "P")+COUNTIF('Detailed Attendance'!CW93:CW93, "P")+COUNTIF('Detailed Attendance'!DF93:DF93, "P")+COUNTIF('Detailed Attendance'!DT93:DT93, "P")+COUNTIF('Detailed Attendance'!EC93:EC93, "P")+COUNTIF('Detailed Attendance'!EQ93:EQ93, "P")+COUNTIF('Detailed Attendance'!EW93:EW93, "P")+COUNTIF('Detailed Attendance'!FK93:FK93, "P")+COUNTIF('Detailed Attendance'!FM93:FM93, "P")+COUNTIF('Detailed Attendance'!GA93:GA93, "P")</f>
        <v/>
      </c>
      <c r="E91" s="46">
        <f>COUNTIF('Detailed Attendance'!R93:R93, "A")+COUNTIF('Detailed Attendance'!X93:X93, "A")+COUNTIF('Detailed Attendance'!AL93:AL93, "A")+COUNTIF('Detailed Attendance'!BF93:BF93, "A")+COUNTIF('Detailed Attendance'!BL93:BL93, "A")+COUNTIF('Detailed Attendance'!BZ93:BZ93, "A")+COUNTIF('Detailed Attendance'!CI93:CI93, "A")+COUNTIF('Detailed Attendance'!CW93:CW93, "A")+COUNTIF('Detailed Attendance'!DF93:DF93, "A")+COUNTIF('Detailed Attendance'!DT93:DT93, "A")+COUNTIF('Detailed Attendance'!EC93:EC93, "A")+COUNTIF('Detailed Attendance'!EQ93:EQ93, "A")+COUNTIF('Detailed Attendance'!EW93:EW93, "A")+COUNTIF('Detailed Attendance'!FK93:FK93, "A")+COUNTIF('Detailed Attendance'!FM93:FM93, "A")+COUNTIF('Detailed Attendance'!GA93:GA93, "A")</f>
        <v/>
      </c>
      <c r="F91" s="72">
        <f>IF((D91+E91)=0, "", D91/(D91+E91))</f>
        <v/>
      </c>
      <c r="G91" s="46">
        <f>COUNTIF('Detailed Attendance'!I93:I93, "P")+COUNTIF('Detailed Attendance'!Q93:Q93, "P")+COUNTIF('Detailed Attendance'!AC93:AC93, "P")+COUNTIF('Detailed Attendance'!AK93:AK93, "P")+COUNTIF('Detailed Attendance'!AW93:AW93, "P")+COUNTIF('Detailed Attendance'!BE93:BE93, "P")+COUNTIF('Detailed Attendance'!BQ93:BQ93, "P")+COUNTIF('Detailed Attendance'!BY93:BY93, "P")+COUNTIF('Detailed Attendance'!CN93:CN93, "P")+COUNTIF('Detailed Attendance'!CV93:CV93, "P")+COUNTIF('Detailed Attendance'!DK93:DK93, "P")+COUNTIF('Detailed Attendance'!DS93:DS93, "P")+COUNTIF('Detailed Attendance'!EH93:EH93, "P")+COUNTIF('Detailed Attendance'!EP93:EP93, "P")+COUNTIF('Detailed Attendance'!FB93:FB93, "P")+COUNTIF('Detailed Attendance'!FJ93:FJ93, "P")+COUNTIF('Detailed Attendance'!FR93:FR93, "P")+COUNTIF('Detailed Attendance'!FZ93:FZ93, "P")</f>
        <v/>
      </c>
      <c r="H91" s="46">
        <f>COUNTIF('Detailed Attendance'!I93:I93, "A")+COUNTIF('Detailed Attendance'!Q93:Q93, "A")+COUNTIF('Detailed Attendance'!AC93:AC93, "A")+COUNTIF('Detailed Attendance'!AK93:AK93, "A")+COUNTIF('Detailed Attendance'!AW93:AW93, "A")+COUNTIF('Detailed Attendance'!BE93:BE93, "A")+COUNTIF('Detailed Attendance'!BQ93:BQ93, "A")+COUNTIF('Detailed Attendance'!BY93:BY93, "A")+COUNTIF('Detailed Attendance'!CN93:CN93, "A")+COUNTIF('Detailed Attendance'!CV93:CV93, "A")+COUNTIF('Detailed Attendance'!DK93:DK93, "A")+COUNTIF('Detailed Attendance'!DS93:DS93, "A")+COUNTIF('Detailed Attendance'!EH93:EH93, "A")+COUNTIF('Detailed Attendance'!EP93:EP93, "A")+COUNTIF('Detailed Attendance'!FB93:FB93, "A")+COUNTIF('Detailed Attendance'!FJ93:FJ93, "A")+COUNTIF('Detailed Attendance'!FR93:FR93, "A")+COUNTIF('Detailed Attendance'!FZ93:FZ93, "A")</f>
        <v/>
      </c>
      <c r="I91" s="72">
        <f>IF((G91+H91)=0, "", G91/(G91+H91))</f>
        <v/>
      </c>
      <c r="J91" s="46">
        <f>COUNTIF('Detailed Attendance'!L93:L93, "P")+COUNTIF('Detailed Attendance'!P93:P93, "P")+COUNTIF('Detailed Attendance'!AF93:AF93, "P")+COUNTIF('Detailed Attendance'!AJ93:AJ93, "P")+COUNTIF('Detailed Attendance'!AZ93:AZ93, "P")+COUNTIF('Detailed Attendance'!BD93:BD93, "P")+COUNTIF('Detailed Attendance'!BT93:BT93, "P")+COUNTIF('Detailed Attendance'!BX93:BX93, "P")+COUNTIF('Detailed Attendance'!CQ93:CQ93, "P")+COUNTIF('Detailed Attendance'!CU93:CU93, "P")+COUNTIF('Detailed Attendance'!DN93:DN93, "P")+COUNTIF('Detailed Attendance'!DR93:DR93, "P")+COUNTIF('Detailed Attendance'!EK93:EK93, "P")+COUNTIF('Detailed Attendance'!EO93:EO93, "P")+COUNTIF('Detailed Attendance'!FE93:FE93, "P")+COUNTIF('Detailed Attendance'!FI93:FI93, "P")+COUNTIF('Detailed Attendance'!FU93:FU93, "P")+COUNTIF('Detailed Attendance'!FY93:FY93, "P")</f>
        <v/>
      </c>
      <c r="K91" s="46">
        <f>COUNTIF('Detailed Attendance'!L93:L93, "A")+COUNTIF('Detailed Attendance'!P93:P93, "A")+COUNTIF('Detailed Attendance'!AF93:AF93, "A")+COUNTIF('Detailed Attendance'!AJ93:AJ93, "A")+COUNTIF('Detailed Attendance'!AZ93:AZ93, "A")+COUNTIF('Detailed Attendance'!BD93:BD93, "A")+COUNTIF('Detailed Attendance'!BT93:BT93, "A")+COUNTIF('Detailed Attendance'!BX93:BX93, "A")+COUNTIF('Detailed Attendance'!CQ93:CQ93, "A")+COUNTIF('Detailed Attendance'!CU93:CU93, "A")+COUNTIF('Detailed Attendance'!DN93:DN93, "A")+COUNTIF('Detailed Attendance'!DR93:DR93, "A")+COUNTIF('Detailed Attendance'!EK93:EK93, "A")+COUNTIF('Detailed Attendance'!EO93:EO93, "A")+COUNTIF('Detailed Attendance'!FE93:FE93, "A")+COUNTIF('Detailed Attendance'!FI93:FI93, "A")+COUNTIF('Detailed Attendance'!FU93:FU93, "A")+COUNTIF('Detailed Attendance'!FY93:FY93, "A")</f>
        <v/>
      </c>
      <c r="L91" s="72">
        <f>IF((J91+K91)=0, "", J91/(J91+K91))</f>
        <v/>
      </c>
      <c r="M91" s="46">
        <f>COUNTIF('Detailed Attendance'!D93:D93, "P")+COUNTIF('Detailed Attendance'!T93:T93, "P")+COUNTIF('Detailed Attendance'!AN93:AN93, "P")+COUNTIF('Detailed Attendance'!AR93:AR93, "P")+COUNTIF('Detailed Attendance'!BH93:BH93, "P")+COUNTIF('Detailed Attendance'!CB93:CB93, "P")+COUNTIF('Detailed Attendance'!CF93:CF93, "P")+COUNTIF('Detailed Attendance'!CY93:CY93, "P")+COUNTIF('Detailed Attendance'!DC93:DC93, "P")+COUNTIF('Detailed Attendance'!DV93:DV93, "P")+COUNTIF('Detailed Attendance'!DZ93:DZ93, "P")+COUNTIF('Detailed Attendance'!ES93:ES93, "P")+COUNTIF('Detailed Attendance'!GC93:GC93, "P")+COUNTIF('Detailed Attendance'!GG93:GG93, "P")</f>
        <v/>
      </c>
      <c r="N91" s="46">
        <f>COUNTIF('Detailed Attendance'!D93:D93, "A")+COUNTIF('Detailed Attendance'!T93:T93, "A")+COUNTIF('Detailed Attendance'!AN93:AN93, "A")+COUNTIF('Detailed Attendance'!AR93:AR93, "A")+COUNTIF('Detailed Attendance'!BH93:BH93, "A")+COUNTIF('Detailed Attendance'!CB93:CB93, "A")+COUNTIF('Detailed Attendance'!CF93:CF93, "A")+COUNTIF('Detailed Attendance'!CY93:CY93, "A")+COUNTIF('Detailed Attendance'!DC93:DC93, "A")+COUNTIF('Detailed Attendance'!DV93:DV93, "A")+COUNTIF('Detailed Attendance'!DZ93:DZ93, "A")+COUNTIF('Detailed Attendance'!ES93:ES93, "A")+COUNTIF('Detailed Attendance'!GC93:GC93, "A")+COUNTIF('Detailed Attendance'!GG93:GG93, "A")</f>
        <v/>
      </c>
      <c r="O91" s="72">
        <f>IF((M91+N91)=0, "", M91/(M91+N91))</f>
        <v/>
      </c>
      <c r="P91" s="46">
        <f>COUNTIF('Detailed Attendance'!M93:M93, "P")+COUNTIF('Detailed Attendance'!U93:U93, "P")+COUNTIF('Detailed Attendance'!AG93:AG93, "P")+COUNTIF('Detailed Attendance'!AO93:AO93, "P")+COUNTIF('Detailed Attendance'!BA93:BA93, "P")+COUNTIF('Detailed Attendance'!BI93:BI93, "P")+COUNTIF('Detailed Attendance'!BU93:BU93, "P")+COUNTIF('Detailed Attendance'!CC93:CC93, "P")+COUNTIF('Detailed Attendance'!CR93:CR93, "P")+COUNTIF('Detailed Attendance'!CZ93:CZ93, "P")+COUNTIF('Detailed Attendance'!DO93:DO93, "P")+COUNTIF('Detailed Attendance'!DW93:DW93, "P")+COUNTIF('Detailed Attendance'!EL93:EL93, "P")+COUNTIF('Detailed Attendance'!ET93:ET93, "P")+COUNTIF('Detailed Attendance'!FF93:FF93, "P")+COUNTIF('Detailed Attendance'!FV93:FV93, "P")+COUNTIF('Detailed Attendance'!GD93:GD93, "P")</f>
        <v/>
      </c>
      <c r="Q91" s="46">
        <f>COUNTIF('Detailed Attendance'!M93:M93, "A")+COUNTIF('Detailed Attendance'!U93:U93, "A")+COUNTIF('Detailed Attendance'!AG93:AG93, "A")+COUNTIF('Detailed Attendance'!AO93:AO93, "A")+COUNTIF('Detailed Attendance'!BA93:BA93, "A")+COUNTIF('Detailed Attendance'!BI93:BI93, "A")+COUNTIF('Detailed Attendance'!BU93:BU93, "A")+COUNTIF('Detailed Attendance'!CC93:CC93, "A")+COUNTIF('Detailed Attendance'!CR93:CR93, "A")+COUNTIF('Detailed Attendance'!CZ93:CZ93, "A")+COUNTIF('Detailed Attendance'!DO93:DO93, "A")+COUNTIF('Detailed Attendance'!DW93:DW93, "A")+COUNTIF('Detailed Attendance'!EL93:EL93, "A")+COUNTIF('Detailed Attendance'!ET93:ET93, "A")+COUNTIF('Detailed Attendance'!FF93:FF93, "A")+COUNTIF('Detailed Attendance'!FV93:FV93, "A")+COUNTIF('Detailed Attendance'!GD93:GD93, "A")</f>
        <v/>
      </c>
      <c r="R91" s="72">
        <f>IF((P91+Q91)=0, "", P91/(P91+Q91))</f>
        <v/>
      </c>
      <c r="S91" s="46">
        <f>COUNTIF('Detailed Attendance'!H93:H93, "P")+COUNTIF('Detailed Attendance'!AB93:AB93, "P")+COUNTIF('Detailed Attendance'!AV93:AV93, "P")+COUNTIF('Detailed Attendance'!BP93:BP93, "P")+COUNTIF('Detailed Attendance'!CM93:CM93, "P")+COUNTIF('Detailed Attendance'!DJ93:DJ93, "P")+COUNTIF('Detailed Attendance'!EG93:EG93, "P")+COUNTIF('Detailed Attendance'!FA93:FA93, "P")+COUNTIF('Detailed Attendance'!FQ93:FQ93, "P")</f>
        <v/>
      </c>
      <c r="T91" s="46">
        <f>COUNTIF('Detailed Attendance'!H93:H93, "A")+COUNTIF('Detailed Attendance'!AB93:AB93, "A")+COUNTIF('Detailed Attendance'!AV93:AV93, "A")+COUNTIF('Detailed Attendance'!BP93:BP93, "A")+COUNTIF('Detailed Attendance'!CM93:CM93, "A")+COUNTIF('Detailed Attendance'!DJ93:DJ93, "A")+COUNTIF('Detailed Attendance'!EG93:EG93, "A")+COUNTIF('Detailed Attendance'!FA93:FA93, "A")+COUNTIF('Detailed Attendance'!FQ93:FQ93, "A")</f>
        <v/>
      </c>
      <c r="U91" s="73">
        <f>IF((S91+T91)=0, "", S91/(S91+T91))</f>
        <v/>
      </c>
      <c r="V91" s="46">
        <f>COUNTIF('Detailed Attendance'!E93:E93, "P")+COUNTIF('Detailed Attendance'!Y93:Y93, "P")+COUNTIF('Detailed Attendance'!AS93:AS93, "P")+COUNTIF('Detailed Attendance'!BM93:BM93, "P")+COUNTIF('Detailed Attendance'!CJ93:CJ93, "P")+COUNTIF('Detailed Attendance'!DG93:DG93, "P")+COUNTIF('Detailed Attendance'!ED93:ED93, "P")+COUNTIF('Detailed Attendance'!EX93:EX93, "P")+COUNTIF('Detailed Attendance'!FN93:FN93, "P")</f>
        <v/>
      </c>
      <c r="W91" s="46">
        <f>COUNTIF('Detailed Attendance'!E93:E93, "A")+COUNTIF('Detailed Attendance'!Y93:Y93, "A")+COUNTIF('Detailed Attendance'!AS93:AS93, "A")+COUNTIF('Detailed Attendance'!BM93:BM93, "A")+COUNTIF('Detailed Attendance'!CJ93:CJ93, "A")+COUNTIF('Detailed Attendance'!DG93:DG93, "A")+COUNTIF('Detailed Attendance'!ED93:ED93, "A")+COUNTIF('Detailed Attendance'!EX93:EX93, "A")+COUNTIF('Detailed Attendance'!FN93:FN93, "A")</f>
        <v/>
      </c>
      <c r="X91" s="73">
        <f>IF((V91+W91)=0, "", V91/(V91+W91))</f>
        <v/>
      </c>
      <c r="Y91" s="46">
        <f>COUNTIF('Detailed Attendance'!CH93:CH93, "P")+COUNTIF('Detailed Attendance'!DE93:DE93, "P")+COUNTIF('Detailed Attendance'!EB93:EB93, "P")+COUNTIF('Detailed Attendance'!GI93:GI93, "P")</f>
        <v/>
      </c>
      <c r="Z91" s="46">
        <f>COUNTIF('Detailed Attendance'!CH93:CH93, "A")+COUNTIF('Detailed Attendance'!DE93:DE93, "A")+COUNTIF('Detailed Attendance'!EB93:EB93, "A")+COUNTIF('Detailed Attendance'!GI93:GI93, "A")</f>
        <v/>
      </c>
      <c r="AA91" s="73">
        <f>IF((Y91+Z91)=0, "", Y91/(Y91+Z91))</f>
        <v/>
      </c>
      <c r="AB91" s="46">
        <f>S91+V91+Y91</f>
        <v/>
      </c>
      <c r="AC91" s="46">
        <f>T91+W91+Z91</f>
        <v/>
      </c>
      <c r="AD91" s="73">
        <f>IF((AB91+AC91)=0, "", AB91/(AB91+AC91))</f>
        <v/>
      </c>
      <c r="AE91" s="46" t="inlineStr">
        <is>
          <t>Batch 3</t>
        </is>
      </c>
    </row>
    <row r="92" ht="14.25" customHeight="1" s="34">
      <c r="A92" s="46" t="n">
        <v>91</v>
      </c>
      <c r="B92" s="46" t="inlineStr">
        <is>
          <t>325106410091</t>
        </is>
      </c>
      <c r="C92" s="46" t="inlineStr">
        <is>
          <t>MOHAMMAD MUGAHED AHMED ABDO AL-MAHDALI</t>
        </is>
      </c>
      <c r="D92" s="46">
        <f>COUNTIF('Detailed Attendance'!R94:R94, "P")+COUNTIF('Detailed Attendance'!X94:X94, "P")+COUNTIF('Detailed Attendance'!AL94:AL94, "P")+COUNTIF('Detailed Attendance'!BF94:BF94, "P")+COUNTIF('Detailed Attendance'!BL94:BL94, "P")+COUNTIF('Detailed Attendance'!BZ94:BZ94, "P")+COUNTIF('Detailed Attendance'!CI94:CI94, "P")+COUNTIF('Detailed Attendance'!CW94:CW94, "P")+COUNTIF('Detailed Attendance'!DF94:DF94, "P")+COUNTIF('Detailed Attendance'!DT94:DT94, "P")+COUNTIF('Detailed Attendance'!EC94:EC94, "P")+COUNTIF('Detailed Attendance'!EQ94:EQ94, "P")+COUNTIF('Detailed Attendance'!EW94:EW94, "P")+COUNTIF('Detailed Attendance'!FK94:FK94, "P")+COUNTIF('Detailed Attendance'!FM94:FM94, "P")+COUNTIF('Detailed Attendance'!GA94:GA94, "P")</f>
        <v/>
      </c>
      <c r="E92" s="46">
        <f>COUNTIF('Detailed Attendance'!R94:R94, "A")+COUNTIF('Detailed Attendance'!X94:X94, "A")+COUNTIF('Detailed Attendance'!AL94:AL94, "A")+COUNTIF('Detailed Attendance'!BF94:BF94, "A")+COUNTIF('Detailed Attendance'!BL94:BL94, "A")+COUNTIF('Detailed Attendance'!BZ94:BZ94, "A")+COUNTIF('Detailed Attendance'!CI94:CI94, "A")+COUNTIF('Detailed Attendance'!CW94:CW94, "A")+COUNTIF('Detailed Attendance'!DF94:DF94, "A")+COUNTIF('Detailed Attendance'!DT94:DT94, "A")+COUNTIF('Detailed Attendance'!EC94:EC94, "A")+COUNTIF('Detailed Attendance'!EQ94:EQ94, "A")+COUNTIF('Detailed Attendance'!EW94:EW94, "A")+COUNTIF('Detailed Attendance'!FK94:FK94, "A")+COUNTIF('Detailed Attendance'!FM94:FM94, "A")+COUNTIF('Detailed Attendance'!GA94:GA94, "A")</f>
        <v/>
      </c>
      <c r="F92" s="72">
        <f>IF((D92+E92)=0, "", D92/(D92+E92))</f>
        <v/>
      </c>
      <c r="G92" s="46">
        <f>COUNTIF('Detailed Attendance'!I94:I94, "P")+COUNTIF('Detailed Attendance'!Q94:Q94, "P")+COUNTIF('Detailed Attendance'!AC94:AC94, "P")+COUNTIF('Detailed Attendance'!AK94:AK94, "P")+COUNTIF('Detailed Attendance'!AW94:AW94, "P")+COUNTIF('Detailed Attendance'!BE94:BE94, "P")+COUNTIF('Detailed Attendance'!BQ94:BQ94, "P")+COUNTIF('Detailed Attendance'!BY94:BY94, "P")+COUNTIF('Detailed Attendance'!CN94:CN94, "P")+COUNTIF('Detailed Attendance'!CV94:CV94, "P")+COUNTIF('Detailed Attendance'!DK94:DK94, "P")+COUNTIF('Detailed Attendance'!DS94:DS94, "P")+COUNTIF('Detailed Attendance'!EH94:EH94, "P")+COUNTIF('Detailed Attendance'!EP94:EP94, "P")+COUNTIF('Detailed Attendance'!FB94:FB94, "P")+COUNTIF('Detailed Attendance'!FJ94:FJ94, "P")+COUNTIF('Detailed Attendance'!FR94:FR94, "P")+COUNTIF('Detailed Attendance'!FZ94:FZ94, "P")</f>
        <v/>
      </c>
      <c r="H92" s="46">
        <f>COUNTIF('Detailed Attendance'!I94:I94, "A")+COUNTIF('Detailed Attendance'!Q94:Q94, "A")+COUNTIF('Detailed Attendance'!AC94:AC94, "A")+COUNTIF('Detailed Attendance'!AK94:AK94, "A")+COUNTIF('Detailed Attendance'!AW94:AW94, "A")+COUNTIF('Detailed Attendance'!BE94:BE94, "A")+COUNTIF('Detailed Attendance'!BQ94:BQ94, "A")+COUNTIF('Detailed Attendance'!BY94:BY94, "A")+COUNTIF('Detailed Attendance'!CN94:CN94, "A")+COUNTIF('Detailed Attendance'!CV94:CV94, "A")+COUNTIF('Detailed Attendance'!DK94:DK94, "A")+COUNTIF('Detailed Attendance'!DS94:DS94, "A")+COUNTIF('Detailed Attendance'!EH94:EH94, "A")+COUNTIF('Detailed Attendance'!EP94:EP94, "A")+COUNTIF('Detailed Attendance'!FB94:FB94, "A")+COUNTIF('Detailed Attendance'!FJ94:FJ94, "A")+COUNTIF('Detailed Attendance'!FR94:FR94, "A")+COUNTIF('Detailed Attendance'!FZ94:FZ94, "A")</f>
        <v/>
      </c>
      <c r="I92" s="72">
        <f>IF((G92+H92)=0, "", G92/(G92+H92))</f>
        <v/>
      </c>
      <c r="J92" s="46">
        <f>COUNTIF('Detailed Attendance'!L94:L94, "P")+COUNTIF('Detailed Attendance'!P94:P94, "P")+COUNTIF('Detailed Attendance'!AF94:AF94, "P")+COUNTIF('Detailed Attendance'!AJ94:AJ94, "P")+COUNTIF('Detailed Attendance'!AZ94:AZ94, "P")+COUNTIF('Detailed Attendance'!BD94:BD94, "P")+COUNTIF('Detailed Attendance'!BT94:BT94, "P")+COUNTIF('Detailed Attendance'!BX94:BX94, "P")+COUNTIF('Detailed Attendance'!CQ94:CQ94, "P")+COUNTIF('Detailed Attendance'!CU94:CU94, "P")+COUNTIF('Detailed Attendance'!DN94:DN94, "P")+COUNTIF('Detailed Attendance'!DR94:DR94, "P")+COUNTIF('Detailed Attendance'!EK94:EK94, "P")+COUNTIF('Detailed Attendance'!EO94:EO94, "P")+COUNTIF('Detailed Attendance'!FE94:FE94, "P")+COUNTIF('Detailed Attendance'!FI94:FI94, "P")+COUNTIF('Detailed Attendance'!FU94:FU94, "P")+COUNTIF('Detailed Attendance'!FY94:FY94, "P")</f>
        <v/>
      </c>
      <c r="K92" s="46">
        <f>COUNTIF('Detailed Attendance'!L94:L94, "A")+COUNTIF('Detailed Attendance'!P94:P94, "A")+COUNTIF('Detailed Attendance'!AF94:AF94, "A")+COUNTIF('Detailed Attendance'!AJ94:AJ94, "A")+COUNTIF('Detailed Attendance'!AZ94:AZ94, "A")+COUNTIF('Detailed Attendance'!BD94:BD94, "A")+COUNTIF('Detailed Attendance'!BT94:BT94, "A")+COUNTIF('Detailed Attendance'!BX94:BX94, "A")+COUNTIF('Detailed Attendance'!CQ94:CQ94, "A")+COUNTIF('Detailed Attendance'!CU94:CU94, "A")+COUNTIF('Detailed Attendance'!DN94:DN94, "A")+COUNTIF('Detailed Attendance'!DR94:DR94, "A")+COUNTIF('Detailed Attendance'!EK94:EK94, "A")+COUNTIF('Detailed Attendance'!EO94:EO94, "A")+COUNTIF('Detailed Attendance'!FE94:FE94, "A")+COUNTIF('Detailed Attendance'!FI94:FI94, "A")+COUNTIF('Detailed Attendance'!FU94:FU94, "A")+COUNTIF('Detailed Attendance'!FY94:FY94, "A")</f>
        <v/>
      </c>
      <c r="L92" s="72">
        <f>IF((J92+K92)=0, "", J92/(J92+K92))</f>
        <v/>
      </c>
      <c r="M92" s="46">
        <f>COUNTIF('Detailed Attendance'!D94:D94, "P")+COUNTIF('Detailed Attendance'!T94:T94, "P")+COUNTIF('Detailed Attendance'!AN94:AN94, "P")+COUNTIF('Detailed Attendance'!AR94:AR94, "P")+COUNTIF('Detailed Attendance'!BH94:BH94, "P")+COUNTIF('Detailed Attendance'!CB94:CB94, "P")+COUNTIF('Detailed Attendance'!CF94:CF94, "P")+COUNTIF('Detailed Attendance'!CY94:CY94, "P")+COUNTIF('Detailed Attendance'!DC94:DC94, "P")+COUNTIF('Detailed Attendance'!DV94:DV94, "P")+COUNTIF('Detailed Attendance'!DZ94:DZ94, "P")+COUNTIF('Detailed Attendance'!ES94:ES94, "P")+COUNTIF('Detailed Attendance'!GC94:GC94, "P")+COUNTIF('Detailed Attendance'!GG94:GG94, "P")</f>
        <v/>
      </c>
      <c r="N92" s="46">
        <f>COUNTIF('Detailed Attendance'!D94:D94, "A")+COUNTIF('Detailed Attendance'!T94:T94, "A")+COUNTIF('Detailed Attendance'!AN94:AN94, "A")+COUNTIF('Detailed Attendance'!AR94:AR94, "A")+COUNTIF('Detailed Attendance'!BH94:BH94, "A")+COUNTIF('Detailed Attendance'!CB94:CB94, "A")+COUNTIF('Detailed Attendance'!CF94:CF94, "A")+COUNTIF('Detailed Attendance'!CY94:CY94, "A")+COUNTIF('Detailed Attendance'!DC94:DC94, "A")+COUNTIF('Detailed Attendance'!DV94:DV94, "A")+COUNTIF('Detailed Attendance'!DZ94:DZ94, "A")+COUNTIF('Detailed Attendance'!ES94:ES94, "A")+COUNTIF('Detailed Attendance'!GC94:GC94, "A")+COUNTIF('Detailed Attendance'!GG94:GG94, "A")</f>
        <v/>
      </c>
      <c r="O92" s="72">
        <f>IF((M92+N92)=0, "", M92/(M92+N92))</f>
        <v/>
      </c>
      <c r="P92" s="46">
        <f>COUNTIF('Detailed Attendance'!M94:M94, "P")+COUNTIF('Detailed Attendance'!U94:U94, "P")+COUNTIF('Detailed Attendance'!AG94:AG94, "P")+COUNTIF('Detailed Attendance'!AO94:AO94, "P")+COUNTIF('Detailed Attendance'!BA94:BA94, "P")+COUNTIF('Detailed Attendance'!BI94:BI94, "P")+COUNTIF('Detailed Attendance'!BU94:BU94, "P")+COUNTIF('Detailed Attendance'!CC94:CC94, "P")+COUNTIF('Detailed Attendance'!CR94:CR94, "P")+COUNTIF('Detailed Attendance'!CZ94:CZ94, "P")+COUNTIF('Detailed Attendance'!DO94:DO94, "P")+COUNTIF('Detailed Attendance'!DW94:DW94, "P")+COUNTIF('Detailed Attendance'!EL94:EL94, "P")+COUNTIF('Detailed Attendance'!ET94:ET94, "P")+COUNTIF('Detailed Attendance'!FF94:FF94, "P")+COUNTIF('Detailed Attendance'!FV94:FV94, "P")+COUNTIF('Detailed Attendance'!GD94:GD94, "P")</f>
        <v/>
      </c>
      <c r="Q92" s="46">
        <f>COUNTIF('Detailed Attendance'!M94:M94, "A")+COUNTIF('Detailed Attendance'!U94:U94, "A")+COUNTIF('Detailed Attendance'!AG94:AG94, "A")+COUNTIF('Detailed Attendance'!AO94:AO94, "A")+COUNTIF('Detailed Attendance'!BA94:BA94, "A")+COUNTIF('Detailed Attendance'!BI94:BI94, "A")+COUNTIF('Detailed Attendance'!BU94:BU94, "A")+COUNTIF('Detailed Attendance'!CC94:CC94, "A")+COUNTIF('Detailed Attendance'!CR94:CR94, "A")+COUNTIF('Detailed Attendance'!CZ94:CZ94, "A")+COUNTIF('Detailed Attendance'!DO94:DO94, "A")+COUNTIF('Detailed Attendance'!DW94:DW94, "A")+COUNTIF('Detailed Attendance'!EL94:EL94, "A")+COUNTIF('Detailed Attendance'!ET94:ET94, "A")+COUNTIF('Detailed Attendance'!FF94:FF94, "A")+COUNTIF('Detailed Attendance'!FV94:FV94, "A")+COUNTIF('Detailed Attendance'!GD94:GD94, "A")</f>
        <v/>
      </c>
      <c r="R92" s="72">
        <f>IF((P92+Q92)=0, "", P92/(P92+Q92))</f>
        <v/>
      </c>
      <c r="S92" s="46">
        <f>COUNTIF('Detailed Attendance'!H94:H94, "P")+COUNTIF('Detailed Attendance'!AB94:AB94, "P")+COUNTIF('Detailed Attendance'!AV94:AV94, "P")+COUNTIF('Detailed Attendance'!BP94:BP94, "P")+COUNTIF('Detailed Attendance'!CM94:CM94, "P")+COUNTIF('Detailed Attendance'!DJ94:DJ94, "P")+COUNTIF('Detailed Attendance'!EG94:EG94, "P")+COUNTIF('Detailed Attendance'!FA94:FA94, "P")+COUNTIF('Detailed Attendance'!FQ94:FQ94, "P")</f>
        <v/>
      </c>
      <c r="T92" s="46">
        <f>COUNTIF('Detailed Attendance'!H94:H94, "A")+COUNTIF('Detailed Attendance'!AB94:AB94, "A")+COUNTIF('Detailed Attendance'!AV94:AV94, "A")+COUNTIF('Detailed Attendance'!BP94:BP94, "A")+COUNTIF('Detailed Attendance'!CM94:CM94, "A")+COUNTIF('Detailed Attendance'!DJ94:DJ94, "A")+COUNTIF('Detailed Attendance'!EG94:EG94, "A")+COUNTIF('Detailed Attendance'!FA94:FA94, "A")+COUNTIF('Detailed Attendance'!FQ94:FQ94, "A")</f>
        <v/>
      </c>
      <c r="U92" s="73">
        <f>IF((S92+T92)=0, "", S92/(S92+T92))</f>
        <v/>
      </c>
      <c r="V92" s="46">
        <f>COUNTIF('Detailed Attendance'!E94:E94, "P")+COUNTIF('Detailed Attendance'!Y94:Y94, "P")+COUNTIF('Detailed Attendance'!AS94:AS94, "P")+COUNTIF('Detailed Attendance'!BM94:BM94, "P")+COUNTIF('Detailed Attendance'!CJ94:CJ94, "P")+COUNTIF('Detailed Attendance'!DG94:DG94, "P")+COUNTIF('Detailed Attendance'!ED94:ED94, "P")+COUNTIF('Detailed Attendance'!EX94:EX94, "P")+COUNTIF('Detailed Attendance'!FN94:FN94, "P")</f>
        <v/>
      </c>
      <c r="W92" s="46">
        <f>COUNTIF('Detailed Attendance'!E94:E94, "A")+COUNTIF('Detailed Attendance'!Y94:Y94, "A")+COUNTIF('Detailed Attendance'!AS94:AS94, "A")+COUNTIF('Detailed Attendance'!BM94:BM94, "A")+COUNTIF('Detailed Attendance'!CJ94:CJ94, "A")+COUNTIF('Detailed Attendance'!DG94:DG94, "A")+COUNTIF('Detailed Attendance'!ED94:ED94, "A")+COUNTIF('Detailed Attendance'!EX94:EX94, "A")+COUNTIF('Detailed Attendance'!FN94:FN94, "A")</f>
        <v/>
      </c>
      <c r="X92" s="73">
        <f>IF((V92+W92)=0, "", V92/(V92+W92))</f>
        <v/>
      </c>
      <c r="Y92" s="46">
        <f>COUNTIF('Detailed Attendance'!CH94:CH94, "P")+COUNTIF('Detailed Attendance'!DE94:DE94, "P")+COUNTIF('Detailed Attendance'!EB94:EB94, "P")+COUNTIF('Detailed Attendance'!GI94:GI94, "P")</f>
        <v/>
      </c>
      <c r="Z92" s="46">
        <f>COUNTIF('Detailed Attendance'!CH94:CH94, "A")+COUNTIF('Detailed Attendance'!DE94:DE94, "A")+COUNTIF('Detailed Attendance'!EB94:EB94, "A")+COUNTIF('Detailed Attendance'!GI94:GI94, "A")</f>
        <v/>
      </c>
      <c r="AA92" s="73">
        <f>IF((Y92+Z92)=0, "", Y92/(Y92+Z92))</f>
        <v/>
      </c>
      <c r="AB92" s="46">
        <f>S92+V92+Y92</f>
        <v/>
      </c>
      <c r="AC92" s="46">
        <f>T92+W92+Z92</f>
        <v/>
      </c>
      <c r="AD92" s="73">
        <f>IF((AB92+AC92)=0, "", AB92/(AB92+AC92))</f>
        <v/>
      </c>
      <c r="AE92" s="46" t="inlineStr">
        <is>
          <t>Batch 3</t>
        </is>
      </c>
    </row>
    <row r="93" ht="14.25" customHeight="1" s="34">
      <c r="A93" s="46" t="n">
        <v>92</v>
      </c>
      <c r="B93" s="46" t="inlineStr">
        <is>
          <t>325106410092</t>
        </is>
      </c>
      <c r="C93" s="46" t="inlineStr">
        <is>
          <t>MUGDHO CHOWDHURY</t>
        </is>
      </c>
      <c r="D93" s="46">
        <f>COUNTIF('Detailed Attendance'!R95:R95, "P")+COUNTIF('Detailed Attendance'!X95:X95, "P")+COUNTIF('Detailed Attendance'!AL95:AL95, "P")+COUNTIF('Detailed Attendance'!BF95:BF95, "P")+COUNTIF('Detailed Attendance'!BL95:BL95, "P")+COUNTIF('Detailed Attendance'!BZ95:BZ95, "P")+COUNTIF('Detailed Attendance'!CI95:CI95, "P")+COUNTIF('Detailed Attendance'!CW95:CW95, "P")+COUNTIF('Detailed Attendance'!DF95:DF95, "P")+COUNTIF('Detailed Attendance'!DT95:DT95, "P")+COUNTIF('Detailed Attendance'!EC95:EC95, "P")+COUNTIF('Detailed Attendance'!EQ95:EQ95, "P")+COUNTIF('Detailed Attendance'!EW95:EW95, "P")+COUNTIF('Detailed Attendance'!FK95:FK95, "P")+COUNTIF('Detailed Attendance'!FM95:FM95, "P")+COUNTIF('Detailed Attendance'!GA95:GA95, "P")</f>
        <v/>
      </c>
      <c r="E93" s="46">
        <f>COUNTIF('Detailed Attendance'!R95:R95, "A")+COUNTIF('Detailed Attendance'!X95:X95, "A")+COUNTIF('Detailed Attendance'!AL95:AL95, "A")+COUNTIF('Detailed Attendance'!BF95:BF95, "A")+COUNTIF('Detailed Attendance'!BL95:BL95, "A")+COUNTIF('Detailed Attendance'!BZ95:BZ95, "A")+COUNTIF('Detailed Attendance'!CI95:CI95, "A")+COUNTIF('Detailed Attendance'!CW95:CW95, "A")+COUNTIF('Detailed Attendance'!DF95:DF95, "A")+COUNTIF('Detailed Attendance'!DT95:DT95, "A")+COUNTIF('Detailed Attendance'!EC95:EC95, "A")+COUNTIF('Detailed Attendance'!EQ95:EQ95, "A")+COUNTIF('Detailed Attendance'!EW95:EW95, "A")+COUNTIF('Detailed Attendance'!FK95:FK95, "A")+COUNTIF('Detailed Attendance'!FM95:FM95, "A")+COUNTIF('Detailed Attendance'!GA95:GA95, "A")</f>
        <v/>
      </c>
      <c r="F93" s="72">
        <f>IF((D93+E93)=0, "", D93/(D93+E93))</f>
        <v/>
      </c>
      <c r="G93" s="46">
        <f>COUNTIF('Detailed Attendance'!I95:I95, "P")+COUNTIF('Detailed Attendance'!Q95:Q95, "P")+COUNTIF('Detailed Attendance'!AC95:AC95, "P")+COUNTIF('Detailed Attendance'!AK95:AK95, "P")+COUNTIF('Detailed Attendance'!AW95:AW95, "P")+COUNTIF('Detailed Attendance'!BE95:BE95, "P")+COUNTIF('Detailed Attendance'!BQ95:BQ95, "P")+COUNTIF('Detailed Attendance'!BY95:BY95, "P")+COUNTIF('Detailed Attendance'!CN95:CN95, "P")+COUNTIF('Detailed Attendance'!CV95:CV95, "P")+COUNTIF('Detailed Attendance'!DK95:DK95, "P")+COUNTIF('Detailed Attendance'!DS95:DS95, "P")+COUNTIF('Detailed Attendance'!EH95:EH95, "P")+COUNTIF('Detailed Attendance'!EP95:EP95, "P")+COUNTIF('Detailed Attendance'!FB95:FB95, "P")+COUNTIF('Detailed Attendance'!FJ95:FJ95, "P")+COUNTIF('Detailed Attendance'!FR95:FR95, "P")+COUNTIF('Detailed Attendance'!FZ95:FZ95, "P")</f>
        <v/>
      </c>
      <c r="H93" s="46">
        <f>COUNTIF('Detailed Attendance'!I95:I95, "A")+COUNTIF('Detailed Attendance'!Q95:Q95, "A")+COUNTIF('Detailed Attendance'!AC95:AC95, "A")+COUNTIF('Detailed Attendance'!AK95:AK95, "A")+COUNTIF('Detailed Attendance'!AW95:AW95, "A")+COUNTIF('Detailed Attendance'!BE95:BE95, "A")+COUNTIF('Detailed Attendance'!BQ95:BQ95, "A")+COUNTIF('Detailed Attendance'!BY95:BY95, "A")+COUNTIF('Detailed Attendance'!CN95:CN95, "A")+COUNTIF('Detailed Attendance'!CV95:CV95, "A")+COUNTIF('Detailed Attendance'!DK95:DK95, "A")+COUNTIF('Detailed Attendance'!DS95:DS95, "A")+COUNTIF('Detailed Attendance'!EH95:EH95, "A")+COUNTIF('Detailed Attendance'!EP95:EP95, "A")+COUNTIF('Detailed Attendance'!FB95:FB95, "A")+COUNTIF('Detailed Attendance'!FJ95:FJ95, "A")+COUNTIF('Detailed Attendance'!FR95:FR95, "A")+COUNTIF('Detailed Attendance'!FZ95:FZ95, "A")</f>
        <v/>
      </c>
      <c r="I93" s="72">
        <f>IF((G93+H93)=0, "", G93/(G93+H93))</f>
        <v/>
      </c>
      <c r="J93" s="46">
        <f>COUNTIF('Detailed Attendance'!L95:L95, "P")+COUNTIF('Detailed Attendance'!P95:P95, "P")+COUNTIF('Detailed Attendance'!AF95:AF95, "P")+COUNTIF('Detailed Attendance'!AJ95:AJ95, "P")+COUNTIF('Detailed Attendance'!AZ95:AZ95, "P")+COUNTIF('Detailed Attendance'!BD95:BD95, "P")+COUNTIF('Detailed Attendance'!BT95:BT95, "P")+COUNTIF('Detailed Attendance'!BX95:BX95, "P")+COUNTIF('Detailed Attendance'!CQ95:CQ95, "P")+COUNTIF('Detailed Attendance'!CU95:CU95, "P")+COUNTIF('Detailed Attendance'!DN95:DN95, "P")+COUNTIF('Detailed Attendance'!DR95:DR95, "P")+COUNTIF('Detailed Attendance'!EK95:EK95, "P")+COUNTIF('Detailed Attendance'!EO95:EO95, "P")+COUNTIF('Detailed Attendance'!FE95:FE95, "P")+COUNTIF('Detailed Attendance'!FI95:FI95, "P")+COUNTIF('Detailed Attendance'!FU95:FU95, "P")+COUNTIF('Detailed Attendance'!FY95:FY95, "P")</f>
        <v/>
      </c>
      <c r="K93" s="46">
        <f>COUNTIF('Detailed Attendance'!L95:L95, "A")+COUNTIF('Detailed Attendance'!P95:P95, "A")+COUNTIF('Detailed Attendance'!AF95:AF95, "A")+COUNTIF('Detailed Attendance'!AJ95:AJ95, "A")+COUNTIF('Detailed Attendance'!AZ95:AZ95, "A")+COUNTIF('Detailed Attendance'!BD95:BD95, "A")+COUNTIF('Detailed Attendance'!BT95:BT95, "A")+COUNTIF('Detailed Attendance'!BX95:BX95, "A")+COUNTIF('Detailed Attendance'!CQ95:CQ95, "A")+COUNTIF('Detailed Attendance'!CU95:CU95, "A")+COUNTIF('Detailed Attendance'!DN95:DN95, "A")+COUNTIF('Detailed Attendance'!DR95:DR95, "A")+COUNTIF('Detailed Attendance'!EK95:EK95, "A")+COUNTIF('Detailed Attendance'!EO95:EO95, "A")+COUNTIF('Detailed Attendance'!FE95:FE95, "A")+COUNTIF('Detailed Attendance'!FI95:FI95, "A")+COUNTIF('Detailed Attendance'!FU95:FU95, "A")+COUNTIF('Detailed Attendance'!FY95:FY95, "A")</f>
        <v/>
      </c>
      <c r="L93" s="72">
        <f>IF((J93+K93)=0, "", J93/(J93+K93))</f>
        <v/>
      </c>
      <c r="M93" s="46">
        <f>COUNTIF('Detailed Attendance'!D95:D95, "P")+COUNTIF('Detailed Attendance'!T95:T95, "P")+COUNTIF('Detailed Attendance'!AN95:AN95, "P")+COUNTIF('Detailed Attendance'!AR95:AR95, "P")+COUNTIF('Detailed Attendance'!BH95:BH95, "P")+COUNTIF('Detailed Attendance'!CB95:CB95, "P")+COUNTIF('Detailed Attendance'!CF95:CF95, "P")+COUNTIF('Detailed Attendance'!CY95:CY95, "P")+COUNTIF('Detailed Attendance'!DC95:DC95, "P")+COUNTIF('Detailed Attendance'!DV95:DV95, "P")+COUNTIF('Detailed Attendance'!DZ95:DZ95, "P")+COUNTIF('Detailed Attendance'!ES95:ES95, "P")+COUNTIF('Detailed Attendance'!GC95:GC95, "P")+COUNTIF('Detailed Attendance'!GG95:GG95, "P")</f>
        <v/>
      </c>
      <c r="N93" s="46">
        <f>COUNTIF('Detailed Attendance'!D95:D95, "A")+COUNTIF('Detailed Attendance'!T95:T95, "A")+COUNTIF('Detailed Attendance'!AN95:AN95, "A")+COUNTIF('Detailed Attendance'!AR95:AR95, "A")+COUNTIF('Detailed Attendance'!BH95:BH95, "A")+COUNTIF('Detailed Attendance'!CB95:CB95, "A")+COUNTIF('Detailed Attendance'!CF95:CF95, "A")+COUNTIF('Detailed Attendance'!CY95:CY95, "A")+COUNTIF('Detailed Attendance'!DC95:DC95, "A")+COUNTIF('Detailed Attendance'!DV95:DV95, "A")+COUNTIF('Detailed Attendance'!DZ95:DZ95, "A")+COUNTIF('Detailed Attendance'!ES95:ES95, "A")+COUNTIF('Detailed Attendance'!GC95:GC95, "A")+COUNTIF('Detailed Attendance'!GG95:GG95, "A")</f>
        <v/>
      </c>
      <c r="O93" s="72">
        <f>IF((M93+N93)=0, "", M93/(M93+N93))</f>
        <v/>
      </c>
      <c r="P93" s="46">
        <f>COUNTIF('Detailed Attendance'!M95:M95, "P")+COUNTIF('Detailed Attendance'!U95:U95, "P")+COUNTIF('Detailed Attendance'!AG95:AG95, "P")+COUNTIF('Detailed Attendance'!AO95:AO95, "P")+COUNTIF('Detailed Attendance'!BA95:BA95, "P")+COUNTIF('Detailed Attendance'!BI95:BI95, "P")+COUNTIF('Detailed Attendance'!BU95:BU95, "P")+COUNTIF('Detailed Attendance'!CC95:CC95, "P")+COUNTIF('Detailed Attendance'!CR95:CR95, "P")+COUNTIF('Detailed Attendance'!CZ95:CZ95, "P")+COUNTIF('Detailed Attendance'!DO95:DO95, "P")+COUNTIF('Detailed Attendance'!DW95:DW95, "P")+COUNTIF('Detailed Attendance'!EL95:EL95, "P")+COUNTIF('Detailed Attendance'!ET95:ET95, "P")+COUNTIF('Detailed Attendance'!FF95:FF95, "P")+COUNTIF('Detailed Attendance'!FV95:FV95, "P")+COUNTIF('Detailed Attendance'!GD95:GD95, "P")</f>
        <v/>
      </c>
      <c r="Q93" s="46">
        <f>COUNTIF('Detailed Attendance'!M95:M95, "A")+COUNTIF('Detailed Attendance'!U95:U95, "A")+COUNTIF('Detailed Attendance'!AG95:AG95, "A")+COUNTIF('Detailed Attendance'!AO95:AO95, "A")+COUNTIF('Detailed Attendance'!BA95:BA95, "A")+COUNTIF('Detailed Attendance'!BI95:BI95, "A")+COUNTIF('Detailed Attendance'!BU95:BU95, "A")+COUNTIF('Detailed Attendance'!CC95:CC95, "A")+COUNTIF('Detailed Attendance'!CR95:CR95, "A")+COUNTIF('Detailed Attendance'!CZ95:CZ95, "A")+COUNTIF('Detailed Attendance'!DO95:DO95, "A")+COUNTIF('Detailed Attendance'!DW95:DW95, "A")+COUNTIF('Detailed Attendance'!EL95:EL95, "A")+COUNTIF('Detailed Attendance'!ET95:ET95, "A")+COUNTIF('Detailed Attendance'!FF95:FF95, "A")+COUNTIF('Detailed Attendance'!FV95:FV95, "A")+COUNTIF('Detailed Attendance'!GD95:GD95, "A")</f>
        <v/>
      </c>
      <c r="R93" s="72">
        <f>IF((P93+Q93)=0, "", P93/(P93+Q93))</f>
        <v/>
      </c>
      <c r="S93" s="46">
        <f>COUNTIF('Detailed Attendance'!H95:H95, "P")+COUNTIF('Detailed Attendance'!AB95:AB95, "P")+COUNTIF('Detailed Attendance'!AV95:AV95, "P")+COUNTIF('Detailed Attendance'!BP95:BP95, "P")+COUNTIF('Detailed Attendance'!CM95:CM95, "P")+COUNTIF('Detailed Attendance'!DJ95:DJ95, "P")+COUNTIF('Detailed Attendance'!EG95:EG95, "P")+COUNTIF('Detailed Attendance'!FA95:FA95, "P")+COUNTIF('Detailed Attendance'!FQ95:FQ95, "P")</f>
        <v/>
      </c>
      <c r="T93" s="46">
        <f>COUNTIF('Detailed Attendance'!H95:H95, "A")+COUNTIF('Detailed Attendance'!AB95:AB95, "A")+COUNTIF('Detailed Attendance'!AV95:AV95, "A")+COUNTIF('Detailed Attendance'!BP95:BP95, "A")+COUNTIF('Detailed Attendance'!CM95:CM95, "A")+COUNTIF('Detailed Attendance'!DJ95:DJ95, "A")+COUNTIF('Detailed Attendance'!EG95:EG95, "A")+COUNTIF('Detailed Attendance'!FA95:FA95, "A")+COUNTIF('Detailed Attendance'!FQ95:FQ95, "A")</f>
        <v/>
      </c>
      <c r="U93" s="73">
        <f>IF((S93+T93)=0, "", S93/(S93+T93))</f>
        <v/>
      </c>
      <c r="V93" s="46">
        <f>COUNTIF('Detailed Attendance'!E95:E95, "P")+COUNTIF('Detailed Attendance'!Y95:Y95, "P")+COUNTIF('Detailed Attendance'!AS95:AS95, "P")+COUNTIF('Detailed Attendance'!BM95:BM95, "P")+COUNTIF('Detailed Attendance'!CJ95:CJ95, "P")+COUNTIF('Detailed Attendance'!DG95:DG95, "P")+COUNTIF('Detailed Attendance'!ED95:ED95, "P")+COUNTIF('Detailed Attendance'!EX95:EX95, "P")+COUNTIF('Detailed Attendance'!FN95:FN95, "P")</f>
        <v/>
      </c>
      <c r="W93" s="46">
        <f>COUNTIF('Detailed Attendance'!E95:E95, "A")+COUNTIF('Detailed Attendance'!Y95:Y95, "A")+COUNTIF('Detailed Attendance'!AS95:AS95, "A")+COUNTIF('Detailed Attendance'!BM95:BM95, "A")+COUNTIF('Detailed Attendance'!CJ95:CJ95, "A")+COUNTIF('Detailed Attendance'!DG95:DG95, "A")+COUNTIF('Detailed Attendance'!ED95:ED95, "A")+COUNTIF('Detailed Attendance'!EX95:EX95, "A")+COUNTIF('Detailed Attendance'!FN95:FN95, "A")</f>
        <v/>
      </c>
      <c r="X93" s="73">
        <f>IF((V93+W93)=0, "", V93/(V93+W93))</f>
        <v/>
      </c>
      <c r="Y93" s="46">
        <f>COUNTIF('Detailed Attendance'!CH95:CH95, "P")+COUNTIF('Detailed Attendance'!DE95:DE95, "P")+COUNTIF('Detailed Attendance'!EB95:EB95, "P")+COUNTIF('Detailed Attendance'!GI95:GI95, "P")</f>
        <v/>
      </c>
      <c r="Z93" s="46">
        <f>COUNTIF('Detailed Attendance'!CH95:CH95, "A")+COUNTIF('Detailed Attendance'!DE95:DE95, "A")+COUNTIF('Detailed Attendance'!EB95:EB95, "A")+COUNTIF('Detailed Attendance'!GI95:GI95, "A")</f>
        <v/>
      </c>
      <c r="AA93" s="73">
        <f>IF((Y93+Z93)=0, "", Y93/(Y93+Z93))</f>
        <v/>
      </c>
      <c r="AB93" s="46">
        <f>S93+V93+Y93</f>
        <v/>
      </c>
      <c r="AC93" s="46">
        <f>T93+W93+Z93</f>
        <v/>
      </c>
      <c r="AD93" s="73">
        <f>IF((AB93+AC93)=0, "", AB93/(AB93+AC93))</f>
        <v/>
      </c>
      <c r="AE93" s="46" t="inlineStr">
        <is>
          <t>Batch 3</t>
        </is>
      </c>
    </row>
    <row r="94" ht="14.25" customHeight="1" s="34">
      <c r="A94" s="46" t="n">
        <v>93</v>
      </c>
      <c r="B94" s="46" t="inlineStr">
        <is>
          <t>325106410093</t>
        </is>
      </c>
      <c r="C94" s="46" t="inlineStr">
        <is>
          <t>-------</t>
        </is>
      </c>
      <c r="D94" s="46">
        <f>COUNTIF('Detailed Attendance'!R96:R96, "P")+COUNTIF('Detailed Attendance'!X96:X96, "P")+COUNTIF('Detailed Attendance'!AL96:AL96, "P")+COUNTIF('Detailed Attendance'!BF96:BF96, "P")+COUNTIF('Detailed Attendance'!BL96:BL96, "P")+COUNTIF('Detailed Attendance'!BZ96:BZ96, "P")+COUNTIF('Detailed Attendance'!CI96:CI96, "P")+COUNTIF('Detailed Attendance'!CW96:CW96, "P")+COUNTIF('Detailed Attendance'!DF96:DF96, "P")+COUNTIF('Detailed Attendance'!DT96:DT96, "P")+COUNTIF('Detailed Attendance'!EC96:EC96, "P")+COUNTIF('Detailed Attendance'!EQ96:EQ96, "P")+COUNTIF('Detailed Attendance'!EW96:EW96, "P")+COUNTIF('Detailed Attendance'!FK96:FK96, "P")+COUNTIF('Detailed Attendance'!FM96:FM96, "P")+COUNTIF('Detailed Attendance'!GA96:GA96, "P")</f>
        <v/>
      </c>
      <c r="E94" s="46">
        <f>COUNTIF('Detailed Attendance'!R96:R96, "A")+COUNTIF('Detailed Attendance'!X96:X96, "A")+COUNTIF('Detailed Attendance'!AL96:AL96, "A")+COUNTIF('Detailed Attendance'!BF96:BF96, "A")+COUNTIF('Detailed Attendance'!BL96:BL96, "A")+COUNTIF('Detailed Attendance'!BZ96:BZ96, "A")+COUNTIF('Detailed Attendance'!CI96:CI96, "A")+COUNTIF('Detailed Attendance'!CW96:CW96, "A")+COUNTIF('Detailed Attendance'!DF96:DF96, "A")+COUNTIF('Detailed Attendance'!DT96:DT96, "A")+COUNTIF('Detailed Attendance'!EC96:EC96, "A")+COUNTIF('Detailed Attendance'!EQ96:EQ96, "A")+COUNTIF('Detailed Attendance'!EW96:EW96, "A")+COUNTIF('Detailed Attendance'!FK96:FK96, "A")+COUNTIF('Detailed Attendance'!FM96:FM96, "A")+COUNTIF('Detailed Attendance'!GA96:GA96, "A")</f>
        <v/>
      </c>
      <c r="F94" s="72">
        <f>IF((D94+E94)=0, "", D94/(D94+E94))</f>
        <v/>
      </c>
      <c r="G94" s="46">
        <f>COUNTIF('Detailed Attendance'!I96:I96, "P")+COUNTIF('Detailed Attendance'!Q96:Q96, "P")+COUNTIF('Detailed Attendance'!AC96:AC96, "P")+COUNTIF('Detailed Attendance'!AK96:AK96, "P")+COUNTIF('Detailed Attendance'!AW96:AW96, "P")+COUNTIF('Detailed Attendance'!BE96:BE96, "P")+COUNTIF('Detailed Attendance'!BQ96:BQ96, "P")+COUNTIF('Detailed Attendance'!BY96:BY96, "P")+COUNTIF('Detailed Attendance'!CN96:CN96, "P")+COUNTIF('Detailed Attendance'!CV96:CV96, "P")+COUNTIF('Detailed Attendance'!DK96:DK96, "P")+COUNTIF('Detailed Attendance'!DS96:DS96, "P")+COUNTIF('Detailed Attendance'!EH96:EH96, "P")+COUNTIF('Detailed Attendance'!EP96:EP96, "P")+COUNTIF('Detailed Attendance'!FB96:FB96, "P")+COUNTIF('Detailed Attendance'!FJ96:FJ96, "P")+COUNTIF('Detailed Attendance'!FR96:FR96, "P")+COUNTIF('Detailed Attendance'!FZ96:FZ96, "P")</f>
        <v/>
      </c>
      <c r="H94" s="46">
        <f>COUNTIF('Detailed Attendance'!I96:I96, "A")+COUNTIF('Detailed Attendance'!Q96:Q96, "A")+COUNTIF('Detailed Attendance'!AC96:AC96, "A")+COUNTIF('Detailed Attendance'!AK96:AK96, "A")+COUNTIF('Detailed Attendance'!AW96:AW96, "A")+COUNTIF('Detailed Attendance'!BE96:BE96, "A")+COUNTIF('Detailed Attendance'!BQ96:BQ96, "A")+COUNTIF('Detailed Attendance'!BY96:BY96, "A")+COUNTIF('Detailed Attendance'!CN96:CN96, "A")+COUNTIF('Detailed Attendance'!CV96:CV96, "A")+COUNTIF('Detailed Attendance'!DK96:DK96, "A")+COUNTIF('Detailed Attendance'!DS96:DS96, "A")+COUNTIF('Detailed Attendance'!EH96:EH96, "A")+COUNTIF('Detailed Attendance'!EP96:EP96, "A")+COUNTIF('Detailed Attendance'!FB96:FB96, "A")+COUNTIF('Detailed Attendance'!FJ96:FJ96, "A")+COUNTIF('Detailed Attendance'!FR96:FR96, "A")+COUNTIF('Detailed Attendance'!FZ96:FZ96, "A")</f>
        <v/>
      </c>
      <c r="I94" s="72">
        <f>IF((G94+H94)=0, "", G94/(G94+H94))</f>
        <v/>
      </c>
      <c r="J94" s="46">
        <f>COUNTIF('Detailed Attendance'!L96:L96, "P")+COUNTIF('Detailed Attendance'!P96:P96, "P")+COUNTIF('Detailed Attendance'!AF96:AF96, "P")+COUNTIF('Detailed Attendance'!AJ96:AJ96, "P")+COUNTIF('Detailed Attendance'!AZ96:AZ96, "P")+COUNTIF('Detailed Attendance'!BD96:BD96, "P")+COUNTIF('Detailed Attendance'!BT96:BT96, "P")+COUNTIF('Detailed Attendance'!BX96:BX96, "P")+COUNTIF('Detailed Attendance'!CQ96:CQ96, "P")+COUNTIF('Detailed Attendance'!CU96:CU96, "P")+COUNTIF('Detailed Attendance'!DN96:DN96, "P")+COUNTIF('Detailed Attendance'!DR96:DR96, "P")+COUNTIF('Detailed Attendance'!EK96:EK96, "P")+COUNTIF('Detailed Attendance'!EO96:EO96, "P")+COUNTIF('Detailed Attendance'!FE96:FE96, "P")+COUNTIF('Detailed Attendance'!FI96:FI96, "P")+COUNTIF('Detailed Attendance'!FU96:FU96, "P")+COUNTIF('Detailed Attendance'!FY96:FY96, "P")</f>
        <v/>
      </c>
      <c r="K94" s="46">
        <f>COUNTIF('Detailed Attendance'!L96:L96, "A")+COUNTIF('Detailed Attendance'!P96:P96, "A")+COUNTIF('Detailed Attendance'!AF96:AF96, "A")+COUNTIF('Detailed Attendance'!AJ96:AJ96, "A")+COUNTIF('Detailed Attendance'!AZ96:AZ96, "A")+COUNTIF('Detailed Attendance'!BD96:BD96, "A")+COUNTIF('Detailed Attendance'!BT96:BT96, "A")+COUNTIF('Detailed Attendance'!BX96:BX96, "A")+COUNTIF('Detailed Attendance'!CQ96:CQ96, "A")+COUNTIF('Detailed Attendance'!CU96:CU96, "A")+COUNTIF('Detailed Attendance'!DN96:DN96, "A")+COUNTIF('Detailed Attendance'!DR96:DR96, "A")+COUNTIF('Detailed Attendance'!EK96:EK96, "A")+COUNTIF('Detailed Attendance'!EO96:EO96, "A")+COUNTIF('Detailed Attendance'!FE96:FE96, "A")+COUNTIF('Detailed Attendance'!FI96:FI96, "A")+COUNTIF('Detailed Attendance'!FU96:FU96, "A")+COUNTIF('Detailed Attendance'!FY96:FY96, "A")</f>
        <v/>
      </c>
      <c r="L94" s="72">
        <f>IF((J94+K94)=0, "", J94/(J94+K94))</f>
        <v/>
      </c>
      <c r="M94" s="46">
        <f>COUNTIF('Detailed Attendance'!D96:D96, "P")+COUNTIF('Detailed Attendance'!T96:T96, "P")+COUNTIF('Detailed Attendance'!AN96:AN96, "P")+COUNTIF('Detailed Attendance'!AR96:AR96, "P")+COUNTIF('Detailed Attendance'!BH96:BH96, "P")+COUNTIF('Detailed Attendance'!CB96:CB96, "P")+COUNTIF('Detailed Attendance'!CF96:CF96, "P")+COUNTIF('Detailed Attendance'!CY96:CY96, "P")+COUNTIF('Detailed Attendance'!DC96:DC96, "P")+COUNTIF('Detailed Attendance'!DV96:DV96, "P")+COUNTIF('Detailed Attendance'!DZ96:DZ96, "P")+COUNTIF('Detailed Attendance'!ES96:ES96, "P")+COUNTIF('Detailed Attendance'!GC96:GC96, "P")+COUNTIF('Detailed Attendance'!GG96:GG96, "P")</f>
        <v/>
      </c>
      <c r="N94" s="46">
        <f>COUNTIF('Detailed Attendance'!D96:D96, "A")+COUNTIF('Detailed Attendance'!T96:T96, "A")+COUNTIF('Detailed Attendance'!AN96:AN96, "A")+COUNTIF('Detailed Attendance'!AR96:AR96, "A")+COUNTIF('Detailed Attendance'!BH96:BH96, "A")+COUNTIF('Detailed Attendance'!CB96:CB96, "A")+COUNTIF('Detailed Attendance'!CF96:CF96, "A")+COUNTIF('Detailed Attendance'!CY96:CY96, "A")+COUNTIF('Detailed Attendance'!DC96:DC96, "A")+COUNTIF('Detailed Attendance'!DV96:DV96, "A")+COUNTIF('Detailed Attendance'!DZ96:DZ96, "A")+COUNTIF('Detailed Attendance'!ES96:ES96, "A")+COUNTIF('Detailed Attendance'!GC96:GC96, "A")+COUNTIF('Detailed Attendance'!GG96:GG96, "A")</f>
        <v/>
      </c>
      <c r="O94" s="72">
        <f>IF((M94+N94)=0, "", M94/(M94+N94))</f>
        <v/>
      </c>
      <c r="P94" s="46">
        <f>COUNTIF('Detailed Attendance'!M96:M96, "P")+COUNTIF('Detailed Attendance'!U96:U96, "P")+COUNTIF('Detailed Attendance'!AG96:AG96, "P")+COUNTIF('Detailed Attendance'!AO96:AO96, "P")+COUNTIF('Detailed Attendance'!BA96:BA96, "P")+COUNTIF('Detailed Attendance'!BI96:BI96, "P")+COUNTIF('Detailed Attendance'!BU96:BU96, "P")+COUNTIF('Detailed Attendance'!CC96:CC96, "P")+COUNTIF('Detailed Attendance'!CR96:CR96, "P")+COUNTIF('Detailed Attendance'!CZ96:CZ96, "P")+COUNTIF('Detailed Attendance'!DO96:DO96, "P")+COUNTIF('Detailed Attendance'!DW96:DW96, "P")+COUNTIF('Detailed Attendance'!EL96:EL96, "P")+COUNTIF('Detailed Attendance'!ET96:ET96, "P")+COUNTIF('Detailed Attendance'!FF96:FF96, "P")+COUNTIF('Detailed Attendance'!FV96:FV96, "P")+COUNTIF('Detailed Attendance'!GD96:GD96, "P")</f>
        <v/>
      </c>
      <c r="Q94" s="46">
        <f>COUNTIF('Detailed Attendance'!M96:M96, "A")+COUNTIF('Detailed Attendance'!U96:U96, "A")+COUNTIF('Detailed Attendance'!AG96:AG96, "A")+COUNTIF('Detailed Attendance'!AO96:AO96, "A")+COUNTIF('Detailed Attendance'!BA96:BA96, "A")+COUNTIF('Detailed Attendance'!BI96:BI96, "A")+COUNTIF('Detailed Attendance'!BU96:BU96, "A")+COUNTIF('Detailed Attendance'!CC96:CC96, "A")+COUNTIF('Detailed Attendance'!CR96:CR96, "A")+COUNTIF('Detailed Attendance'!CZ96:CZ96, "A")+COUNTIF('Detailed Attendance'!DO96:DO96, "A")+COUNTIF('Detailed Attendance'!DW96:DW96, "A")+COUNTIF('Detailed Attendance'!EL96:EL96, "A")+COUNTIF('Detailed Attendance'!ET96:ET96, "A")+COUNTIF('Detailed Attendance'!FF96:FF96, "A")+COUNTIF('Detailed Attendance'!FV96:FV96, "A")+COUNTIF('Detailed Attendance'!GD96:GD96, "A")</f>
        <v/>
      </c>
      <c r="R94" s="72">
        <f>IF((P94+Q94)=0, "", P94/(P94+Q94))</f>
        <v/>
      </c>
      <c r="S94" s="46">
        <f>COUNTIF('Detailed Attendance'!H96:H96, "P")+COUNTIF('Detailed Attendance'!AB96:AB96, "P")+COUNTIF('Detailed Attendance'!AV96:AV96, "P")+COUNTIF('Detailed Attendance'!BP96:BP96, "P")+COUNTIF('Detailed Attendance'!CM96:CM96, "P")+COUNTIF('Detailed Attendance'!DJ96:DJ96, "P")+COUNTIF('Detailed Attendance'!EG96:EG96, "P")+COUNTIF('Detailed Attendance'!FA96:FA96, "P")+COUNTIF('Detailed Attendance'!FQ96:FQ96, "P")</f>
        <v/>
      </c>
      <c r="T94" s="46">
        <f>COUNTIF('Detailed Attendance'!H96:H96, "A")+COUNTIF('Detailed Attendance'!AB96:AB96, "A")+COUNTIF('Detailed Attendance'!AV96:AV96, "A")+COUNTIF('Detailed Attendance'!BP96:BP96, "A")+COUNTIF('Detailed Attendance'!CM96:CM96, "A")+COUNTIF('Detailed Attendance'!DJ96:DJ96, "A")+COUNTIF('Detailed Attendance'!EG96:EG96, "A")+COUNTIF('Detailed Attendance'!FA96:FA96, "A")+COUNTIF('Detailed Attendance'!FQ96:FQ96, "A")</f>
        <v/>
      </c>
      <c r="U94" s="73">
        <f>IF((S94+T94)=0, "", S94/(S94+T94))</f>
        <v/>
      </c>
      <c r="V94" s="46">
        <f>COUNTIF('Detailed Attendance'!E96:E96, "P")+COUNTIF('Detailed Attendance'!Y96:Y96, "P")+COUNTIF('Detailed Attendance'!AS96:AS96, "P")+COUNTIF('Detailed Attendance'!BM96:BM96, "P")+COUNTIF('Detailed Attendance'!CJ96:CJ96, "P")+COUNTIF('Detailed Attendance'!DG96:DG96, "P")+COUNTIF('Detailed Attendance'!ED96:ED96, "P")+COUNTIF('Detailed Attendance'!EX96:EX96, "P")+COUNTIF('Detailed Attendance'!FN96:FN96, "P")</f>
        <v/>
      </c>
      <c r="W94" s="46">
        <f>COUNTIF('Detailed Attendance'!E96:E96, "A")+COUNTIF('Detailed Attendance'!Y96:Y96, "A")+COUNTIF('Detailed Attendance'!AS96:AS96, "A")+COUNTIF('Detailed Attendance'!BM96:BM96, "A")+COUNTIF('Detailed Attendance'!CJ96:CJ96, "A")+COUNTIF('Detailed Attendance'!DG96:DG96, "A")+COUNTIF('Detailed Attendance'!ED96:ED96, "A")+COUNTIF('Detailed Attendance'!EX96:EX96, "A")+COUNTIF('Detailed Attendance'!FN96:FN96, "A")</f>
        <v/>
      </c>
      <c r="X94" s="73">
        <f>IF((V94+W94)=0, "", V94/(V94+W94))</f>
        <v/>
      </c>
      <c r="Y94" s="46">
        <f>COUNTIF('Detailed Attendance'!CH96:CH96, "P")+COUNTIF('Detailed Attendance'!DE96:DE96, "P")+COUNTIF('Detailed Attendance'!EB96:EB96, "P")+COUNTIF('Detailed Attendance'!GI96:GI96, "P")</f>
        <v/>
      </c>
      <c r="Z94" s="46">
        <f>COUNTIF('Detailed Attendance'!CH96:CH96, "A")+COUNTIF('Detailed Attendance'!DE96:DE96, "A")+COUNTIF('Detailed Attendance'!EB96:EB96, "A")+COUNTIF('Detailed Attendance'!GI96:GI96, "A")</f>
        <v/>
      </c>
      <c r="AA94" s="73">
        <f>IF((Y94+Z94)=0, "", Y94/(Y94+Z94))</f>
        <v/>
      </c>
      <c r="AB94" s="46">
        <f>S94+V94+Y94</f>
        <v/>
      </c>
      <c r="AC94" s="46">
        <f>T94+W94+Z94</f>
        <v/>
      </c>
      <c r="AD94" s="73">
        <f>IF((AB94+AC94)=0, "", AB94/(AB94+AC94))</f>
        <v/>
      </c>
      <c r="AE94" s="46" t="inlineStr">
        <is>
          <t>Batch 3</t>
        </is>
      </c>
    </row>
    <row r="95" ht="14.25" customHeight="1" s="34">
      <c r="A95" s="46" t="n">
        <v>94</v>
      </c>
      <c r="B95" s="46" t="inlineStr">
        <is>
          <t>325106410094</t>
        </is>
      </c>
      <c r="C95" s="46" t="inlineStr">
        <is>
          <t>NAHOM SEMAW</t>
        </is>
      </c>
      <c r="D95" s="46">
        <f>COUNTIF('Detailed Attendance'!R97:R97, "P")+COUNTIF('Detailed Attendance'!X97:X97, "P")+COUNTIF('Detailed Attendance'!AL97:AL97, "P")+COUNTIF('Detailed Attendance'!BF97:BF97, "P")+COUNTIF('Detailed Attendance'!BL97:BL97, "P")+COUNTIF('Detailed Attendance'!BZ97:BZ97, "P")+COUNTIF('Detailed Attendance'!CI97:CI97, "P")+COUNTIF('Detailed Attendance'!CW97:CW97, "P")+COUNTIF('Detailed Attendance'!DF97:DF97, "P")+COUNTIF('Detailed Attendance'!DT97:DT97, "P")+COUNTIF('Detailed Attendance'!EC97:EC97, "P")+COUNTIF('Detailed Attendance'!EQ97:EQ97, "P")+COUNTIF('Detailed Attendance'!EW97:EW97, "P")+COUNTIF('Detailed Attendance'!FK97:FK97, "P")+COUNTIF('Detailed Attendance'!FM97:FM97, "P")+COUNTIF('Detailed Attendance'!GA97:GA97, "P")</f>
        <v/>
      </c>
      <c r="E95" s="46">
        <f>COUNTIF('Detailed Attendance'!R97:R97, "A")+COUNTIF('Detailed Attendance'!X97:X97, "A")+COUNTIF('Detailed Attendance'!AL97:AL97, "A")+COUNTIF('Detailed Attendance'!BF97:BF97, "A")+COUNTIF('Detailed Attendance'!BL97:BL97, "A")+COUNTIF('Detailed Attendance'!BZ97:BZ97, "A")+COUNTIF('Detailed Attendance'!CI97:CI97, "A")+COUNTIF('Detailed Attendance'!CW97:CW97, "A")+COUNTIF('Detailed Attendance'!DF97:DF97, "A")+COUNTIF('Detailed Attendance'!DT97:DT97, "A")+COUNTIF('Detailed Attendance'!EC97:EC97, "A")+COUNTIF('Detailed Attendance'!EQ97:EQ97, "A")+COUNTIF('Detailed Attendance'!EW97:EW97, "A")+COUNTIF('Detailed Attendance'!FK97:FK97, "A")+COUNTIF('Detailed Attendance'!FM97:FM97, "A")+COUNTIF('Detailed Attendance'!GA97:GA97, "A")</f>
        <v/>
      </c>
      <c r="F95" s="72">
        <f>IF((D95+E95)=0, "", D95/(D95+E95))</f>
        <v/>
      </c>
      <c r="G95" s="46">
        <f>COUNTIF('Detailed Attendance'!I97:I97, "P")+COUNTIF('Detailed Attendance'!Q97:Q97, "P")+COUNTIF('Detailed Attendance'!AC97:AC97, "P")+COUNTIF('Detailed Attendance'!AK97:AK97, "P")+COUNTIF('Detailed Attendance'!AW97:AW97, "P")+COUNTIF('Detailed Attendance'!BE97:BE97, "P")+COUNTIF('Detailed Attendance'!BQ97:BQ97, "P")+COUNTIF('Detailed Attendance'!BY97:BY97, "P")+COUNTIF('Detailed Attendance'!CN97:CN97, "P")+COUNTIF('Detailed Attendance'!CV97:CV97, "P")+COUNTIF('Detailed Attendance'!DK97:DK97, "P")+COUNTIF('Detailed Attendance'!DS97:DS97, "P")+COUNTIF('Detailed Attendance'!EH97:EH97, "P")+COUNTIF('Detailed Attendance'!EP97:EP97, "P")+COUNTIF('Detailed Attendance'!FB97:FB97, "P")+COUNTIF('Detailed Attendance'!FJ97:FJ97, "P")+COUNTIF('Detailed Attendance'!FR97:FR97, "P")+COUNTIF('Detailed Attendance'!FZ97:FZ97, "P")</f>
        <v/>
      </c>
      <c r="H95" s="46">
        <f>COUNTIF('Detailed Attendance'!I97:I97, "A")+COUNTIF('Detailed Attendance'!Q97:Q97, "A")+COUNTIF('Detailed Attendance'!AC97:AC97, "A")+COUNTIF('Detailed Attendance'!AK97:AK97, "A")+COUNTIF('Detailed Attendance'!AW97:AW97, "A")+COUNTIF('Detailed Attendance'!BE97:BE97, "A")+COUNTIF('Detailed Attendance'!BQ97:BQ97, "A")+COUNTIF('Detailed Attendance'!BY97:BY97, "A")+COUNTIF('Detailed Attendance'!CN97:CN97, "A")+COUNTIF('Detailed Attendance'!CV97:CV97, "A")+COUNTIF('Detailed Attendance'!DK97:DK97, "A")+COUNTIF('Detailed Attendance'!DS97:DS97, "A")+COUNTIF('Detailed Attendance'!EH97:EH97, "A")+COUNTIF('Detailed Attendance'!EP97:EP97, "A")+COUNTIF('Detailed Attendance'!FB97:FB97, "A")+COUNTIF('Detailed Attendance'!FJ97:FJ97, "A")+COUNTIF('Detailed Attendance'!FR97:FR97, "A")+COUNTIF('Detailed Attendance'!FZ97:FZ97, "A")</f>
        <v/>
      </c>
      <c r="I95" s="72">
        <f>IF((G95+H95)=0, "", G95/(G95+H95))</f>
        <v/>
      </c>
      <c r="J95" s="46">
        <f>COUNTIF('Detailed Attendance'!L97:L97, "P")+COUNTIF('Detailed Attendance'!P97:P97, "P")+COUNTIF('Detailed Attendance'!AF97:AF97, "P")+COUNTIF('Detailed Attendance'!AJ97:AJ97, "P")+COUNTIF('Detailed Attendance'!AZ97:AZ97, "P")+COUNTIF('Detailed Attendance'!BD97:BD97, "P")+COUNTIF('Detailed Attendance'!BT97:BT97, "P")+COUNTIF('Detailed Attendance'!BX97:BX97, "P")+COUNTIF('Detailed Attendance'!CQ97:CQ97, "P")+COUNTIF('Detailed Attendance'!CU97:CU97, "P")+COUNTIF('Detailed Attendance'!DN97:DN97, "P")+COUNTIF('Detailed Attendance'!DR97:DR97, "P")+COUNTIF('Detailed Attendance'!EK97:EK97, "P")+COUNTIF('Detailed Attendance'!EO97:EO97, "P")+COUNTIF('Detailed Attendance'!FE97:FE97, "P")+COUNTIF('Detailed Attendance'!FI97:FI97, "P")+COUNTIF('Detailed Attendance'!FU97:FU97, "P")+COUNTIF('Detailed Attendance'!FY97:FY97, "P")</f>
        <v/>
      </c>
      <c r="K95" s="46">
        <f>COUNTIF('Detailed Attendance'!L97:L97, "A")+COUNTIF('Detailed Attendance'!P97:P97, "A")+COUNTIF('Detailed Attendance'!AF97:AF97, "A")+COUNTIF('Detailed Attendance'!AJ97:AJ97, "A")+COUNTIF('Detailed Attendance'!AZ97:AZ97, "A")+COUNTIF('Detailed Attendance'!BD97:BD97, "A")+COUNTIF('Detailed Attendance'!BT97:BT97, "A")+COUNTIF('Detailed Attendance'!BX97:BX97, "A")+COUNTIF('Detailed Attendance'!CQ97:CQ97, "A")+COUNTIF('Detailed Attendance'!CU97:CU97, "A")+COUNTIF('Detailed Attendance'!DN97:DN97, "A")+COUNTIF('Detailed Attendance'!DR97:DR97, "A")+COUNTIF('Detailed Attendance'!EK97:EK97, "A")+COUNTIF('Detailed Attendance'!EO97:EO97, "A")+COUNTIF('Detailed Attendance'!FE97:FE97, "A")+COUNTIF('Detailed Attendance'!FI97:FI97, "A")+COUNTIF('Detailed Attendance'!FU97:FU97, "A")+COUNTIF('Detailed Attendance'!FY97:FY97, "A")</f>
        <v/>
      </c>
      <c r="L95" s="72">
        <f>IF((J95+K95)=0, "", J95/(J95+K95))</f>
        <v/>
      </c>
      <c r="M95" s="46">
        <f>COUNTIF('Detailed Attendance'!D97:D97, "P")+COUNTIF('Detailed Attendance'!T97:T97, "P")+COUNTIF('Detailed Attendance'!AN97:AN97, "P")+COUNTIF('Detailed Attendance'!AR97:AR97, "P")+COUNTIF('Detailed Attendance'!BH97:BH97, "P")+COUNTIF('Detailed Attendance'!CB97:CB97, "P")+COUNTIF('Detailed Attendance'!CF97:CF97, "P")+COUNTIF('Detailed Attendance'!CY97:CY97, "P")+COUNTIF('Detailed Attendance'!DC97:DC97, "P")+COUNTIF('Detailed Attendance'!DV97:DV97, "P")+COUNTIF('Detailed Attendance'!DZ97:DZ97, "P")+COUNTIF('Detailed Attendance'!ES97:ES97, "P")+COUNTIF('Detailed Attendance'!GC97:GC97, "P")+COUNTIF('Detailed Attendance'!GG97:GG97, "P")</f>
        <v/>
      </c>
      <c r="N95" s="46">
        <f>COUNTIF('Detailed Attendance'!D97:D97, "A")+COUNTIF('Detailed Attendance'!T97:T97, "A")+COUNTIF('Detailed Attendance'!AN97:AN97, "A")+COUNTIF('Detailed Attendance'!AR97:AR97, "A")+COUNTIF('Detailed Attendance'!BH97:BH97, "A")+COUNTIF('Detailed Attendance'!CB97:CB97, "A")+COUNTIF('Detailed Attendance'!CF97:CF97, "A")+COUNTIF('Detailed Attendance'!CY97:CY97, "A")+COUNTIF('Detailed Attendance'!DC97:DC97, "A")+COUNTIF('Detailed Attendance'!DV97:DV97, "A")+COUNTIF('Detailed Attendance'!DZ97:DZ97, "A")+COUNTIF('Detailed Attendance'!ES97:ES97, "A")+COUNTIF('Detailed Attendance'!GC97:GC97, "A")+COUNTIF('Detailed Attendance'!GG97:GG97, "A")</f>
        <v/>
      </c>
      <c r="O95" s="72">
        <f>IF((M95+N95)=0, "", M95/(M95+N95))</f>
        <v/>
      </c>
      <c r="P95" s="46">
        <f>COUNTIF('Detailed Attendance'!M97:M97, "P")+COUNTIF('Detailed Attendance'!U97:U97, "P")+COUNTIF('Detailed Attendance'!AG97:AG97, "P")+COUNTIF('Detailed Attendance'!AO97:AO97, "P")+COUNTIF('Detailed Attendance'!BA97:BA97, "P")+COUNTIF('Detailed Attendance'!BI97:BI97, "P")+COUNTIF('Detailed Attendance'!BU97:BU97, "P")+COUNTIF('Detailed Attendance'!CC97:CC97, "P")+COUNTIF('Detailed Attendance'!CR97:CR97, "P")+COUNTIF('Detailed Attendance'!CZ97:CZ97, "P")+COUNTIF('Detailed Attendance'!DO97:DO97, "P")+COUNTIF('Detailed Attendance'!DW97:DW97, "P")+COUNTIF('Detailed Attendance'!EL97:EL97, "P")+COUNTIF('Detailed Attendance'!ET97:ET97, "P")+COUNTIF('Detailed Attendance'!FF97:FF97, "P")+COUNTIF('Detailed Attendance'!FV97:FV97, "P")+COUNTIF('Detailed Attendance'!GD97:GD97, "P")</f>
        <v/>
      </c>
      <c r="Q95" s="46">
        <f>COUNTIF('Detailed Attendance'!M97:M97, "A")+COUNTIF('Detailed Attendance'!U97:U97, "A")+COUNTIF('Detailed Attendance'!AG97:AG97, "A")+COUNTIF('Detailed Attendance'!AO97:AO97, "A")+COUNTIF('Detailed Attendance'!BA97:BA97, "A")+COUNTIF('Detailed Attendance'!BI97:BI97, "A")+COUNTIF('Detailed Attendance'!BU97:BU97, "A")+COUNTIF('Detailed Attendance'!CC97:CC97, "A")+COUNTIF('Detailed Attendance'!CR97:CR97, "A")+COUNTIF('Detailed Attendance'!CZ97:CZ97, "A")+COUNTIF('Detailed Attendance'!DO97:DO97, "A")+COUNTIF('Detailed Attendance'!DW97:DW97, "A")+COUNTIF('Detailed Attendance'!EL97:EL97, "A")+COUNTIF('Detailed Attendance'!ET97:ET97, "A")+COUNTIF('Detailed Attendance'!FF97:FF97, "A")+COUNTIF('Detailed Attendance'!FV97:FV97, "A")+COUNTIF('Detailed Attendance'!GD97:GD97, "A")</f>
        <v/>
      </c>
      <c r="R95" s="72">
        <f>IF((P95+Q95)=0, "", P95/(P95+Q95))</f>
        <v/>
      </c>
      <c r="S95" s="46">
        <f>COUNTIF('Detailed Attendance'!H97:H97, "P")+COUNTIF('Detailed Attendance'!AB97:AB97, "P")+COUNTIF('Detailed Attendance'!AV97:AV97, "P")+COUNTIF('Detailed Attendance'!BP97:BP97, "P")+COUNTIF('Detailed Attendance'!CM97:CM97, "P")+COUNTIF('Detailed Attendance'!DJ97:DJ97, "P")+COUNTIF('Detailed Attendance'!EG97:EG97, "P")+COUNTIF('Detailed Attendance'!FA97:FA97, "P")+COUNTIF('Detailed Attendance'!FQ97:FQ97, "P")</f>
        <v/>
      </c>
      <c r="T95" s="46">
        <f>COUNTIF('Detailed Attendance'!H97:H97, "A")+COUNTIF('Detailed Attendance'!AB97:AB97, "A")+COUNTIF('Detailed Attendance'!AV97:AV97, "A")+COUNTIF('Detailed Attendance'!BP97:BP97, "A")+COUNTIF('Detailed Attendance'!CM97:CM97, "A")+COUNTIF('Detailed Attendance'!DJ97:DJ97, "A")+COUNTIF('Detailed Attendance'!EG97:EG97, "A")+COUNTIF('Detailed Attendance'!FA97:FA97, "A")+COUNTIF('Detailed Attendance'!FQ97:FQ97, "A")</f>
        <v/>
      </c>
      <c r="U95" s="73">
        <f>IF((S95+T95)=0, "", S95/(S95+T95))</f>
        <v/>
      </c>
      <c r="V95" s="46">
        <f>COUNTIF('Detailed Attendance'!E97:E97, "P")+COUNTIF('Detailed Attendance'!Y97:Y97, "P")+COUNTIF('Detailed Attendance'!AS97:AS97, "P")+COUNTIF('Detailed Attendance'!BM97:BM97, "P")+COUNTIF('Detailed Attendance'!CJ97:CJ97, "P")+COUNTIF('Detailed Attendance'!DG97:DG97, "P")+COUNTIF('Detailed Attendance'!ED97:ED97, "P")+COUNTIF('Detailed Attendance'!EX97:EX97, "P")+COUNTIF('Detailed Attendance'!FN97:FN97, "P")</f>
        <v/>
      </c>
      <c r="W95" s="46">
        <f>COUNTIF('Detailed Attendance'!E97:E97, "A")+COUNTIF('Detailed Attendance'!Y97:Y97, "A")+COUNTIF('Detailed Attendance'!AS97:AS97, "A")+COUNTIF('Detailed Attendance'!BM97:BM97, "A")+COUNTIF('Detailed Attendance'!CJ97:CJ97, "A")+COUNTIF('Detailed Attendance'!DG97:DG97, "A")+COUNTIF('Detailed Attendance'!ED97:ED97, "A")+COUNTIF('Detailed Attendance'!EX97:EX97, "A")+COUNTIF('Detailed Attendance'!FN97:FN97, "A")</f>
        <v/>
      </c>
      <c r="X95" s="73">
        <f>IF((V95+W95)=0, "", V95/(V95+W95))</f>
        <v/>
      </c>
      <c r="Y95" s="46">
        <f>COUNTIF('Detailed Attendance'!CH97:CH97, "P")+COUNTIF('Detailed Attendance'!DE97:DE97, "P")+COUNTIF('Detailed Attendance'!EB97:EB97, "P")+COUNTIF('Detailed Attendance'!GI97:GI97, "P")</f>
        <v/>
      </c>
      <c r="Z95" s="46">
        <f>COUNTIF('Detailed Attendance'!CH97:CH97, "A")+COUNTIF('Detailed Attendance'!DE97:DE97, "A")+COUNTIF('Detailed Attendance'!EB97:EB97, "A")+COUNTIF('Detailed Attendance'!GI97:GI97, "A")</f>
        <v/>
      </c>
      <c r="AA95" s="73">
        <f>IF((Y95+Z95)=0, "", Y95/(Y95+Z95))</f>
        <v/>
      </c>
      <c r="AB95" s="46">
        <f>S95+V95+Y95</f>
        <v/>
      </c>
      <c r="AC95" s="46">
        <f>T95+W95+Z95</f>
        <v/>
      </c>
      <c r="AD95" s="73">
        <f>IF((AB95+AC95)=0, "", AB95/(AB95+AC95))</f>
        <v/>
      </c>
      <c r="AE95" s="46" t="inlineStr">
        <is>
          <t>Batch 3</t>
        </is>
      </c>
    </row>
    <row r="96" ht="14.25" customHeight="1" s="34">
      <c r="A96" s="46" t="n">
        <v>95</v>
      </c>
      <c r="B96" s="46" t="inlineStr">
        <is>
          <t>325106410095</t>
        </is>
      </c>
      <c r="C96" s="46" t="inlineStr">
        <is>
          <t>NGELEPETE NGELEPETE</t>
        </is>
      </c>
      <c r="D96" s="46">
        <f>COUNTIF('Detailed Attendance'!R98:R98, "P")+COUNTIF('Detailed Attendance'!X98:X98, "P")+COUNTIF('Detailed Attendance'!AL98:AL98, "P")+COUNTIF('Detailed Attendance'!BF98:BF98, "P")+COUNTIF('Detailed Attendance'!BL98:BL98, "P")+COUNTIF('Detailed Attendance'!BZ98:BZ98, "P")+COUNTIF('Detailed Attendance'!CI98:CI98, "P")+COUNTIF('Detailed Attendance'!CW98:CW98, "P")+COUNTIF('Detailed Attendance'!DF98:DF98, "P")+COUNTIF('Detailed Attendance'!DT98:DT98, "P")+COUNTIF('Detailed Attendance'!EC98:EC98, "P")+COUNTIF('Detailed Attendance'!EQ98:EQ98, "P")+COUNTIF('Detailed Attendance'!EW98:EW98, "P")+COUNTIF('Detailed Attendance'!FK98:FK98, "P")+COUNTIF('Detailed Attendance'!FM98:FM98, "P")+COUNTIF('Detailed Attendance'!GA98:GA98, "P")</f>
        <v/>
      </c>
      <c r="E96" s="46">
        <f>COUNTIF('Detailed Attendance'!R98:R98, "A")+COUNTIF('Detailed Attendance'!X98:X98, "A")+COUNTIF('Detailed Attendance'!AL98:AL98, "A")+COUNTIF('Detailed Attendance'!BF98:BF98, "A")+COUNTIF('Detailed Attendance'!BL98:BL98, "A")+COUNTIF('Detailed Attendance'!BZ98:BZ98, "A")+COUNTIF('Detailed Attendance'!CI98:CI98, "A")+COUNTIF('Detailed Attendance'!CW98:CW98, "A")+COUNTIF('Detailed Attendance'!DF98:DF98, "A")+COUNTIF('Detailed Attendance'!DT98:DT98, "A")+COUNTIF('Detailed Attendance'!EC98:EC98, "A")+COUNTIF('Detailed Attendance'!EQ98:EQ98, "A")+COUNTIF('Detailed Attendance'!EW98:EW98, "A")+COUNTIF('Detailed Attendance'!FK98:FK98, "A")+COUNTIF('Detailed Attendance'!FM98:FM98, "A")+COUNTIF('Detailed Attendance'!GA98:GA98, "A")</f>
        <v/>
      </c>
      <c r="F96" s="72">
        <f>IF((D96+E96)=0, "", D96/(D96+E96))</f>
        <v/>
      </c>
      <c r="G96" s="46">
        <f>COUNTIF('Detailed Attendance'!I98:I98, "P")+COUNTIF('Detailed Attendance'!Q98:Q98, "P")+COUNTIF('Detailed Attendance'!AC98:AC98, "P")+COUNTIF('Detailed Attendance'!AK98:AK98, "P")+COUNTIF('Detailed Attendance'!AW98:AW98, "P")+COUNTIF('Detailed Attendance'!BE98:BE98, "P")+COUNTIF('Detailed Attendance'!BQ98:BQ98, "P")+COUNTIF('Detailed Attendance'!BY98:BY98, "P")+COUNTIF('Detailed Attendance'!CN98:CN98, "P")+COUNTIF('Detailed Attendance'!CV98:CV98, "P")+COUNTIF('Detailed Attendance'!DK98:DK98, "P")+COUNTIF('Detailed Attendance'!DS98:DS98, "P")+COUNTIF('Detailed Attendance'!EH98:EH98, "P")+COUNTIF('Detailed Attendance'!EP98:EP98, "P")+COUNTIF('Detailed Attendance'!FB98:FB98, "P")+COUNTIF('Detailed Attendance'!FJ98:FJ98, "P")+COUNTIF('Detailed Attendance'!FR98:FR98, "P")+COUNTIF('Detailed Attendance'!FZ98:FZ98, "P")</f>
        <v/>
      </c>
      <c r="H96" s="46">
        <f>COUNTIF('Detailed Attendance'!I98:I98, "A")+COUNTIF('Detailed Attendance'!Q98:Q98, "A")+COUNTIF('Detailed Attendance'!AC98:AC98, "A")+COUNTIF('Detailed Attendance'!AK98:AK98, "A")+COUNTIF('Detailed Attendance'!AW98:AW98, "A")+COUNTIF('Detailed Attendance'!BE98:BE98, "A")+COUNTIF('Detailed Attendance'!BQ98:BQ98, "A")+COUNTIF('Detailed Attendance'!BY98:BY98, "A")+COUNTIF('Detailed Attendance'!CN98:CN98, "A")+COUNTIF('Detailed Attendance'!CV98:CV98, "A")+COUNTIF('Detailed Attendance'!DK98:DK98, "A")+COUNTIF('Detailed Attendance'!DS98:DS98, "A")+COUNTIF('Detailed Attendance'!EH98:EH98, "A")+COUNTIF('Detailed Attendance'!EP98:EP98, "A")+COUNTIF('Detailed Attendance'!FB98:FB98, "A")+COUNTIF('Detailed Attendance'!FJ98:FJ98, "A")+COUNTIF('Detailed Attendance'!FR98:FR98, "A")+COUNTIF('Detailed Attendance'!FZ98:FZ98, "A")</f>
        <v/>
      </c>
      <c r="I96" s="72">
        <f>IF((G96+H96)=0, "", G96/(G96+H96))</f>
        <v/>
      </c>
      <c r="J96" s="46">
        <f>COUNTIF('Detailed Attendance'!L98:L98, "P")+COUNTIF('Detailed Attendance'!P98:P98, "P")+COUNTIF('Detailed Attendance'!AF98:AF98, "P")+COUNTIF('Detailed Attendance'!AJ98:AJ98, "P")+COUNTIF('Detailed Attendance'!AZ98:AZ98, "P")+COUNTIF('Detailed Attendance'!BD98:BD98, "P")+COUNTIF('Detailed Attendance'!BT98:BT98, "P")+COUNTIF('Detailed Attendance'!BX98:BX98, "P")+COUNTIF('Detailed Attendance'!CQ98:CQ98, "P")+COUNTIF('Detailed Attendance'!CU98:CU98, "P")+COUNTIF('Detailed Attendance'!DN98:DN98, "P")+COUNTIF('Detailed Attendance'!DR98:DR98, "P")+COUNTIF('Detailed Attendance'!EK98:EK98, "P")+COUNTIF('Detailed Attendance'!EO98:EO98, "P")+COUNTIF('Detailed Attendance'!FE98:FE98, "P")+COUNTIF('Detailed Attendance'!FI98:FI98, "P")+COUNTIF('Detailed Attendance'!FU98:FU98, "P")+COUNTIF('Detailed Attendance'!FY98:FY98, "P")</f>
        <v/>
      </c>
      <c r="K96" s="46">
        <f>COUNTIF('Detailed Attendance'!L98:L98, "A")+COUNTIF('Detailed Attendance'!P98:P98, "A")+COUNTIF('Detailed Attendance'!AF98:AF98, "A")+COUNTIF('Detailed Attendance'!AJ98:AJ98, "A")+COUNTIF('Detailed Attendance'!AZ98:AZ98, "A")+COUNTIF('Detailed Attendance'!BD98:BD98, "A")+COUNTIF('Detailed Attendance'!BT98:BT98, "A")+COUNTIF('Detailed Attendance'!BX98:BX98, "A")+COUNTIF('Detailed Attendance'!CQ98:CQ98, "A")+COUNTIF('Detailed Attendance'!CU98:CU98, "A")+COUNTIF('Detailed Attendance'!DN98:DN98, "A")+COUNTIF('Detailed Attendance'!DR98:DR98, "A")+COUNTIF('Detailed Attendance'!EK98:EK98, "A")+COUNTIF('Detailed Attendance'!EO98:EO98, "A")+COUNTIF('Detailed Attendance'!FE98:FE98, "A")+COUNTIF('Detailed Attendance'!FI98:FI98, "A")+COUNTIF('Detailed Attendance'!FU98:FU98, "A")+COUNTIF('Detailed Attendance'!FY98:FY98, "A")</f>
        <v/>
      </c>
      <c r="L96" s="72">
        <f>IF((J96+K96)=0, "", J96/(J96+K96))</f>
        <v/>
      </c>
      <c r="M96" s="46">
        <f>COUNTIF('Detailed Attendance'!D98:D98, "P")+COUNTIF('Detailed Attendance'!T98:T98, "P")+COUNTIF('Detailed Attendance'!AN98:AN98, "P")+COUNTIF('Detailed Attendance'!AR98:AR98, "P")+COUNTIF('Detailed Attendance'!BH98:BH98, "P")+COUNTIF('Detailed Attendance'!CB98:CB98, "P")+COUNTIF('Detailed Attendance'!CF98:CF98, "P")+COUNTIF('Detailed Attendance'!CY98:CY98, "P")+COUNTIF('Detailed Attendance'!DC98:DC98, "P")+COUNTIF('Detailed Attendance'!DV98:DV98, "P")+COUNTIF('Detailed Attendance'!DZ98:DZ98, "P")+COUNTIF('Detailed Attendance'!ES98:ES98, "P")+COUNTIF('Detailed Attendance'!GC98:GC98, "P")+COUNTIF('Detailed Attendance'!GG98:GG98, "P")</f>
        <v/>
      </c>
      <c r="N96" s="46">
        <f>COUNTIF('Detailed Attendance'!D98:D98, "A")+COUNTIF('Detailed Attendance'!T98:T98, "A")+COUNTIF('Detailed Attendance'!AN98:AN98, "A")+COUNTIF('Detailed Attendance'!AR98:AR98, "A")+COUNTIF('Detailed Attendance'!BH98:BH98, "A")+COUNTIF('Detailed Attendance'!CB98:CB98, "A")+COUNTIF('Detailed Attendance'!CF98:CF98, "A")+COUNTIF('Detailed Attendance'!CY98:CY98, "A")+COUNTIF('Detailed Attendance'!DC98:DC98, "A")+COUNTIF('Detailed Attendance'!DV98:DV98, "A")+COUNTIF('Detailed Attendance'!DZ98:DZ98, "A")+COUNTIF('Detailed Attendance'!ES98:ES98, "A")+COUNTIF('Detailed Attendance'!GC98:GC98, "A")+COUNTIF('Detailed Attendance'!GG98:GG98, "A")</f>
        <v/>
      </c>
      <c r="O96" s="72">
        <f>IF((M96+N96)=0, "", M96/(M96+N96))</f>
        <v/>
      </c>
      <c r="P96" s="46">
        <f>COUNTIF('Detailed Attendance'!M98:M98, "P")+COUNTIF('Detailed Attendance'!U98:U98, "P")+COUNTIF('Detailed Attendance'!AG98:AG98, "P")+COUNTIF('Detailed Attendance'!AO98:AO98, "P")+COUNTIF('Detailed Attendance'!BA98:BA98, "P")+COUNTIF('Detailed Attendance'!BI98:BI98, "P")+COUNTIF('Detailed Attendance'!BU98:BU98, "P")+COUNTIF('Detailed Attendance'!CC98:CC98, "P")+COUNTIF('Detailed Attendance'!CR98:CR98, "P")+COUNTIF('Detailed Attendance'!CZ98:CZ98, "P")+COUNTIF('Detailed Attendance'!DO98:DO98, "P")+COUNTIF('Detailed Attendance'!DW98:DW98, "P")+COUNTIF('Detailed Attendance'!EL98:EL98, "P")+COUNTIF('Detailed Attendance'!ET98:ET98, "P")+COUNTIF('Detailed Attendance'!FF98:FF98, "P")+COUNTIF('Detailed Attendance'!FV98:FV98, "P")+COUNTIF('Detailed Attendance'!GD98:GD98, "P")</f>
        <v/>
      </c>
      <c r="Q96" s="46">
        <f>COUNTIF('Detailed Attendance'!M98:M98, "A")+COUNTIF('Detailed Attendance'!U98:U98, "A")+COUNTIF('Detailed Attendance'!AG98:AG98, "A")+COUNTIF('Detailed Attendance'!AO98:AO98, "A")+COUNTIF('Detailed Attendance'!BA98:BA98, "A")+COUNTIF('Detailed Attendance'!BI98:BI98, "A")+COUNTIF('Detailed Attendance'!BU98:BU98, "A")+COUNTIF('Detailed Attendance'!CC98:CC98, "A")+COUNTIF('Detailed Attendance'!CR98:CR98, "A")+COUNTIF('Detailed Attendance'!CZ98:CZ98, "A")+COUNTIF('Detailed Attendance'!DO98:DO98, "A")+COUNTIF('Detailed Attendance'!DW98:DW98, "A")+COUNTIF('Detailed Attendance'!EL98:EL98, "A")+COUNTIF('Detailed Attendance'!ET98:ET98, "A")+COUNTIF('Detailed Attendance'!FF98:FF98, "A")+COUNTIF('Detailed Attendance'!FV98:FV98, "A")+COUNTIF('Detailed Attendance'!GD98:GD98, "A")</f>
        <v/>
      </c>
      <c r="R96" s="72">
        <f>IF((P96+Q96)=0, "", P96/(P96+Q96))</f>
        <v/>
      </c>
      <c r="S96" s="46">
        <f>COUNTIF('Detailed Attendance'!H98:H98, "P")+COUNTIF('Detailed Attendance'!AB98:AB98, "P")+COUNTIF('Detailed Attendance'!AV98:AV98, "P")+COUNTIF('Detailed Attendance'!BP98:BP98, "P")+COUNTIF('Detailed Attendance'!CM98:CM98, "P")+COUNTIF('Detailed Attendance'!DJ98:DJ98, "P")+COUNTIF('Detailed Attendance'!EG98:EG98, "P")+COUNTIF('Detailed Attendance'!FA98:FA98, "P")+COUNTIF('Detailed Attendance'!FQ98:FQ98, "P")</f>
        <v/>
      </c>
      <c r="T96" s="46">
        <f>COUNTIF('Detailed Attendance'!H98:H98, "A")+COUNTIF('Detailed Attendance'!AB98:AB98, "A")+COUNTIF('Detailed Attendance'!AV98:AV98, "A")+COUNTIF('Detailed Attendance'!BP98:BP98, "A")+COUNTIF('Detailed Attendance'!CM98:CM98, "A")+COUNTIF('Detailed Attendance'!DJ98:DJ98, "A")+COUNTIF('Detailed Attendance'!EG98:EG98, "A")+COUNTIF('Detailed Attendance'!FA98:FA98, "A")+COUNTIF('Detailed Attendance'!FQ98:FQ98, "A")</f>
        <v/>
      </c>
      <c r="U96" s="73">
        <f>IF((S96+T96)=0, "", S96/(S96+T96))</f>
        <v/>
      </c>
      <c r="V96" s="46">
        <f>COUNTIF('Detailed Attendance'!E98:E98, "P")+COUNTIF('Detailed Attendance'!Y98:Y98, "P")+COUNTIF('Detailed Attendance'!AS98:AS98, "P")+COUNTIF('Detailed Attendance'!BM98:BM98, "P")+COUNTIF('Detailed Attendance'!CJ98:CJ98, "P")+COUNTIF('Detailed Attendance'!DG98:DG98, "P")+COUNTIF('Detailed Attendance'!ED98:ED98, "P")+COUNTIF('Detailed Attendance'!EX98:EX98, "P")+COUNTIF('Detailed Attendance'!FN98:FN98, "P")</f>
        <v/>
      </c>
      <c r="W96" s="46">
        <f>COUNTIF('Detailed Attendance'!E98:E98, "A")+COUNTIF('Detailed Attendance'!Y98:Y98, "A")+COUNTIF('Detailed Attendance'!AS98:AS98, "A")+COUNTIF('Detailed Attendance'!BM98:BM98, "A")+COUNTIF('Detailed Attendance'!CJ98:CJ98, "A")+COUNTIF('Detailed Attendance'!DG98:DG98, "A")+COUNTIF('Detailed Attendance'!ED98:ED98, "A")+COUNTIF('Detailed Attendance'!EX98:EX98, "A")+COUNTIF('Detailed Attendance'!FN98:FN98, "A")</f>
        <v/>
      </c>
      <c r="X96" s="73">
        <f>IF((V96+W96)=0, "", V96/(V96+W96))</f>
        <v/>
      </c>
      <c r="Y96" s="46">
        <f>COUNTIF('Detailed Attendance'!CH98:CH98, "P")+COUNTIF('Detailed Attendance'!DE98:DE98, "P")+COUNTIF('Detailed Attendance'!EB98:EB98, "P")+COUNTIF('Detailed Attendance'!GI98:GI98, "P")</f>
        <v/>
      </c>
      <c r="Z96" s="46">
        <f>COUNTIF('Detailed Attendance'!CH98:CH98, "A")+COUNTIF('Detailed Attendance'!DE98:DE98, "A")+COUNTIF('Detailed Attendance'!EB98:EB98, "A")+COUNTIF('Detailed Attendance'!GI98:GI98, "A")</f>
        <v/>
      </c>
      <c r="AA96" s="73">
        <f>IF((Y96+Z96)=0, "", Y96/(Y96+Z96))</f>
        <v/>
      </c>
      <c r="AB96" s="46">
        <f>S96+V96+Y96</f>
        <v/>
      </c>
      <c r="AC96" s="46">
        <f>T96+W96+Z96</f>
        <v/>
      </c>
      <c r="AD96" s="73">
        <f>IF((AB96+AC96)=0, "", AB96/(AB96+AC96))</f>
        <v/>
      </c>
      <c r="AE96" s="46" t="inlineStr">
        <is>
          <t>Batch 3</t>
        </is>
      </c>
    </row>
    <row r="97" ht="14.25" customHeight="1" s="34">
      <c r="A97" s="46" t="n">
        <v>96</v>
      </c>
      <c r="B97" s="46" t="inlineStr">
        <is>
          <t>325106410096</t>
        </is>
      </c>
      <c r="C97" s="46" t="inlineStr">
        <is>
          <t>NILMONI CHOWDHURY</t>
        </is>
      </c>
      <c r="D97" s="46">
        <f>COUNTIF('Detailed Attendance'!R99:R99, "P")+COUNTIF('Detailed Attendance'!X99:X99, "P")+COUNTIF('Detailed Attendance'!AL99:AL99, "P")+COUNTIF('Detailed Attendance'!BF99:BF99, "P")+COUNTIF('Detailed Attendance'!BL99:BL99, "P")+COUNTIF('Detailed Attendance'!BZ99:BZ99, "P")+COUNTIF('Detailed Attendance'!CI99:CI99, "P")+COUNTIF('Detailed Attendance'!CW99:CW99, "P")+COUNTIF('Detailed Attendance'!DF99:DF99, "P")+COUNTIF('Detailed Attendance'!DT99:DT99, "P")+COUNTIF('Detailed Attendance'!EC99:EC99, "P")+COUNTIF('Detailed Attendance'!EQ99:EQ99, "P")+COUNTIF('Detailed Attendance'!EW99:EW99, "P")+COUNTIF('Detailed Attendance'!FK99:FK99, "P")+COUNTIF('Detailed Attendance'!FM99:FM99, "P")+COUNTIF('Detailed Attendance'!GA99:GA99, "P")</f>
        <v/>
      </c>
      <c r="E97" s="46">
        <f>COUNTIF('Detailed Attendance'!R99:R99, "A")+COUNTIF('Detailed Attendance'!X99:X99, "A")+COUNTIF('Detailed Attendance'!AL99:AL99, "A")+COUNTIF('Detailed Attendance'!BF99:BF99, "A")+COUNTIF('Detailed Attendance'!BL99:BL99, "A")+COUNTIF('Detailed Attendance'!BZ99:BZ99, "A")+COUNTIF('Detailed Attendance'!CI99:CI99, "A")+COUNTIF('Detailed Attendance'!CW99:CW99, "A")+COUNTIF('Detailed Attendance'!DF99:DF99, "A")+COUNTIF('Detailed Attendance'!DT99:DT99, "A")+COUNTIF('Detailed Attendance'!EC99:EC99, "A")+COUNTIF('Detailed Attendance'!EQ99:EQ99, "A")+COUNTIF('Detailed Attendance'!EW99:EW99, "A")+COUNTIF('Detailed Attendance'!FK99:FK99, "A")+COUNTIF('Detailed Attendance'!FM99:FM99, "A")+COUNTIF('Detailed Attendance'!GA99:GA99, "A")</f>
        <v/>
      </c>
      <c r="F97" s="72">
        <f>IF((D97+E97)=0, "", D97/(D97+E97))</f>
        <v/>
      </c>
      <c r="G97" s="46">
        <f>COUNTIF('Detailed Attendance'!I99:I99, "P")+COUNTIF('Detailed Attendance'!Q99:Q99, "P")+COUNTIF('Detailed Attendance'!AC99:AC99, "P")+COUNTIF('Detailed Attendance'!AK99:AK99, "P")+COUNTIF('Detailed Attendance'!AW99:AW99, "P")+COUNTIF('Detailed Attendance'!BE99:BE99, "P")+COUNTIF('Detailed Attendance'!BQ99:BQ99, "P")+COUNTIF('Detailed Attendance'!BY99:BY99, "P")+COUNTIF('Detailed Attendance'!CN99:CN99, "P")+COUNTIF('Detailed Attendance'!CV99:CV99, "P")+COUNTIF('Detailed Attendance'!DK99:DK99, "P")+COUNTIF('Detailed Attendance'!DS99:DS99, "P")+COUNTIF('Detailed Attendance'!EH99:EH99, "P")+COUNTIF('Detailed Attendance'!EP99:EP99, "P")+COUNTIF('Detailed Attendance'!FB99:FB99, "P")+COUNTIF('Detailed Attendance'!FJ99:FJ99, "P")+COUNTIF('Detailed Attendance'!FR99:FR99, "P")+COUNTIF('Detailed Attendance'!FZ99:FZ99, "P")</f>
        <v/>
      </c>
      <c r="H97" s="46">
        <f>COUNTIF('Detailed Attendance'!I99:I99, "A")+COUNTIF('Detailed Attendance'!Q99:Q99, "A")+COUNTIF('Detailed Attendance'!AC99:AC99, "A")+COUNTIF('Detailed Attendance'!AK99:AK99, "A")+COUNTIF('Detailed Attendance'!AW99:AW99, "A")+COUNTIF('Detailed Attendance'!BE99:BE99, "A")+COUNTIF('Detailed Attendance'!BQ99:BQ99, "A")+COUNTIF('Detailed Attendance'!BY99:BY99, "A")+COUNTIF('Detailed Attendance'!CN99:CN99, "A")+COUNTIF('Detailed Attendance'!CV99:CV99, "A")+COUNTIF('Detailed Attendance'!DK99:DK99, "A")+COUNTIF('Detailed Attendance'!DS99:DS99, "A")+COUNTIF('Detailed Attendance'!EH99:EH99, "A")+COUNTIF('Detailed Attendance'!EP99:EP99, "A")+COUNTIF('Detailed Attendance'!FB99:FB99, "A")+COUNTIF('Detailed Attendance'!FJ99:FJ99, "A")+COUNTIF('Detailed Attendance'!FR99:FR99, "A")+COUNTIF('Detailed Attendance'!FZ99:FZ99, "A")</f>
        <v/>
      </c>
      <c r="I97" s="72">
        <f>IF((G97+H97)=0, "", G97/(G97+H97))</f>
        <v/>
      </c>
      <c r="J97" s="46">
        <f>COUNTIF('Detailed Attendance'!L99:L99, "P")+COUNTIF('Detailed Attendance'!P99:P99, "P")+COUNTIF('Detailed Attendance'!AF99:AF99, "P")+COUNTIF('Detailed Attendance'!AJ99:AJ99, "P")+COUNTIF('Detailed Attendance'!AZ99:AZ99, "P")+COUNTIF('Detailed Attendance'!BD99:BD99, "P")+COUNTIF('Detailed Attendance'!BT99:BT99, "P")+COUNTIF('Detailed Attendance'!BX99:BX99, "P")+COUNTIF('Detailed Attendance'!CQ99:CQ99, "P")+COUNTIF('Detailed Attendance'!CU99:CU99, "P")+COUNTIF('Detailed Attendance'!DN99:DN99, "P")+COUNTIF('Detailed Attendance'!DR99:DR99, "P")+COUNTIF('Detailed Attendance'!EK99:EK99, "P")+COUNTIF('Detailed Attendance'!EO99:EO99, "P")+COUNTIF('Detailed Attendance'!FE99:FE99, "P")+COUNTIF('Detailed Attendance'!FI99:FI99, "P")+COUNTIF('Detailed Attendance'!FU99:FU99, "P")+COUNTIF('Detailed Attendance'!FY99:FY99, "P")</f>
        <v/>
      </c>
      <c r="K97" s="46">
        <f>COUNTIF('Detailed Attendance'!L99:L99, "A")+COUNTIF('Detailed Attendance'!P99:P99, "A")+COUNTIF('Detailed Attendance'!AF99:AF99, "A")+COUNTIF('Detailed Attendance'!AJ99:AJ99, "A")+COUNTIF('Detailed Attendance'!AZ99:AZ99, "A")+COUNTIF('Detailed Attendance'!BD99:BD99, "A")+COUNTIF('Detailed Attendance'!BT99:BT99, "A")+COUNTIF('Detailed Attendance'!BX99:BX99, "A")+COUNTIF('Detailed Attendance'!CQ99:CQ99, "A")+COUNTIF('Detailed Attendance'!CU99:CU99, "A")+COUNTIF('Detailed Attendance'!DN99:DN99, "A")+COUNTIF('Detailed Attendance'!DR99:DR99, "A")+COUNTIF('Detailed Attendance'!EK99:EK99, "A")+COUNTIF('Detailed Attendance'!EO99:EO99, "A")+COUNTIF('Detailed Attendance'!FE99:FE99, "A")+COUNTIF('Detailed Attendance'!FI99:FI99, "A")+COUNTIF('Detailed Attendance'!FU99:FU99, "A")+COUNTIF('Detailed Attendance'!FY99:FY99, "A")</f>
        <v/>
      </c>
      <c r="L97" s="72">
        <f>IF((J97+K97)=0, "", J97/(J97+K97))</f>
        <v/>
      </c>
      <c r="M97" s="46">
        <f>COUNTIF('Detailed Attendance'!D99:D99, "P")+COUNTIF('Detailed Attendance'!T99:T99, "P")+COUNTIF('Detailed Attendance'!AN99:AN99, "P")+COUNTIF('Detailed Attendance'!AR99:AR99, "P")+COUNTIF('Detailed Attendance'!BH99:BH99, "P")+COUNTIF('Detailed Attendance'!CB99:CB99, "P")+COUNTIF('Detailed Attendance'!CF99:CF99, "P")+COUNTIF('Detailed Attendance'!CY99:CY99, "P")+COUNTIF('Detailed Attendance'!DC99:DC99, "P")+COUNTIF('Detailed Attendance'!DV99:DV99, "P")+COUNTIF('Detailed Attendance'!DZ99:DZ99, "P")+COUNTIF('Detailed Attendance'!ES99:ES99, "P")+COUNTIF('Detailed Attendance'!GC99:GC99, "P")+COUNTIF('Detailed Attendance'!GG99:GG99, "P")</f>
        <v/>
      </c>
      <c r="N97" s="46">
        <f>COUNTIF('Detailed Attendance'!D99:D99, "A")+COUNTIF('Detailed Attendance'!T99:T99, "A")+COUNTIF('Detailed Attendance'!AN99:AN99, "A")+COUNTIF('Detailed Attendance'!AR99:AR99, "A")+COUNTIF('Detailed Attendance'!BH99:BH99, "A")+COUNTIF('Detailed Attendance'!CB99:CB99, "A")+COUNTIF('Detailed Attendance'!CF99:CF99, "A")+COUNTIF('Detailed Attendance'!CY99:CY99, "A")+COUNTIF('Detailed Attendance'!DC99:DC99, "A")+COUNTIF('Detailed Attendance'!DV99:DV99, "A")+COUNTIF('Detailed Attendance'!DZ99:DZ99, "A")+COUNTIF('Detailed Attendance'!ES99:ES99, "A")+COUNTIF('Detailed Attendance'!GC99:GC99, "A")+COUNTIF('Detailed Attendance'!GG99:GG99, "A")</f>
        <v/>
      </c>
      <c r="O97" s="72">
        <f>IF((M97+N97)=0, "", M97/(M97+N97))</f>
        <v/>
      </c>
      <c r="P97" s="46">
        <f>COUNTIF('Detailed Attendance'!M99:M99, "P")+COUNTIF('Detailed Attendance'!U99:U99, "P")+COUNTIF('Detailed Attendance'!AG99:AG99, "P")+COUNTIF('Detailed Attendance'!AO99:AO99, "P")+COUNTIF('Detailed Attendance'!BA99:BA99, "P")+COUNTIF('Detailed Attendance'!BI99:BI99, "P")+COUNTIF('Detailed Attendance'!BU99:BU99, "P")+COUNTIF('Detailed Attendance'!CC99:CC99, "P")+COUNTIF('Detailed Attendance'!CR99:CR99, "P")+COUNTIF('Detailed Attendance'!CZ99:CZ99, "P")+COUNTIF('Detailed Attendance'!DO99:DO99, "P")+COUNTIF('Detailed Attendance'!DW99:DW99, "P")+COUNTIF('Detailed Attendance'!EL99:EL99, "P")+COUNTIF('Detailed Attendance'!ET99:ET99, "P")+COUNTIF('Detailed Attendance'!FF99:FF99, "P")+COUNTIF('Detailed Attendance'!FV99:FV99, "P")+COUNTIF('Detailed Attendance'!GD99:GD99, "P")</f>
        <v/>
      </c>
      <c r="Q97" s="46">
        <f>COUNTIF('Detailed Attendance'!M99:M99, "A")+COUNTIF('Detailed Attendance'!U99:U99, "A")+COUNTIF('Detailed Attendance'!AG99:AG99, "A")+COUNTIF('Detailed Attendance'!AO99:AO99, "A")+COUNTIF('Detailed Attendance'!BA99:BA99, "A")+COUNTIF('Detailed Attendance'!BI99:BI99, "A")+COUNTIF('Detailed Attendance'!BU99:BU99, "A")+COUNTIF('Detailed Attendance'!CC99:CC99, "A")+COUNTIF('Detailed Attendance'!CR99:CR99, "A")+COUNTIF('Detailed Attendance'!CZ99:CZ99, "A")+COUNTIF('Detailed Attendance'!DO99:DO99, "A")+COUNTIF('Detailed Attendance'!DW99:DW99, "A")+COUNTIF('Detailed Attendance'!EL99:EL99, "A")+COUNTIF('Detailed Attendance'!ET99:ET99, "A")+COUNTIF('Detailed Attendance'!FF99:FF99, "A")+COUNTIF('Detailed Attendance'!FV99:FV99, "A")+COUNTIF('Detailed Attendance'!GD99:GD99, "A")</f>
        <v/>
      </c>
      <c r="R97" s="72">
        <f>IF((P97+Q97)=0, "", P97/(P97+Q97))</f>
        <v/>
      </c>
      <c r="S97" s="46">
        <f>COUNTIF('Detailed Attendance'!H99:H99, "P")+COUNTIF('Detailed Attendance'!AB99:AB99, "P")+COUNTIF('Detailed Attendance'!AV99:AV99, "P")+COUNTIF('Detailed Attendance'!BP99:BP99, "P")+COUNTIF('Detailed Attendance'!CM99:CM99, "P")+COUNTIF('Detailed Attendance'!DJ99:DJ99, "P")+COUNTIF('Detailed Attendance'!EG99:EG99, "P")+COUNTIF('Detailed Attendance'!FA99:FA99, "P")+COUNTIF('Detailed Attendance'!FQ99:FQ99, "P")</f>
        <v/>
      </c>
      <c r="T97" s="46">
        <f>COUNTIF('Detailed Attendance'!H99:H99, "A")+COUNTIF('Detailed Attendance'!AB99:AB99, "A")+COUNTIF('Detailed Attendance'!AV99:AV99, "A")+COUNTIF('Detailed Attendance'!BP99:BP99, "A")+COUNTIF('Detailed Attendance'!CM99:CM99, "A")+COUNTIF('Detailed Attendance'!DJ99:DJ99, "A")+COUNTIF('Detailed Attendance'!EG99:EG99, "A")+COUNTIF('Detailed Attendance'!FA99:FA99, "A")+COUNTIF('Detailed Attendance'!FQ99:FQ99, "A")</f>
        <v/>
      </c>
      <c r="U97" s="73">
        <f>IF((S97+T97)=0, "", S97/(S97+T97))</f>
        <v/>
      </c>
      <c r="V97" s="46">
        <f>COUNTIF('Detailed Attendance'!E99:E99, "P")+COUNTIF('Detailed Attendance'!Y99:Y99, "P")+COUNTIF('Detailed Attendance'!AS99:AS99, "P")+COUNTIF('Detailed Attendance'!BM99:BM99, "P")+COUNTIF('Detailed Attendance'!CJ99:CJ99, "P")+COUNTIF('Detailed Attendance'!DG99:DG99, "P")+COUNTIF('Detailed Attendance'!ED99:ED99, "P")+COUNTIF('Detailed Attendance'!EX99:EX99, "P")+COUNTIF('Detailed Attendance'!FN99:FN99, "P")</f>
        <v/>
      </c>
      <c r="W97" s="46">
        <f>COUNTIF('Detailed Attendance'!E99:E99, "A")+COUNTIF('Detailed Attendance'!Y99:Y99, "A")+COUNTIF('Detailed Attendance'!AS99:AS99, "A")+COUNTIF('Detailed Attendance'!BM99:BM99, "A")+COUNTIF('Detailed Attendance'!CJ99:CJ99, "A")+COUNTIF('Detailed Attendance'!DG99:DG99, "A")+COUNTIF('Detailed Attendance'!ED99:ED99, "A")+COUNTIF('Detailed Attendance'!EX99:EX99, "A")+COUNTIF('Detailed Attendance'!FN99:FN99, "A")</f>
        <v/>
      </c>
      <c r="X97" s="73">
        <f>IF((V97+W97)=0, "", V97/(V97+W97))</f>
        <v/>
      </c>
      <c r="Y97" s="46">
        <f>COUNTIF('Detailed Attendance'!CH99:CH99, "P")+COUNTIF('Detailed Attendance'!DE99:DE99, "P")+COUNTIF('Detailed Attendance'!EB99:EB99, "P")+COUNTIF('Detailed Attendance'!GI99:GI99, "P")</f>
        <v/>
      </c>
      <c r="Z97" s="46">
        <f>COUNTIF('Detailed Attendance'!CH99:CH99, "A")+COUNTIF('Detailed Attendance'!DE99:DE99, "A")+COUNTIF('Detailed Attendance'!EB99:EB99, "A")+COUNTIF('Detailed Attendance'!GI99:GI99, "A")</f>
        <v/>
      </c>
      <c r="AA97" s="73">
        <f>IF((Y97+Z97)=0, "", Y97/(Y97+Z97))</f>
        <v/>
      </c>
      <c r="AB97" s="46">
        <f>S97+V97+Y97</f>
        <v/>
      </c>
      <c r="AC97" s="46">
        <f>T97+W97+Z97</f>
        <v/>
      </c>
      <c r="AD97" s="73">
        <f>IF((AB97+AC97)=0, "", AB97/(AB97+AC97))</f>
        <v/>
      </c>
      <c r="AE97" s="46" t="inlineStr">
        <is>
          <t>Batch 3</t>
        </is>
      </c>
    </row>
    <row r="98" ht="14.25" customHeight="1" s="34">
      <c r="A98" s="46" t="n">
        <v>97</v>
      </c>
      <c r="B98" s="46" t="inlineStr">
        <is>
          <t>325106410097</t>
        </is>
      </c>
      <c r="C98" s="46" t="inlineStr">
        <is>
          <t>NOB PANHATHIROT</t>
        </is>
      </c>
      <c r="D98" s="46">
        <f>COUNTIF('Detailed Attendance'!R100:R100, "P")+COUNTIF('Detailed Attendance'!X100:X100, "P")+COUNTIF('Detailed Attendance'!AL100:AL100, "P")+COUNTIF('Detailed Attendance'!BF100:BF100, "P")+COUNTIF('Detailed Attendance'!BL100:BL100, "P")+COUNTIF('Detailed Attendance'!BZ100:BZ100, "P")+COUNTIF('Detailed Attendance'!CI100:CI100, "P")+COUNTIF('Detailed Attendance'!CW100:CW100, "P")+COUNTIF('Detailed Attendance'!DF100:DF100, "P")+COUNTIF('Detailed Attendance'!DT100:DT100, "P")+COUNTIF('Detailed Attendance'!EC100:EC100, "P")+COUNTIF('Detailed Attendance'!EQ100:EQ100, "P")+COUNTIF('Detailed Attendance'!EW100:EW100, "P")+COUNTIF('Detailed Attendance'!FK100:FK100, "P")+COUNTIF('Detailed Attendance'!FM100:FM100, "P")+COUNTIF('Detailed Attendance'!GA100:GA100, "P")</f>
        <v/>
      </c>
      <c r="E98" s="46">
        <f>COUNTIF('Detailed Attendance'!R100:R100, "A")+COUNTIF('Detailed Attendance'!X100:X100, "A")+COUNTIF('Detailed Attendance'!AL100:AL100, "A")+COUNTIF('Detailed Attendance'!BF100:BF100, "A")+COUNTIF('Detailed Attendance'!BL100:BL100, "A")+COUNTIF('Detailed Attendance'!BZ100:BZ100, "A")+COUNTIF('Detailed Attendance'!CI100:CI100, "A")+COUNTIF('Detailed Attendance'!CW100:CW100, "A")+COUNTIF('Detailed Attendance'!DF100:DF100, "A")+COUNTIF('Detailed Attendance'!DT100:DT100, "A")+COUNTIF('Detailed Attendance'!EC100:EC100, "A")+COUNTIF('Detailed Attendance'!EQ100:EQ100, "A")+COUNTIF('Detailed Attendance'!EW100:EW100, "A")+COUNTIF('Detailed Attendance'!FK100:FK100, "A")+COUNTIF('Detailed Attendance'!FM100:FM100, "A")+COUNTIF('Detailed Attendance'!GA100:GA100, "A")</f>
        <v/>
      </c>
      <c r="F98" s="72">
        <f>IF((D98+E98)=0, "", D98/(D98+E98))</f>
        <v/>
      </c>
      <c r="G98" s="46">
        <f>COUNTIF('Detailed Attendance'!I100:I100, "P")+COUNTIF('Detailed Attendance'!Q100:Q100, "P")+COUNTIF('Detailed Attendance'!AC100:AC100, "P")+COUNTIF('Detailed Attendance'!AK100:AK100, "P")+COUNTIF('Detailed Attendance'!AW100:AW100, "P")+COUNTIF('Detailed Attendance'!BE100:BE100, "P")+COUNTIF('Detailed Attendance'!BQ100:BQ100, "P")+COUNTIF('Detailed Attendance'!BY100:BY100, "P")+COUNTIF('Detailed Attendance'!CN100:CN100, "P")+COUNTIF('Detailed Attendance'!CV100:CV100, "P")+COUNTIF('Detailed Attendance'!DK100:DK100, "P")+COUNTIF('Detailed Attendance'!DS100:DS100, "P")+COUNTIF('Detailed Attendance'!EH100:EH100, "P")+COUNTIF('Detailed Attendance'!EP100:EP100, "P")+COUNTIF('Detailed Attendance'!FB100:FB100, "P")+COUNTIF('Detailed Attendance'!FJ100:FJ100, "P")+COUNTIF('Detailed Attendance'!FR100:FR100, "P")+COUNTIF('Detailed Attendance'!FZ100:FZ100, "P")</f>
        <v/>
      </c>
      <c r="H98" s="46">
        <f>COUNTIF('Detailed Attendance'!I100:I100, "A")+COUNTIF('Detailed Attendance'!Q100:Q100, "A")+COUNTIF('Detailed Attendance'!AC100:AC100, "A")+COUNTIF('Detailed Attendance'!AK100:AK100, "A")+COUNTIF('Detailed Attendance'!AW100:AW100, "A")+COUNTIF('Detailed Attendance'!BE100:BE100, "A")+COUNTIF('Detailed Attendance'!BQ100:BQ100, "A")+COUNTIF('Detailed Attendance'!BY100:BY100, "A")+COUNTIF('Detailed Attendance'!CN100:CN100, "A")+COUNTIF('Detailed Attendance'!CV100:CV100, "A")+COUNTIF('Detailed Attendance'!DK100:DK100, "A")+COUNTIF('Detailed Attendance'!DS100:DS100, "A")+COUNTIF('Detailed Attendance'!EH100:EH100, "A")+COUNTIF('Detailed Attendance'!EP100:EP100, "A")+COUNTIF('Detailed Attendance'!FB100:FB100, "A")+COUNTIF('Detailed Attendance'!FJ100:FJ100, "A")+COUNTIF('Detailed Attendance'!FR100:FR100, "A")+COUNTIF('Detailed Attendance'!FZ100:FZ100, "A")</f>
        <v/>
      </c>
      <c r="I98" s="72">
        <f>IF((G98+H98)=0, "", G98/(G98+H98))</f>
        <v/>
      </c>
      <c r="J98" s="46">
        <f>COUNTIF('Detailed Attendance'!L100:L100, "P")+COUNTIF('Detailed Attendance'!P100:P100, "P")+COUNTIF('Detailed Attendance'!AF100:AF100, "P")+COUNTIF('Detailed Attendance'!AJ100:AJ100, "P")+COUNTIF('Detailed Attendance'!AZ100:AZ100, "P")+COUNTIF('Detailed Attendance'!BD100:BD100, "P")+COUNTIF('Detailed Attendance'!BT100:BT100, "P")+COUNTIF('Detailed Attendance'!BX100:BX100, "P")+COUNTIF('Detailed Attendance'!CQ100:CQ100, "P")+COUNTIF('Detailed Attendance'!CU100:CU100, "P")+COUNTIF('Detailed Attendance'!DN100:DN100, "P")+COUNTIF('Detailed Attendance'!DR100:DR100, "P")+COUNTIF('Detailed Attendance'!EK100:EK100, "P")+COUNTIF('Detailed Attendance'!EO100:EO100, "P")+COUNTIF('Detailed Attendance'!FE100:FE100, "P")+COUNTIF('Detailed Attendance'!FI100:FI100, "P")+COUNTIF('Detailed Attendance'!FU100:FU100, "P")+COUNTIF('Detailed Attendance'!FY100:FY100, "P")</f>
        <v/>
      </c>
      <c r="K98" s="46">
        <f>COUNTIF('Detailed Attendance'!L100:L100, "A")+COUNTIF('Detailed Attendance'!P100:P100, "A")+COUNTIF('Detailed Attendance'!AF100:AF100, "A")+COUNTIF('Detailed Attendance'!AJ100:AJ100, "A")+COUNTIF('Detailed Attendance'!AZ100:AZ100, "A")+COUNTIF('Detailed Attendance'!BD100:BD100, "A")+COUNTIF('Detailed Attendance'!BT100:BT100, "A")+COUNTIF('Detailed Attendance'!BX100:BX100, "A")+COUNTIF('Detailed Attendance'!CQ100:CQ100, "A")+COUNTIF('Detailed Attendance'!CU100:CU100, "A")+COUNTIF('Detailed Attendance'!DN100:DN100, "A")+COUNTIF('Detailed Attendance'!DR100:DR100, "A")+COUNTIF('Detailed Attendance'!EK100:EK100, "A")+COUNTIF('Detailed Attendance'!EO100:EO100, "A")+COUNTIF('Detailed Attendance'!FE100:FE100, "A")+COUNTIF('Detailed Attendance'!FI100:FI100, "A")+COUNTIF('Detailed Attendance'!FU100:FU100, "A")+COUNTIF('Detailed Attendance'!FY100:FY100, "A")</f>
        <v/>
      </c>
      <c r="L98" s="72">
        <f>IF((J98+K98)=0, "", J98/(J98+K98))</f>
        <v/>
      </c>
      <c r="M98" s="46">
        <f>COUNTIF('Detailed Attendance'!D100:D100, "P")+COUNTIF('Detailed Attendance'!T100:T100, "P")+COUNTIF('Detailed Attendance'!AN100:AN100, "P")+COUNTIF('Detailed Attendance'!AR100:AR100, "P")+COUNTIF('Detailed Attendance'!BH100:BH100, "P")+COUNTIF('Detailed Attendance'!CB100:CB100, "P")+COUNTIF('Detailed Attendance'!CF100:CF100, "P")+COUNTIF('Detailed Attendance'!CY100:CY100, "P")+COUNTIF('Detailed Attendance'!DC100:DC100, "P")+COUNTIF('Detailed Attendance'!DV100:DV100, "P")+COUNTIF('Detailed Attendance'!DZ100:DZ100, "P")+COUNTIF('Detailed Attendance'!ES100:ES100, "P")+COUNTIF('Detailed Attendance'!GC100:GC100, "P")+COUNTIF('Detailed Attendance'!GG100:GG100, "P")</f>
        <v/>
      </c>
      <c r="N98" s="46">
        <f>COUNTIF('Detailed Attendance'!D100:D100, "A")+COUNTIF('Detailed Attendance'!T100:T100, "A")+COUNTIF('Detailed Attendance'!AN100:AN100, "A")+COUNTIF('Detailed Attendance'!AR100:AR100, "A")+COUNTIF('Detailed Attendance'!BH100:BH100, "A")+COUNTIF('Detailed Attendance'!CB100:CB100, "A")+COUNTIF('Detailed Attendance'!CF100:CF100, "A")+COUNTIF('Detailed Attendance'!CY100:CY100, "A")+COUNTIF('Detailed Attendance'!DC100:DC100, "A")+COUNTIF('Detailed Attendance'!DV100:DV100, "A")+COUNTIF('Detailed Attendance'!DZ100:DZ100, "A")+COUNTIF('Detailed Attendance'!ES100:ES100, "A")+COUNTIF('Detailed Attendance'!GC100:GC100, "A")+COUNTIF('Detailed Attendance'!GG100:GG100, "A")</f>
        <v/>
      </c>
      <c r="O98" s="72">
        <f>IF((M98+N98)=0, "", M98/(M98+N98))</f>
        <v/>
      </c>
      <c r="P98" s="46">
        <f>COUNTIF('Detailed Attendance'!M100:M100, "P")+COUNTIF('Detailed Attendance'!U100:U100, "P")+COUNTIF('Detailed Attendance'!AG100:AG100, "P")+COUNTIF('Detailed Attendance'!AO100:AO100, "P")+COUNTIF('Detailed Attendance'!BA100:BA100, "P")+COUNTIF('Detailed Attendance'!BI100:BI100, "P")+COUNTIF('Detailed Attendance'!BU100:BU100, "P")+COUNTIF('Detailed Attendance'!CC100:CC100, "P")+COUNTIF('Detailed Attendance'!CR100:CR100, "P")+COUNTIF('Detailed Attendance'!CZ100:CZ100, "P")+COUNTIF('Detailed Attendance'!DO100:DO100, "P")+COUNTIF('Detailed Attendance'!DW100:DW100, "P")+COUNTIF('Detailed Attendance'!EL100:EL100, "P")+COUNTIF('Detailed Attendance'!ET100:ET100, "P")+COUNTIF('Detailed Attendance'!FF100:FF100, "P")+COUNTIF('Detailed Attendance'!FV100:FV100, "P")+COUNTIF('Detailed Attendance'!GD100:GD100, "P")</f>
        <v/>
      </c>
      <c r="Q98" s="46">
        <f>COUNTIF('Detailed Attendance'!M100:M100, "A")+COUNTIF('Detailed Attendance'!U100:U100, "A")+COUNTIF('Detailed Attendance'!AG100:AG100, "A")+COUNTIF('Detailed Attendance'!AO100:AO100, "A")+COUNTIF('Detailed Attendance'!BA100:BA100, "A")+COUNTIF('Detailed Attendance'!BI100:BI100, "A")+COUNTIF('Detailed Attendance'!BU100:BU100, "A")+COUNTIF('Detailed Attendance'!CC100:CC100, "A")+COUNTIF('Detailed Attendance'!CR100:CR100, "A")+COUNTIF('Detailed Attendance'!CZ100:CZ100, "A")+COUNTIF('Detailed Attendance'!DO100:DO100, "A")+COUNTIF('Detailed Attendance'!DW100:DW100, "A")+COUNTIF('Detailed Attendance'!EL100:EL100, "A")+COUNTIF('Detailed Attendance'!ET100:ET100, "A")+COUNTIF('Detailed Attendance'!FF100:FF100, "A")+COUNTIF('Detailed Attendance'!FV100:FV100, "A")+COUNTIF('Detailed Attendance'!GD100:GD100, "A")</f>
        <v/>
      </c>
      <c r="R98" s="72">
        <f>IF((P98+Q98)=0, "", P98/(P98+Q98))</f>
        <v/>
      </c>
      <c r="S98" s="46">
        <f>COUNTIF('Detailed Attendance'!H100:H100, "P")+COUNTIF('Detailed Attendance'!AB100:AB100, "P")+COUNTIF('Detailed Attendance'!AV100:AV100, "P")+COUNTIF('Detailed Attendance'!BP100:BP100, "P")+COUNTIF('Detailed Attendance'!CM100:CM100, "P")+COUNTIF('Detailed Attendance'!DJ100:DJ100, "P")+COUNTIF('Detailed Attendance'!EG100:EG100, "P")+COUNTIF('Detailed Attendance'!FA100:FA100, "P")+COUNTIF('Detailed Attendance'!FQ100:FQ100, "P")</f>
        <v/>
      </c>
      <c r="T98" s="46">
        <f>COUNTIF('Detailed Attendance'!H100:H100, "A")+COUNTIF('Detailed Attendance'!AB100:AB100, "A")+COUNTIF('Detailed Attendance'!AV100:AV100, "A")+COUNTIF('Detailed Attendance'!BP100:BP100, "A")+COUNTIF('Detailed Attendance'!CM100:CM100, "A")+COUNTIF('Detailed Attendance'!DJ100:DJ100, "A")+COUNTIF('Detailed Attendance'!EG100:EG100, "A")+COUNTIF('Detailed Attendance'!FA100:FA100, "A")+COUNTIF('Detailed Attendance'!FQ100:FQ100, "A")</f>
        <v/>
      </c>
      <c r="U98" s="73">
        <f>IF((S98+T98)=0, "", S98/(S98+T98))</f>
        <v/>
      </c>
      <c r="V98" s="46">
        <f>COUNTIF('Detailed Attendance'!E100:E100, "P")+COUNTIF('Detailed Attendance'!Y100:Y100, "P")+COUNTIF('Detailed Attendance'!AS100:AS100, "P")+COUNTIF('Detailed Attendance'!BM100:BM100, "P")+COUNTIF('Detailed Attendance'!CJ100:CJ100, "P")+COUNTIF('Detailed Attendance'!DG100:DG100, "P")+COUNTIF('Detailed Attendance'!ED100:ED100, "P")+COUNTIF('Detailed Attendance'!EX100:EX100, "P")+COUNTIF('Detailed Attendance'!FN100:FN100, "P")</f>
        <v/>
      </c>
      <c r="W98" s="46">
        <f>COUNTIF('Detailed Attendance'!E100:E100, "A")+COUNTIF('Detailed Attendance'!Y100:Y100, "A")+COUNTIF('Detailed Attendance'!AS100:AS100, "A")+COUNTIF('Detailed Attendance'!BM100:BM100, "A")+COUNTIF('Detailed Attendance'!CJ100:CJ100, "A")+COUNTIF('Detailed Attendance'!DG100:DG100, "A")+COUNTIF('Detailed Attendance'!ED100:ED100, "A")+COUNTIF('Detailed Attendance'!EX100:EX100, "A")+COUNTIF('Detailed Attendance'!FN100:FN100, "A")</f>
        <v/>
      </c>
      <c r="X98" s="73">
        <f>IF((V98+W98)=0, "", V98/(V98+W98))</f>
        <v/>
      </c>
      <c r="Y98" s="46">
        <f>COUNTIF('Detailed Attendance'!CH100:CH100, "P")+COUNTIF('Detailed Attendance'!DE100:DE100, "P")+COUNTIF('Detailed Attendance'!EB100:EB100, "P")+COUNTIF('Detailed Attendance'!GI100:GI100, "P")</f>
        <v/>
      </c>
      <c r="Z98" s="46">
        <f>COUNTIF('Detailed Attendance'!CH100:CH100, "A")+COUNTIF('Detailed Attendance'!DE100:DE100, "A")+COUNTIF('Detailed Attendance'!EB100:EB100, "A")+COUNTIF('Detailed Attendance'!GI100:GI100, "A")</f>
        <v/>
      </c>
      <c r="AA98" s="73">
        <f>IF((Y98+Z98)=0, "", Y98/(Y98+Z98))</f>
        <v/>
      </c>
      <c r="AB98" s="46">
        <f>S98+V98+Y98</f>
        <v/>
      </c>
      <c r="AC98" s="46">
        <f>T98+W98+Z98</f>
        <v/>
      </c>
      <c r="AD98" s="73">
        <f>IF((AB98+AC98)=0, "", AB98/(AB98+AC98))</f>
        <v/>
      </c>
      <c r="AE98" s="46" t="inlineStr">
        <is>
          <t>Batch 3</t>
        </is>
      </c>
    </row>
    <row r="99" ht="14.25" customHeight="1" s="34">
      <c r="A99" s="46" t="n">
        <v>98</v>
      </c>
      <c r="B99" s="46" t="inlineStr">
        <is>
          <t>325106410098</t>
        </is>
      </c>
      <c r="C99" s="46" t="inlineStr">
        <is>
          <t>OMAR TAMOU EL HABIB ANFANE</t>
        </is>
      </c>
      <c r="D99" s="46">
        <f>COUNTIF('Detailed Attendance'!R101:R101, "P")+COUNTIF('Detailed Attendance'!X101:X101, "P")+COUNTIF('Detailed Attendance'!AL101:AL101, "P")+COUNTIF('Detailed Attendance'!BF101:BF101, "P")+COUNTIF('Detailed Attendance'!BL101:BL101, "P")+COUNTIF('Detailed Attendance'!BZ101:BZ101, "P")+COUNTIF('Detailed Attendance'!CI101:CI101, "P")+COUNTIF('Detailed Attendance'!CW101:CW101, "P")+COUNTIF('Detailed Attendance'!DF101:DF101, "P")+COUNTIF('Detailed Attendance'!DT101:DT101, "P")+COUNTIF('Detailed Attendance'!EC101:EC101, "P")+COUNTIF('Detailed Attendance'!EQ101:EQ101, "P")+COUNTIF('Detailed Attendance'!EW101:EW101, "P")+COUNTIF('Detailed Attendance'!FK101:FK101, "P")+COUNTIF('Detailed Attendance'!FM101:FM101, "P")+COUNTIF('Detailed Attendance'!GA101:GA101, "P")</f>
        <v/>
      </c>
      <c r="E99" s="46">
        <f>COUNTIF('Detailed Attendance'!R101:R101, "A")+COUNTIF('Detailed Attendance'!X101:X101, "A")+COUNTIF('Detailed Attendance'!AL101:AL101, "A")+COUNTIF('Detailed Attendance'!BF101:BF101, "A")+COUNTIF('Detailed Attendance'!BL101:BL101, "A")+COUNTIF('Detailed Attendance'!BZ101:BZ101, "A")+COUNTIF('Detailed Attendance'!CI101:CI101, "A")+COUNTIF('Detailed Attendance'!CW101:CW101, "A")+COUNTIF('Detailed Attendance'!DF101:DF101, "A")+COUNTIF('Detailed Attendance'!DT101:DT101, "A")+COUNTIF('Detailed Attendance'!EC101:EC101, "A")+COUNTIF('Detailed Attendance'!EQ101:EQ101, "A")+COUNTIF('Detailed Attendance'!EW101:EW101, "A")+COUNTIF('Detailed Attendance'!FK101:FK101, "A")+COUNTIF('Detailed Attendance'!FM101:FM101, "A")+COUNTIF('Detailed Attendance'!GA101:GA101, "A")</f>
        <v/>
      </c>
      <c r="F99" s="72">
        <f>IF((D99+E99)=0, "", D99/(D99+E99))</f>
        <v/>
      </c>
      <c r="G99" s="46">
        <f>COUNTIF('Detailed Attendance'!I101:I101, "P")+COUNTIF('Detailed Attendance'!Q101:Q101, "P")+COUNTIF('Detailed Attendance'!AC101:AC101, "P")+COUNTIF('Detailed Attendance'!AK101:AK101, "P")+COUNTIF('Detailed Attendance'!AW101:AW101, "P")+COUNTIF('Detailed Attendance'!BE101:BE101, "P")+COUNTIF('Detailed Attendance'!BQ101:BQ101, "P")+COUNTIF('Detailed Attendance'!BY101:BY101, "P")+COUNTIF('Detailed Attendance'!CN101:CN101, "P")+COUNTIF('Detailed Attendance'!CV101:CV101, "P")+COUNTIF('Detailed Attendance'!DK101:DK101, "P")+COUNTIF('Detailed Attendance'!DS101:DS101, "P")+COUNTIF('Detailed Attendance'!EH101:EH101, "P")+COUNTIF('Detailed Attendance'!EP101:EP101, "P")+COUNTIF('Detailed Attendance'!FB101:FB101, "P")+COUNTIF('Detailed Attendance'!FJ101:FJ101, "P")+COUNTIF('Detailed Attendance'!FR101:FR101, "P")+COUNTIF('Detailed Attendance'!FZ101:FZ101, "P")</f>
        <v/>
      </c>
      <c r="H99" s="46">
        <f>COUNTIF('Detailed Attendance'!I101:I101, "A")+COUNTIF('Detailed Attendance'!Q101:Q101, "A")+COUNTIF('Detailed Attendance'!AC101:AC101, "A")+COUNTIF('Detailed Attendance'!AK101:AK101, "A")+COUNTIF('Detailed Attendance'!AW101:AW101, "A")+COUNTIF('Detailed Attendance'!BE101:BE101, "A")+COUNTIF('Detailed Attendance'!BQ101:BQ101, "A")+COUNTIF('Detailed Attendance'!BY101:BY101, "A")+COUNTIF('Detailed Attendance'!CN101:CN101, "A")+COUNTIF('Detailed Attendance'!CV101:CV101, "A")+COUNTIF('Detailed Attendance'!DK101:DK101, "A")+COUNTIF('Detailed Attendance'!DS101:DS101, "A")+COUNTIF('Detailed Attendance'!EH101:EH101, "A")+COUNTIF('Detailed Attendance'!EP101:EP101, "A")+COUNTIF('Detailed Attendance'!FB101:FB101, "A")+COUNTIF('Detailed Attendance'!FJ101:FJ101, "A")+COUNTIF('Detailed Attendance'!FR101:FR101, "A")+COUNTIF('Detailed Attendance'!FZ101:FZ101, "A")</f>
        <v/>
      </c>
      <c r="I99" s="72">
        <f>IF((G99+H99)=0, "", G99/(G99+H99))</f>
        <v/>
      </c>
      <c r="J99" s="46">
        <f>COUNTIF('Detailed Attendance'!L101:L101, "P")+COUNTIF('Detailed Attendance'!P101:P101, "P")+COUNTIF('Detailed Attendance'!AF101:AF101, "P")+COUNTIF('Detailed Attendance'!AJ101:AJ101, "P")+COUNTIF('Detailed Attendance'!AZ101:AZ101, "P")+COUNTIF('Detailed Attendance'!BD101:BD101, "P")+COUNTIF('Detailed Attendance'!BT101:BT101, "P")+COUNTIF('Detailed Attendance'!BX101:BX101, "P")+COUNTIF('Detailed Attendance'!CQ101:CQ101, "P")+COUNTIF('Detailed Attendance'!CU101:CU101, "P")+COUNTIF('Detailed Attendance'!DN101:DN101, "P")+COUNTIF('Detailed Attendance'!DR101:DR101, "P")+COUNTIF('Detailed Attendance'!EK101:EK101, "P")+COUNTIF('Detailed Attendance'!EO101:EO101, "P")+COUNTIF('Detailed Attendance'!FE101:FE101, "P")+COUNTIF('Detailed Attendance'!FI101:FI101, "P")+COUNTIF('Detailed Attendance'!FU101:FU101, "P")+COUNTIF('Detailed Attendance'!FY101:FY101, "P")</f>
        <v/>
      </c>
      <c r="K99" s="46">
        <f>COUNTIF('Detailed Attendance'!L101:L101, "A")+COUNTIF('Detailed Attendance'!P101:P101, "A")+COUNTIF('Detailed Attendance'!AF101:AF101, "A")+COUNTIF('Detailed Attendance'!AJ101:AJ101, "A")+COUNTIF('Detailed Attendance'!AZ101:AZ101, "A")+COUNTIF('Detailed Attendance'!BD101:BD101, "A")+COUNTIF('Detailed Attendance'!BT101:BT101, "A")+COUNTIF('Detailed Attendance'!BX101:BX101, "A")+COUNTIF('Detailed Attendance'!CQ101:CQ101, "A")+COUNTIF('Detailed Attendance'!CU101:CU101, "A")+COUNTIF('Detailed Attendance'!DN101:DN101, "A")+COUNTIF('Detailed Attendance'!DR101:DR101, "A")+COUNTIF('Detailed Attendance'!EK101:EK101, "A")+COUNTIF('Detailed Attendance'!EO101:EO101, "A")+COUNTIF('Detailed Attendance'!FE101:FE101, "A")+COUNTIF('Detailed Attendance'!FI101:FI101, "A")+COUNTIF('Detailed Attendance'!FU101:FU101, "A")+COUNTIF('Detailed Attendance'!FY101:FY101, "A")</f>
        <v/>
      </c>
      <c r="L99" s="72">
        <f>IF((J99+K99)=0, "", J99/(J99+K99))</f>
        <v/>
      </c>
      <c r="M99" s="46">
        <f>COUNTIF('Detailed Attendance'!D101:D101, "P")+COUNTIF('Detailed Attendance'!T101:T101, "P")+COUNTIF('Detailed Attendance'!AN101:AN101, "P")+COUNTIF('Detailed Attendance'!AR101:AR101, "P")+COUNTIF('Detailed Attendance'!BH101:BH101, "P")+COUNTIF('Detailed Attendance'!CB101:CB101, "P")+COUNTIF('Detailed Attendance'!CF101:CF101, "P")+COUNTIF('Detailed Attendance'!CY101:CY101, "P")+COUNTIF('Detailed Attendance'!DC101:DC101, "P")+COUNTIF('Detailed Attendance'!DV101:DV101, "P")+COUNTIF('Detailed Attendance'!DZ101:DZ101, "P")+COUNTIF('Detailed Attendance'!ES101:ES101, "P")+COUNTIF('Detailed Attendance'!GC101:GC101, "P")+COUNTIF('Detailed Attendance'!GG101:GG101, "P")</f>
        <v/>
      </c>
      <c r="N99" s="46">
        <f>COUNTIF('Detailed Attendance'!D101:D101, "A")+COUNTIF('Detailed Attendance'!T101:T101, "A")+COUNTIF('Detailed Attendance'!AN101:AN101, "A")+COUNTIF('Detailed Attendance'!AR101:AR101, "A")+COUNTIF('Detailed Attendance'!BH101:BH101, "A")+COUNTIF('Detailed Attendance'!CB101:CB101, "A")+COUNTIF('Detailed Attendance'!CF101:CF101, "A")+COUNTIF('Detailed Attendance'!CY101:CY101, "A")+COUNTIF('Detailed Attendance'!DC101:DC101, "A")+COUNTIF('Detailed Attendance'!DV101:DV101, "A")+COUNTIF('Detailed Attendance'!DZ101:DZ101, "A")+COUNTIF('Detailed Attendance'!ES101:ES101, "A")+COUNTIF('Detailed Attendance'!GC101:GC101, "A")+COUNTIF('Detailed Attendance'!GG101:GG101, "A")</f>
        <v/>
      </c>
      <c r="O99" s="72">
        <f>IF((M99+N99)=0, "", M99/(M99+N99))</f>
        <v/>
      </c>
      <c r="P99" s="46">
        <f>COUNTIF('Detailed Attendance'!M101:M101, "P")+COUNTIF('Detailed Attendance'!U101:U101, "P")+COUNTIF('Detailed Attendance'!AG101:AG101, "P")+COUNTIF('Detailed Attendance'!AO101:AO101, "P")+COUNTIF('Detailed Attendance'!BA101:BA101, "P")+COUNTIF('Detailed Attendance'!BI101:BI101, "P")+COUNTIF('Detailed Attendance'!BU101:BU101, "P")+COUNTIF('Detailed Attendance'!CC101:CC101, "P")+COUNTIF('Detailed Attendance'!CR101:CR101, "P")+COUNTIF('Detailed Attendance'!CZ101:CZ101, "P")+COUNTIF('Detailed Attendance'!DO101:DO101, "P")+COUNTIF('Detailed Attendance'!DW101:DW101, "P")+COUNTIF('Detailed Attendance'!EL101:EL101, "P")+COUNTIF('Detailed Attendance'!ET101:ET101, "P")+COUNTIF('Detailed Attendance'!FF101:FF101, "P")+COUNTIF('Detailed Attendance'!FV101:FV101, "P")+COUNTIF('Detailed Attendance'!GD101:GD101, "P")</f>
        <v/>
      </c>
      <c r="Q99" s="46">
        <f>COUNTIF('Detailed Attendance'!M101:M101, "A")+COUNTIF('Detailed Attendance'!U101:U101, "A")+COUNTIF('Detailed Attendance'!AG101:AG101, "A")+COUNTIF('Detailed Attendance'!AO101:AO101, "A")+COUNTIF('Detailed Attendance'!BA101:BA101, "A")+COUNTIF('Detailed Attendance'!BI101:BI101, "A")+COUNTIF('Detailed Attendance'!BU101:BU101, "A")+COUNTIF('Detailed Attendance'!CC101:CC101, "A")+COUNTIF('Detailed Attendance'!CR101:CR101, "A")+COUNTIF('Detailed Attendance'!CZ101:CZ101, "A")+COUNTIF('Detailed Attendance'!DO101:DO101, "A")+COUNTIF('Detailed Attendance'!DW101:DW101, "A")+COUNTIF('Detailed Attendance'!EL101:EL101, "A")+COUNTIF('Detailed Attendance'!ET101:ET101, "A")+COUNTIF('Detailed Attendance'!FF101:FF101, "A")+COUNTIF('Detailed Attendance'!FV101:FV101, "A")+COUNTIF('Detailed Attendance'!GD101:GD101, "A")</f>
        <v/>
      </c>
      <c r="R99" s="72">
        <f>IF((P99+Q99)=0, "", P99/(P99+Q99))</f>
        <v/>
      </c>
      <c r="S99" s="46">
        <f>COUNTIF('Detailed Attendance'!H101:H101, "P")+COUNTIF('Detailed Attendance'!AB101:AB101, "P")+COUNTIF('Detailed Attendance'!AV101:AV101, "P")+COUNTIF('Detailed Attendance'!BP101:BP101, "P")+COUNTIF('Detailed Attendance'!CM101:CM101, "P")+COUNTIF('Detailed Attendance'!DJ101:DJ101, "P")+COUNTIF('Detailed Attendance'!EG101:EG101, "P")+COUNTIF('Detailed Attendance'!FA101:FA101, "P")+COUNTIF('Detailed Attendance'!FQ101:FQ101, "P")</f>
        <v/>
      </c>
      <c r="T99" s="46">
        <f>COUNTIF('Detailed Attendance'!H101:H101, "A")+COUNTIF('Detailed Attendance'!AB101:AB101, "A")+COUNTIF('Detailed Attendance'!AV101:AV101, "A")+COUNTIF('Detailed Attendance'!BP101:BP101, "A")+COUNTIF('Detailed Attendance'!CM101:CM101, "A")+COUNTIF('Detailed Attendance'!DJ101:DJ101, "A")+COUNTIF('Detailed Attendance'!EG101:EG101, "A")+COUNTIF('Detailed Attendance'!FA101:FA101, "A")+COUNTIF('Detailed Attendance'!FQ101:FQ101, "A")</f>
        <v/>
      </c>
      <c r="U99" s="73">
        <f>IF((S99+T99)=0, "", S99/(S99+T99))</f>
        <v/>
      </c>
      <c r="V99" s="46">
        <f>COUNTIF('Detailed Attendance'!E101:E101, "P")+COUNTIF('Detailed Attendance'!Y101:Y101, "P")+COUNTIF('Detailed Attendance'!AS101:AS101, "P")+COUNTIF('Detailed Attendance'!BM101:BM101, "P")+COUNTIF('Detailed Attendance'!CJ101:CJ101, "P")+COUNTIF('Detailed Attendance'!DG101:DG101, "P")+COUNTIF('Detailed Attendance'!ED101:ED101, "P")+COUNTIF('Detailed Attendance'!EX101:EX101, "P")+COUNTIF('Detailed Attendance'!FN101:FN101, "P")</f>
        <v/>
      </c>
      <c r="W99" s="46">
        <f>COUNTIF('Detailed Attendance'!E101:E101, "A")+COUNTIF('Detailed Attendance'!Y101:Y101, "A")+COUNTIF('Detailed Attendance'!AS101:AS101, "A")+COUNTIF('Detailed Attendance'!BM101:BM101, "A")+COUNTIF('Detailed Attendance'!CJ101:CJ101, "A")+COUNTIF('Detailed Attendance'!DG101:DG101, "A")+COUNTIF('Detailed Attendance'!ED101:ED101, "A")+COUNTIF('Detailed Attendance'!EX101:EX101, "A")+COUNTIF('Detailed Attendance'!FN101:FN101, "A")</f>
        <v/>
      </c>
      <c r="X99" s="73">
        <f>IF((V99+W99)=0, "", V99/(V99+W99))</f>
        <v/>
      </c>
      <c r="Y99" s="46">
        <f>COUNTIF('Detailed Attendance'!CH101:CH101, "P")+COUNTIF('Detailed Attendance'!DE101:DE101, "P")+COUNTIF('Detailed Attendance'!EB101:EB101, "P")+COUNTIF('Detailed Attendance'!GI101:GI101, "P")</f>
        <v/>
      </c>
      <c r="Z99" s="46">
        <f>COUNTIF('Detailed Attendance'!CH101:CH101, "A")+COUNTIF('Detailed Attendance'!DE101:DE101, "A")+COUNTIF('Detailed Attendance'!EB101:EB101, "A")+COUNTIF('Detailed Attendance'!GI101:GI101, "A")</f>
        <v/>
      </c>
      <c r="AA99" s="73">
        <f>IF((Y99+Z99)=0, "", Y99/(Y99+Z99))</f>
        <v/>
      </c>
      <c r="AB99" s="46">
        <f>S99+V99+Y99</f>
        <v/>
      </c>
      <c r="AC99" s="46">
        <f>T99+W99+Z99</f>
        <v/>
      </c>
      <c r="AD99" s="73">
        <f>IF((AB99+AC99)=0, "", AB99/(AB99+AC99))</f>
        <v/>
      </c>
      <c r="AE99" s="46" t="inlineStr">
        <is>
          <t>Batch 3</t>
        </is>
      </c>
    </row>
    <row r="100" ht="14.25" customHeight="1" s="34">
      <c r="A100" s="46" t="n">
        <v>99</v>
      </c>
      <c r="B100" s="46" t="inlineStr">
        <is>
          <t>325106410099</t>
        </is>
      </c>
      <c r="C100" s="46" t="inlineStr">
        <is>
          <t>OSCAR MANSIAMINA JUNIOR</t>
        </is>
      </c>
      <c r="D100" s="46">
        <f>COUNTIF('Detailed Attendance'!R102:R102, "P")+COUNTIF('Detailed Attendance'!X102:X102, "P")+COUNTIF('Detailed Attendance'!AL102:AL102, "P")+COUNTIF('Detailed Attendance'!BF102:BF102, "P")+COUNTIF('Detailed Attendance'!BL102:BL102, "P")+COUNTIF('Detailed Attendance'!BZ102:BZ102, "P")+COUNTIF('Detailed Attendance'!CI102:CI102, "P")+COUNTIF('Detailed Attendance'!CW102:CW102, "P")+COUNTIF('Detailed Attendance'!DF102:DF102, "P")+COUNTIF('Detailed Attendance'!DT102:DT102, "P")+COUNTIF('Detailed Attendance'!EC102:EC102, "P")+COUNTIF('Detailed Attendance'!EQ102:EQ102, "P")+COUNTIF('Detailed Attendance'!EW102:EW102, "P")+COUNTIF('Detailed Attendance'!FK102:FK102, "P")+COUNTIF('Detailed Attendance'!FM102:FM102, "P")+COUNTIF('Detailed Attendance'!GA102:GA102, "P")</f>
        <v/>
      </c>
      <c r="E100" s="46">
        <f>COUNTIF('Detailed Attendance'!R102:R102, "A")+COUNTIF('Detailed Attendance'!X102:X102, "A")+COUNTIF('Detailed Attendance'!AL102:AL102, "A")+COUNTIF('Detailed Attendance'!BF102:BF102, "A")+COUNTIF('Detailed Attendance'!BL102:BL102, "A")+COUNTIF('Detailed Attendance'!BZ102:BZ102, "A")+COUNTIF('Detailed Attendance'!CI102:CI102, "A")+COUNTIF('Detailed Attendance'!CW102:CW102, "A")+COUNTIF('Detailed Attendance'!DF102:DF102, "A")+COUNTIF('Detailed Attendance'!DT102:DT102, "A")+COUNTIF('Detailed Attendance'!EC102:EC102, "A")+COUNTIF('Detailed Attendance'!EQ102:EQ102, "A")+COUNTIF('Detailed Attendance'!EW102:EW102, "A")+COUNTIF('Detailed Attendance'!FK102:FK102, "A")+COUNTIF('Detailed Attendance'!FM102:FM102, "A")+COUNTIF('Detailed Attendance'!GA102:GA102, "A")</f>
        <v/>
      </c>
      <c r="F100" s="72">
        <f>IF((D100+E100)=0, "", D100/(D100+E100))</f>
        <v/>
      </c>
      <c r="G100" s="46">
        <f>COUNTIF('Detailed Attendance'!I102:I102, "P")+COUNTIF('Detailed Attendance'!Q102:Q102, "P")+COUNTIF('Detailed Attendance'!AC102:AC102, "P")+COUNTIF('Detailed Attendance'!AK102:AK102, "P")+COUNTIF('Detailed Attendance'!AW102:AW102, "P")+COUNTIF('Detailed Attendance'!BE102:BE102, "P")+COUNTIF('Detailed Attendance'!BQ102:BQ102, "P")+COUNTIF('Detailed Attendance'!BY102:BY102, "P")+COUNTIF('Detailed Attendance'!CN102:CN102, "P")+COUNTIF('Detailed Attendance'!CV102:CV102, "P")+COUNTIF('Detailed Attendance'!DK102:DK102, "P")+COUNTIF('Detailed Attendance'!DS102:DS102, "P")+COUNTIF('Detailed Attendance'!EH102:EH102, "P")+COUNTIF('Detailed Attendance'!EP102:EP102, "P")+COUNTIF('Detailed Attendance'!FB102:FB102, "P")+COUNTIF('Detailed Attendance'!FJ102:FJ102, "P")+COUNTIF('Detailed Attendance'!FR102:FR102, "P")+COUNTIF('Detailed Attendance'!FZ102:FZ102, "P")</f>
        <v/>
      </c>
      <c r="H100" s="46">
        <f>COUNTIF('Detailed Attendance'!I102:I102, "A")+COUNTIF('Detailed Attendance'!Q102:Q102, "A")+COUNTIF('Detailed Attendance'!AC102:AC102, "A")+COUNTIF('Detailed Attendance'!AK102:AK102, "A")+COUNTIF('Detailed Attendance'!AW102:AW102, "A")+COUNTIF('Detailed Attendance'!BE102:BE102, "A")+COUNTIF('Detailed Attendance'!BQ102:BQ102, "A")+COUNTIF('Detailed Attendance'!BY102:BY102, "A")+COUNTIF('Detailed Attendance'!CN102:CN102, "A")+COUNTIF('Detailed Attendance'!CV102:CV102, "A")+COUNTIF('Detailed Attendance'!DK102:DK102, "A")+COUNTIF('Detailed Attendance'!DS102:DS102, "A")+COUNTIF('Detailed Attendance'!EH102:EH102, "A")+COUNTIF('Detailed Attendance'!EP102:EP102, "A")+COUNTIF('Detailed Attendance'!FB102:FB102, "A")+COUNTIF('Detailed Attendance'!FJ102:FJ102, "A")+COUNTIF('Detailed Attendance'!FR102:FR102, "A")+COUNTIF('Detailed Attendance'!FZ102:FZ102, "A")</f>
        <v/>
      </c>
      <c r="I100" s="72">
        <f>IF((G100+H100)=0, "", G100/(G100+H100))</f>
        <v/>
      </c>
      <c r="J100" s="46">
        <f>COUNTIF('Detailed Attendance'!L102:L102, "P")+COUNTIF('Detailed Attendance'!P102:P102, "P")+COUNTIF('Detailed Attendance'!AF102:AF102, "P")+COUNTIF('Detailed Attendance'!AJ102:AJ102, "P")+COUNTIF('Detailed Attendance'!AZ102:AZ102, "P")+COUNTIF('Detailed Attendance'!BD102:BD102, "P")+COUNTIF('Detailed Attendance'!BT102:BT102, "P")+COUNTIF('Detailed Attendance'!BX102:BX102, "P")+COUNTIF('Detailed Attendance'!CQ102:CQ102, "P")+COUNTIF('Detailed Attendance'!CU102:CU102, "P")+COUNTIF('Detailed Attendance'!DN102:DN102, "P")+COUNTIF('Detailed Attendance'!DR102:DR102, "P")+COUNTIF('Detailed Attendance'!EK102:EK102, "P")+COUNTIF('Detailed Attendance'!EO102:EO102, "P")+COUNTIF('Detailed Attendance'!FE102:FE102, "P")+COUNTIF('Detailed Attendance'!FI102:FI102, "P")+COUNTIF('Detailed Attendance'!FU102:FU102, "P")+COUNTIF('Detailed Attendance'!FY102:FY102, "P")</f>
        <v/>
      </c>
      <c r="K100" s="46">
        <f>COUNTIF('Detailed Attendance'!L102:L102, "A")+COUNTIF('Detailed Attendance'!P102:P102, "A")+COUNTIF('Detailed Attendance'!AF102:AF102, "A")+COUNTIF('Detailed Attendance'!AJ102:AJ102, "A")+COUNTIF('Detailed Attendance'!AZ102:AZ102, "A")+COUNTIF('Detailed Attendance'!BD102:BD102, "A")+COUNTIF('Detailed Attendance'!BT102:BT102, "A")+COUNTIF('Detailed Attendance'!BX102:BX102, "A")+COUNTIF('Detailed Attendance'!CQ102:CQ102, "A")+COUNTIF('Detailed Attendance'!CU102:CU102, "A")+COUNTIF('Detailed Attendance'!DN102:DN102, "A")+COUNTIF('Detailed Attendance'!DR102:DR102, "A")+COUNTIF('Detailed Attendance'!EK102:EK102, "A")+COUNTIF('Detailed Attendance'!EO102:EO102, "A")+COUNTIF('Detailed Attendance'!FE102:FE102, "A")+COUNTIF('Detailed Attendance'!FI102:FI102, "A")+COUNTIF('Detailed Attendance'!FU102:FU102, "A")+COUNTIF('Detailed Attendance'!FY102:FY102, "A")</f>
        <v/>
      </c>
      <c r="L100" s="72">
        <f>IF((J100+K100)=0, "", J100/(J100+K100))</f>
        <v/>
      </c>
      <c r="M100" s="46">
        <f>COUNTIF('Detailed Attendance'!D102:D102, "P")+COUNTIF('Detailed Attendance'!T102:T102, "P")+COUNTIF('Detailed Attendance'!AN102:AN102, "P")+COUNTIF('Detailed Attendance'!AR102:AR102, "P")+COUNTIF('Detailed Attendance'!BH102:BH102, "P")+COUNTIF('Detailed Attendance'!CB102:CB102, "P")+COUNTIF('Detailed Attendance'!CF102:CF102, "P")+COUNTIF('Detailed Attendance'!CY102:CY102, "P")+COUNTIF('Detailed Attendance'!DC102:DC102, "P")+COUNTIF('Detailed Attendance'!DV102:DV102, "P")+COUNTIF('Detailed Attendance'!DZ102:DZ102, "P")+COUNTIF('Detailed Attendance'!ES102:ES102, "P")+COUNTIF('Detailed Attendance'!GC102:GC102, "P")+COUNTIF('Detailed Attendance'!GG102:GG102, "P")</f>
        <v/>
      </c>
      <c r="N100" s="46">
        <f>COUNTIF('Detailed Attendance'!D102:D102, "A")+COUNTIF('Detailed Attendance'!T102:T102, "A")+COUNTIF('Detailed Attendance'!AN102:AN102, "A")+COUNTIF('Detailed Attendance'!AR102:AR102, "A")+COUNTIF('Detailed Attendance'!BH102:BH102, "A")+COUNTIF('Detailed Attendance'!CB102:CB102, "A")+COUNTIF('Detailed Attendance'!CF102:CF102, "A")+COUNTIF('Detailed Attendance'!CY102:CY102, "A")+COUNTIF('Detailed Attendance'!DC102:DC102, "A")+COUNTIF('Detailed Attendance'!DV102:DV102, "A")+COUNTIF('Detailed Attendance'!DZ102:DZ102, "A")+COUNTIF('Detailed Attendance'!ES102:ES102, "A")+COUNTIF('Detailed Attendance'!GC102:GC102, "A")+COUNTIF('Detailed Attendance'!GG102:GG102, "A")</f>
        <v/>
      </c>
      <c r="O100" s="72">
        <f>IF((M100+N100)=0, "", M100/(M100+N100))</f>
        <v/>
      </c>
      <c r="P100" s="46">
        <f>COUNTIF('Detailed Attendance'!M102:M102, "P")+COUNTIF('Detailed Attendance'!U102:U102, "P")+COUNTIF('Detailed Attendance'!AG102:AG102, "P")+COUNTIF('Detailed Attendance'!AO102:AO102, "P")+COUNTIF('Detailed Attendance'!BA102:BA102, "P")+COUNTIF('Detailed Attendance'!BI102:BI102, "P")+COUNTIF('Detailed Attendance'!BU102:BU102, "P")+COUNTIF('Detailed Attendance'!CC102:CC102, "P")+COUNTIF('Detailed Attendance'!CR102:CR102, "P")+COUNTIF('Detailed Attendance'!CZ102:CZ102, "P")+COUNTIF('Detailed Attendance'!DO102:DO102, "P")+COUNTIF('Detailed Attendance'!DW102:DW102, "P")+COUNTIF('Detailed Attendance'!EL102:EL102, "P")+COUNTIF('Detailed Attendance'!ET102:ET102, "P")+COUNTIF('Detailed Attendance'!FF102:FF102, "P")+COUNTIF('Detailed Attendance'!FV102:FV102, "P")+COUNTIF('Detailed Attendance'!GD102:GD102, "P")</f>
        <v/>
      </c>
      <c r="Q100" s="46">
        <f>COUNTIF('Detailed Attendance'!M102:M102, "A")+COUNTIF('Detailed Attendance'!U102:U102, "A")+COUNTIF('Detailed Attendance'!AG102:AG102, "A")+COUNTIF('Detailed Attendance'!AO102:AO102, "A")+COUNTIF('Detailed Attendance'!BA102:BA102, "A")+COUNTIF('Detailed Attendance'!BI102:BI102, "A")+COUNTIF('Detailed Attendance'!BU102:BU102, "A")+COUNTIF('Detailed Attendance'!CC102:CC102, "A")+COUNTIF('Detailed Attendance'!CR102:CR102, "A")+COUNTIF('Detailed Attendance'!CZ102:CZ102, "A")+COUNTIF('Detailed Attendance'!DO102:DO102, "A")+COUNTIF('Detailed Attendance'!DW102:DW102, "A")+COUNTIF('Detailed Attendance'!EL102:EL102, "A")+COUNTIF('Detailed Attendance'!ET102:ET102, "A")+COUNTIF('Detailed Attendance'!FF102:FF102, "A")+COUNTIF('Detailed Attendance'!FV102:FV102, "A")+COUNTIF('Detailed Attendance'!GD102:GD102, "A")</f>
        <v/>
      </c>
      <c r="R100" s="72">
        <f>IF((P100+Q100)=0, "", P100/(P100+Q100))</f>
        <v/>
      </c>
      <c r="S100" s="46">
        <f>COUNTIF('Detailed Attendance'!H102:H102, "P")+COUNTIF('Detailed Attendance'!AB102:AB102, "P")+COUNTIF('Detailed Attendance'!AV102:AV102, "P")+COUNTIF('Detailed Attendance'!BP102:BP102, "P")+COUNTIF('Detailed Attendance'!CM102:CM102, "P")+COUNTIF('Detailed Attendance'!DJ102:DJ102, "P")+COUNTIF('Detailed Attendance'!EG102:EG102, "P")+COUNTIF('Detailed Attendance'!FA102:FA102, "P")+COUNTIF('Detailed Attendance'!FQ102:FQ102, "P")</f>
        <v/>
      </c>
      <c r="T100" s="46">
        <f>COUNTIF('Detailed Attendance'!H102:H102, "A")+COUNTIF('Detailed Attendance'!AB102:AB102, "A")+COUNTIF('Detailed Attendance'!AV102:AV102, "A")+COUNTIF('Detailed Attendance'!BP102:BP102, "A")+COUNTIF('Detailed Attendance'!CM102:CM102, "A")+COUNTIF('Detailed Attendance'!DJ102:DJ102, "A")+COUNTIF('Detailed Attendance'!EG102:EG102, "A")+COUNTIF('Detailed Attendance'!FA102:FA102, "A")+COUNTIF('Detailed Attendance'!FQ102:FQ102, "A")</f>
        <v/>
      </c>
      <c r="U100" s="73">
        <f>IF((S100+T100)=0, "", S100/(S100+T100))</f>
        <v/>
      </c>
      <c r="V100" s="46">
        <f>COUNTIF('Detailed Attendance'!E102:E102, "P")+COUNTIF('Detailed Attendance'!Y102:Y102, "P")+COUNTIF('Detailed Attendance'!AS102:AS102, "P")+COUNTIF('Detailed Attendance'!BM102:BM102, "P")+COUNTIF('Detailed Attendance'!CJ102:CJ102, "P")+COUNTIF('Detailed Attendance'!DG102:DG102, "P")+COUNTIF('Detailed Attendance'!ED102:ED102, "P")+COUNTIF('Detailed Attendance'!EX102:EX102, "P")+COUNTIF('Detailed Attendance'!FN102:FN102, "P")</f>
        <v/>
      </c>
      <c r="W100" s="46">
        <f>COUNTIF('Detailed Attendance'!E102:E102, "A")+COUNTIF('Detailed Attendance'!Y102:Y102, "A")+COUNTIF('Detailed Attendance'!AS102:AS102, "A")+COUNTIF('Detailed Attendance'!BM102:BM102, "A")+COUNTIF('Detailed Attendance'!CJ102:CJ102, "A")+COUNTIF('Detailed Attendance'!DG102:DG102, "A")+COUNTIF('Detailed Attendance'!ED102:ED102, "A")+COUNTIF('Detailed Attendance'!EX102:EX102, "A")+COUNTIF('Detailed Attendance'!FN102:FN102, "A")</f>
        <v/>
      </c>
      <c r="X100" s="73">
        <f>IF((V100+W100)=0, "", V100/(V100+W100))</f>
        <v/>
      </c>
      <c r="Y100" s="46">
        <f>COUNTIF('Detailed Attendance'!CH102:CH102, "P")+COUNTIF('Detailed Attendance'!DE102:DE102, "P")+COUNTIF('Detailed Attendance'!EB102:EB102, "P")+COUNTIF('Detailed Attendance'!GI102:GI102, "P")</f>
        <v/>
      </c>
      <c r="Z100" s="46">
        <f>COUNTIF('Detailed Attendance'!CH102:CH102, "A")+COUNTIF('Detailed Attendance'!DE102:DE102, "A")+COUNTIF('Detailed Attendance'!EB102:EB102, "A")+COUNTIF('Detailed Attendance'!GI102:GI102, "A")</f>
        <v/>
      </c>
      <c r="AA100" s="73">
        <f>IF((Y100+Z100)=0, "", Y100/(Y100+Z100))</f>
        <v/>
      </c>
      <c r="AB100" s="46">
        <f>S100+V100+Y100</f>
        <v/>
      </c>
      <c r="AC100" s="46">
        <f>T100+W100+Z100</f>
        <v/>
      </c>
      <c r="AD100" s="73">
        <f>IF((AB100+AC100)=0, "", AB100/(AB100+AC100))</f>
        <v/>
      </c>
      <c r="AE100" s="46" t="inlineStr">
        <is>
          <t>Batch 3</t>
        </is>
      </c>
    </row>
    <row r="101" ht="14.25" customHeight="1" s="34">
      <c r="A101" s="46" t="n">
        <v>100</v>
      </c>
      <c r="B101" s="46" t="inlineStr">
        <is>
          <t>325106410100</t>
        </is>
      </c>
      <c r="C101" s="46" t="inlineStr">
        <is>
          <t>BERNARD OWUSU OKYERE</t>
        </is>
      </c>
      <c r="D101" s="46">
        <f>COUNTIF('Detailed Attendance'!R103:R103, "P")+COUNTIF('Detailed Attendance'!X103:X103, "P")+COUNTIF('Detailed Attendance'!AL103:AL103, "P")+COUNTIF('Detailed Attendance'!BF103:BF103, "P")+COUNTIF('Detailed Attendance'!BL103:BL103, "P")+COUNTIF('Detailed Attendance'!BZ103:BZ103, "P")+COUNTIF('Detailed Attendance'!CI103:CI103, "P")+COUNTIF('Detailed Attendance'!CW103:CW103, "P")+COUNTIF('Detailed Attendance'!DF103:DF103, "P")+COUNTIF('Detailed Attendance'!DT103:DT103, "P")+COUNTIF('Detailed Attendance'!EC103:EC103, "P")+COUNTIF('Detailed Attendance'!EQ103:EQ103, "P")+COUNTIF('Detailed Attendance'!EW103:EW103, "P")+COUNTIF('Detailed Attendance'!FK103:FK103, "P")+COUNTIF('Detailed Attendance'!FM103:FM103, "P")+COUNTIF('Detailed Attendance'!GA103:GA103, "P")</f>
        <v/>
      </c>
      <c r="E101" s="46">
        <f>COUNTIF('Detailed Attendance'!R103:R103, "A")+COUNTIF('Detailed Attendance'!X103:X103, "A")+COUNTIF('Detailed Attendance'!AL103:AL103, "A")+COUNTIF('Detailed Attendance'!BF103:BF103, "A")+COUNTIF('Detailed Attendance'!BL103:BL103, "A")+COUNTIF('Detailed Attendance'!BZ103:BZ103, "A")+COUNTIF('Detailed Attendance'!CI103:CI103, "A")+COUNTIF('Detailed Attendance'!CW103:CW103, "A")+COUNTIF('Detailed Attendance'!DF103:DF103, "A")+COUNTIF('Detailed Attendance'!DT103:DT103, "A")+COUNTIF('Detailed Attendance'!EC103:EC103, "A")+COUNTIF('Detailed Attendance'!EQ103:EQ103, "A")+COUNTIF('Detailed Attendance'!EW103:EW103, "A")+COUNTIF('Detailed Attendance'!FK103:FK103, "A")+COUNTIF('Detailed Attendance'!FM103:FM103, "A")+COUNTIF('Detailed Attendance'!GA103:GA103, "A")</f>
        <v/>
      </c>
      <c r="F101" s="72">
        <f>IF((D101+E101)=0, "", D101/(D101+E101))</f>
        <v/>
      </c>
      <c r="G101" s="46">
        <f>COUNTIF('Detailed Attendance'!I103:I103, "P")+COUNTIF('Detailed Attendance'!Q103:Q103, "P")+COUNTIF('Detailed Attendance'!AC103:AC103, "P")+COUNTIF('Detailed Attendance'!AK103:AK103, "P")+COUNTIF('Detailed Attendance'!AW103:AW103, "P")+COUNTIF('Detailed Attendance'!BE103:BE103, "P")+COUNTIF('Detailed Attendance'!BQ103:BQ103, "P")+COUNTIF('Detailed Attendance'!BY103:BY103, "P")+COUNTIF('Detailed Attendance'!CN103:CN103, "P")+COUNTIF('Detailed Attendance'!CV103:CV103, "P")+COUNTIF('Detailed Attendance'!DK103:DK103, "P")+COUNTIF('Detailed Attendance'!DS103:DS103, "P")+COUNTIF('Detailed Attendance'!EH103:EH103, "P")+COUNTIF('Detailed Attendance'!EP103:EP103, "P")+COUNTIF('Detailed Attendance'!FB103:FB103, "P")+COUNTIF('Detailed Attendance'!FJ103:FJ103, "P")+COUNTIF('Detailed Attendance'!FR103:FR103, "P")+COUNTIF('Detailed Attendance'!FZ103:FZ103, "P")</f>
        <v/>
      </c>
      <c r="H101" s="46">
        <f>COUNTIF('Detailed Attendance'!I103:I103, "A")+COUNTIF('Detailed Attendance'!Q103:Q103, "A")+COUNTIF('Detailed Attendance'!AC103:AC103, "A")+COUNTIF('Detailed Attendance'!AK103:AK103, "A")+COUNTIF('Detailed Attendance'!AW103:AW103, "A")+COUNTIF('Detailed Attendance'!BE103:BE103, "A")+COUNTIF('Detailed Attendance'!BQ103:BQ103, "A")+COUNTIF('Detailed Attendance'!BY103:BY103, "A")+COUNTIF('Detailed Attendance'!CN103:CN103, "A")+COUNTIF('Detailed Attendance'!CV103:CV103, "A")+COUNTIF('Detailed Attendance'!DK103:DK103, "A")+COUNTIF('Detailed Attendance'!DS103:DS103, "A")+COUNTIF('Detailed Attendance'!EH103:EH103, "A")+COUNTIF('Detailed Attendance'!EP103:EP103, "A")+COUNTIF('Detailed Attendance'!FB103:FB103, "A")+COUNTIF('Detailed Attendance'!FJ103:FJ103, "A")+COUNTIF('Detailed Attendance'!FR103:FR103, "A")+COUNTIF('Detailed Attendance'!FZ103:FZ103, "A")</f>
        <v/>
      </c>
      <c r="I101" s="72">
        <f>IF((G101+H101)=0, "", G101/(G101+H101))</f>
        <v/>
      </c>
      <c r="J101" s="46">
        <f>COUNTIF('Detailed Attendance'!L103:L103, "P")+COUNTIF('Detailed Attendance'!P103:P103, "P")+COUNTIF('Detailed Attendance'!AF103:AF103, "P")+COUNTIF('Detailed Attendance'!AJ103:AJ103, "P")+COUNTIF('Detailed Attendance'!AZ103:AZ103, "P")+COUNTIF('Detailed Attendance'!BD103:BD103, "P")+COUNTIF('Detailed Attendance'!BT103:BT103, "P")+COUNTIF('Detailed Attendance'!BX103:BX103, "P")+COUNTIF('Detailed Attendance'!CQ103:CQ103, "P")+COUNTIF('Detailed Attendance'!CU103:CU103, "P")+COUNTIF('Detailed Attendance'!DN103:DN103, "P")+COUNTIF('Detailed Attendance'!DR103:DR103, "P")+COUNTIF('Detailed Attendance'!EK103:EK103, "P")+COUNTIF('Detailed Attendance'!EO103:EO103, "P")+COUNTIF('Detailed Attendance'!FE103:FE103, "P")+COUNTIF('Detailed Attendance'!FI103:FI103, "P")+COUNTIF('Detailed Attendance'!FU103:FU103, "P")+COUNTIF('Detailed Attendance'!FY103:FY103, "P")</f>
        <v/>
      </c>
      <c r="K101" s="46">
        <f>COUNTIF('Detailed Attendance'!L103:L103, "A")+COUNTIF('Detailed Attendance'!P103:P103, "A")+COUNTIF('Detailed Attendance'!AF103:AF103, "A")+COUNTIF('Detailed Attendance'!AJ103:AJ103, "A")+COUNTIF('Detailed Attendance'!AZ103:AZ103, "A")+COUNTIF('Detailed Attendance'!BD103:BD103, "A")+COUNTIF('Detailed Attendance'!BT103:BT103, "A")+COUNTIF('Detailed Attendance'!BX103:BX103, "A")+COUNTIF('Detailed Attendance'!CQ103:CQ103, "A")+COUNTIF('Detailed Attendance'!CU103:CU103, "A")+COUNTIF('Detailed Attendance'!DN103:DN103, "A")+COUNTIF('Detailed Attendance'!DR103:DR103, "A")+COUNTIF('Detailed Attendance'!EK103:EK103, "A")+COUNTIF('Detailed Attendance'!EO103:EO103, "A")+COUNTIF('Detailed Attendance'!FE103:FE103, "A")+COUNTIF('Detailed Attendance'!FI103:FI103, "A")+COUNTIF('Detailed Attendance'!FU103:FU103, "A")+COUNTIF('Detailed Attendance'!FY103:FY103, "A")</f>
        <v/>
      </c>
      <c r="L101" s="72">
        <f>IF((J101+K101)=0, "", J101/(J101+K101))</f>
        <v/>
      </c>
      <c r="M101" s="46">
        <f>COUNTIF('Detailed Attendance'!D103:D103, "P")+COUNTIF('Detailed Attendance'!T103:T103, "P")+COUNTIF('Detailed Attendance'!AN103:AN103, "P")+COUNTIF('Detailed Attendance'!AR103:AR103, "P")+COUNTIF('Detailed Attendance'!BH103:BH103, "P")+COUNTIF('Detailed Attendance'!CB103:CB103, "P")+COUNTIF('Detailed Attendance'!CF103:CF103, "P")+COUNTIF('Detailed Attendance'!CY103:CY103, "P")+COUNTIF('Detailed Attendance'!DC103:DC103, "P")+COUNTIF('Detailed Attendance'!DV103:DV103, "P")+COUNTIF('Detailed Attendance'!DZ103:DZ103, "P")+COUNTIF('Detailed Attendance'!ES103:ES103, "P")+COUNTIF('Detailed Attendance'!GC103:GC103, "P")+COUNTIF('Detailed Attendance'!GG103:GG103, "P")</f>
        <v/>
      </c>
      <c r="N101" s="46">
        <f>COUNTIF('Detailed Attendance'!D103:D103, "A")+COUNTIF('Detailed Attendance'!T103:T103, "A")+COUNTIF('Detailed Attendance'!AN103:AN103, "A")+COUNTIF('Detailed Attendance'!AR103:AR103, "A")+COUNTIF('Detailed Attendance'!BH103:BH103, "A")+COUNTIF('Detailed Attendance'!CB103:CB103, "A")+COUNTIF('Detailed Attendance'!CF103:CF103, "A")+COUNTIF('Detailed Attendance'!CY103:CY103, "A")+COUNTIF('Detailed Attendance'!DC103:DC103, "A")+COUNTIF('Detailed Attendance'!DV103:DV103, "A")+COUNTIF('Detailed Attendance'!DZ103:DZ103, "A")+COUNTIF('Detailed Attendance'!ES103:ES103, "A")+COUNTIF('Detailed Attendance'!GC103:GC103, "A")+COUNTIF('Detailed Attendance'!GG103:GG103, "A")</f>
        <v/>
      </c>
      <c r="O101" s="72">
        <f>IF((M101+N101)=0, "", M101/(M101+N101))</f>
        <v/>
      </c>
      <c r="P101" s="46">
        <f>COUNTIF('Detailed Attendance'!M103:M103, "P")+COUNTIF('Detailed Attendance'!U103:U103, "P")+COUNTIF('Detailed Attendance'!AG103:AG103, "P")+COUNTIF('Detailed Attendance'!AO103:AO103, "P")+COUNTIF('Detailed Attendance'!BA103:BA103, "P")+COUNTIF('Detailed Attendance'!BI103:BI103, "P")+COUNTIF('Detailed Attendance'!BU103:BU103, "P")+COUNTIF('Detailed Attendance'!CC103:CC103, "P")+COUNTIF('Detailed Attendance'!CR103:CR103, "P")+COUNTIF('Detailed Attendance'!CZ103:CZ103, "P")+COUNTIF('Detailed Attendance'!DO103:DO103, "P")+COUNTIF('Detailed Attendance'!DW103:DW103, "P")+COUNTIF('Detailed Attendance'!EL103:EL103, "P")+COUNTIF('Detailed Attendance'!ET103:ET103, "P")+COUNTIF('Detailed Attendance'!FF103:FF103, "P")+COUNTIF('Detailed Attendance'!FV103:FV103, "P")+COUNTIF('Detailed Attendance'!GD103:GD103, "P")</f>
        <v/>
      </c>
      <c r="Q101" s="46">
        <f>COUNTIF('Detailed Attendance'!M103:M103, "A")+COUNTIF('Detailed Attendance'!U103:U103, "A")+COUNTIF('Detailed Attendance'!AG103:AG103, "A")+COUNTIF('Detailed Attendance'!AO103:AO103, "A")+COUNTIF('Detailed Attendance'!BA103:BA103, "A")+COUNTIF('Detailed Attendance'!BI103:BI103, "A")+COUNTIF('Detailed Attendance'!BU103:BU103, "A")+COUNTIF('Detailed Attendance'!CC103:CC103, "A")+COUNTIF('Detailed Attendance'!CR103:CR103, "A")+COUNTIF('Detailed Attendance'!CZ103:CZ103, "A")+COUNTIF('Detailed Attendance'!DO103:DO103, "A")+COUNTIF('Detailed Attendance'!DW103:DW103, "A")+COUNTIF('Detailed Attendance'!EL103:EL103, "A")+COUNTIF('Detailed Attendance'!ET103:ET103, "A")+COUNTIF('Detailed Attendance'!FF103:FF103, "A")+COUNTIF('Detailed Attendance'!FV103:FV103, "A")+COUNTIF('Detailed Attendance'!GD103:GD103, "A")</f>
        <v/>
      </c>
      <c r="R101" s="72">
        <f>IF((P101+Q101)=0, "", P101/(P101+Q101))</f>
        <v/>
      </c>
      <c r="S101" s="46">
        <f>COUNTIF('Detailed Attendance'!H103:H103, "P")+COUNTIF('Detailed Attendance'!AB103:AB103, "P")+COUNTIF('Detailed Attendance'!AV103:AV103, "P")+COUNTIF('Detailed Attendance'!BP103:BP103, "P")+COUNTIF('Detailed Attendance'!CM103:CM103, "P")+COUNTIF('Detailed Attendance'!DJ103:DJ103, "P")+COUNTIF('Detailed Attendance'!EG103:EG103, "P")+COUNTIF('Detailed Attendance'!FA103:FA103, "P")+COUNTIF('Detailed Attendance'!FQ103:FQ103, "P")</f>
        <v/>
      </c>
      <c r="T101" s="46">
        <f>COUNTIF('Detailed Attendance'!H103:H103, "A")+COUNTIF('Detailed Attendance'!AB103:AB103, "A")+COUNTIF('Detailed Attendance'!AV103:AV103, "A")+COUNTIF('Detailed Attendance'!BP103:BP103, "A")+COUNTIF('Detailed Attendance'!CM103:CM103, "A")+COUNTIF('Detailed Attendance'!DJ103:DJ103, "A")+COUNTIF('Detailed Attendance'!EG103:EG103, "A")+COUNTIF('Detailed Attendance'!FA103:FA103, "A")+COUNTIF('Detailed Attendance'!FQ103:FQ103, "A")</f>
        <v/>
      </c>
      <c r="U101" s="73">
        <f>IF((S101+T101)=0, "", S101/(S101+T101))</f>
        <v/>
      </c>
      <c r="V101" s="46">
        <f>COUNTIF('Detailed Attendance'!E103:E103, "P")+COUNTIF('Detailed Attendance'!Y103:Y103, "P")+COUNTIF('Detailed Attendance'!AS103:AS103, "P")+COUNTIF('Detailed Attendance'!BM103:BM103, "P")+COUNTIF('Detailed Attendance'!CJ103:CJ103, "P")+COUNTIF('Detailed Attendance'!DG103:DG103, "P")+COUNTIF('Detailed Attendance'!ED103:ED103, "P")+COUNTIF('Detailed Attendance'!EX103:EX103, "P")+COUNTIF('Detailed Attendance'!FN103:FN103, "P")</f>
        <v/>
      </c>
      <c r="W101" s="46">
        <f>COUNTIF('Detailed Attendance'!E103:E103, "A")+COUNTIF('Detailed Attendance'!Y103:Y103, "A")+COUNTIF('Detailed Attendance'!AS103:AS103, "A")+COUNTIF('Detailed Attendance'!BM103:BM103, "A")+COUNTIF('Detailed Attendance'!CJ103:CJ103, "A")+COUNTIF('Detailed Attendance'!DG103:DG103, "A")+COUNTIF('Detailed Attendance'!ED103:ED103, "A")+COUNTIF('Detailed Attendance'!EX103:EX103, "A")+COUNTIF('Detailed Attendance'!FN103:FN103, "A")</f>
        <v/>
      </c>
      <c r="X101" s="73">
        <f>IF((V101+W101)=0, "", V101/(V101+W101))</f>
        <v/>
      </c>
      <c r="Y101" s="46">
        <f>COUNTIF('Detailed Attendance'!CH103:CH103, "P")+COUNTIF('Detailed Attendance'!DE103:DE103, "P")+COUNTIF('Detailed Attendance'!EB103:EB103, "P")+COUNTIF('Detailed Attendance'!GI103:GI103, "P")</f>
        <v/>
      </c>
      <c r="Z101" s="46">
        <f>COUNTIF('Detailed Attendance'!CH103:CH103, "A")+COUNTIF('Detailed Attendance'!DE103:DE103, "A")+COUNTIF('Detailed Attendance'!EB103:EB103, "A")+COUNTIF('Detailed Attendance'!GI103:GI103, "A")</f>
        <v/>
      </c>
      <c r="AA101" s="73">
        <f>IF((Y101+Z101)=0, "", Y101/(Y101+Z101))</f>
        <v/>
      </c>
      <c r="AB101" s="46">
        <f>S101+V101+Y101</f>
        <v/>
      </c>
      <c r="AC101" s="46">
        <f>T101+W101+Z101</f>
        <v/>
      </c>
      <c r="AD101" s="73">
        <f>IF((AB101+AC101)=0, "", AB101/(AB101+AC101))</f>
        <v/>
      </c>
      <c r="AE101" s="46" t="inlineStr">
        <is>
          <t>Batch 3</t>
        </is>
      </c>
    </row>
    <row r="102" ht="14.25" customHeight="1" s="34">
      <c r="A102" s="46" t="n">
        <v>101</v>
      </c>
      <c r="B102" s="46" t="inlineStr">
        <is>
          <t>325106410101</t>
        </is>
      </c>
      <c r="C102" s="46" t="inlineStr">
        <is>
          <t>PROHOR PAL</t>
        </is>
      </c>
      <c r="D102" s="46">
        <f>COUNTIF('Detailed Attendance'!R104:R104, "P")+COUNTIF('Detailed Attendance'!X104:X104, "P")+COUNTIF('Detailed Attendance'!AL104:AL104, "P")+COUNTIF('Detailed Attendance'!BF104:BF104, "P")+COUNTIF('Detailed Attendance'!BL104:BL104, "P")+COUNTIF('Detailed Attendance'!BZ104:BZ104, "P")+COUNTIF('Detailed Attendance'!CI104:CI104, "P")+COUNTIF('Detailed Attendance'!CW104:CW104, "P")+COUNTIF('Detailed Attendance'!DF104:DF104, "P")+COUNTIF('Detailed Attendance'!DT104:DT104, "P")+COUNTIF('Detailed Attendance'!EC104:EC104, "P")+COUNTIF('Detailed Attendance'!EQ104:EQ104, "P")+COUNTIF('Detailed Attendance'!EW104:EW104, "P")+COUNTIF('Detailed Attendance'!FK104:FK104, "P")+COUNTIF('Detailed Attendance'!FM104:FM104, "P")+COUNTIF('Detailed Attendance'!GA104:GA104, "P")</f>
        <v/>
      </c>
      <c r="E102" s="46">
        <f>COUNTIF('Detailed Attendance'!R104:R104, "A")+COUNTIF('Detailed Attendance'!X104:X104, "A")+COUNTIF('Detailed Attendance'!AL104:AL104, "A")+COUNTIF('Detailed Attendance'!BF104:BF104, "A")+COUNTIF('Detailed Attendance'!BL104:BL104, "A")+COUNTIF('Detailed Attendance'!BZ104:BZ104, "A")+COUNTIF('Detailed Attendance'!CI104:CI104, "A")+COUNTIF('Detailed Attendance'!CW104:CW104, "A")+COUNTIF('Detailed Attendance'!DF104:DF104, "A")+COUNTIF('Detailed Attendance'!DT104:DT104, "A")+COUNTIF('Detailed Attendance'!EC104:EC104, "A")+COUNTIF('Detailed Attendance'!EQ104:EQ104, "A")+COUNTIF('Detailed Attendance'!EW104:EW104, "A")+COUNTIF('Detailed Attendance'!FK104:FK104, "A")+COUNTIF('Detailed Attendance'!FM104:FM104, "A")+COUNTIF('Detailed Attendance'!GA104:GA104, "A")</f>
        <v/>
      </c>
      <c r="F102" s="72">
        <f>IF((D102+E102)=0, "", D102/(D102+E102))</f>
        <v/>
      </c>
      <c r="G102" s="46">
        <f>COUNTIF('Detailed Attendance'!I104:I104, "P")+COUNTIF('Detailed Attendance'!Q104:Q104, "P")+COUNTIF('Detailed Attendance'!AC104:AC104, "P")+COUNTIF('Detailed Attendance'!AK104:AK104, "P")+COUNTIF('Detailed Attendance'!AW104:AW104, "P")+COUNTIF('Detailed Attendance'!BE104:BE104, "P")+COUNTIF('Detailed Attendance'!BQ104:BQ104, "P")+COUNTIF('Detailed Attendance'!BY104:BY104, "P")+COUNTIF('Detailed Attendance'!CN104:CN104, "P")+COUNTIF('Detailed Attendance'!CV104:CV104, "P")+COUNTIF('Detailed Attendance'!DK104:DK104, "P")+COUNTIF('Detailed Attendance'!DS104:DS104, "P")+COUNTIF('Detailed Attendance'!EH104:EH104, "P")+COUNTIF('Detailed Attendance'!EP104:EP104, "P")+COUNTIF('Detailed Attendance'!FB104:FB104, "P")+COUNTIF('Detailed Attendance'!FJ104:FJ104, "P")+COUNTIF('Detailed Attendance'!FR104:FR104, "P")+COUNTIF('Detailed Attendance'!FZ104:FZ104, "P")</f>
        <v/>
      </c>
      <c r="H102" s="46">
        <f>COUNTIF('Detailed Attendance'!I104:I104, "A")+COUNTIF('Detailed Attendance'!Q104:Q104, "A")+COUNTIF('Detailed Attendance'!AC104:AC104, "A")+COUNTIF('Detailed Attendance'!AK104:AK104, "A")+COUNTIF('Detailed Attendance'!AW104:AW104, "A")+COUNTIF('Detailed Attendance'!BE104:BE104, "A")+COUNTIF('Detailed Attendance'!BQ104:BQ104, "A")+COUNTIF('Detailed Attendance'!BY104:BY104, "A")+COUNTIF('Detailed Attendance'!CN104:CN104, "A")+COUNTIF('Detailed Attendance'!CV104:CV104, "A")+COUNTIF('Detailed Attendance'!DK104:DK104, "A")+COUNTIF('Detailed Attendance'!DS104:DS104, "A")+COUNTIF('Detailed Attendance'!EH104:EH104, "A")+COUNTIF('Detailed Attendance'!EP104:EP104, "A")+COUNTIF('Detailed Attendance'!FB104:FB104, "A")+COUNTIF('Detailed Attendance'!FJ104:FJ104, "A")+COUNTIF('Detailed Attendance'!FR104:FR104, "A")+COUNTIF('Detailed Attendance'!FZ104:FZ104, "A")</f>
        <v/>
      </c>
      <c r="I102" s="72">
        <f>IF((G102+H102)=0, "", G102/(G102+H102))</f>
        <v/>
      </c>
      <c r="J102" s="46">
        <f>COUNTIF('Detailed Attendance'!L104:L104, "P")+COUNTIF('Detailed Attendance'!P104:P104, "P")+COUNTIF('Detailed Attendance'!AF104:AF104, "P")+COUNTIF('Detailed Attendance'!AJ104:AJ104, "P")+COUNTIF('Detailed Attendance'!AZ104:AZ104, "P")+COUNTIF('Detailed Attendance'!BD104:BD104, "P")+COUNTIF('Detailed Attendance'!BT104:BT104, "P")+COUNTIF('Detailed Attendance'!BX104:BX104, "P")+COUNTIF('Detailed Attendance'!CQ104:CQ104, "P")+COUNTIF('Detailed Attendance'!CU104:CU104, "P")+COUNTIF('Detailed Attendance'!DN104:DN104, "P")+COUNTIF('Detailed Attendance'!DR104:DR104, "P")+COUNTIF('Detailed Attendance'!EK104:EK104, "P")+COUNTIF('Detailed Attendance'!EO104:EO104, "P")+COUNTIF('Detailed Attendance'!FE104:FE104, "P")+COUNTIF('Detailed Attendance'!FI104:FI104, "P")+COUNTIF('Detailed Attendance'!FU104:FU104, "P")+COUNTIF('Detailed Attendance'!FY104:FY104, "P")</f>
        <v/>
      </c>
      <c r="K102" s="46">
        <f>COUNTIF('Detailed Attendance'!L104:L104, "A")+COUNTIF('Detailed Attendance'!P104:P104, "A")+COUNTIF('Detailed Attendance'!AF104:AF104, "A")+COUNTIF('Detailed Attendance'!AJ104:AJ104, "A")+COUNTIF('Detailed Attendance'!AZ104:AZ104, "A")+COUNTIF('Detailed Attendance'!BD104:BD104, "A")+COUNTIF('Detailed Attendance'!BT104:BT104, "A")+COUNTIF('Detailed Attendance'!BX104:BX104, "A")+COUNTIF('Detailed Attendance'!CQ104:CQ104, "A")+COUNTIF('Detailed Attendance'!CU104:CU104, "A")+COUNTIF('Detailed Attendance'!DN104:DN104, "A")+COUNTIF('Detailed Attendance'!DR104:DR104, "A")+COUNTIF('Detailed Attendance'!EK104:EK104, "A")+COUNTIF('Detailed Attendance'!EO104:EO104, "A")+COUNTIF('Detailed Attendance'!FE104:FE104, "A")+COUNTIF('Detailed Attendance'!FI104:FI104, "A")+COUNTIF('Detailed Attendance'!FU104:FU104, "A")+COUNTIF('Detailed Attendance'!FY104:FY104, "A")</f>
        <v/>
      </c>
      <c r="L102" s="72">
        <f>IF((J102+K102)=0, "", J102/(J102+K102))</f>
        <v/>
      </c>
      <c r="M102" s="46">
        <f>COUNTIF('Detailed Attendance'!D104:D104, "P")+COUNTIF('Detailed Attendance'!T104:T104, "P")+COUNTIF('Detailed Attendance'!AN104:AN104, "P")+COUNTIF('Detailed Attendance'!AR104:AR104, "P")+COUNTIF('Detailed Attendance'!BH104:BH104, "P")+COUNTIF('Detailed Attendance'!CB104:CB104, "P")+COUNTIF('Detailed Attendance'!CF104:CF104, "P")+COUNTIF('Detailed Attendance'!CY104:CY104, "P")+COUNTIF('Detailed Attendance'!DC104:DC104, "P")+COUNTIF('Detailed Attendance'!DV104:DV104, "P")+COUNTIF('Detailed Attendance'!DZ104:DZ104, "P")+COUNTIF('Detailed Attendance'!ES104:ES104, "P")+COUNTIF('Detailed Attendance'!GC104:GC104, "P")+COUNTIF('Detailed Attendance'!GG104:GG104, "P")</f>
        <v/>
      </c>
      <c r="N102" s="46">
        <f>COUNTIF('Detailed Attendance'!D104:D104, "A")+COUNTIF('Detailed Attendance'!T104:T104, "A")+COUNTIF('Detailed Attendance'!AN104:AN104, "A")+COUNTIF('Detailed Attendance'!AR104:AR104, "A")+COUNTIF('Detailed Attendance'!BH104:BH104, "A")+COUNTIF('Detailed Attendance'!CB104:CB104, "A")+COUNTIF('Detailed Attendance'!CF104:CF104, "A")+COUNTIF('Detailed Attendance'!CY104:CY104, "A")+COUNTIF('Detailed Attendance'!DC104:DC104, "A")+COUNTIF('Detailed Attendance'!DV104:DV104, "A")+COUNTIF('Detailed Attendance'!DZ104:DZ104, "A")+COUNTIF('Detailed Attendance'!ES104:ES104, "A")+COUNTIF('Detailed Attendance'!GC104:GC104, "A")+COUNTIF('Detailed Attendance'!GG104:GG104, "A")</f>
        <v/>
      </c>
      <c r="O102" s="72">
        <f>IF((M102+N102)=0, "", M102/(M102+N102))</f>
        <v/>
      </c>
      <c r="P102" s="46">
        <f>COUNTIF('Detailed Attendance'!M104:M104, "P")+COUNTIF('Detailed Attendance'!U104:U104, "P")+COUNTIF('Detailed Attendance'!AG104:AG104, "P")+COUNTIF('Detailed Attendance'!AO104:AO104, "P")+COUNTIF('Detailed Attendance'!BA104:BA104, "P")+COUNTIF('Detailed Attendance'!BI104:BI104, "P")+COUNTIF('Detailed Attendance'!BU104:BU104, "P")+COUNTIF('Detailed Attendance'!CC104:CC104, "P")+COUNTIF('Detailed Attendance'!CR104:CR104, "P")+COUNTIF('Detailed Attendance'!CZ104:CZ104, "P")+COUNTIF('Detailed Attendance'!DO104:DO104, "P")+COUNTIF('Detailed Attendance'!DW104:DW104, "P")+COUNTIF('Detailed Attendance'!EL104:EL104, "P")+COUNTIF('Detailed Attendance'!ET104:ET104, "P")+COUNTIF('Detailed Attendance'!FF104:FF104, "P")+COUNTIF('Detailed Attendance'!FV104:FV104, "P")+COUNTIF('Detailed Attendance'!GD104:GD104, "P")</f>
        <v/>
      </c>
      <c r="Q102" s="46">
        <f>COUNTIF('Detailed Attendance'!M104:M104, "A")+COUNTIF('Detailed Attendance'!U104:U104, "A")+COUNTIF('Detailed Attendance'!AG104:AG104, "A")+COUNTIF('Detailed Attendance'!AO104:AO104, "A")+COUNTIF('Detailed Attendance'!BA104:BA104, "A")+COUNTIF('Detailed Attendance'!BI104:BI104, "A")+COUNTIF('Detailed Attendance'!BU104:BU104, "A")+COUNTIF('Detailed Attendance'!CC104:CC104, "A")+COUNTIF('Detailed Attendance'!CR104:CR104, "A")+COUNTIF('Detailed Attendance'!CZ104:CZ104, "A")+COUNTIF('Detailed Attendance'!DO104:DO104, "A")+COUNTIF('Detailed Attendance'!DW104:DW104, "A")+COUNTIF('Detailed Attendance'!EL104:EL104, "A")+COUNTIF('Detailed Attendance'!ET104:ET104, "A")+COUNTIF('Detailed Attendance'!FF104:FF104, "A")+COUNTIF('Detailed Attendance'!FV104:FV104, "A")+COUNTIF('Detailed Attendance'!GD104:GD104, "A")</f>
        <v/>
      </c>
      <c r="R102" s="72">
        <f>IF((P102+Q102)=0, "", P102/(P102+Q102))</f>
        <v/>
      </c>
      <c r="S102" s="46">
        <f>COUNTIF('Detailed Attendance'!H104:H104, "P")+COUNTIF('Detailed Attendance'!AB104:AB104, "P")+COUNTIF('Detailed Attendance'!AV104:AV104, "P")+COUNTIF('Detailed Attendance'!BP104:BP104, "P")+COUNTIF('Detailed Attendance'!CM104:CM104, "P")+COUNTIF('Detailed Attendance'!DJ104:DJ104, "P")+COUNTIF('Detailed Attendance'!EG104:EG104, "P")+COUNTIF('Detailed Attendance'!FA104:FA104, "P")+COUNTIF('Detailed Attendance'!FQ104:FQ104, "P")</f>
        <v/>
      </c>
      <c r="T102" s="46">
        <f>COUNTIF('Detailed Attendance'!H104:H104, "A")+COUNTIF('Detailed Attendance'!AB104:AB104, "A")+COUNTIF('Detailed Attendance'!AV104:AV104, "A")+COUNTIF('Detailed Attendance'!BP104:BP104, "A")+COUNTIF('Detailed Attendance'!CM104:CM104, "A")+COUNTIF('Detailed Attendance'!DJ104:DJ104, "A")+COUNTIF('Detailed Attendance'!EG104:EG104, "A")+COUNTIF('Detailed Attendance'!FA104:FA104, "A")+COUNTIF('Detailed Attendance'!FQ104:FQ104, "A")</f>
        <v/>
      </c>
      <c r="U102" s="73">
        <f>IF((S102+T102)=0, "", S102/(S102+T102))</f>
        <v/>
      </c>
      <c r="V102" s="46">
        <f>COUNTIF('Detailed Attendance'!E104:E104, "P")+COUNTIF('Detailed Attendance'!Y104:Y104, "P")+COUNTIF('Detailed Attendance'!AS104:AS104, "P")+COUNTIF('Detailed Attendance'!BM104:BM104, "P")+COUNTIF('Detailed Attendance'!CJ104:CJ104, "P")+COUNTIF('Detailed Attendance'!DG104:DG104, "P")+COUNTIF('Detailed Attendance'!ED104:ED104, "P")+COUNTIF('Detailed Attendance'!EX104:EX104, "P")+COUNTIF('Detailed Attendance'!FN104:FN104, "P")</f>
        <v/>
      </c>
      <c r="W102" s="46">
        <f>COUNTIF('Detailed Attendance'!E104:E104, "A")+COUNTIF('Detailed Attendance'!Y104:Y104, "A")+COUNTIF('Detailed Attendance'!AS104:AS104, "A")+COUNTIF('Detailed Attendance'!BM104:BM104, "A")+COUNTIF('Detailed Attendance'!CJ104:CJ104, "A")+COUNTIF('Detailed Attendance'!DG104:DG104, "A")+COUNTIF('Detailed Attendance'!ED104:ED104, "A")+COUNTIF('Detailed Attendance'!EX104:EX104, "A")+COUNTIF('Detailed Attendance'!FN104:FN104, "A")</f>
        <v/>
      </c>
      <c r="X102" s="73">
        <f>IF((V102+W102)=0, "", V102/(V102+W102))</f>
        <v/>
      </c>
      <c r="Y102" s="46">
        <f>COUNTIF('Detailed Attendance'!CH104:CH104, "P")+COUNTIF('Detailed Attendance'!DE104:DE104, "P")+COUNTIF('Detailed Attendance'!EB104:EB104, "P")+COUNTIF('Detailed Attendance'!GI104:GI104, "P")</f>
        <v/>
      </c>
      <c r="Z102" s="46">
        <f>COUNTIF('Detailed Attendance'!CH104:CH104, "A")+COUNTIF('Detailed Attendance'!DE104:DE104, "A")+COUNTIF('Detailed Attendance'!EB104:EB104, "A")+COUNTIF('Detailed Attendance'!GI104:GI104, "A")</f>
        <v/>
      </c>
      <c r="AA102" s="73">
        <f>IF((Y102+Z102)=0, "", Y102/(Y102+Z102))</f>
        <v/>
      </c>
      <c r="AB102" s="46">
        <f>S102+V102+Y102</f>
        <v/>
      </c>
      <c r="AC102" s="46">
        <f>T102+W102+Z102</f>
        <v/>
      </c>
      <c r="AD102" s="73">
        <f>IF((AB102+AC102)=0, "", AB102/(AB102+AC102))</f>
        <v/>
      </c>
      <c r="AE102" s="46" t="inlineStr">
        <is>
          <t>Batch 3</t>
        </is>
      </c>
    </row>
    <row r="103" ht="14.25" customHeight="1" s="34">
      <c r="A103" s="46" t="n">
        <v>102</v>
      </c>
      <c r="B103" s="46" t="inlineStr">
        <is>
          <t>325106410102</t>
        </is>
      </c>
      <c r="C103" s="46" t="inlineStr">
        <is>
          <t>PROTTOY KUMAR PRAMANIK</t>
        </is>
      </c>
      <c r="D103" s="46">
        <f>COUNTIF('Detailed Attendance'!R105:R105, "P")+COUNTIF('Detailed Attendance'!X105:X105, "P")+COUNTIF('Detailed Attendance'!AL105:AL105, "P")+COUNTIF('Detailed Attendance'!BF105:BF105, "P")+COUNTIF('Detailed Attendance'!BL105:BL105, "P")+COUNTIF('Detailed Attendance'!BZ105:BZ105, "P")+COUNTIF('Detailed Attendance'!CI105:CI105, "P")+COUNTIF('Detailed Attendance'!CW105:CW105, "P")+COUNTIF('Detailed Attendance'!DF105:DF105, "P")+COUNTIF('Detailed Attendance'!DT105:DT105, "P")+COUNTIF('Detailed Attendance'!EC105:EC105, "P")+COUNTIF('Detailed Attendance'!EQ105:EQ105, "P")+COUNTIF('Detailed Attendance'!EW105:EW105, "P")+COUNTIF('Detailed Attendance'!FK105:FK105, "P")+COUNTIF('Detailed Attendance'!FM105:FM105, "P")+COUNTIF('Detailed Attendance'!GA105:GA105, "P")</f>
        <v/>
      </c>
      <c r="E103" s="46">
        <f>COUNTIF('Detailed Attendance'!R105:R105, "A")+COUNTIF('Detailed Attendance'!X105:X105, "A")+COUNTIF('Detailed Attendance'!AL105:AL105, "A")+COUNTIF('Detailed Attendance'!BF105:BF105, "A")+COUNTIF('Detailed Attendance'!BL105:BL105, "A")+COUNTIF('Detailed Attendance'!BZ105:BZ105, "A")+COUNTIF('Detailed Attendance'!CI105:CI105, "A")+COUNTIF('Detailed Attendance'!CW105:CW105, "A")+COUNTIF('Detailed Attendance'!DF105:DF105, "A")+COUNTIF('Detailed Attendance'!DT105:DT105, "A")+COUNTIF('Detailed Attendance'!EC105:EC105, "A")+COUNTIF('Detailed Attendance'!EQ105:EQ105, "A")+COUNTIF('Detailed Attendance'!EW105:EW105, "A")+COUNTIF('Detailed Attendance'!FK105:FK105, "A")+COUNTIF('Detailed Attendance'!FM105:FM105, "A")+COUNTIF('Detailed Attendance'!GA105:GA105, "A")</f>
        <v/>
      </c>
      <c r="F103" s="72">
        <f>IF((D103+E103)=0, "", D103/(D103+E103))</f>
        <v/>
      </c>
      <c r="G103" s="46">
        <f>COUNTIF('Detailed Attendance'!I105:I105, "P")+COUNTIF('Detailed Attendance'!Q105:Q105, "P")+COUNTIF('Detailed Attendance'!AC105:AC105, "P")+COUNTIF('Detailed Attendance'!AK105:AK105, "P")+COUNTIF('Detailed Attendance'!AW105:AW105, "P")+COUNTIF('Detailed Attendance'!BE105:BE105, "P")+COUNTIF('Detailed Attendance'!BQ105:BQ105, "P")+COUNTIF('Detailed Attendance'!BY105:BY105, "P")+COUNTIF('Detailed Attendance'!CN105:CN105, "P")+COUNTIF('Detailed Attendance'!CV105:CV105, "P")+COUNTIF('Detailed Attendance'!DK105:DK105, "P")+COUNTIF('Detailed Attendance'!DS105:DS105, "P")+COUNTIF('Detailed Attendance'!EH105:EH105, "P")+COUNTIF('Detailed Attendance'!EP105:EP105, "P")+COUNTIF('Detailed Attendance'!FB105:FB105, "P")+COUNTIF('Detailed Attendance'!FJ105:FJ105, "P")+COUNTIF('Detailed Attendance'!FR105:FR105, "P")+COUNTIF('Detailed Attendance'!FZ105:FZ105, "P")</f>
        <v/>
      </c>
      <c r="H103" s="46">
        <f>COUNTIF('Detailed Attendance'!I105:I105, "A")+COUNTIF('Detailed Attendance'!Q105:Q105, "A")+COUNTIF('Detailed Attendance'!AC105:AC105, "A")+COUNTIF('Detailed Attendance'!AK105:AK105, "A")+COUNTIF('Detailed Attendance'!AW105:AW105, "A")+COUNTIF('Detailed Attendance'!BE105:BE105, "A")+COUNTIF('Detailed Attendance'!BQ105:BQ105, "A")+COUNTIF('Detailed Attendance'!BY105:BY105, "A")+COUNTIF('Detailed Attendance'!CN105:CN105, "A")+COUNTIF('Detailed Attendance'!CV105:CV105, "A")+COUNTIF('Detailed Attendance'!DK105:DK105, "A")+COUNTIF('Detailed Attendance'!DS105:DS105, "A")+COUNTIF('Detailed Attendance'!EH105:EH105, "A")+COUNTIF('Detailed Attendance'!EP105:EP105, "A")+COUNTIF('Detailed Attendance'!FB105:FB105, "A")+COUNTIF('Detailed Attendance'!FJ105:FJ105, "A")+COUNTIF('Detailed Attendance'!FR105:FR105, "A")+COUNTIF('Detailed Attendance'!FZ105:FZ105, "A")</f>
        <v/>
      </c>
      <c r="I103" s="72">
        <f>IF((G103+H103)=0, "", G103/(G103+H103))</f>
        <v/>
      </c>
      <c r="J103" s="46">
        <f>COUNTIF('Detailed Attendance'!L105:L105, "P")+COUNTIF('Detailed Attendance'!P105:P105, "P")+COUNTIF('Detailed Attendance'!AF105:AF105, "P")+COUNTIF('Detailed Attendance'!AJ105:AJ105, "P")+COUNTIF('Detailed Attendance'!AZ105:AZ105, "P")+COUNTIF('Detailed Attendance'!BD105:BD105, "P")+COUNTIF('Detailed Attendance'!BT105:BT105, "P")+COUNTIF('Detailed Attendance'!BX105:BX105, "P")+COUNTIF('Detailed Attendance'!CQ105:CQ105, "P")+COUNTIF('Detailed Attendance'!CU105:CU105, "P")+COUNTIF('Detailed Attendance'!DN105:DN105, "P")+COUNTIF('Detailed Attendance'!DR105:DR105, "P")+COUNTIF('Detailed Attendance'!EK105:EK105, "P")+COUNTIF('Detailed Attendance'!EO105:EO105, "P")+COUNTIF('Detailed Attendance'!FE105:FE105, "P")+COUNTIF('Detailed Attendance'!FI105:FI105, "P")+COUNTIF('Detailed Attendance'!FU105:FU105, "P")+COUNTIF('Detailed Attendance'!FY105:FY105, "P")</f>
        <v/>
      </c>
      <c r="K103" s="46">
        <f>COUNTIF('Detailed Attendance'!L105:L105, "A")+COUNTIF('Detailed Attendance'!P105:P105, "A")+COUNTIF('Detailed Attendance'!AF105:AF105, "A")+COUNTIF('Detailed Attendance'!AJ105:AJ105, "A")+COUNTIF('Detailed Attendance'!AZ105:AZ105, "A")+COUNTIF('Detailed Attendance'!BD105:BD105, "A")+COUNTIF('Detailed Attendance'!BT105:BT105, "A")+COUNTIF('Detailed Attendance'!BX105:BX105, "A")+COUNTIF('Detailed Attendance'!CQ105:CQ105, "A")+COUNTIF('Detailed Attendance'!CU105:CU105, "A")+COUNTIF('Detailed Attendance'!DN105:DN105, "A")+COUNTIF('Detailed Attendance'!DR105:DR105, "A")+COUNTIF('Detailed Attendance'!EK105:EK105, "A")+COUNTIF('Detailed Attendance'!EO105:EO105, "A")+COUNTIF('Detailed Attendance'!FE105:FE105, "A")+COUNTIF('Detailed Attendance'!FI105:FI105, "A")+COUNTIF('Detailed Attendance'!FU105:FU105, "A")+COUNTIF('Detailed Attendance'!FY105:FY105, "A")</f>
        <v/>
      </c>
      <c r="L103" s="72">
        <f>IF((J103+K103)=0, "", J103/(J103+K103))</f>
        <v/>
      </c>
      <c r="M103" s="46">
        <f>COUNTIF('Detailed Attendance'!D105:D105, "P")+COUNTIF('Detailed Attendance'!T105:T105, "P")+COUNTIF('Detailed Attendance'!AN105:AN105, "P")+COUNTIF('Detailed Attendance'!AR105:AR105, "P")+COUNTIF('Detailed Attendance'!BH105:BH105, "P")+COUNTIF('Detailed Attendance'!CB105:CB105, "P")+COUNTIF('Detailed Attendance'!CF105:CF105, "P")+COUNTIF('Detailed Attendance'!CY105:CY105, "P")+COUNTIF('Detailed Attendance'!DC105:DC105, "P")+COUNTIF('Detailed Attendance'!DV105:DV105, "P")+COUNTIF('Detailed Attendance'!DZ105:DZ105, "P")+COUNTIF('Detailed Attendance'!ES105:ES105, "P")+COUNTIF('Detailed Attendance'!GC105:GC105, "P")+COUNTIF('Detailed Attendance'!GG105:GG105, "P")</f>
        <v/>
      </c>
      <c r="N103" s="46">
        <f>COUNTIF('Detailed Attendance'!D105:D105, "A")+COUNTIF('Detailed Attendance'!T105:T105, "A")+COUNTIF('Detailed Attendance'!AN105:AN105, "A")+COUNTIF('Detailed Attendance'!AR105:AR105, "A")+COUNTIF('Detailed Attendance'!BH105:BH105, "A")+COUNTIF('Detailed Attendance'!CB105:CB105, "A")+COUNTIF('Detailed Attendance'!CF105:CF105, "A")+COUNTIF('Detailed Attendance'!CY105:CY105, "A")+COUNTIF('Detailed Attendance'!DC105:DC105, "A")+COUNTIF('Detailed Attendance'!DV105:DV105, "A")+COUNTIF('Detailed Attendance'!DZ105:DZ105, "A")+COUNTIF('Detailed Attendance'!ES105:ES105, "A")+COUNTIF('Detailed Attendance'!GC105:GC105, "A")+COUNTIF('Detailed Attendance'!GG105:GG105, "A")</f>
        <v/>
      </c>
      <c r="O103" s="72">
        <f>IF((M103+N103)=0, "", M103/(M103+N103))</f>
        <v/>
      </c>
      <c r="P103" s="46">
        <f>COUNTIF('Detailed Attendance'!M105:M105, "P")+COUNTIF('Detailed Attendance'!U105:U105, "P")+COUNTIF('Detailed Attendance'!AG105:AG105, "P")+COUNTIF('Detailed Attendance'!AO105:AO105, "P")+COUNTIF('Detailed Attendance'!BA105:BA105, "P")+COUNTIF('Detailed Attendance'!BI105:BI105, "P")+COUNTIF('Detailed Attendance'!BU105:BU105, "P")+COUNTIF('Detailed Attendance'!CC105:CC105, "P")+COUNTIF('Detailed Attendance'!CR105:CR105, "P")+COUNTIF('Detailed Attendance'!CZ105:CZ105, "P")+COUNTIF('Detailed Attendance'!DO105:DO105, "P")+COUNTIF('Detailed Attendance'!DW105:DW105, "P")+COUNTIF('Detailed Attendance'!EL105:EL105, "P")+COUNTIF('Detailed Attendance'!ET105:ET105, "P")+COUNTIF('Detailed Attendance'!FF105:FF105, "P")+COUNTIF('Detailed Attendance'!FV105:FV105, "P")+COUNTIF('Detailed Attendance'!GD105:GD105, "P")</f>
        <v/>
      </c>
      <c r="Q103" s="46">
        <f>COUNTIF('Detailed Attendance'!M105:M105, "A")+COUNTIF('Detailed Attendance'!U105:U105, "A")+COUNTIF('Detailed Attendance'!AG105:AG105, "A")+COUNTIF('Detailed Attendance'!AO105:AO105, "A")+COUNTIF('Detailed Attendance'!BA105:BA105, "A")+COUNTIF('Detailed Attendance'!BI105:BI105, "A")+COUNTIF('Detailed Attendance'!BU105:BU105, "A")+COUNTIF('Detailed Attendance'!CC105:CC105, "A")+COUNTIF('Detailed Attendance'!CR105:CR105, "A")+COUNTIF('Detailed Attendance'!CZ105:CZ105, "A")+COUNTIF('Detailed Attendance'!DO105:DO105, "A")+COUNTIF('Detailed Attendance'!DW105:DW105, "A")+COUNTIF('Detailed Attendance'!EL105:EL105, "A")+COUNTIF('Detailed Attendance'!ET105:ET105, "A")+COUNTIF('Detailed Attendance'!FF105:FF105, "A")+COUNTIF('Detailed Attendance'!FV105:FV105, "A")+COUNTIF('Detailed Attendance'!GD105:GD105, "A")</f>
        <v/>
      </c>
      <c r="R103" s="72">
        <f>IF((P103+Q103)=0, "", P103/(P103+Q103))</f>
        <v/>
      </c>
      <c r="S103" s="46">
        <f>COUNTIF('Detailed Attendance'!H105:H105, "P")+COUNTIF('Detailed Attendance'!AB105:AB105, "P")+COUNTIF('Detailed Attendance'!AV105:AV105, "P")+COUNTIF('Detailed Attendance'!BP105:BP105, "P")+COUNTIF('Detailed Attendance'!CM105:CM105, "P")+COUNTIF('Detailed Attendance'!DJ105:DJ105, "P")+COUNTIF('Detailed Attendance'!EG105:EG105, "P")+COUNTIF('Detailed Attendance'!FA105:FA105, "P")+COUNTIF('Detailed Attendance'!FQ105:FQ105, "P")</f>
        <v/>
      </c>
      <c r="T103" s="46">
        <f>COUNTIF('Detailed Attendance'!H105:H105, "A")+COUNTIF('Detailed Attendance'!AB105:AB105, "A")+COUNTIF('Detailed Attendance'!AV105:AV105, "A")+COUNTIF('Detailed Attendance'!BP105:BP105, "A")+COUNTIF('Detailed Attendance'!CM105:CM105, "A")+COUNTIF('Detailed Attendance'!DJ105:DJ105, "A")+COUNTIF('Detailed Attendance'!EG105:EG105, "A")+COUNTIF('Detailed Attendance'!FA105:FA105, "A")+COUNTIF('Detailed Attendance'!FQ105:FQ105, "A")</f>
        <v/>
      </c>
      <c r="U103" s="73">
        <f>IF((S103+T103)=0, "", S103/(S103+T103))</f>
        <v/>
      </c>
      <c r="V103" s="46">
        <f>COUNTIF('Detailed Attendance'!E105:E105, "P")+COUNTIF('Detailed Attendance'!Y105:Y105, "P")+COUNTIF('Detailed Attendance'!AS105:AS105, "P")+COUNTIF('Detailed Attendance'!BM105:BM105, "P")+COUNTIF('Detailed Attendance'!CJ105:CJ105, "P")+COUNTIF('Detailed Attendance'!DG105:DG105, "P")+COUNTIF('Detailed Attendance'!ED105:ED105, "P")+COUNTIF('Detailed Attendance'!EX105:EX105, "P")+COUNTIF('Detailed Attendance'!FN105:FN105, "P")</f>
        <v/>
      </c>
      <c r="W103" s="46">
        <f>COUNTIF('Detailed Attendance'!E105:E105, "A")+COUNTIF('Detailed Attendance'!Y105:Y105, "A")+COUNTIF('Detailed Attendance'!AS105:AS105, "A")+COUNTIF('Detailed Attendance'!BM105:BM105, "A")+COUNTIF('Detailed Attendance'!CJ105:CJ105, "A")+COUNTIF('Detailed Attendance'!DG105:DG105, "A")+COUNTIF('Detailed Attendance'!ED105:ED105, "A")+COUNTIF('Detailed Attendance'!EX105:EX105, "A")+COUNTIF('Detailed Attendance'!FN105:FN105, "A")</f>
        <v/>
      </c>
      <c r="X103" s="73">
        <f>IF((V103+W103)=0, "", V103/(V103+W103))</f>
        <v/>
      </c>
      <c r="Y103" s="46">
        <f>COUNTIF('Detailed Attendance'!CH105:CH105, "P")+COUNTIF('Detailed Attendance'!DE105:DE105, "P")+COUNTIF('Detailed Attendance'!EB105:EB105, "P")+COUNTIF('Detailed Attendance'!GI105:GI105, "P")</f>
        <v/>
      </c>
      <c r="Z103" s="46">
        <f>COUNTIF('Detailed Attendance'!CH105:CH105, "A")+COUNTIF('Detailed Attendance'!DE105:DE105, "A")+COUNTIF('Detailed Attendance'!EB105:EB105, "A")+COUNTIF('Detailed Attendance'!GI105:GI105, "A")</f>
        <v/>
      </c>
      <c r="AA103" s="73">
        <f>IF((Y103+Z103)=0, "", Y103/(Y103+Z103))</f>
        <v/>
      </c>
      <c r="AB103" s="46">
        <f>S103+V103+Y103</f>
        <v/>
      </c>
      <c r="AC103" s="46">
        <f>T103+W103+Z103</f>
        <v/>
      </c>
      <c r="AD103" s="73">
        <f>IF((AB103+AC103)=0, "", AB103/(AB103+AC103))</f>
        <v/>
      </c>
      <c r="AE103" s="46" t="inlineStr">
        <is>
          <t>Batch 3</t>
        </is>
      </c>
    </row>
    <row r="104" ht="14.25" customHeight="1" s="34">
      <c r="A104" s="46" t="n">
        <v>103</v>
      </c>
      <c r="B104" s="46" t="inlineStr">
        <is>
          <t>325106410103</t>
        </is>
      </c>
      <c r="C104" s="46" t="inlineStr">
        <is>
          <t>RACHIDA SAID MZE</t>
        </is>
      </c>
      <c r="D104" s="46">
        <f>COUNTIF('Detailed Attendance'!R106:R106, "P")+COUNTIF('Detailed Attendance'!X106:X106, "P")+COUNTIF('Detailed Attendance'!AL106:AL106, "P")+COUNTIF('Detailed Attendance'!BF106:BF106, "P")+COUNTIF('Detailed Attendance'!BL106:BL106, "P")+COUNTIF('Detailed Attendance'!BZ106:BZ106, "P")+COUNTIF('Detailed Attendance'!CI106:CI106, "P")+COUNTIF('Detailed Attendance'!CW106:CW106, "P")+COUNTIF('Detailed Attendance'!DF106:DF106, "P")+COUNTIF('Detailed Attendance'!DT106:DT106, "P")+COUNTIF('Detailed Attendance'!EC106:EC106, "P")+COUNTIF('Detailed Attendance'!EQ106:EQ106, "P")+COUNTIF('Detailed Attendance'!EW106:EW106, "P")+COUNTIF('Detailed Attendance'!FK106:FK106, "P")+COUNTIF('Detailed Attendance'!FM106:FM106, "P")+COUNTIF('Detailed Attendance'!GA106:GA106, "P")</f>
        <v/>
      </c>
      <c r="E104" s="46">
        <f>COUNTIF('Detailed Attendance'!R106:R106, "A")+COUNTIF('Detailed Attendance'!X106:X106, "A")+COUNTIF('Detailed Attendance'!AL106:AL106, "A")+COUNTIF('Detailed Attendance'!BF106:BF106, "A")+COUNTIF('Detailed Attendance'!BL106:BL106, "A")+COUNTIF('Detailed Attendance'!BZ106:BZ106, "A")+COUNTIF('Detailed Attendance'!CI106:CI106, "A")+COUNTIF('Detailed Attendance'!CW106:CW106, "A")+COUNTIF('Detailed Attendance'!DF106:DF106, "A")+COUNTIF('Detailed Attendance'!DT106:DT106, "A")+COUNTIF('Detailed Attendance'!EC106:EC106, "A")+COUNTIF('Detailed Attendance'!EQ106:EQ106, "A")+COUNTIF('Detailed Attendance'!EW106:EW106, "A")+COUNTIF('Detailed Attendance'!FK106:FK106, "A")+COUNTIF('Detailed Attendance'!FM106:FM106, "A")+COUNTIF('Detailed Attendance'!GA106:GA106, "A")</f>
        <v/>
      </c>
      <c r="F104" s="72">
        <f>IF((D104+E104)=0, "", D104/(D104+E104))</f>
        <v/>
      </c>
      <c r="G104" s="46">
        <f>COUNTIF('Detailed Attendance'!I106:I106, "P")+COUNTIF('Detailed Attendance'!Q106:Q106, "P")+COUNTIF('Detailed Attendance'!AC106:AC106, "P")+COUNTIF('Detailed Attendance'!AK106:AK106, "P")+COUNTIF('Detailed Attendance'!AW106:AW106, "P")+COUNTIF('Detailed Attendance'!BE106:BE106, "P")+COUNTIF('Detailed Attendance'!BQ106:BQ106, "P")+COUNTIF('Detailed Attendance'!BY106:BY106, "P")+COUNTIF('Detailed Attendance'!CN106:CN106, "P")+COUNTIF('Detailed Attendance'!CV106:CV106, "P")+COUNTIF('Detailed Attendance'!DK106:DK106, "P")+COUNTIF('Detailed Attendance'!DS106:DS106, "P")+COUNTIF('Detailed Attendance'!EH106:EH106, "P")+COUNTIF('Detailed Attendance'!EP106:EP106, "P")+COUNTIF('Detailed Attendance'!FB106:FB106, "P")+COUNTIF('Detailed Attendance'!FJ106:FJ106, "P")+COUNTIF('Detailed Attendance'!FR106:FR106, "P")+COUNTIF('Detailed Attendance'!FZ106:FZ106, "P")</f>
        <v/>
      </c>
      <c r="H104" s="46">
        <f>COUNTIF('Detailed Attendance'!I106:I106, "A")+COUNTIF('Detailed Attendance'!Q106:Q106, "A")+COUNTIF('Detailed Attendance'!AC106:AC106, "A")+COUNTIF('Detailed Attendance'!AK106:AK106, "A")+COUNTIF('Detailed Attendance'!AW106:AW106, "A")+COUNTIF('Detailed Attendance'!BE106:BE106, "A")+COUNTIF('Detailed Attendance'!BQ106:BQ106, "A")+COUNTIF('Detailed Attendance'!BY106:BY106, "A")+COUNTIF('Detailed Attendance'!CN106:CN106, "A")+COUNTIF('Detailed Attendance'!CV106:CV106, "A")+COUNTIF('Detailed Attendance'!DK106:DK106, "A")+COUNTIF('Detailed Attendance'!DS106:DS106, "A")+COUNTIF('Detailed Attendance'!EH106:EH106, "A")+COUNTIF('Detailed Attendance'!EP106:EP106, "A")+COUNTIF('Detailed Attendance'!FB106:FB106, "A")+COUNTIF('Detailed Attendance'!FJ106:FJ106, "A")+COUNTIF('Detailed Attendance'!FR106:FR106, "A")+COUNTIF('Detailed Attendance'!FZ106:FZ106, "A")</f>
        <v/>
      </c>
      <c r="I104" s="72">
        <f>IF((G104+H104)=0, "", G104/(G104+H104))</f>
        <v/>
      </c>
      <c r="J104" s="46">
        <f>COUNTIF('Detailed Attendance'!L106:L106, "P")+COUNTIF('Detailed Attendance'!P106:P106, "P")+COUNTIF('Detailed Attendance'!AF106:AF106, "P")+COUNTIF('Detailed Attendance'!AJ106:AJ106, "P")+COUNTIF('Detailed Attendance'!AZ106:AZ106, "P")+COUNTIF('Detailed Attendance'!BD106:BD106, "P")+COUNTIF('Detailed Attendance'!BT106:BT106, "P")+COUNTIF('Detailed Attendance'!BX106:BX106, "P")+COUNTIF('Detailed Attendance'!CQ106:CQ106, "P")+COUNTIF('Detailed Attendance'!CU106:CU106, "P")+COUNTIF('Detailed Attendance'!DN106:DN106, "P")+COUNTIF('Detailed Attendance'!DR106:DR106, "P")+COUNTIF('Detailed Attendance'!EK106:EK106, "P")+COUNTIF('Detailed Attendance'!EO106:EO106, "P")+COUNTIF('Detailed Attendance'!FE106:FE106, "P")+COUNTIF('Detailed Attendance'!FI106:FI106, "P")+COUNTIF('Detailed Attendance'!FU106:FU106, "P")+COUNTIF('Detailed Attendance'!FY106:FY106, "P")</f>
        <v/>
      </c>
      <c r="K104" s="46">
        <f>COUNTIF('Detailed Attendance'!L106:L106, "A")+COUNTIF('Detailed Attendance'!P106:P106, "A")+COUNTIF('Detailed Attendance'!AF106:AF106, "A")+COUNTIF('Detailed Attendance'!AJ106:AJ106, "A")+COUNTIF('Detailed Attendance'!AZ106:AZ106, "A")+COUNTIF('Detailed Attendance'!BD106:BD106, "A")+COUNTIF('Detailed Attendance'!BT106:BT106, "A")+COUNTIF('Detailed Attendance'!BX106:BX106, "A")+COUNTIF('Detailed Attendance'!CQ106:CQ106, "A")+COUNTIF('Detailed Attendance'!CU106:CU106, "A")+COUNTIF('Detailed Attendance'!DN106:DN106, "A")+COUNTIF('Detailed Attendance'!DR106:DR106, "A")+COUNTIF('Detailed Attendance'!EK106:EK106, "A")+COUNTIF('Detailed Attendance'!EO106:EO106, "A")+COUNTIF('Detailed Attendance'!FE106:FE106, "A")+COUNTIF('Detailed Attendance'!FI106:FI106, "A")+COUNTIF('Detailed Attendance'!FU106:FU106, "A")+COUNTIF('Detailed Attendance'!FY106:FY106, "A")</f>
        <v/>
      </c>
      <c r="L104" s="72">
        <f>IF((J104+K104)=0, "", J104/(J104+K104))</f>
        <v/>
      </c>
      <c r="M104" s="46">
        <f>COUNTIF('Detailed Attendance'!D106:D106, "P")+COUNTIF('Detailed Attendance'!T106:T106, "P")+COUNTIF('Detailed Attendance'!AN106:AN106, "P")+COUNTIF('Detailed Attendance'!AR106:AR106, "P")+COUNTIF('Detailed Attendance'!BH106:BH106, "P")+COUNTIF('Detailed Attendance'!CB106:CB106, "P")+COUNTIF('Detailed Attendance'!CF106:CF106, "P")+COUNTIF('Detailed Attendance'!CY106:CY106, "P")+COUNTIF('Detailed Attendance'!DC106:DC106, "P")+COUNTIF('Detailed Attendance'!DV106:DV106, "P")+COUNTIF('Detailed Attendance'!DZ106:DZ106, "P")+COUNTIF('Detailed Attendance'!ES106:ES106, "P")+COUNTIF('Detailed Attendance'!GC106:GC106, "P")+COUNTIF('Detailed Attendance'!GG106:GG106, "P")</f>
        <v/>
      </c>
      <c r="N104" s="46">
        <f>COUNTIF('Detailed Attendance'!D106:D106, "A")+COUNTIF('Detailed Attendance'!T106:T106, "A")+COUNTIF('Detailed Attendance'!AN106:AN106, "A")+COUNTIF('Detailed Attendance'!AR106:AR106, "A")+COUNTIF('Detailed Attendance'!BH106:BH106, "A")+COUNTIF('Detailed Attendance'!CB106:CB106, "A")+COUNTIF('Detailed Attendance'!CF106:CF106, "A")+COUNTIF('Detailed Attendance'!CY106:CY106, "A")+COUNTIF('Detailed Attendance'!DC106:DC106, "A")+COUNTIF('Detailed Attendance'!DV106:DV106, "A")+COUNTIF('Detailed Attendance'!DZ106:DZ106, "A")+COUNTIF('Detailed Attendance'!ES106:ES106, "A")+COUNTIF('Detailed Attendance'!GC106:GC106, "A")+COUNTIF('Detailed Attendance'!GG106:GG106, "A")</f>
        <v/>
      </c>
      <c r="O104" s="72">
        <f>IF((M104+N104)=0, "", M104/(M104+N104))</f>
        <v/>
      </c>
      <c r="P104" s="46">
        <f>COUNTIF('Detailed Attendance'!M106:M106, "P")+COUNTIF('Detailed Attendance'!U106:U106, "P")+COUNTIF('Detailed Attendance'!AG106:AG106, "P")+COUNTIF('Detailed Attendance'!AO106:AO106, "P")+COUNTIF('Detailed Attendance'!BA106:BA106, "P")+COUNTIF('Detailed Attendance'!BI106:BI106, "P")+COUNTIF('Detailed Attendance'!BU106:BU106, "P")+COUNTIF('Detailed Attendance'!CC106:CC106, "P")+COUNTIF('Detailed Attendance'!CR106:CR106, "P")+COUNTIF('Detailed Attendance'!CZ106:CZ106, "P")+COUNTIF('Detailed Attendance'!DO106:DO106, "P")+COUNTIF('Detailed Attendance'!DW106:DW106, "P")+COUNTIF('Detailed Attendance'!EL106:EL106, "P")+COUNTIF('Detailed Attendance'!ET106:ET106, "P")+COUNTIF('Detailed Attendance'!FF106:FF106, "P")+COUNTIF('Detailed Attendance'!FV106:FV106, "P")+COUNTIF('Detailed Attendance'!GD106:GD106, "P")</f>
        <v/>
      </c>
      <c r="Q104" s="46">
        <f>COUNTIF('Detailed Attendance'!M106:M106, "A")+COUNTIF('Detailed Attendance'!U106:U106, "A")+COUNTIF('Detailed Attendance'!AG106:AG106, "A")+COUNTIF('Detailed Attendance'!AO106:AO106, "A")+COUNTIF('Detailed Attendance'!BA106:BA106, "A")+COUNTIF('Detailed Attendance'!BI106:BI106, "A")+COUNTIF('Detailed Attendance'!BU106:BU106, "A")+COUNTIF('Detailed Attendance'!CC106:CC106, "A")+COUNTIF('Detailed Attendance'!CR106:CR106, "A")+COUNTIF('Detailed Attendance'!CZ106:CZ106, "A")+COUNTIF('Detailed Attendance'!DO106:DO106, "A")+COUNTIF('Detailed Attendance'!DW106:DW106, "A")+COUNTIF('Detailed Attendance'!EL106:EL106, "A")+COUNTIF('Detailed Attendance'!ET106:ET106, "A")+COUNTIF('Detailed Attendance'!FF106:FF106, "A")+COUNTIF('Detailed Attendance'!FV106:FV106, "A")+COUNTIF('Detailed Attendance'!GD106:GD106, "A")</f>
        <v/>
      </c>
      <c r="R104" s="72">
        <f>IF((P104+Q104)=0, "", P104/(P104+Q104))</f>
        <v/>
      </c>
      <c r="S104" s="46">
        <f>COUNTIF('Detailed Attendance'!H106:H106, "P")+COUNTIF('Detailed Attendance'!AB106:AB106, "P")+COUNTIF('Detailed Attendance'!AV106:AV106, "P")+COUNTIF('Detailed Attendance'!BP106:BP106, "P")+COUNTIF('Detailed Attendance'!CM106:CM106, "P")+COUNTIF('Detailed Attendance'!DJ106:DJ106, "P")+COUNTIF('Detailed Attendance'!EG106:EG106, "P")+COUNTIF('Detailed Attendance'!FA106:FA106, "P")+COUNTIF('Detailed Attendance'!FQ106:FQ106, "P")</f>
        <v/>
      </c>
      <c r="T104" s="46">
        <f>COUNTIF('Detailed Attendance'!H106:H106, "A")+COUNTIF('Detailed Attendance'!AB106:AB106, "A")+COUNTIF('Detailed Attendance'!AV106:AV106, "A")+COUNTIF('Detailed Attendance'!BP106:BP106, "A")+COUNTIF('Detailed Attendance'!CM106:CM106, "A")+COUNTIF('Detailed Attendance'!DJ106:DJ106, "A")+COUNTIF('Detailed Attendance'!EG106:EG106, "A")+COUNTIF('Detailed Attendance'!FA106:FA106, "A")+COUNTIF('Detailed Attendance'!FQ106:FQ106, "A")</f>
        <v/>
      </c>
      <c r="U104" s="73">
        <f>IF((S104+T104)=0, "", S104/(S104+T104))</f>
        <v/>
      </c>
      <c r="V104" s="46">
        <f>COUNTIF('Detailed Attendance'!E106:E106, "P")+COUNTIF('Detailed Attendance'!Y106:Y106, "P")+COUNTIF('Detailed Attendance'!AS106:AS106, "P")+COUNTIF('Detailed Attendance'!BM106:BM106, "P")+COUNTIF('Detailed Attendance'!CJ106:CJ106, "P")+COUNTIF('Detailed Attendance'!DG106:DG106, "P")+COUNTIF('Detailed Attendance'!ED106:ED106, "P")+COUNTIF('Detailed Attendance'!EX106:EX106, "P")+COUNTIF('Detailed Attendance'!FN106:FN106, "P")</f>
        <v/>
      </c>
      <c r="W104" s="46">
        <f>COUNTIF('Detailed Attendance'!E106:E106, "A")+COUNTIF('Detailed Attendance'!Y106:Y106, "A")+COUNTIF('Detailed Attendance'!AS106:AS106, "A")+COUNTIF('Detailed Attendance'!BM106:BM106, "A")+COUNTIF('Detailed Attendance'!CJ106:CJ106, "A")+COUNTIF('Detailed Attendance'!DG106:DG106, "A")+COUNTIF('Detailed Attendance'!ED106:ED106, "A")+COUNTIF('Detailed Attendance'!EX106:EX106, "A")+COUNTIF('Detailed Attendance'!FN106:FN106, "A")</f>
        <v/>
      </c>
      <c r="X104" s="73">
        <f>IF((V104+W104)=0, "", V104/(V104+W104))</f>
        <v/>
      </c>
      <c r="Y104" s="46">
        <f>COUNTIF('Detailed Attendance'!CH106:CH106, "P")+COUNTIF('Detailed Attendance'!DE106:DE106, "P")+COUNTIF('Detailed Attendance'!EB106:EB106, "P")+COUNTIF('Detailed Attendance'!GI106:GI106, "P")</f>
        <v/>
      </c>
      <c r="Z104" s="46">
        <f>COUNTIF('Detailed Attendance'!CH106:CH106, "A")+COUNTIF('Detailed Attendance'!DE106:DE106, "A")+COUNTIF('Detailed Attendance'!EB106:EB106, "A")+COUNTIF('Detailed Attendance'!GI106:GI106, "A")</f>
        <v/>
      </c>
      <c r="AA104" s="73">
        <f>IF((Y104+Z104)=0, "", Y104/(Y104+Z104))</f>
        <v/>
      </c>
      <c r="AB104" s="46">
        <f>S104+V104+Y104</f>
        <v/>
      </c>
      <c r="AC104" s="46">
        <f>T104+W104+Z104</f>
        <v/>
      </c>
      <c r="AD104" s="73">
        <f>IF((AB104+AC104)=0, "", AB104/(AB104+AC104))</f>
        <v/>
      </c>
      <c r="AE104" s="46" t="inlineStr">
        <is>
          <t>Batch 3</t>
        </is>
      </c>
    </row>
    <row r="105" ht="14.25" customHeight="1" s="34">
      <c r="A105" s="46" t="n">
        <v>104</v>
      </c>
      <c r="B105" s="46" t="inlineStr">
        <is>
          <t>325106410104</t>
        </is>
      </c>
      <c r="C105" s="46" t="inlineStr">
        <is>
          <t>RAHUL GHOSH</t>
        </is>
      </c>
      <c r="D105" s="46">
        <f>COUNTIF('Detailed Attendance'!R107:R107, "P")+COUNTIF('Detailed Attendance'!X107:X107, "P")+COUNTIF('Detailed Attendance'!AL107:AL107, "P")+COUNTIF('Detailed Attendance'!BF107:BF107, "P")+COUNTIF('Detailed Attendance'!BL107:BL107, "P")+COUNTIF('Detailed Attendance'!BZ107:BZ107, "P")+COUNTIF('Detailed Attendance'!CI107:CI107, "P")+COUNTIF('Detailed Attendance'!CW107:CW107, "P")+COUNTIF('Detailed Attendance'!DF107:DF107, "P")+COUNTIF('Detailed Attendance'!DT107:DT107, "P")+COUNTIF('Detailed Attendance'!EC107:EC107, "P")+COUNTIF('Detailed Attendance'!EQ107:EQ107, "P")+COUNTIF('Detailed Attendance'!EW107:EW107, "P")+COUNTIF('Detailed Attendance'!FK107:FK107, "P")+COUNTIF('Detailed Attendance'!FM107:FM107, "P")+COUNTIF('Detailed Attendance'!GA107:GA107, "P")</f>
        <v/>
      </c>
      <c r="E105" s="46">
        <f>COUNTIF('Detailed Attendance'!R107:R107, "A")+COUNTIF('Detailed Attendance'!X107:X107, "A")+COUNTIF('Detailed Attendance'!AL107:AL107, "A")+COUNTIF('Detailed Attendance'!BF107:BF107, "A")+COUNTIF('Detailed Attendance'!BL107:BL107, "A")+COUNTIF('Detailed Attendance'!BZ107:BZ107, "A")+COUNTIF('Detailed Attendance'!CI107:CI107, "A")+COUNTIF('Detailed Attendance'!CW107:CW107, "A")+COUNTIF('Detailed Attendance'!DF107:DF107, "A")+COUNTIF('Detailed Attendance'!DT107:DT107, "A")+COUNTIF('Detailed Attendance'!EC107:EC107, "A")+COUNTIF('Detailed Attendance'!EQ107:EQ107, "A")+COUNTIF('Detailed Attendance'!EW107:EW107, "A")+COUNTIF('Detailed Attendance'!FK107:FK107, "A")+COUNTIF('Detailed Attendance'!FM107:FM107, "A")+COUNTIF('Detailed Attendance'!GA107:GA107, "A")</f>
        <v/>
      </c>
      <c r="F105" s="72">
        <f>IF((D105+E105)=0, "", D105/(D105+E105))</f>
        <v/>
      </c>
      <c r="G105" s="46">
        <f>COUNTIF('Detailed Attendance'!I107:I107, "P")+COUNTIF('Detailed Attendance'!Q107:Q107, "P")+COUNTIF('Detailed Attendance'!AC107:AC107, "P")+COUNTIF('Detailed Attendance'!AK107:AK107, "P")+COUNTIF('Detailed Attendance'!AW107:AW107, "P")+COUNTIF('Detailed Attendance'!BE107:BE107, "P")+COUNTIF('Detailed Attendance'!BQ107:BQ107, "P")+COUNTIF('Detailed Attendance'!BY107:BY107, "P")+COUNTIF('Detailed Attendance'!CN107:CN107, "P")+COUNTIF('Detailed Attendance'!CV107:CV107, "P")+COUNTIF('Detailed Attendance'!DK107:DK107, "P")+COUNTIF('Detailed Attendance'!DS107:DS107, "P")+COUNTIF('Detailed Attendance'!EH107:EH107, "P")+COUNTIF('Detailed Attendance'!EP107:EP107, "P")+COUNTIF('Detailed Attendance'!FB107:FB107, "P")+COUNTIF('Detailed Attendance'!FJ107:FJ107, "P")+COUNTIF('Detailed Attendance'!FR107:FR107, "P")+COUNTIF('Detailed Attendance'!FZ107:FZ107, "P")</f>
        <v/>
      </c>
      <c r="H105" s="46">
        <f>COUNTIF('Detailed Attendance'!I107:I107, "A")+COUNTIF('Detailed Attendance'!Q107:Q107, "A")+COUNTIF('Detailed Attendance'!AC107:AC107, "A")+COUNTIF('Detailed Attendance'!AK107:AK107, "A")+COUNTIF('Detailed Attendance'!AW107:AW107, "A")+COUNTIF('Detailed Attendance'!BE107:BE107, "A")+COUNTIF('Detailed Attendance'!BQ107:BQ107, "A")+COUNTIF('Detailed Attendance'!BY107:BY107, "A")+COUNTIF('Detailed Attendance'!CN107:CN107, "A")+COUNTIF('Detailed Attendance'!CV107:CV107, "A")+COUNTIF('Detailed Attendance'!DK107:DK107, "A")+COUNTIF('Detailed Attendance'!DS107:DS107, "A")+COUNTIF('Detailed Attendance'!EH107:EH107, "A")+COUNTIF('Detailed Attendance'!EP107:EP107, "A")+COUNTIF('Detailed Attendance'!FB107:FB107, "A")+COUNTIF('Detailed Attendance'!FJ107:FJ107, "A")+COUNTIF('Detailed Attendance'!FR107:FR107, "A")+COUNTIF('Detailed Attendance'!FZ107:FZ107, "A")</f>
        <v/>
      </c>
      <c r="I105" s="72">
        <f>IF((G105+H105)=0, "", G105/(G105+H105))</f>
        <v/>
      </c>
      <c r="J105" s="46">
        <f>COUNTIF('Detailed Attendance'!L107:L107, "P")+COUNTIF('Detailed Attendance'!P107:P107, "P")+COUNTIF('Detailed Attendance'!AF107:AF107, "P")+COUNTIF('Detailed Attendance'!AJ107:AJ107, "P")+COUNTIF('Detailed Attendance'!AZ107:AZ107, "P")+COUNTIF('Detailed Attendance'!BD107:BD107, "P")+COUNTIF('Detailed Attendance'!BT107:BT107, "P")+COUNTIF('Detailed Attendance'!BX107:BX107, "P")+COUNTIF('Detailed Attendance'!CQ107:CQ107, "P")+COUNTIF('Detailed Attendance'!CU107:CU107, "P")+COUNTIF('Detailed Attendance'!DN107:DN107, "P")+COUNTIF('Detailed Attendance'!DR107:DR107, "P")+COUNTIF('Detailed Attendance'!EK107:EK107, "P")+COUNTIF('Detailed Attendance'!EO107:EO107, "P")+COUNTIF('Detailed Attendance'!FE107:FE107, "P")+COUNTIF('Detailed Attendance'!FI107:FI107, "P")+COUNTIF('Detailed Attendance'!FU107:FU107, "P")+COUNTIF('Detailed Attendance'!FY107:FY107, "P")</f>
        <v/>
      </c>
      <c r="K105" s="46">
        <f>COUNTIF('Detailed Attendance'!L107:L107, "A")+COUNTIF('Detailed Attendance'!P107:P107, "A")+COUNTIF('Detailed Attendance'!AF107:AF107, "A")+COUNTIF('Detailed Attendance'!AJ107:AJ107, "A")+COUNTIF('Detailed Attendance'!AZ107:AZ107, "A")+COUNTIF('Detailed Attendance'!BD107:BD107, "A")+COUNTIF('Detailed Attendance'!BT107:BT107, "A")+COUNTIF('Detailed Attendance'!BX107:BX107, "A")+COUNTIF('Detailed Attendance'!CQ107:CQ107, "A")+COUNTIF('Detailed Attendance'!CU107:CU107, "A")+COUNTIF('Detailed Attendance'!DN107:DN107, "A")+COUNTIF('Detailed Attendance'!DR107:DR107, "A")+COUNTIF('Detailed Attendance'!EK107:EK107, "A")+COUNTIF('Detailed Attendance'!EO107:EO107, "A")+COUNTIF('Detailed Attendance'!FE107:FE107, "A")+COUNTIF('Detailed Attendance'!FI107:FI107, "A")+COUNTIF('Detailed Attendance'!FU107:FU107, "A")+COUNTIF('Detailed Attendance'!FY107:FY107, "A")</f>
        <v/>
      </c>
      <c r="L105" s="72">
        <f>IF((J105+K105)=0, "", J105/(J105+K105))</f>
        <v/>
      </c>
      <c r="M105" s="46">
        <f>COUNTIF('Detailed Attendance'!D107:D107, "P")+COUNTIF('Detailed Attendance'!T107:T107, "P")+COUNTIF('Detailed Attendance'!AN107:AN107, "P")+COUNTIF('Detailed Attendance'!AR107:AR107, "P")+COUNTIF('Detailed Attendance'!BH107:BH107, "P")+COUNTIF('Detailed Attendance'!CB107:CB107, "P")+COUNTIF('Detailed Attendance'!CF107:CF107, "P")+COUNTIF('Detailed Attendance'!CY107:CY107, "P")+COUNTIF('Detailed Attendance'!DC107:DC107, "P")+COUNTIF('Detailed Attendance'!DV107:DV107, "P")+COUNTIF('Detailed Attendance'!DZ107:DZ107, "P")+COUNTIF('Detailed Attendance'!ES107:ES107, "P")+COUNTIF('Detailed Attendance'!GC107:GC107, "P")+COUNTIF('Detailed Attendance'!GG107:GG107, "P")</f>
        <v/>
      </c>
      <c r="N105" s="46">
        <f>COUNTIF('Detailed Attendance'!D107:D107, "A")+COUNTIF('Detailed Attendance'!T107:T107, "A")+COUNTIF('Detailed Attendance'!AN107:AN107, "A")+COUNTIF('Detailed Attendance'!AR107:AR107, "A")+COUNTIF('Detailed Attendance'!BH107:BH107, "A")+COUNTIF('Detailed Attendance'!CB107:CB107, "A")+COUNTIF('Detailed Attendance'!CF107:CF107, "A")+COUNTIF('Detailed Attendance'!CY107:CY107, "A")+COUNTIF('Detailed Attendance'!DC107:DC107, "A")+COUNTIF('Detailed Attendance'!DV107:DV107, "A")+COUNTIF('Detailed Attendance'!DZ107:DZ107, "A")+COUNTIF('Detailed Attendance'!ES107:ES107, "A")+COUNTIF('Detailed Attendance'!GC107:GC107, "A")+COUNTIF('Detailed Attendance'!GG107:GG107, "A")</f>
        <v/>
      </c>
      <c r="O105" s="72">
        <f>IF((M105+N105)=0, "", M105/(M105+N105))</f>
        <v/>
      </c>
      <c r="P105" s="46">
        <f>COUNTIF('Detailed Attendance'!M107:M107, "P")+COUNTIF('Detailed Attendance'!U107:U107, "P")+COUNTIF('Detailed Attendance'!AG107:AG107, "P")+COUNTIF('Detailed Attendance'!AO107:AO107, "P")+COUNTIF('Detailed Attendance'!BA107:BA107, "P")+COUNTIF('Detailed Attendance'!BI107:BI107, "P")+COUNTIF('Detailed Attendance'!BU107:BU107, "P")+COUNTIF('Detailed Attendance'!CC107:CC107, "P")+COUNTIF('Detailed Attendance'!CR107:CR107, "P")+COUNTIF('Detailed Attendance'!CZ107:CZ107, "P")+COUNTIF('Detailed Attendance'!DO107:DO107, "P")+COUNTIF('Detailed Attendance'!DW107:DW107, "P")+COUNTIF('Detailed Attendance'!EL107:EL107, "P")+COUNTIF('Detailed Attendance'!ET107:ET107, "P")+COUNTIF('Detailed Attendance'!FF107:FF107, "P")+COUNTIF('Detailed Attendance'!FV107:FV107, "P")+COUNTIF('Detailed Attendance'!GD107:GD107, "P")</f>
        <v/>
      </c>
      <c r="Q105" s="46">
        <f>COUNTIF('Detailed Attendance'!M107:M107, "A")+COUNTIF('Detailed Attendance'!U107:U107, "A")+COUNTIF('Detailed Attendance'!AG107:AG107, "A")+COUNTIF('Detailed Attendance'!AO107:AO107, "A")+COUNTIF('Detailed Attendance'!BA107:BA107, "A")+COUNTIF('Detailed Attendance'!BI107:BI107, "A")+COUNTIF('Detailed Attendance'!BU107:BU107, "A")+COUNTIF('Detailed Attendance'!CC107:CC107, "A")+COUNTIF('Detailed Attendance'!CR107:CR107, "A")+COUNTIF('Detailed Attendance'!CZ107:CZ107, "A")+COUNTIF('Detailed Attendance'!DO107:DO107, "A")+COUNTIF('Detailed Attendance'!DW107:DW107, "A")+COUNTIF('Detailed Attendance'!EL107:EL107, "A")+COUNTIF('Detailed Attendance'!ET107:ET107, "A")+COUNTIF('Detailed Attendance'!FF107:FF107, "A")+COUNTIF('Detailed Attendance'!FV107:FV107, "A")+COUNTIF('Detailed Attendance'!GD107:GD107, "A")</f>
        <v/>
      </c>
      <c r="R105" s="72">
        <f>IF((P105+Q105)=0, "", P105/(P105+Q105))</f>
        <v/>
      </c>
      <c r="S105" s="46">
        <f>COUNTIF('Detailed Attendance'!H107:H107, "P")+COUNTIF('Detailed Attendance'!AB107:AB107, "P")+COUNTIF('Detailed Attendance'!AV107:AV107, "P")+COUNTIF('Detailed Attendance'!BP107:BP107, "P")+COUNTIF('Detailed Attendance'!CM107:CM107, "P")+COUNTIF('Detailed Attendance'!DJ107:DJ107, "P")+COUNTIF('Detailed Attendance'!EG107:EG107, "P")+COUNTIF('Detailed Attendance'!FA107:FA107, "P")+COUNTIF('Detailed Attendance'!FQ107:FQ107, "P")</f>
        <v/>
      </c>
      <c r="T105" s="46">
        <f>COUNTIF('Detailed Attendance'!H107:H107, "A")+COUNTIF('Detailed Attendance'!AB107:AB107, "A")+COUNTIF('Detailed Attendance'!AV107:AV107, "A")+COUNTIF('Detailed Attendance'!BP107:BP107, "A")+COUNTIF('Detailed Attendance'!CM107:CM107, "A")+COUNTIF('Detailed Attendance'!DJ107:DJ107, "A")+COUNTIF('Detailed Attendance'!EG107:EG107, "A")+COUNTIF('Detailed Attendance'!FA107:FA107, "A")+COUNTIF('Detailed Attendance'!FQ107:FQ107, "A")</f>
        <v/>
      </c>
      <c r="U105" s="73">
        <f>IF((S105+T105)=0, "", S105/(S105+T105))</f>
        <v/>
      </c>
      <c r="V105" s="46">
        <f>COUNTIF('Detailed Attendance'!E107:E107, "P")+COUNTIF('Detailed Attendance'!Y107:Y107, "P")+COUNTIF('Detailed Attendance'!AS107:AS107, "P")+COUNTIF('Detailed Attendance'!BM107:BM107, "P")+COUNTIF('Detailed Attendance'!CJ107:CJ107, "P")+COUNTIF('Detailed Attendance'!DG107:DG107, "P")+COUNTIF('Detailed Attendance'!ED107:ED107, "P")+COUNTIF('Detailed Attendance'!EX107:EX107, "P")+COUNTIF('Detailed Attendance'!FN107:FN107, "P")</f>
        <v/>
      </c>
      <c r="W105" s="46">
        <f>COUNTIF('Detailed Attendance'!E107:E107, "A")+COUNTIF('Detailed Attendance'!Y107:Y107, "A")+COUNTIF('Detailed Attendance'!AS107:AS107, "A")+COUNTIF('Detailed Attendance'!BM107:BM107, "A")+COUNTIF('Detailed Attendance'!CJ107:CJ107, "A")+COUNTIF('Detailed Attendance'!DG107:DG107, "A")+COUNTIF('Detailed Attendance'!ED107:ED107, "A")+COUNTIF('Detailed Attendance'!EX107:EX107, "A")+COUNTIF('Detailed Attendance'!FN107:FN107, "A")</f>
        <v/>
      </c>
      <c r="X105" s="73">
        <f>IF((V105+W105)=0, "", V105/(V105+W105))</f>
        <v/>
      </c>
      <c r="Y105" s="46">
        <f>COUNTIF('Detailed Attendance'!CH107:CH107, "P")+COUNTIF('Detailed Attendance'!DE107:DE107, "P")+COUNTIF('Detailed Attendance'!EB107:EB107, "P")+COUNTIF('Detailed Attendance'!GI107:GI107, "P")</f>
        <v/>
      </c>
      <c r="Z105" s="46">
        <f>COUNTIF('Detailed Attendance'!CH107:CH107, "A")+COUNTIF('Detailed Attendance'!DE107:DE107, "A")+COUNTIF('Detailed Attendance'!EB107:EB107, "A")+COUNTIF('Detailed Attendance'!GI107:GI107, "A")</f>
        <v/>
      </c>
      <c r="AA105" s="73">
        <f>IF((Y105+Z105)=0, "", Y105/(Y105+Z105))</f>
        <v/>
      </c>
      <c r="AB105" s="46">
        <f>S105+V105+Y105</f>
        <v/>
      </c>
      <c r="AC105" s="46">
        <f>T105+W105+Z105</f>
        <v/>
      </c>
      <c r="AD105" s="73">
        <f>IF((AB105+AC105)=0, "", AB105/(AB105+AC105))</f>
        <v/>
      </c>
      <c r="AE105" s="46" t="inlineStr">
        <is>
          <t>Batch 3</t>
        </is>
      </c>
    </row>
    <row r="106" ht="14.25" customHeight="1" s="34">
      <c r="A106" s="46" t="n">
        <v>105</v>
      </c>
      <c r="B106" s="46" t="inlineStr">
        <is>
          <t>325106410105</t>
        </is>
      </c>
      <c r="C106" s="46" t="inlineStr">
        <is>
          <t>SECKOU BOUBACAR KASSE</t>
        </is>
      </c>
      <c r="D106" s="46">
        <f>COUNTIF('Detailed Attendance'!R108:R108, "P")+COUNTIF('Detailed Attendance'!X108:X108, "P")+COUNTIF('Detailed Attendance'!AL108:AL108, "P")+COUNTIF('Detailed Attendance'!BF108:BF108, "P")+COUNTIF('Detailed Attendance'!BL108:BL108, "P")+COUNTIF('Detailed Attendance'!BZ108:BZ108, "P")+COUNTIF('Detailed Attendance'!CI108:CI108, "P")+COUNTIF('Detailed Attendance'!CW108:CW108, "P")+COUNTIF('Detailed Attendance'!DF108:DF108, "P")+COUNTIF('Detailed Attendance'!DT108:DT108, "P")+COUNTIF('Detailed Attendance'!EC108:EC108, "P")+COUNTIF('Detailed Attendance'!EQ108:EQ108, "P")+COUNTIF('Detailed Attendance'!EW108:EW108, "P")+COUNTIF('Detailed Attendance'!FK108:FK108, "P")+COUNTIF('Detailed Attendance'!FM108:FM108, "P")+COUNTIF('Detailed Attendance'!GA108:GA108, "P")</f>
        <v/>
      </c>
      <c r="E106" s="46">
        <f>COUNTIF('Detailed Attendance'!R108:R108, "A")+COUNTIF('Detailed Attendance'!X108:X108, "A")+COUNTIF('Detailed Attendance'!AL108:AL108, "A")+COUNTIF('Detailed Attendance'!BF108:BF108, "A")+COUNTIF('Detailed Attendance'!BL108:BL108, "A")+COUNTIF('Detailed Attendance'!BZ108:BZ108, "A")+COUNTIF('Detailed Attendance'!CI108:CI108, "A")+COUNTIF('Detailed Attendance'!CW108:CW108, "A")+COUNTIF('Detailed Attendance'!DF108:DF108, "A")+COUNTIF('Detailed Attendance'!DT108:DT108, "A")+COUNTIF('Detailed Attendance'!EC108:EC108, "A")+COUNTIF('Detailed Attendance'!EQ108:EQ108, "A")+COUNTIF('Detailed Attendance'!EW108:EW108, "A")+COUNTIF('Detailed Attendance'!FK108:FK108, "A")+COUNTIF('Detailed Attendance'!FM108:FM108, "A")+COUNTIF('Detailed Attendance'!GA108:GA108, "A")</f>
        <v/>
      </c>
      <c r="F106" s="72">
        <f>IF((D106+E106)=0, "", D106/(D106+E106))</f>
        <v/>
      </c>
      <c r="G106" s="46">
        <f>COUNTIF('Detailed Attendance'!I108:I108, "P")+COUNTIF('Detailed Attendance'!Q108:Q108, "P")+COUNTIF('Detailed Attendance'!AC108:AC108, "P")+COUNTIF('Detailed Attendance'!AK108:AK108, "P")+COUNTIF('Detailed Attendance'!AW108:AW108, "P")+COUNTIF('Detailed Attendance'!BE108:BE108, "P")+COUNTIF('Detailed Attendance'!BQ108:BQ108, "P")+COUNTIF('Detailed Attendance'!BY108:BY108, "P")+COUNTIF('Detailed Attendance'!CN108:CN108, "P")+COUNTIF('Detailed Attendance'!CV108:CV108, "P")+COUNTIF('Detailed Attendance'!DK108:DK108, "P")+COUNTIF('Detailed Attendance'!DS108:DS108, "P")+COUNTIF('Detailed Attendance'!EH108:EH108, "P")+COUNTIF('Detailed Attendance'!EP108:EP108, "P")+COUNTIF('Detailed Attendance'!FB108:FB108, "P")+COUNTIF('Detailed Attendance'!FJ108:FJ108, "P")+COUNTIF('Detailed Attendance'!FR108:FR108, "P")+COUNTIF('Detailed Attendance'!FZ108:FZ108, "P")</f>
        <v/>
      </c>
      <c r="H106" s="46">
        <f>COUNTIF('Detailed Attendance'!I108:I108, "A")+COUNTIF('Detailed Attendance'!Q108:Q108, "A")+COUNTIF('Detailed Attendance'!AC108:AC108, "A")+COUNTIF('Detailed Attendance'!AK108:AK108, "A")+COUNTIF('Detailed Attendance'!AW108:AW108, "A")+COUNTIF('Detailed Attendance'!BE108:BE108, "A")+COUNTIF('Detailed Attendance'!BQ108:BQ108, "A")+COUNTIF('Detailed Attendance'!BY108:BY108, "A")+COUNTIF('Detailed Attendance'!CN108:CN108, "A")+COUNTIF('Detailed Attendance'!CV108:CV108, "A")+COUNTIF('Detailed Attendance'!DK108:DK108, "A")+COUNTIF('Detailed Attendance'!DS108:DS108, "A")+COUNTIF('Detailed Attendance'!EH108:EH108, "A")+COUNTIF('Detailed Attendance'!EP108:EP108, "A")+COUNTIF('Detailed Attendance'!FB108:FB108, "A")+COUNTIF('Detailed Attendance'!FJ108:FJ108, "A")+COUNTIF('Detailed Attendance'!FR108:FR108, "A")+COUNTIF('Detailed Attendance'!FZ108:FZ108, "A")</f>
        <v/>
      </c>
      <c r="I106" s="72">
        <f>IF((G106+H106)=0, "", G106/(G106+H106))</f>
        <v/>
      </c>
      <c r="J106" s="46">
        <f>COUNTIF('Detailed Attendance'!L108:L108, "P")+COUNTIF('Detailed Attendance'!P108:P108, "P")+COUNTIF('Detailed Attendance'!AF108:AF108, "P")+COUNTIF('Detailed Attendance'!AJ108:AJ108, "P")+COUNTIF('Detailed Attendance'!AZ108:AZ108, "P")+COUNTIF('Detailed Attendance'!BD108:BD108, "P")+COUNTIF('Detailed Attendance'!BT108:BT108, "P")+COUNTIF('Detailed Attendance'!BX108:BX108, "P")+COUNTIF('Detailed Attendance'!CQ108:CQ108, "P")+COUNTIF('Detailed Attendance'!CU108:CU108, "P")+COUNTIF('Detailed Attendance'!DN108:DN108, "P")+COUNTIF('Detailed Attendance'!DR108:DR108, "P")+COUNTIF('Detailed Attendance'!EK108:EK108, "P")+COUNTIF('Detailed Attendance'!EO108:EO108, "P")+COUNTIF('Detailed Attendance'!FE108:FE108, "P")+COUNTIF('Detailed Attendance'!FI108:FI108, "P")+COUNTIF('Detailed Attendance'!FU108:FU108, "P")+COUNTIF('Detailed Attendance'!FY108:FY108, "P")</f>
        <v/>
      </c>
      <c r="K106" s="46">
        <f>COUNTIF('Detailed Attendance'!L108:L108, "A")+COUNTIF('Detailed Attendance'!P108:P108, "A")+COUNTIF('Detailed Attendance'!AF108:AF108, "A")+COUNTIF('Detailed Attendance'!AJ108:AJ108, "A")+COUNTIF('Detailed Attendance'!AZ108:AZ108, "A")+COUNTIF('Detailed Attendance'!BD108:BD108, "A")+COUNTIF('Detailed Attendance'!BT108:BT108, "A")+COUNTIF('Detailed Attendance'!BX108:BX108, "A")+COUNTIF('Detailed Attendance'!CQ108:CQ108, "A")+COUNTIF('Detailed Attendance'!CU108:CU108, "A")+COUNTIF('Detailed Attendance'!DN108:DN108, "A")+COUNTIF('Detailed Attendance'!DR108:DR108, "A")+COUNTIF('Detailed Attendance'!EK108:EK108, "A")+COUNTIF('Detailed Attendance'!EO108:EO108, "A")+COUNTIF('Detailed Attendance'!FE108:FE108, "A")+COUNTIF('Detailed Attendance'!FI108:FI108, "A")+COUNTIF('Detailed Attendance'!FU108:FU108, "A")+COUNTIF('Detailed Attendance'!FY108:FY108, "A")</f>
        <v/>
      </c>
      <c r="L106" s="72">
        <f>IF((J106+K106)=0, "", J106/(J106+K106))</f>
        <v/>
      </c>
      <c r="M106" s="46">
        <f>COUNTIF('Detailed Attendance'!D108:D108, "P")+COUNTIF('Detailed Attendance'!T108:T108, "P")+COUNTIF('Detailed Attendance'!AN108:AN108, "P")+COUNTIF('Detailed Attendance'!AR108:AR108, "P")+COUNTIF('Detailed Attendance'!BH108:BH108, "P")+COUNTIF('Detailed Attendance'!CB108:CB108, "P")+COUNTIF('Detailed Attendance'!CF108:CF108, "P")+COUNTIF('Detailed Attendance'!CY108:CY108, "P")+COUNTIF('Detailed Attendance'!DC108:DC108, "P")+COUNTIF('Detailed Attendance'!DV108:DV108, "P")+COUNTIF('Detailed Attendance'!DZ108:DZ108, "P")+COUNTIF('Detailed Attendance'!ES108:ES108, "P")+COUNTIF('Detailed Attendance'!GC108:GC108, "P")+COUNTIF('Detailed Attendance'!GG108:GG108, "P")</f>
        <v/>
      </c>
      <c r="N106" s="46">
        <f>COUNTIF('Detailed Attendance'!D108:D108, "A")+COUNTIF('Detailed Attendance'!T108:T108, "A")+COUNTIF('Detailed Attendance'!AN108:AN108, "A")+COUNTIF('Detailed Attendance'!AR108:AR108, "A")+COUNTIF('Detailed Attendance'!BH108:BH108, "A")+COUNTIF('Detailed Attendance'!CB108:CB108, "A")+COUNTIF('Detailed Attendance'!CF108:CF108, "A")+COUNTIF('Detailed Attendance'!CY108:CY108, "A")+COUNTIF('Detailed Attendance'!DC108:DC108, "A")+COUNTIF('Detailed Attendance'!DV108:DV108, "A")+COUNTIF('Detailed Attendance'!DZ108:DZ108, "A")+COUNTIF('Detailed Attendance'!ES108:ES108, "A")+COUNTIF('Detailed Attendance'!GC108:GC108, "A")+COUNTIF('Detailed Attendance'!GG108:GG108, "A")</f>
        <v/>
      </c>
      <c r="O106" s="72">
        <f>IF((M106+N106)=0, "", M106/(M106+N106))</f>
        <v/>
      </c>
      <c r="P106" s="46">
        <f>COUNTIF('Detailed Attendance'!M108:M108, "P")+COUNTIF('Detailed Attendance'!U108:U108, "P")+COUNTIF('Detailed Attendance'!AG108:AG108, "P")+COUNTIF('Detailed Attendance'!AO108:AO108, "P")+COUNTIF('Detailed Attendance'!BA108:BA108, "P")+COUNTIF('Detailed Attendance'!BI108:BI108, "P")+COUNTIF('Detailed Attendance'!BU108:BU108, "P")+COUNTIF('Detailed Attendance'!CC108:CC108, "P")+COUNTIF('Detailed Attendance'!CR108:CR108, "P")+COUNTIF('Detailed Attendance'!CZ108:CZ108, "P")+COUNTIF('Detailed Attendance'!DO108:DO108, "P")+COUNTIF('Detailed Attendance'!DW108:DW108, "P")+COUNTIF('Detailed Attendance'!EL108:EL108, "P")+COUNTIF('Detailed Attendance'!ET108:ET108, "P")+COUNTIF('Detailed Attendance'!FF108:FF108, "P")+COUNTIF('Detailed Attendance'!FV108:FV108, "P")+COUNTIF('Detailed Attendance'!GD108:GD108, "P")</f>
        <v/>
      </c>
      <c r="Q106" s="46">
        <f>COUNTIF('Detailed Attendance'!M108:M108, "A")+COUNTIF('Detailed Attendance'!U108:U108, "A")+COUNTIF('Detailed Attendance'!AG108:AG108, "A")+COUNTIF('Detailed Attendance'!AO108:AO108, "A")+COUNTIF('Detailed Attendance'!BA108:BA108, "A")+COUNTIF('Detailed Attendance'!BI108:BI108, "A")+COUNTIF('Detailed Attendance'!BU108:BU108, "A")+COUNTIF('Detailed Attendance'!CC108:CC108, "A")+COUNTIF('Detailed Attendance'!CR108:CR108, "A")+COUNTIF('Detailed Attendance'!CZ108:CZ108, "A")+COUNTIF('Detailed Attendance'!DO108:DO108, "A")+COUNTIF('Detailed Attendance'!DW108:DW108, "A")+COUNTIF('Detailed Attendance'!EL108:EL108, "A")+COUNTIF('Detailed Attendance'!ET108:ET108, "A")+COUNTIF('Detailed Attendance'!FF108:FF108, "A")+COUNTIF('Detailed Attendance'!FV108:FV108, "A")+COUNTIF('Detailed Attendance'!GD108:GD108, "A")</f>
        <v/>
      </c>
      <c r="R106" s="72">
        <f>IF((P106+Q106)=0, "", P106/(P106+Q106))</f>
        <v/>
      </c>
      <c r="S106" s="46">
        <f>COUNTIF('Detailed Attendance'!H108:H108, "P")+COUNTIF('Detailed Attendance'!AB108:AB108, "P")+COUNTIF('Detailed Attendance'!AV108:AV108, "P")+COUNTIF('Detailed Attendance'!BP108:BP108, "P")+COUNTIF('Detailed Attendance'!CM108:CM108, "P")+COUNTIF('Detailed Attendance'!DJ108:DJ108, "P")+COUNTIF('Detailed Attendance'!EG108:EG108, "P")+COUNTIF('Detailed Attendance'!FA108:FA108, "P")+COUNTIF('Detailed Attendance'!FQ108:FQ108, "P")</f>
        <v/>
      </c>
      <c r="T106" s="46">
        <f>COUNTIF('Detailed Attendance'!H108:H108, "A")+COUNTIF('Detailed Attendance'!AB108:AB108, "A")+COUNTIF('Detailed Attendance'!AV108:AV108, "A")+COUNTIF('Detailed Attendance'!BP108:BP108, "A")+COUNTIF('Detailed Attendance'!CM108:CM108, "A")+COUNTIF('Detailed Attendance'!DJ108:DJ108, "A")+COUNTIF('Detailed Attendance'!EG108:EG108, "A")+COUNTIF('Detailed Attendance'!FA108:FA108, "A")+COUNTIF('Detailed Attendance'!FQ108:FQ108, "A")</f>
        <v/>
      </c>
      <c r="U106" s="73">
        <f>IF((S106+T106)=0, "", S106/(S106+T106))</f>
        <v/>
      </c>
      <c r="V106" s="46">
        <f>COUNTIF('Detailed Attendance'!E108:E108, "P")+COUNTIF('Detailed Attendance'!Y108:Y108, "P")+COUNTIF('Detailed Attendance'!AS108:AS108, "P")+COUNTIF('Detailed Attendance'!BM108:BM108, "P")+COUNTIF('Detailed Attendance'!CJ108:CJ108, "P")+COUNTIF('Detailed Attendance'!DG108:DG108, "P")+COUNTIF('Detailed Attendance'!ED108:ED108, "P")+COUNTIF('Detailed Attendance'!EX108:EX108, "P")+COUNTIF('Detailed Attendance'!FN108:FN108, "P")</f>
        <v/>
      </c>
      <c r="W106" s="46">
        <f>COUNTIF('Detailed Attendance'!E108:E108, "A")+COUNTIF('Detailed Attendance'!Y108:Y108, "A")+COUNTIF('Detailed Attendance'!AS108:AS108, "A")+COUNTIF('Detailed Attendance'!BM108:BM108, "A")+COUNTIF('Detailed Attendance'!CJ108:CJ108, "A")+COUNTIF('Detailed Attendance'!DG108:DG108, "A")+COUNTIF('Detailed Attendance'!ED108:ED108, "A")+COUNTIF('Detailed Attendance'!EX108:EX108, "A")+COUNTIF('Detailed Attendance'!FN108:FN108, "A")</f>
        <v/>
      </c>
      <c r="X106" s="73">
        <f>IF((V106+W106)=0, "", V106/(V106+W106))</f>
        <v/>
      </c>
      <c r="Y106" s="46">
        <f>COUNTIF('Detailed Attendance'!CH108:CH108, "P")+COUNTIF('Detailed Attendance'!DE108:DE108, "P")+COUNTIF('Detailed Attendance'!EB108:EB108, "P")+COUNTIF('Detailed Attendance'!GI108:GI108, "P")</f>
        <v/>
      </c>
      <c r="Z106" s="46">
        <f>COUNTIF('Detailed Attendance'!CH108:CH108, "A")+COUNTIF('Detailed Attendance'!DE108:DE108, "A")+COUNTIF('Detailed Attendance'!EB108:EB108, "A")+COUNTIF('Detailed Attendance'!GI108:GI108, "A")</f>
        <v/>
      </c>
      <c r="AA106" s="73">
        <f>IF((Y106+Z106)=0, "", Y106/(Y106+Z106))</f>
        <v/>
      </c>
      <c r="AB106" s="46">
        <f>S106+V106+Y106</f>
        <v/>
      </c>
      <c r="AC106" s="46">
        <f>T106+W106+Z106</f>
        <v/>
      </c>
      <c r="AD106" s="73">
        <f>IF((AB106+AC106)=0, "", AB106/(AB106+AC106))</f>
        <v/>
      </c>
      <c r="AE106" s="46" t="inlineStr">
        <is>
          <t>Batch 3</t>
        </is>
      </c>
    </row>
    <row r="107" ht="14.25" customHeight="1" s="34">
      <c r="A107" s="46" t="n">
        <v>106</v>
      </c>
      <c r="B107" s="46" t="inlineStr">
        <is>
          <t>325106410106</t>
        </is>
      </c>
      <c r="C107" s="46" t="inlineStr">
        <is>
          <t>SELUSIWE NOMVULA MPOFU</t>
        </is>
      </c>
      <c r="D107" s="46">
        <f>COUNTIF('Detailed Attendance'!R109:R109, "P")+COUNTIF('Detailed Attendance'!X109:X109, "P")+COUNTIF('Detailed Attendance'!AL109:AL109, "P")+COUNTIF('Detailed Attendance'!BF109:BF109, "P")+COUNTIF('Detailed Attendance'!BL109:BL109, "P")+COUNTIF('Detailed Attendance'!BZ109:BZ109, "P")+COUNTIF('Detailed Attendance'!CI109:CI109, "P")+COUNTIF('Detailed Attendance'!CW109:CW109, "P")+COUNTIF('Detailed Attendance'!DF109:DF109, "P")+COUNTIF('Detailed Attendance'!DT109:DT109, "P")+COUNTIF('Detailed Attendance'!EC109:EC109, "P")+COUNTIF('Detailed Attendance'!EQ109:EQ109, "P")+COUNTIF('Detailed Attendance'!EW109:EW109, "P")+COUNTIF('Detailed Attendance'!FK109:FK109, "P")+COUNTIF('Detailed Attendance'!FM109:FM109, "P")+COUNTIF('Detailed Attendance'!GA109:GA109, "P")</f>
        <v/>
      </c>
      <c r="E107" s="46">
        <f>COUNTIF('Detailed Attendance'!R109:R109, "A")+COUNTIF('Detailed Attendance'!X109:X109, "A")+COUNTIF('Detailed Attendance'!AL109:AL109, "A")+COUNTIF('Detailed Attendance'!BF109:BF109, "A")+COUNTIF('Detailed Attendance'!BL109:BL109, "A")+COUNTIF('Detailed Attendance'!BZ109:BZ109, "A")+COUNTIF('Detailed Attendance'!CI109:CI109, "A")+COUNTIF('Detailed Attendance'!CW109:CW109, "A")+COUNTIF('Detailed Attendance'!DF109:DF109, "A")+COUNTIF('Detailed Attendance'!DT109:DT109, "A")+COUNTIF('Detailed Attendance'!EC109:EC109, "A")+COUNTIF('Detailed Attendance'!EQ109:EQ109, "A")+COUNTIF('Detailed Attendance'!EW109:EW109, "A")+COUNTIF('Detailed Attendance'!FK109:FK109, "A")+COUNTIF('Detailed Attendance'!FM109:FM109, "A")+COUNTIF('Detailed Attendance'!GA109:GA109, "A")</f>
        <v/>
      </c>
      <c r="F107" s="72">
        <f>IF((D107+E107)=0, "", D107/(D107+E107))</f>
        <v/>
      </c>
      <c r="G107" s="46">
        <f>COUNTIF('Detailed Attendance'!I109:I109, "P")+COUNTIF('Detailed Attendance'!Q109:Q109, "P")+COUNTIF('Detailed Attendance'!AC109:AC109, "P")+COUNTIF('Detailed Attendance'!AK109:AK109, "P")+COUNTIF('Detailed Attendance'!AW109:AW109, "P")+COUNTIF('Detailed Attendance'!BE109:BE109, "P")+COUNTIF('Detailed Attendance'!BQ109:BQ109, "P")+COUNTIF('Detailed Attendance'!BY109:BY109, "P")+COUNTIF('Detailed Attendance'!CN109:CN109, "P")+COUNTIF('Detailed Attendance'!CV109:CV109, "P")+COUNTIF('Detailed Attendance'!DK109:DK109, "P")+COUNTIF('Detailed Attendance'!DS109:DS109, "P")+COUNTIF('Detailed Attendance'!EH109:EH109, "P")+COUNTIF('Detailed Attendance'!EP109:EP109, "P")+COUNTIF('Detailed Attendance'!FB109:FB109, "P")+COUNTIF('Detailed Attendance'!FJ109:FJ109, "P")+COUNTIF('Detailed Attendance'!FR109:FR109, "P")+COUNTIF('Detailed Attendance'!FZ109:FZ109, "P")</f>
        <v/>
      </c>
      <c r="H107" s="46">
        <f>COUNTIF('Detailed Attendance'!I109:I109, "A")+COUNTIF('Detailed Attendance'!Q109:Q109, "A")+COUNTIF('Detailed Attendance'!AC109:AC109, "A")+COUNTIF('Detailed Attendance'!AK109:AK109, "A")+COUNTIF('Detailed Attendance'!AW109:AW109, "A")+COUNTIF('Detailed Attendance'!BE109:BE109, "A")+COUNTIF('Detailed Attendance'!BQ109:BQ109, "A")+COUNTIF('Detailed Attendance'!BY109:BY109, "A")+COUNTIF('Detailed Attendance'!CN109:CN109, "A")+COUNTIF('Detailed Attendance'!CV109:CV109, "A")+COUNTIF('Detailed Attendance'!DK109:DK109, "A")+COUNTIF('Detailed Attendance'!DS109:DS109, "A")+COUNTIF('Detailed Attendance'!EH109:EH109, "A")+COUNTIF('Detailed Attendance'!EP109:EP109, "A")+COUNTIF('Detailed Attendance'!FB109:FB109, "A")+COUNTIF('Detailed Attendance'!FJ109:FJ109, "A")+COUNTIF('Detailed Attendance'!FR109:FR109, "A")+COUNTIF('Detailed Attendance'!FZ109:FZ109, "A")</f>
        <v/>
      </c>
      <c r="I107" s="72">
        <f>IF((G107+H107)=0, "", G107/(G107+H107))</f>
        <v/>
      </c>
      <c r="J107" s="46">
        <f>COUNTIF('Detailed Attendance'!L109:L109, "P")+COUNTIF('Detailed Attendance'!P109:P109, "P")+COUNTIF('Detailed Attendance'!AF109:AF109, "P")+COUNTIF('Detailed Attendance'!AJ109:AJ109, "P")+COUNTIF('Detailed Attendance'!AZ109:AZ109, "P")+COUNTIF('Detailed Attendance'!BD109:BD109, "P")+COUNTIF('Detailed Attendance'!BT109:BT109, "P")+COUNTIF('Detailed Attendance'!BX109:BX109, "P")+COUNTIF('Detailed Attendance'!CQ109:CQ109, "P")+COUNTIF('Detailed Attendance'!CU109:CU109, "P")+COUNTIF('Detailed Attendance'!DN109:DN109, "P")+COUNTIF('Detailed Attendance'!DR109:DR109, "P")+COUNTIF('Detailed Attendance'!EK109:EK109, "P")+COUNTIF('Detailed Attendance'!EO109:EO109, "P")+COUNTIF('Detailed Attendance'!FE109:FE109, "P")+COUNTIF('Detailed Attendance'!FI109:FI109, "P")+COUNTIF('Detailed Attendance'!FU109:FU109, "P")+COUNTIF('Detailed Attendance'!FY109:FY109, "P")</f>
        <v/>
      </c>
      <c r="K107" s="46">
        <f>COUNTIF('Detailed Attendance'!L109:L109, "A")+COUNTIF('Detailed Attendance'!P109:P109, "A")+COUNTIF('Detailed Attendance'!AF109:AF109, "A")+COUNTIF('Detailed Attendance'!AJ109:AJ109, "A")+COUNTIF('Detailed Attendance'!AZ109:AZ109, "A")+COUNTIF('Detailed Attendance'!BD109:BD109, "A")+COUNTIF('Detailed Attendance'!BT109:BT109, "A")+COUNTIF('Detailed Attendance'!BX109:BX109, "A")+COUNTIF('Detailed Attendance'!CQ109:CQ109, "A")+COUNTIF('Detailed Attendance'!CU109:CU109, "A")+COUNTIF('Detailed Attendance'!DN109:DN109, "A")+COUNTIF('Detailed Attendance'!DR109:DR109, "A")+COUNTIF('Detailed Attendance'!EK109:EK109, "A")+COUNTIF('Detailed Attendance'!EO109:EO109, "A")+COUNTIF('Detailed Attendance'!FE109:FE109, "A")+COUNTIF('Detailed Attendance'!FI109:FI109, "A")+COUNTIF('Detailed Attendance'!FU109:FU109, "A")+COUNTIF('Detailed Attendance'!FY109:FY109, "A")</f>
        <v/>
      </c>
      <c r="L107" s="72">
        <f>IF((J107+K107)=0, "", J107/(J107+K107))</f>
        <v/>
      </c>
      <c r="M107" s="46">
        <f>COUNTIF('Detailed Attendance'!D109:D109, "P")+COUNTIF('Detailed Attendance'!T109:T109, "P")+COUNTIF('Detailed Attendance'!AN109:AN109, "P")+COUNTIF('Detailed Attendance'!AR109:AR109, "P")+COUNTIF('Detailed Attendance'!BH109:BH109, "P")+COUNTIF('Detailed Attendance'!CB109:CB109, "P")+COUNTIF('Detailed Attendance'!CF109:CF109, "P")+COUNTIF('Detailed Attendance'!CY109:CY109, "P")+COUNTIF('Detailed Attendance'!DC109:DC109, "P")+COUNTIF('Detailed Attendance'!DV109:DV109, "P")+COUNTIF('Detailed Attendance'!DZ109:DZ109, "P")+COUNTIF('Detailed Attendance'!ES109:ES109, "P")+COUNTIF('Detailed Attendance'!GC109:GC109, "P")+COUNTIF('Detailed Attendance'!GG109:GG109, "P")</f>
        <v/>
      </c>
      <c r="N107" s="46">
        <f>COUNTIF('Detailed Attendance'!D109:D109, "A")+COUNTIF('Detailed Attendance'!T109:T109, "A")+COUNTIF('Detailed Attendance'!AN109:AN109, "A")+COUNTIF('Detailed Attendance'!AR109:AR109, "A")+COUNTIF('Detailed Attendance'!BH109:BH109, "A")+COUNTIF('Detailed Attendance'!CB109:CB109, "A")+COUNTIF('Detailed Attendance'!CF109:CF109, "A")+COUNTIF('Detailed Attendance'!CY109:CY109, "A")+COUNTIF('Detailed Attendance'!DC109:DC109, "A")+COUNTIF('Detailed Attendance'!DV109:DV109, "A")+COUNTIF('Detailed Attendance'!DZ109:DZ109, "A")+COUNTIF('Detailed Attendance'!ES109:ES109, "A")+COUNTIF('Detailed Attendance'!GC109:GC109, "A")+COUNTIF('Detailed Attendance'!GG109:GG109, "A")</f>
        <v/>
      </c>
      <c r="O107" s="72">
        <f>IF((M107+N107)=0, "", M107/(M107+N107))</f>
        <v/>
      </c>
      <c r="P107" s="46">
        <f>COUNTIF('Detailed Attendance'!M109:M109, "P")+COUNTIF('Detailed Attendance'!U109:U109, "P")+COUNTIF('Detailed Attendance'!AG109:AG109, "P")+COUNTIF('Detailed Attendance'!AO109:AO109, "P")+COUNTIF('Detailed Attendance'!BA109:BA109, "P")+COUNTIF('Detailed Attendance'!BI109:BI109, "P")+COUNTIF('Detailed Attendance'!BU109:BU109, "P")+COUNTIF('Detailed Attendance'!CC109:CC109, "P")+COUNTIF('Detailed Attendance'!CR109:CR109, "P")+COUNTIF('Detailed Attendance'!CZ109:CZ109, "P")+COUNTIF('Detailed Attendance'!DO109:DO109, "P")+COUNTIF('Detailed Attendance'!DW109:DW109, "P")+COUNTIF('Detailed Attendance'!EL109:EL109, "P")+COUNTIF('Detailed Attendance'!ET109:ET109, "P")+COUNTIF('Detailed Attendance'!FF109:FF109, "P")+COUNTIF('Detailed Attendance'!FV109:FV109, "P")+COUNTIF('Detailed Attendance'!GD109:GD109, "P")</f>
        <v/>
      </c>
      <c r="Q107" s="46">
        <f>COUNTIF('Detailed Attendance'!M109:M109, "A")+COUNTIF('Detailed Attendance'!U109:U109, "A")+COUNTIF('Detailed Attendance'!AG109:AG109, "A")+COUNTIF('Detailed Attendance'!AO109:AO109, "A")+COUNTIF('Detailed Attendance'!BA109:BA109, "A")+COUNTIF('Detailed Attendance'!BI109:BI109, "A")+COUNTIF('Detailed Attendance'!BU109:BU109, "A")+COUNTIF('Detailed Attendance'!CC109:CC109, "A")+COUNTIF('Detailed Attendance'!CR109:CR109, "A")+COUNTIF('Detailed Attendance'!CZ109:CZ109, "A")+COUNTIF('Detailed Attendance'!DO109:DO109, "A")+COUNTIF('Detailed Attendance'!DW109:DW109, "A")+COUNTIF('Detailed Attendance'!EL109:EL109, "A")+COUNTIF('Detailed Attendance'!ET109:ET109, "A")+COUNTIF('Detailed Attendance'!FF109:FF109, "A")+COUNTIF('Detailed Attendance'!FV109:FV109, "A")+COUNTIF('Detailed Attendance'!GD109:GD109, "A")</f>
        <v/>
      </c>
      <c r="R107" s="72">
        <f>IF((P107+Q107)=0, "", P107/(P107+Q107))</f>
        <v/>
      </c>
      <c r="S107" s="46">
        <f>COUNTIF('Detailed Attendance'!H109:H109, "P")+COUNTIF('Detailed Attendance'!AB109:AB109, "P")+COUNTIF('Detailed Attendance'!AV109:AV109, "P")+COUNTIF('Detailed Attendance'!BP109:BP109, "P")+COUNTIF('Detailed Attendance'!CM109:CM109, "P")+COUNTIF('Detailed Attendance'!DJ109:DJ109, "P")+COUNTIF('Detailed Attendance'!EG109:EG109, "P")+COUNTIF('Detailed Attendance'!FA109:FA109, "P")+COUNTIF('Detailed Attendance'!FQ109:FQ109, "P")</f>
        <v/>
      </c>
      <c r="T107" s="46">
        <f>COUNTIF('Detailed Attendance'!H109:H109, "A")+COUNTIF('Detailed Attendance'!AB109:AB109, "A")+COUNTIF('Detailed Attendance'!AV109:AV109, "A")+COUNTIF('Detailed Attendance'!BP109:BP109, "A")+COUNTIF('Detailed Attendance'!CM109:CM109, "A")+COUNTIF('Detailed Attendance'!DJ109:DJ109, "A")+COUNTIF('Detailed Attendance'!EG109:EG109, "A")+COUNTIF('Detailed Attendance'!FA109:FA109, "A")+COUNTIF('Detailed Attendance'!FQ109:FQ109, "A")</f>
        <v/>
      </c>
      <c r="U107" s="73">
        <f>IF((S107+T107)=0, "", S107/(S107+T107))</f>
        <v/>
      </c>
      <c r="V107" s="46">
        <f>COUNTIF('Detailed Attendance'!E109:E109, "P")+COUNTIF('Detailed Attendance'!Y109:Y109, "P")+COUNTIF('Detailed Attendance'!AS109:AS109, "P")+COUNTIF('Detailed Attendance'!BM109:BM109, "P")+COUNTIF('Detailed Attendance'!CJ109:CJ109, "P")+COUNTIF('Detailed Attendance'!DG109:DG109, "P")+COUNTIF('Detailed Attendance'!ED109:ED109, "P")+COUNTIF('Detailed Attendance'!EX109:EX109, "P")+COUNTIF('Detailed Attendance'!FN109:FN109, "P")</f>
        <v/>
      </c>
      <c r="W107" s="46">
        <f>COUNTIF('Detailed Attendance'!E109:E109, "A")+COUNTIF('Detailed Attendance'!Y109:Y109, "A")+COUNTIF('Detailed Attendance'!AS109:AS109, "A")+COUNTIF('Detailed Attendance'!BM109:BM109, "A")+COUNTIF('Detailed Attendance'!CJ109:CJ109, "A")+COUNTIF('Detailed Attendance'!DG109:DG109, "A")+COUNTIF('Detailed Attendance'!ED109:ED109, "A")+COUNTIF('Detailed Attendance'!EX109:EX109, "A")+COUNTIF('Detailed Attendance'!FN109:FN109, "A")</f>
        <v/>
      </c>
      <c r="X107" s="73">
        <f>IF((V107+W107)=0, "", V107/(V107+W107))</f>
        <v/>
      </c>
      <c r="Y107" s="46">
        <f>COUNTIF('Detailed Attendance'!CH109:CH109, "P")+COUNTIF('Detailed Attendance'!DE109:DE109, "P")+COUNTIF('Detailed Attendance'!EB109:EB109, "P")+COUNTIF('Detailed Attendance'!GI109:GI109, "P")</f>
        <v/>
      </c>
      <c r="Z107" s="46">
        <f>COUNTIF('Detailed Attendance'!CH109:CH109, "A")+COUNTIF('Detailed Attendance'!DE109:DE109, "A")+COUNTIF('Detailed Attendance'!EB109:EB109, "A")+COUNTIF('Detailed Attendance'!GI109:GI109, "A")</f>
        <v/>
      </c>
      <c r="AA107" s="73">
        <f>IF((Y107+Z107)=0, "", Y107/(Y107+Z107))</f>
        <v/>
      </c>
      <c r="AB107" s="46">
        <f>S107+V107+Y107</f>
        <v/>
      </c>
      <c r="AC107" s="46">
        <f>T107+W107+Z107</f>
        <v/>
      </c>
      <c r="AD107" s="73">
        <f>IF((AB107+AC107)=0, "", AB107/(AB107+AC107))</f>
        <v/>
      </c>
      <c r="AE107" s="46" t="inlineStr">
        <is>
          <t>Batch 3</t>
        </is>
      </c>
    </row>
    <row r="108" ht="14.25" customHeight="1" s="34">
      <c r="A108" s="46" t="n">
        <v>107</v>
      </c>
      <c r="B108" s="46" t="inlineStr">
        <is>
          <t>325106410107</t>
        </is>
      </c>
      <c r="C108" s="46" t="inlineStr">
        <is>
          <t>SISEKELO SAKHILE MAHLALELA</t>
        </is>
      </c>
      <c r="D108" s="46">
        <f>COUNTIF('Detailed Attendance'!R110:R110, "P")+COUNTIF('Detailed Attendance'!X110:X110, "P")+COUNTIF('Detailed Attendance'!AL110:AL110, "P")+COUNTIF('Detailed Attendance'!BF110:BF110, "P")+COUNTIF('Detailed Attendance'!BL110:BL110, "P")+COUNTIF('Detailed Attendance'!BZ110:BZ110, "P")+COUNTIF('Detailed Attendance'!CI110:CI110, "P")+COUNTIF('Detailed Attendance'!CW110:CW110, "P")+COUNTIF('Detailed Attendance'!DF110:DF110, "P")+COUNTIF('Detailed Attendance'!DT110:DT110, "P")+COUNTIF('Detailed Attendance'!EC110:EC110, "P")+COUNTIF('Detailed Attendance'!EQ110:EQ110, "P")+COUNTIF('Detailed Attendance'!EW110:EW110, "P")+COUNTIF('Detailed Attendance'!FK110:FK110, "P")+COUNTIF('Detailed Attendance'!FM110:FM110, "P")+COUNTIF('Detailed Attendance'!GA110:GA110, "P")</f>
        <v/>
      </c>
      <c r="E108" s="46">
        <f>COUNTIF('Detailed Attendance'!R110:R110, "A")+COUNTIF('Detailed Attendance'!X110:X110, "A")+COUNTIF('Detailed Attendance'!AL110:AL110, "A")+COUNTIF('Detailed Attendance'!BF110:BF110, "A")+COUNTIF('Detailed Attendance'!BL110:BL110, "A")+COUNTIF('Detailed Attendance'!BZ110:BZ110, "A")+COUNTIF('Detailed Attendance'!CI110:CI110, "A")+COUNTIF('Detailed Attendance'!CW110:CW110, "A")+COUNTIF('Detailed Attendance'!DF110:DF110, "A")+COUNTIF('Detailed Attendance'!DT110:DT110, "A")+COUNTIF('Detailed Attendance'!EC110:EC110, "A")+COUNTIF('Detailed Attendance'!EQ110:EQ110, "A")+COUNTIF('Detailed Attendance'!EW110:EW110, "A")+COUNTIF('Detailed Attendance'!FK110:FK110, "A")+COUNTIF('Detailed Attendance'!FM110:FM110, "A")+COUNTIF('Detailed Attendance'!GA110:GA110, "A")</f>
        <v/>
      </c>
      <c r="F108" s="72">
        <f>IF((D108+E108)=0, "", D108/(D108+E108))</f>
        <v/>
      </c>
      <c r="G108" s="46">
        <f>COUNTIF('Detailed Attendance'!I110:I110, "P")+COUNTIF('Detailed Attendance'!Q110:Q110, "P")+COUNTIF('Detailed Attendance'!AC110:AC110, "P")+COUNTIF('Detailed Attendance'!AK110:AK110, "P")+COUNTIF('Detailed Attendance'!AW110:AW110, "P")+COUNTIF('Detailed Attendance'!BE110:BE110, "P")+COUNTIF('Detailed Attendance'!BQ110:BQ110, "P")+COUNTIF('Detailed Attendance'!BY110:BY110, "P")+COUNTIF('Detailed Attendance'!CN110:CN110, "P")+COUNTIF('Detailed Attendance'!CV110:CV110, "P")+COUNTIF('Detailed Attendance'!DK110:DK110, "P")+COUNTIF('Detailed Attendance'!DS110:DS110, "P")+COUNTIF('Detailed Attendance'!EH110:EH110, "P")+COUNTIF('Detailed Attendance'!EP110:EP110, "P")+COUNTIF('Detailed Attendance'!FB110:FB110, "P")+COUNTIF('Detailed Attendance'!FJ110:FJ110, "P")+COUNTIF('Detailed Attendance'!FR110:FR110, "P")+COUNTIF('Detailed Attendance'!FZ110:FZ110, "P")</f>
        <v/>
      </c>
      <c r="H108" s="46">
        <f>COUNTIF('Detailed Attendance'!I110:I110, "A")+COUNTIF('Detailed Attendance'!Q110:Q110, "A")+COUNTIF('Detailed Attendance'!AC110:AC110, "A")+COUNTIF('Detailed Attendance'!AK110:AK110, "A")+COUNTIF('Detailed Attendance'!AW110:AW110, "A")+COUNTIF('Detailed Attendance'!BE110:BE110, "A")+COUNTIF('Detailed Attendance'!BQ110:BQ110, "A")+COUNTIF('Detailed Attendance'!BY110:BY110, "A")+COUNTIF('Detailed Attendance'!CN110:CN110, "A")+COUNTIF('Detailed Attendance'!CV110:CV110, "A")+COUNTIF('Detailed Attendance'!DK110:DK110, "A")+COUNTIF('Detailed Attendance'!DS110:DS110, "A")+COUNTIF('Detailed Attendance'!EH110:EH110, "A")+COUNTIF('Detailed Attendance'!EP110:EP110, "A")+COUNTIF('Detailed Attendance'!FB110:FB110, "A")+COUNTIF('Detailed Attendance'!FJ110:FJ110, "A")+COUNTIF('Detailed Attendance'!FR110:FR110, "A")+COUNTIF('Detailed Attendance'!FZ110:FZ110, "A")</f>
        <v/>
      </c>
      <c r="I108" s="72">
        <f>IF((G108+H108)=0, "", G108/(G108+H108))</f>
        <v/>
      </c>
      <c r="J108" s="46">
        <f>COUNTIF('Detailed Attendance'!L110:L110, "P")+COUNTIF('Detailed Attendance'!P110:P110, "P")+COUNTIF('Detailed Attendance'!AF110:AF110, "P")+COUNTIF('Detailed Attendance'!AJ110:AJ110, "P")+COUNTIF('Detailed Attendance'!AZ110:AZ110, "P")+COUNTIF('Detailed Attendance'!BD110:BD110, "P")+COUNTIF('Detailed Attendance'!BT110:BT110, "P")+COUNTIF('Detailed Attendance'!BX110:BX110, "P")+COUNTIF('Detailed Attendance'!CQ110:CQ110, "P")+COUNTIF('Detailed Attendance'!CU110:CU110, "P")+COUNTIF('Detailed Attendance'!DN110:DN110, "P")+COUNTIF('Detailed Attendance'!DR110:DR110, "P")+COUNTIF('Detailed Attendance'!EK110:EK110, "P")+COUNTIF('Detailed Attendance'!EO110:EO110, "P")+COUNTIF('Detailed Attendance'!FE110:FE110, "P")+COUNTIF('Detailed Attendance'!FI110:FI110, "P")+COUNTIF('Detailed Attendance'!FU110:FU110, "P")+COUNTIF('Detailed Attendance'!FY110:FY110, "P")</f>
        <v/>
      </c>
      <c r="K108" s="46">
        <f>COUNTIF('Detailed Attendance'!L110:L110, "A")+COUNTIF('Detailed Attendance'!P110:P110, "A")+COUNTIF('Detailed Attendance'!AF110:AF110, "A")+COUNTIF('Detailed Attendance'!AJ110:AJ110, "A")+COUNTIF('Detailed Attendance'!AZ110:AZ110, "A")+COUNTIF('Detailed Attendance'!BD110:BD110, "A")+COUNTIF('Detailed Attendance'!BT110:BT110, "A")+COUNTIF('Detailed Attendance'!BX110:BX110, "A")+COUNTIF('Detailed Attendance'!CQ110:CQ110, "A")+COUNTIF('Detailed Attendance'!CU110:CU110, "A")+COUNTIF('Detailed Attendance'!DN110:DN110, "A")+COUNTIF('Detailed Attendance'!DR110:DR110, "A")+COUNTIF('Detailed Attendance'!EK110:EK110, "A")+COUNTIF('Detailed Attendance'!EO110:EO110, "A")+COUNTIF('Detailed Attendance'!FE110:FE110, "A")+COUNTIF('Detailed Attendance'!FI110:FI110, "A")+COUNTIF('Detailed Attendance'!FU110:FU110, "A")+COUNTIF('Detailed Attendance'!FY110:FY110, "A")</f>
        <v/>
      </c>
      <c r="L108" s="72">
        <f>IF((J108+K108)=0, "", J108/(J108+K108))</f>
        <v/>
      </c>
      <c r="M108" s="46">
        <f>COUNTIF('Detailed Attendance'!D110:D110, "P")+COUNTIF('Detailed Attendance'!T110:T110, "P")+COUNTIF('Detailed Attendance'!AN110:AN110, "P")+COUNTIF('Detailed Attendance'!AR110:AR110, "P")+COUNTIF('Detailed Attendance'!BH110:BH110, "P")+COUNTIF('Detailed Attendance'!CB110:CB110, "P")+COUNTIF('Detailed Attendance'!CF110:CF110, "P")+COUNTIF('Detailed Attendance'!CY110:CY110, "P")+COUNTIF('Detailed Attendance'!DC110:DC110, "P")+COUNTIF('Detailed Attendance'!DV110:DV110, "P")+COUNTIF('Detailed Attendance'!DZ110:DZ110, "P")+COUNTIF('Detailed Attendance'!ES110:ES110, "P")+COUNTIF('Detailed Attendance'!GC110:GC110, "P")+COUNTIF('Detailed Attendance'!GG110:GG110, "P")</f>
        <v/>
      </c>
      <c r="N108" s="46">
        <f>COUNTIF('Detailed Attendance'!D110:D110, "A")+COUNTIF('Detailed Attendance'!T110:T110, "A")+COUNTIF('Detailed Attendance'!AN110:AN110, "A")+COUNTIF('Detailed Attendance'!AR110:AR110, "A")+COUNTIF('Detailed Attendance'!BH110:BH110, "A")+COUNTIF('Detailed Attendance'!CB110:CB110, "A")+COUNTIF('Detailed Attendance'!CF110:CF110, "A")+COUNTIF('Detailed Attendance'!CY110:CY110, "A")+COUNTIF('Detailed Attendance'!DC110:DC110, "A")+COUNTIF('Detailed Attendance'!DV110:DV110, "A")+COUNTIF('Detailed Attendance'!DZ110:DZ110, "A")+COUNTIF('Detailed Attendance'!ES110:ES110, "A")+COUNTIF('Detailed Attendance'!GC110:GC110, "A")+COUNTIF('Detailed Attendance'!GG110:GG110, "A")</f>
        <v/>
      </c>
      <c r="O108" s="72">
        <f>IF((M108+N108)=0, "", M108/(M108+N108))</f>
        <v/>
      </c>
      <c r="P108" s="46">
        <f>COUNTIF('Detailed Attendance'!M110:M110, "P")+COUNTIF('Detailed Attendance'!U110:U110, "P")+COUNTIF('Detailed Attendance'!AG110:AG110, "P")+COUNTIF('Detailed Attendance'!AO110:AO110, "P")+COUNTIF('Detailed Attendance'!BA110:BA110, "P")+COUNTIF('Detailed Attendance'!BI110:BI110, "P")+COUNTIF('Detailed Attendance'!BU110:BU110, "P")+COUNTIF('Detailed Attendance'!CC110:CC110, "P")+COUNTIF('Detailed Attendance'!CR110:CR110, "P")+COUNTIF('Detailed Attendance'!CZ110:CZ110, "P")+COUNTIF('Detailed Attendance'!DO110:DO110, "P")+COUNTIF('Detailed Attendance'!DW110:DW110, "P")+COUNTIF('Detailed Attendance'!EL110:EL110, "P")+COUNTIF('Detailed Attendance'!ET110:ET110, "P")+COUNTIF('Detailed Attendance'!FF110:FF110, "P")+COUNTIF('Detailed Attendance'!FV110:FV110, "P")+COUNTIF('Detailed Attendance'!GD110:GD110, "P")</f>
        <v/>
      </c>
      <c r="Q108" s="46">
        <f>COUNTIF('Detailed Attendance'!M110:M110, "A")+COUNTIF('Detailed Attendance'!U110:U110, "A")+COUNTIF('Detailed Attendance'!AG110:AG110, "A")+COUNTIF('Detailed Attendance'!AO110:AO110, "A")+COUNTIF('Detailed Attendance'!BA110:BA110, "A")+COUNTIF('Detailed Attendance'!BI110:BI110, "A")+COUNTIF('Detailed Attendance'!BU110:BU110, "A")+COUNTIF('Detailed Attendance'!CC110:CC110, "A")+COUNTIF('Detailed Attendance'!CR110:CR110, "A")+COUNTIF('Detailed Attendance'!CZ110:CZ110, "A")+COUNTIF('Detailed Attendance'!DO110:DO110, "A")+COUNTIF('Detailed Attendance'!DW110:DW110, "A")+COUNTIF('Detailed Attendance'!EL110:EL110, "A")+COUNTIF('Detailed Attendance'!ET110:ET110, "A")+COUNTIF('Detailed Attendance'!FF110:FF110, "A")+COUNTIF('Detailed Attendance'!FV110:FV110, "A")+COUNTIF('Detailed Attendance'!GD110:GD110, "A")</f>
        <v/>
      </c>
      <c r="R108" s="72">
        <f>IF((P108+Q108)=0, "", P108/(P108+Q108))</f>
        <v/>
      </c>
      <c r="S108" s="46">
        <f>COUNTIF('Detailed Attendance'!H110:H110, "P")+COUNTIF('Detailed Attendance'!AB110:AB110, "P")+COUNTIF('Detailed Attendance'!AV110:AV110, "P")+COUNTIF('Detailed Attendance'!BP110:BP110, "P")+COUNTIF('Detailed Attendance'!CM110:CM110, "P")+COUNTIF('Detailed Attendance'!DJ110:DJ110, "P")+COUNTIF('Detailed Attendance'!EG110:EG110, "P")+COUNTIF('Detailed Attendance'!FA110:FA110, "P")+COUNTIF('Detailed Attendance'!FQ110:FQ110, "P")</f>
        <v/>
      </c>
      <c r="T108" s="46">
        <f>COUNTIF('Detailed Attendance'!H110:H110, "A")+COUNTIF('Detailed Attendance'!AB110:AB110, "A")+COUNTIF('Detailed Attendance'!AV110:AV110, "A")+COUNTIF('Detailed Attendance'!BP110:BP110, "A")+COUNTIF('Detailed Attendance'!CM110:CM110, "A")+COUNTIF('Detailed Attendance'!DJ110:DJ110, "A")+COUNTIF('Detailed Attendance'!EG110:EG110, "A")+COUNTIF('Detailed Attendance'!FA110:FA110, "A")+COUNTIF('Detailed Attendance'!FQ110:FQ110, "A")</f>
        <v/>
      </c>
      <c r="U108" s="73">
        <f>IF((S108+T108)=0, "", S108/(S108+T108))</f>
        <v/>
      </c>
      <c r="V108" s="46">
        <f>COUNTIF('Detailed Attendance'!E110:E110, "P")+COUNTIF('Detailed Attendance'!Y110:Y110, "P")+COUNTIF('Detailed Attendance'!AS110:AS110, "P")+COUNTIF('Detailed Attendance'!BM110:BM110, "P")+COUNTIF('Detailed Attendance'!CJ110:CJ110, "P")+COUNTIF('Detailed Attendance'!DG110:DG110, "P")+COUNTIF('Detailed Attendance'!ED110:ED110, "P")+COUNTIF('Detailed Attendance'!EX110:EX110, "P")+COUNTIF('Detailed Attendance'!FN110:FN110, "P")</f>
        <v/>
      </c>
      <c r="W108" s="46">
        <f>COUNTIF('Detailed Attendance'!E110:E110, "A")+COUNTIF('Detailed Attendance'!Y110:Y110, "A")+COUNTIF('Detailed Attendance'!AS110:AS110, "A")+COUNTIF('Detailed Attendance'!BM110:BM110, "A")+COUNTIF('Detailed Attendance'!CJ110:CJ110, "A")+COUNTIF('Detailed Attendance'!DG110:DG110, "A")+COUNTIF('Detailed Attendance'!ED110:ED110, "A")+COUNTIF('Detailed Attendance'!EX110:EX110, "A")+COUNTIF('Detailed Attendance'!FN110:FN110, "A")</f>
        <v/>
      </c>
      <c r="X108" s="73">
        <f>IF((V108+W108)=0, "", V108/(V108+W108))</f>
        <v/>
      </c>
      <c r="Y108" s="46">
        <f>COUNTIF('Detailed Attendance'!CH110:CH110, "P")+COUNTIF('Detailed Attendance'!DE110:DE110, "P")+COUNTIF('Detailed Attendance'!EB110:EB110, "P")+COUNTIF('Detailed Attendance'!GI110:GI110, "P")</f>
        <v/>
      </c>
      <c r="Z108" s="46">
        <f>COUNTIF('Detailed Attendance'!CH110:CH110, "A")+COUNTIF('Detailed Attendance'!DE110:DE110, "A")+COUNTIF('Detailed Attendance'!EB110:EB110, "A")+COUNTIF('Detailed Attendance'!GI110:GI110, "A")</f>
        <v/>
      </c>
      <c r="AA108" s="73">
        <f>IF((Y108+Z108)=0, "", Y108/(Y108+Z108))</f>
        <v/>
      </c>
      <c r="AB108" s="46">
        <f>S108+V108+Y108</f>
        <v/>
      </c>
      <c r="AC108" s="46">
        <f>T108+W108+Z108</f>
        <v/>
      </c>
      <c r="AD108" s="73">
        <f>IF((AB108+AC108)=0, "", AB108/(AB108+AC108))</f>
        <v/>
      </c>
      <c r="AE108" s="46" t="inlineStr">
        <is>
          <t>Batch 3</t>
        </is>
      </c>
    </row>
    <row r="109" ht="14.25" customHeight="1" s="34">
      <c r="A109" s="46" t="n">
        <v>108</v>
      </c>
      <c r="B109" s="46" t="inlineStr">
        <is>
          <t>325106410108</t>
        </is>
      </c>
      <c r="C109" s="46" t="inlineStr">
        <is>
          <t>SOUDAISSE AHAMADA</t>
        </is>
      </c>
      <c r="D109" s="46">
        <f>COUNTIF('Detailed Attendance'!R111:R111, "P")+COUNTIF('Detailed Attendance'!X111:X111, "P")+COUNTIF('Detailed Attendance'!AL111:AL111, "P")+COUNTIF('Detailed Attendance'!BF111:BF111, "P")+COUNTIF('Detailed Attendance'!BL111:BL111, "P")+COUNTIF('Detailed Attendance'!BZ111:BZ111, "P")+COUNTIF('Detailed Attendance'!CI111:CI111, "P")+COUNTIF('Detailed Attendance'!CW111:CW111, "P")+COUNTIF('Detailed Attendance'!DF111:DF111, "P")+COUNTIF('Detailed Attendance'!DT111:DT111, "P")+COUNTIF('Detailed Attendance'!EC111:EC111, "P")+COUNTIF('Detailed Attendance'!EQ111:EQ111, "P")+COUNTIF('Detailed Attendance'!EW111:EW111, "P")+COUNTIF('Detailed Attendance'!FK111:FK111, "P")+COUNTIF('Detailed Attendance'!FM111:FM111, "P")+COUNTIF('Detailed Attendance'!GA111:GA111, "P")</f>
        <v/>
      </c>
      <c r="E109" s="46">
        <f>COUNTIF('Detailed Attendance'!R111:R111, "A")+COUNTIF('Detailed Attendance'!X111:X111, "A")+COUNTIF('Detailed Attendance'!AL111:AL111, "A")+COUNTIF('Detailed Attendance'!BF111:BF111, "A")+COUNTIF('Detailed Attendance'!BL111:BL111, "A")+COUNTIF('Detailed Attendance'!BZ111:BZ111, "A")+COUNTIF('Detailed Attendance'!CI111:CI111, "A")+COUNTIF('Detailed Attendance'!CW111:CW111, "A")+COUNTIF('Detailed Attendance'!DF111:DF111, "A")+COUNTIF('Detailed Attendance'!DT111:DT111, "A")+COUNTIF('Detailed Attendance'!EC111:EC111, "A")+COUNTIF('Detailed Attendance'!EQ111:EQ111, "A")+COUNTIF('Detailed Attendance'!EW111:EW111, "A")+COUNTIF('Detailed Attendance'!FK111:FK111, "A")+COUNTIF('Detailed Attendance'!FM111:FM111, "A")+COUNTIF('Detailed Attendance'!GA111:GA111, "A")</f>
        <v/>
      </c>
      <c r="F109" s="72">
        <f>IF((D109+E109)=0, "", D109/(D109+E109))</f>
        <v/>
      </c>
      <c r="G109" s="46">
        <f>COUNTIF('Detailed Attendance'!I111:I111, "P")+COUNTIF('Detailed Attendance'!Q111:Q111, "P")+COUNTIF('Detailed Attendance'!AC111:AC111, "P")+COUNTIF('Detailed Attendance'!AK111:AK111, "P")+COUNTIF('Detailed Attendance'!AW111:AW111, "P")+COUNTIF('Detailed Attendance'!BE111:BE111, "P")+COUNTIF('Detailed Attendance'!BQ111:BQ111, "P")+COUNTIF('Detailed Attendance'!BY111:BY111, "P")+COUNTIF('Detailed Attendance'!CN111:CN111, "P")+COUNTIF('Detailed Attendance'!CV111:CV111, "P")+COUNTIF('Detailed Attendance'!DK111:DK111, "P")+COUNTIF('Detailed Attendance'!DS111:DS111, "P")+COUNTIF('Detailed Attendance'!EH111:EH111, "P")+COUNTIF('Detailed Attendance'!EP111:EP111, "P")+COUNTIF('Detailed Attendance'!FB111:FB111, "P")+COUNTIF('Detailed Attendance'!FJ111:FJ111, "P")+COUNTIF('Detailed Attendance'!FR111:FR111, "P")+COUNTIF('Detailed Attendance'!FZ111:FZ111, "P")</f>
        <v/>
      </c>
      <c r="H109" s="46">
        <f>COUNTIF('Detailed Attendance'!I111:I111, "A")+COUNTIF('Detailed Attendance'!Q111:Q111, "A")+COUNTIF('Detailed Attendance'!AC111:AC111, "A")+COUNTIF('Detailed Attendance'!AK111:AK111, "A")+COUNTIF('Detailed Attendance'!AW111:AW111, "A")+COUNTIF('Detailed Attendance'!BE111:BE111, "A")+COUNTIF('Detailed Attendance'!BQ111:BQ111, "A")+COUNTIF('Detailed Attendance'!BY111:BY111, "A")+COUNTIF('Detailed Attendance'!CN111:CN111, "A")+COUNTIF('Detailed Attendance'!CV111:CV111, "A")+COUNTIF('Detailed Attendance'!DK111:DK111, "A")+COUNTIF('Detailed Attendance'!DS111:DS111, "A")+COUNTIF('Detailed Attendance'!EH111:EH111, "A")+COUNTIF('Detailed Attendance'!EP111:EP111, "A")+COUNTIF('Detailed Attendance'!FB111:FB111, "A")+COUNTIF('Detailed Attendance'!FJ111:FJ111, "A")+COUNTIF('Detailed Attendance'!FR111:FR111, "A")+COUNTIF('Detailed Attendance'!FZ111:FZ111, "A")</f>
        <v/>
      </c>
      <c r="I109" s="72">
        <f>IF((G109+H109)=0, "", G109/(G109+H109))</f>
        <v/>
      </c>
      <c r="J109" s="46">
        <f>COUNTIF('Detailed Attendance'!L111:L111, "P")+COUNTIF('Detailed Attendance'!P111:P111, "P")+COUNTIF('Detailed Attendance'!AF111:AF111, "P")+COUNTIF('Detailed Attendance'!AJ111:AJ111, "P")+COUNTIF('Detailed Attendance'!AZ111:AZ111, "P")+COUNTIF('Detailed Attendance'!BD111:BD111, "P")+COUNTIF('Detailed Attendance'!BT111:BT111, "P")+COUNTIF('Detailed Attendance'!BX111:BX111, "P")+COUNTIF('Detailed Attendance'!CQ111:CQ111, "P")+COUNTIF('Detailed Attendance'!CU111:CU111, "P")+COUNTIF('Detailed Attendance'!DN111:DN111, "P")+COUNTIF('Detailed Attendance'!DR111:DR111, "P")+COUNTIF('Detailed Attendance'!EK111:EK111, "P")+COUNTIF('Detailed Attendance'!EO111:EO111, "P")+COUNTIF('Detailed Attendance'!FE111:FE111, "P")+COUNTIF('Detailed Attendance'!FI111:FI111, "P")+COUNTIF('Detailed Attendance'!FU111:FU111, "P")+COUNTIF('Detailed Attendance'!FY111:FY111, "P")</f>
        <v/>
      </c>
      <c r="K109" s="46">
        <f>COUNTIF('Detailed Attendance'!L111:L111, "A")+COUNTIF('Detailed Attendance'!P111:P111, "A")+COUNTIF('Detailed Attendance'!AF111:AF111, "A")+COUNTIF('Detailed Attendance'!AJ111:AJ111, "A")+COUNTIF('Detailed Attendance'!AZ111:AZ111, "A")+COUNTIF('Detailed Attendance'!BD111:BD111, "A")+COUNTIF('Detailed Attendance'!BT111:BT111, "A")+COUNTIF('Detailed Attendance'!BX111:BX111, "A")+COUNTIF('Detailed Attendance'!CQ111:CQ111, "A")+COUNTIF('Detailed Attendance'!CU111:CU111, "A")+COUNTIF('Detailed Attendance'!DN111:DN111, "A")+COUNTIF('Detailed Attendance'!DR111:DR111, "A")+COUNTIF('Detailed Attendance'!EK111:EK111, "A")+COUNTIF('Detailed Attendance'!EO111:EO111, "A")+COUNTIF('Detailed Attendance'!FE111:FE111, "A")+COUNTIF('Detailed Attendance'!FI111:FI111, "A")+COUNTIF('Detailed Attendance'!FU111:FU111, "A")+COUNTIF('Detailed Attendance'!FY111:FY111, "A")</f>
        <v/>
      </c>
      <c r="L109" s="72">
        <f>IF((J109+K109)=0, "", J109/(J109+K109))</f>
        <v/>
      </c>
      <c r="M109" s="46">
        <f>COUNTIF('Detailed Attendance'!D111:D111, "P")+COUNTIF('Detailed Attendance'!T111:T111, "P")+COUNTIF('Detailed Attendance'!AN111:AN111, "P")+COUNTIF('Detailed Attendance'!AR111:AR111, "P")+COUNTIF('Detailed Attendance'!BH111:BH111, "P")+COUNTIF('Detailed Attendance'!CB111:CB111, "P")+COUNTIF('Detailed Attendance'!CF111:CF111, "P")+COUNTIF('Detailed Attendance'!CY111:CY111, "P")+COUNTIF('Detailed Attendance'!DC111:DC111, "P")+COUNTIF('Detailed Attendance'!DV111:DV111, "P")+COUNTIF('Detailed Attendance'!DZ111:DZ111, "P")+COUNTIF('Detailed Attendance'!ES111:ES111, "P")+COUNTIF('Detailed Attendance'!GC111:GC111, "P")+COUNTIF('Detailed Attendance'!GG111:GG111, "P")</f>
        <v/>
      </c>
      <c r="N109" s="46">
        <f>COUNTIF('Detailed Attendance'!D111:D111, "A")+COUNTIF('Detailed Attendance'!T111:T111, "A")+COUNTIF('Detailed Attendance'!AN111:AN111, "A")+COUNTIF('Detailed Attendance'!AR111:AR111, "A")+COUNTIF('Detailed Attendance'!BH111:BH111, "A")+COUNTIF('Detailed Attendance'!CB111:CB111, "A")+COUNTIF('Detailed Attendance'!CF111:CF111, "A")+COUNTIF('Detailed Attendance'!CY111:CY111, "A")+COUNTIF('Detailed Attendance'!DC111:DC111, "A")+COUNTIF('Detailed Attendance'!DV111:DV111, "A")+COUNTIF('Detailed Attendance'!DZ111:DZ111, "A")+COUNTIF('Detailed Attendance'!ES111:ES111, "A")+COUNTIF('Detailed Attendance'!GC111:GC111, "A")+COUNTIF('Detailed Attendance'!GG111:GG111, "A")</f>
        <v/>
      </c>
      <c r="O109" s="72">
        <f>IF((M109+N109)=0, "", M109/(M109+N109))</f>
        <v/>
      </c>
      <c r="P109" s="46">
        <f>COUNTIF('Detailed Attendance'!M111:M111, "P")+COUNTIF('Detailed Attendance'!U111:U111, "P")+COUNTIF('Detailed Attendance'!AG111:AG111, "P")+COUNTIF('Detailed Attendance'!AO111:AO111, "P")+COUNTIF('Detailed Attendance'!BA111:BA111, "P")+COUNTIF('Detailed Attendance'!BI111:BI111, "P")+COUNTIF('Detailed Attendance'!BU111:BU111, "P")+COUNTIF('Detailed Attendance'!CC111:CC111, "P")+COUNTIF('Detailed Attendance'!CR111:CR111, "P")+COUNTIF('Detailed Attendance'!CZ111:CZ111, "P")+COUNTIF('Detailed Attendance'!DO111:DO111, "P")+COUNTIF('Detailed Attendance'!DW111:DW111, "P")+COUNTIF('Detailed Attendance'!EL111:EL111, "P")+COUNTIF('Detailed Attendance'!ET111:ET111, "P")+COUNTIF('Detailed Attendance'!FF111:FF111, "P")+COUNTIF('Detailed Attendance'!FV111:FV111, "P")+COUNTIF('Detailed Attendance'!GD111:GD111, "P")</f>
        <v/>
      </c>
      <c r="Q109" s="46">
        <f>COUNTIF('Detailed Attendance'!M111:M111, "A")+COUNTIF('Detailed Attendance'!U111:U111, "A")+COUNTIF('Detailed Attendance'!AG111:AG111, "A")+COUNTIF('Detailed Attendance'!AO111:AO111, "A")+COUNTIF('Detailed Attendance'!BA111:BA111, "A")+COUNTIF('Detailed Attendance'!BI111:BI111, "A")+COUNTIF('Detailed Attendance'!BU111:BU111, "A")+COUNTIF('Detailed Attendance'!CC111:CC111, "A")+COUNTIF('Detailed Attendance'!CR111:CR111, "A")+COUNTIF('Detailed Attendance'!CZ111:CZ111, "A")+COUNTIF('Detailed Attendance'!DO111:DO111, "A")+COUNTIF('Detailed Attendance'!DW111:DW111, "A")+COUNTIF('Detailed Attendance'!EL111:EL111, "A")+COUNTIF('Detailed Attendance'!ET111:ET111, "A")+COUNTIF('Detailed Attendance'!FF111:FF111, "A")+COUNTIF('Detailed Attendance'!FV111:FV111, "A")+COUNTIF('Detailed Attendance'!GD111:GD111, "A")</f>
        <v/>
      </c>
      <c r="R109" s="72">
        <f>IF((P109+Q109)=0, "", P109/(P109+Q109))</f>
        <v/>
      </c>
      <c r="S109" s="46">
        <f>COUNTIF('Detailed Attendance'!H111:H111, "P")+COUNTIF('Detailed Attendance'!AB111:AB111, "P")+COUNTIF('Detailed Attendance'!AV111:AV111, "P")+COUNTIF('Detailed Attendance'!BP111:BP111, "P")+COUNTIF('Detailed Attendance'!CM111:CM111, "P")+COUNTIF('Detailed Attendance'!DJ111:DJ111, "P")+COUNTIF('Detailed Attendance'!EG111:EG111, "P")+COUNTIF('Detailed Attendance'!FA111:FA111, "P")+COUNTIF('Detailed Attendance'!FQ111:FQ111, "P")</f>
        <v/>
      </c>
      <c r="T109" s="46">
        <f>COUNTIF('Detailed Attendance'!H111:H111, "A")+COUNTIF('Detailed Attendance'!AB111:AB111, "A")+COUNTIF('Detailed Attendance'!AV111:AV111, "A")+COUNTIF('Detailed Attendance'!BP111:BP111, "A")+COUNTIF('Detailed Attendance'!CM111:CM111, "A")+COUNTIF('Detailed Attendance'!DJ111:DJ111, "A")+COUNTIF('Detailed Attendance'!EG111:EG111, "A")+COUNTIF('Detailed Attendance'!FA111:FA111, "A")+COUNTIF('Detailed Attendance'!FQ111:FQ111, "A")</f>
        <v/>
      </c>
      <c r="U109" s="73">
        <f>IF((S109+T109)=0, "", S109/(S109+T109))</f>
        <v/>
      </c>
      <c r="V109" s="46">
        <f>COUNTIF('Detailed Attendance'!E111:E111, "P")+COUNTIF('Detailed Attendance'!Y111:Y111, "P")+COUNTIF('Detailed Attendance'!AS111:AS111, "P")+COUNTIF('Detailed Attendance'!BM111:BM111, "P")+COUNTIF('Detailed Attendance'!CJ111:CJ111, "P")+COUNTIF('Detailed Attendance'!DG111:DG111, "P")+COUNTIF('Detailed Attendance'!ED111:ED111, "P")+COUNTIF('Detailed Attendance'!EX111:EX111, "P")+COUNTIF('Detailed Attendance'!FN111:FN111, "P")</f>
        <v/>
      </c>
      <c r="W109" s="46">
        <f>COUNTIF('Detailed Attendance'!E111:E111, "A")+COUNTIF('Detailed Attendance'!Y111:Y111, "A")+COUNTIF('Detailed Attendance'!AS111:AS111, "A")+COUNTIF('Detailed Attendance'!BM111:BM111, "A")+COUNTIF('Detailed Attendance'!CJ111:CJ111, "A")+COUNTIF('Detailed Attendance'!DG111:DG111, "A")+COUNTIF('Detailed Attendance'!ED111:ED111, "A")+COUNTIF('Detailed Attendance'!EX111:EX111, "A")+COUNTIF('Detailed Attendance'!FN111:FN111, "A")</f>
        <v/>
      </c>
      <c r="X109" s="73">
        <f>IF((V109+W109)=0, "", V109/(V109+W109))</f>
        <v/>
      </c>
      <c r="Y109" s="46">
        <f>COUNTIF('Detailed Attendance'!CH111:CH111, "P")+COUNTIF('Detailed Attendance'!DE111:DE111, "P")+COUNTIF('Detailed Attendance'!EB111:EB111, "P")+COUNTIF('Detailed Attendance'!GI111:GI111, "P")</f>
        <v/>
      </c>
      <c r="Z109" s="46">
        <f>COUNTIF('Detailed Attendance'!CH111:CH111, "A")+COUNTIF('Detailed Attendance'!DE111:DE111, "A")+COUNTIF('Detailed Attendance'!EB111:EB111, "A")+COUNTIF('Detailed Attendance'!GI111:GI111, "A")</f>
        <v/>
      </c>
      <c r="AA109" s="73">
        <f>IF((Y109+Z109)=0, "", Y109/(Y109+Z109))</f>
        <v/>
      </c>
      <c r="AB109" s="46">
        <f>S109+V109+Y109</f>
        <v/>
      </c>
      <c r="AC109" s="46">
        <f>T109+W109+Z109</f>
        <v/>
      </c>
      <c r="AD109" s="73">
        <f>IF((AB109+AC109)=0, "", AB109/(AB109+AC109))</f>
        <v/>
      </c>
      <c r="AE109" s="46" t="inlineStr">
        <is>
          <t>Batch 3</t>
        </is>
      </c>
    </row>
    <row r="110" ht="14.25" customHeight="1" s="34">
      <c r="A110" s="46" t="n">
        <v>109</v>
      </c>
      <c r="B110" s="46" t="inlineStr">
        <is>
          <t>325106410109</t>
        </is>
      </c>
      <c r="C110" s="46" t="inlineStr">
        <is>
          <t>STELIO LUIS</t>
        </is>
      </c>
      <c r="D110" s="46">
        <f>COUNTIF('Detailed Attendance'!R112:R112, "P")+COUNTIF('Detailed Attendance'!X112:X112, "P")+COUNTIF('Detailed Attendance'!AL112:AL112, "P")+COUNTIF('Detailed Attendance'!BF112:BF112, "P")+COUNTIF('Detailed Attendance'!BL112:BL112, "P")+COUNTIF('Detailed Attendance'!BZ112:BZ112, "P")+COUNTIF('Detailed Attendance'!CI112:CI112, "P")+COUNTIF('Detailed Attendance'!CW112:CW112, "P")+COUNTIF('Detailed Attendance'!DF112:DF112, "P")+COUNTIF('Detailed Attendance'!DT112:DT112, "P")+COUNTIF('Detailed Attendance'!EC112:EC112, "P")+COUNTIF('Detailed Attendance'!EQ112:EQ112, "P")+COUNTIF('Detailed Attendance'!EW112:EW112, "P")+COUNTIF('Detailed Attendance'!FK112:FK112, "P")+COUNTIF('Detailed Attendance'!FM112:FM112, "P")+COUNTIF('Detailed Attendance'!GA112:GA112, "P")</f>
        <v/>
      </c>
      <c r="E110" s="46">
        <f>COUNTIF('Detailed Attendance'!R112:R112, "A")+COUNTIF('Detailed Attendance'!X112:X112, "A")+COUNTIF('Detailed Attendance'!AL112:AL112, "A")+COUNTIF('Detailed Attendance'!BF112:BF112, "A")+COUNTIF('Detailed Attendance'!BL112:BL112, "A")+COUNTIF('Detailed Attendance'!BZ112:BZ112, "A")+COUNTIF('Detailed Attendance'!CI112:CI112, "A")+COUNTIF('Detailed Attendance'!CW112:CW112, "A")+COUNTIF('Detailed Attendance'!DF112:DF112, "A")+COUNTIF('Detailed Attendance'!DT112:DT112, "A")+COUNTIF('Detailed Attendance'!EC112:EC112, "A")+COUNTIF('Detailed Attendance'!EQ112:EQ112, "A")+COUNTIF('Detailed Attendance'!EW112:EW112, "A")+COUNTIF('Detailed Attendance'!FK112:FK112, "A")+COUNTIF('Detailed Attendance'!FM112:FM112, "A")+COUNTIF('Detailed Attendance'!GA112:GA112, "A")</f>
        <v/>
      </c>
      <c r="F110" s="72">
        <f>IF((D110+E110)=0, "", D110/(D110+E110))</f>
        <v/>
      </c>
      <c r="G110" s="46">
        <f>COUNTIF('Detailed Attendance'!I112:I112, "P")+COUNTIF('Detailed Attendance'!Q112:Q112, "P")+COUNTIF('Detailed Attendance'!AC112:AC112, "P")+COUNTIF('Detailed Attendance'!AK112:AK112, "P")+COUNTIF('Detailed Attendance'!AW112:AW112, "P")+COUNTIF('Detailed Attendance'!BE112:BE112, "P")+COUNTIF('Detailed Attendance'!BQ112:BQ112, "P")+COUNTIF('Detailed Attendance'!BY112:BY112, "P")+COUNTIF('Detailed Attendance'!CN112:CN112, "P")+COUNTIF('Detailed Attendance'!CV112:CV112, "P")+COUNTIF('Detailed Attendance'!DK112:DK112, "P")+COUNTIF('Detailed Attendance'!DS112:DS112, "P")+COUNTIF('Detailed Attendance'!EH112:EH112, "P")+COUNTIF('Detailed Attendance'!EP112:EP112, "P")+COUNTIF('Detailed Attendance'!FB112:FB112, "P")+COUNTIF('Detailed Attendance'!FJ112:FJ112, "P")+COUNTIF('Detailed Attendance'!FR112:FR112, "P")+COUNTIF('Detailed Attendance'!FZ112:FZ112, "P")</f>
        <v/>
      </c>
      <c r="H110" s="46">
        <f>COUNTIF('Detailed Attendance'!I112:I112, "A")+COUNTIF('Detailed Attendance'!Q112:Q112, "A")+COUNTIF('Detailed Attendance'!AC112:AC112, "A")+COUNTIF('Detailed Attendance'!AK112:AK112, "A")+COUNTIF('Detailed Attendance'!AW112:AW112, "A")+COUNTIF('Detailed Attendance'!BE112:BE112, "A")+COUNTIF('Detailed Attendance'!BQ112:BQ112, "A")+COUNTIF('Detailed Attendance'!BY112:BY112, "A")+COUNTIF('Detailed Attendance'!CN112:CN112, "A")+COUNTIF('Detailed Attendance'!CV112:CV112, "A")+COUNTIF('Detailed Attendance'!DK112:DK112, "A")+COUNTIF('Detailed Attendance'!DS112:DS112, "A")+COUNTIF('Detailed Attendance'!EH112:EH112, "A")+COUNTIF('Detailed Attendance'!EP112:EP112, "A")+COUNTIF('Detailed Attendance'!FB112:FB112, "A")+COUNTIF('Detailed Attendance'!FJ112:FJ112, "A")+COUNTIF('Detailed Attendance'!FR112:FR112, "A")+COUNTIF('Detailed Attendance'!FZ112:FZ112, "A")</f>
        <v/>
      </c>
      <c r="I110" s="72">
        <f>IF((G110+H110)=0, "", G110/(G110+H110))</f>
        <v/>
      </c>
      <c r="J110" s="46">
        <f>COUNTIF('Detailed Attendance'!L112:L112, "P")+COUNTIF('Detailed Attendance'!P112:P112, "P")+COUNTIF('Detailed Attendance'!AF112:AF112, "P")+COUNTIF('Detailed Attendance'!AJ112:AJ112, "P")+COUNTIF('Detailed Attendance'!AZ112:AZ112, "P")+COUNTIF('Detailed Attendance'!BD112:BD112, "P")+COUNTIF('Detailed Attendance'!BT112:BT112, "P")+COUNTIF('Detailed Attendance'!BX112:BX112, "P")+COUNTIF('Detailed Attendance'!CQ112:CQ112, "P")+COUNTIF('Detailed Attendance'!CU112:CU112, "P")+COUNTIF('Detailed Attendance'!DN112:DN112, "P")+COUNTIF('Detailed Attendance'!DR112:DR112, "P")+COUNTIF('Detailed Attendance'!EK112:EK112, "P")+COUNTIF('Detailed Attendance'!EO112:EO112, "P")+COUNTIF('Detailed Attendance'!FE112:FE112, "P")+COUNTIF('Detailed Attendance'!FI112:FI112, "P")+COUNTIF('Detailed Attendance'!FU112:FU112, "P")+COUNTIF('Detailed Attendance'!FY112:FY112, "P")</f>
        <v/>
      </c>
      <c r="K110" s="46">
        <f>COUNTIF('Detailed Attendance'!L112:L112, "A")+COUNTIF('Detailed Attendance'!P112:P112, "A")+COUNTIF('Detailed Attendance'!AF112:AF112, "A")+COUNTIF('Detailed Attendance'!AJ112:AJ112, "A")+COUNTIF('Detailed Attendance'!AZ112:AZ112, "A")+COUNTIF('Detailed Attendance'!BD112:BD112, "A")+COUNTIF('Detailed Attendance'!BT112:BT112, "A")+COUNTIF('Detailed Attendance'!BX112:BX112, "A")+COUNTIF('Detailed Attendance'!CQ112:CQ112, "A")+COUNTIF('Detailed Attendance'!CU112:CU112, "A")+COUNTIF('Detailed Attendance'!DN112:DN112, "A")+COUNTIF('Detailed Attendance'!DR112:DR112, "A")+COUNTIF('Detailed Attendance'!EK112:EK112, "A")+COUNTIF('Detailed Attendance'!EO112:EO112, "A")+COUNTIF('Detailed Attendance'!FE112:FE112, "A")+COUNTIF('Detailed Attendance'!FI112:FI112, "A")+COUNTIF('Detailed Attendance'!FU112:FU112, "A")+COUNTIF('Detailed Attendance'!FY112:FY112, "A")</f>
        <v/>
      </c>
      <c r="L110" s="72">
        <f>IF((J110+K110)=0, "", J110/(J110+K110))</f>
        <v/>
      </c>
      <c r="M110" s="46">
        <f>COUNTIF('Detailed Attendance'!D112:D112, "P")+COUNTIF('Detailed Attendance'!T112:T112, "P")+COUNTIF('Detailed Attendance'!AN112:AN112, "P")+COUNTIF('Detailed Attendance'!AR112:AR112, "P")+COUNTIF('Detailed Attendance'!BH112:BH112, "P")+COUNTIF('Detailed Attendance'!CB112:CB112, "P")+COUNTIF('Detailed Attendance'!CF112:CF112, "P")+COUNTIF('Detailed Attendance'!CY112:CY112, "P")+COUNTIF('Detailed Attendance'!DC112:DC112, "P")+COUNTIF('Detailed Attendance'!DV112:DV112, "P")+COUNTIF('Detailed Attendance'!DZ112:DZ112, "P")+COUNTIF('Detailed Attendance'!ES112:ES112, "P")+COUNTIF('Detailed Attendance'!GC112:GC112, "P")+COUNTIF('Detailed Attendance'!GG112:GG112, "P")</f>
        <v/>
      </c>
      <c r="N110" s="46">
        <f>COUNTIF('Detailed Attendance'!D112:D112, "A")+COUNTIF('Detailed Attendance'!T112:T112, "A")+COUNTIF('Detailed Attendance'!AN112:AN112, "A")+COUNTIF('Detailed Attendance'!AR112:AR112, "A")+COUNTIF('Detailed Attendance'!BH112:BH112, "A")+COUNTIF('Detailed Attendance'!CB112:CB112, "A")+COUNTIF('Detailed Attendance'!CF112:CF112, "A")+COUNTIF('Detailed Attendance'!CY112:CY112, "A")+COUNTIF('Detailed Attendance'!DC112:DC112, "A")+COUNTIF('Detailed Attendance'!DV112:DV112, "A")+COUNTIF('Detailed Attendance'!DZ112:DZ112, "A")+COUNTIF('Detailed Attendance'!ES112:ES112, "A")+COUNTIF('Detailed Attendance'!GC112:GC112, "A")+COUNTIF('Detailed Attendance'!GG112:GG112, "A")</f>
        <v/>
      </c>
      <c r="O110" s="72">
        <f>IF((M110+N110)=0, "", M110/(M110+N110))</f>
        <v/>
      </c>
      <c r="P110" s="46">
        <f>COUNTIF('Detailed Attendance'!M112:M112, "P")+COUNTIF('Detailed Attendance'!U112:U112, "P")+COUNTIF('Detailed Attendance'!AG112:AG112, "P")+COUNTIF('Detailed Attendance'!AO112:AO112, "P")+COUNTIF('Detailed Attendance'!BA112:BA112, "P")+COUNTIF('Detailed Attendance'!BI112:BI112, "P")+COUNTIF('Detailed Attendance'!BU112:BU112, "P")+COUNTIF('Detailed Attendance'!CC112:CC112, "P")+COUNTIF('Detailed Attendance'!CR112:CR112, "P")+COUNTIF('Detailed Attendance'!CZ112:CZ112, "P")+COUNTIF('Detailed Attendance'!DO112:DO112, "P")+COUNTIF('Detailed Attendance'!DW112:DW112, "P")+COUNTIF('Detailed Attendance'!EL112:EL112, "P")+COUNTIF('Detailed Attendance'!ET112:ET112, "P")+COUNTIF('Detailed Attendance'!FF112:FF112, "P")+COUNTIF('Detailed Attendance'!FV112:FV112, "P")+COUNTIF('Detailed Attendance'!GD112:GD112, "P")</f>
        <v/>
      </c>
      <c r="Q110" s="46">
        <f>COUNTIF('Detailed Attendance'!M112:M112, "A")+COUNTIF('Detailed Attendance'!U112:U112, "A")+COUNTIF('Detailed Attendance'!AG112:AG112, "A")+COUNTIF('Detailed Attendance'!AO112:AO112, "A")+COUNTIF('Detailed Attendance'!BA112:BA112, "A")+COUNTIF('Detailed Attendance'!BI112:BI112, "A")+COUNTIF('Detailed Attendance'!BU112:BU112, "A")+COUNTIF('Detailed Attendance'!CC112:CC112, "A")+COUNTIF('Detailed Attendance'!CR112:CR112, "A")+COUNTIF('Detailed Attendance'!CZ112:CZ112, "A")+COUNTIF('Detailed Attendance'!DO112:DO112, "A")+COUNTIF('Detailed Attendance'!DW112:DW112, "A")+COUNTIF('Detailed Attendance'!EL112:EL112, "A")+COUNTIF('Detailed Attendance'!ET112:ET112, "A")+COUNTIF('Detailed Attendance'!FF112:FF112, "A")+COUNTIF('Detailed Attendance'!FV112:FV112, "A")+COUNTIF('Detailed Attendance'!GD112:GD112, "A")</f>
        <v/>
      </c>
      <c r="R110" s="72">
        <f>IF((P110+Q110)=0, "", P110/(P110+Q110))</f>
        <v/>
      </c>
      <c r="S110" s="46">
        <f>COUNTIF('Detailed Attendance'!H112:H112, "P")+COUNTIF('Detailed Attendance'!AB112:AB112, "P")+COUNTIF('Detailed Attendance'!AV112:AV112, "P")+COUNTIF('Detailed Attendance'!BP112:BP112, "P")+COUNTIF('Detailed Attendance'!CM112:CM112, "P")+COUNTIF('Detailed Attendance'!DJ112:DJ112, "P")+COUNTIF('Detailed Attendance'!EG112:EG112, "P")+COUNTIF('Detailed Attendance'!FA112:FA112, "P")+COUNTIF('Detailed Attendance'!FQ112:FQ112, "P")</f>
        <v/>
      </c>
      <c r="T110" s="46">
        <f>COUNTIF('Detailed Attendance'!H112:H112, "A")+COUNTIF('Detailed Attendance'!AB112:AB112, "A")+COUNTIF('Detailed Attendance'!AV112:AV112, "A")+COUNTIF('Detailed Attendance'!BP112:BP112, "A")+COUNTIF('Detailed Attendance'!CM112:CM112, "A")+COUNTIF('Detailed Attendance'!DJ112:DJ112, "A")+COUNTIF('Detailed Attendance'!EG112:EG112, "A")+COUNTIF('Detailed Attendance'!FA112:FA112, "A")+COUNTIF('Detailed Attendance'!FQ112:FQ112, "A")</f>
        <v/>
      </c>
      <c r="U110" s="73">
        <f>IF((S110+T110)=0, "", S110/(S110+T110))</f>
        <v/>
      </c>
      <c r="V110" s="46">
        <f>COUNTIF('Detailed Attendance'!E112:E112, "P")+COUNTIF('Detailed Attendance'!Y112:Y112, "P")+COUNTIF('Detailed Attendance'!AS112:AS112, "P")+COUNTIF('Detailed Attendance'!BM112:BM112, "P")+COUNTIF('Detailed Attendance'!CJ112:CJ112, "P")+COUNTIF('Detailed Attendance'!DG112:DG112, "P")+COUNTIF('Detailed Attendance'!ED112:ED112, "P")+COUNTIF('Detailed Attendance'!EX112:EX112, "P")+COUNTIF('Detailed Attendance'!FN112:FN112, "P")</f>
        <v/>
      </c>
      <c r="W110" s="46">
        <f>COUNTIF('Detailed Attendance'!E112:E112, "A")+COUNTIF('Detailed Attendance'!Y112:Y112, "A")+COUNTIF('Detailed Attendance'!AS112:AS112, "A")+COUNTIF('Detailed Attendance'!BM112:BM112, "A")+COUNTIF('Detailed Attendance'!CJ112:CJ112, "A")+COUNTIF('Detailed Attendance'!DG112:DG112, "A")+COUNTIF('Detailed Attendance'!ED112:ED112, "A")+COUNTIF('Detailed Attendance'!EX112:EX112, "A")+COUNTIF('Detailed Attendance'!FN112:FN112, "A")</f>
        <v/>
      </c>
      <c r="X110" s="73">
        <f>IF((V110+W110)=0, "", V110/(V110+W110))</f>
        <v/>
      </c>
      <c r="Y110" s="46">
        <f>COUNTIF('Detailed Attendance'!CH112:CH112, "P")+COUNTIF('Detailed Attendance'!DE112:DE112, "P")+COUNTIF('Detailed Attendance'!EB112:EB112, "P")+COUNTIF('Detailed Attendance'!GI112:GI112, "P")</f>
        <v/>
      </c>
      <c r="Z110" s="46">
        <f>COUNTIF('Detailed Attendance'!CH112:CH112, "A")+COUNTIF('Detailed Attendance'!DE112:DE112, "A")+COUNTIF('Detailed Attendance'!EB112:EB112, "A")+COUNTIF('Detailed Attendance'!GI112:GI112, "A")</f>
        <v/>
      </c>
      <c r="AA110" s="73">
        <f>IF((Y110+Z110)=0, "", Y110/(Y110+Z110))</f>
        <v/>
      </c>
      <c r="AB110" s="46">
        <f>S110+V110+Y110</f>
        <v/>
      </c>
      <c r="AC110" s="46">
        <f>T110+W110+Z110</f>
        <v/>
      </c>
      <c r="AD110" s="73">
        <f>IF((AB110+AC110)=0, "", AB110/(AB110+AC110))</f>
        <v/>
      </c>
      <c r="AE110" s="46" t="inlineStr">
        <is>
          <t>Batch 3</t>
        </is>
      </c>
    </row>
    <row r="111" ht="14.25" customHeight="1" s="34">
      <c r="A111" s="46" t="n">
        <v>110</v>
      </c>
      <c r="B111" s="46" t="inlineStr">
        <is>
          <t>325106410110</t>
        </is>
      </c>
      <c r="C111" s="46" t="inlineStr">
        <is>
          <t>SUSANTHA CHOWDHURY</t>
        </is>
      </c>
      <c r="D111" s="46">
        <f>COUNTIF('Detailed Attendance'!R113:R113, "P")+COUNTIF('Detailed Attendance'!X113:X113, "P")+COUNTIF('Detailed Attendance'!AL113:AL113, "P")+COUNTIF('Detailed Attendance'!BF113:BF113, "P")+COUNTIF('Detailed Attendance'!BL113:BL113, "P")+COUNTIF('Detailed Attendance'!BZ113:BZ113, "P")+COUNTIF('Detailed Attendance'!CI113:CI113, "P")+COUNTIF('Detailed Attendance'!CW113:CW113, "P")+COUNTIF('Detailed Attendance'!DF113:DF113, "P")+COUNTIF('Detailed Attendance'!DT113:DT113, "P")+COUNTIF('Detailed Attendance'!EC113:EC113, "P")+COUNTIF('Detailed Attendance'!EQ113:EQ113, "P")+COUNTIF('Detailed Attendance'!EW113:EW113, "P")+COUNTIF('Detailed Attendance'!FK113:FK113, "P")+COUNTIF('Detailed Attendance'!FM113:FM113, "P")+COUNTIF('Detailed Attendance'!GA113:GA113, "P")</f>
        <v/>
      </c>
      <c r="E111" s="46">
        <f>COUNTIF('Detailed Attendance'!R113:R113, "A")+COUNTIF('Detailed Attendance'!X113:X113, "A")+COUNTIF('Detailed Attendance'!AL113:AL113, "A")+COUNTIF('Detailed Attendance'!BF113:BF113, "A")+COUNTIF('Detailed Attendance'!BL113:BL113, "A")+COUNTIF('Detailed Attendance'!BZ113:BZ113, "A")+COUNTIF('Detailed Attendance'!CI113:CI113, "A")+COUNTIF('Detailed Attendance'!CW113:CW113, "A")+COUNTIF('Detailed Attendance'!DF113:DF113, "A")+COUNTIF('Detailed Attendance'!DT113:DT113, "A")+COUNTIF('Detailed Attendance'!EC113:EC113, "A")+COUNTIF('Detailed Attendance'!EQ113:EQ113, "A")+COUNTIF('Detailed Attendance'!EW113:EW113, "A")+COUNTIF('Detailed Attendance'!FK113:FK113, "A")+COUNTIF('Detailed Attendance'!FM113:FM113, "A")+COUNTIF('Detailed Attendance'!GA113:GA113, "A")</f>
        <v/>
      </c>
      <c r="F111" s="72">
        <f>IF((D111+E111)=0, "", D111/(D111+E111))</f>
        <v/>
      </c>
      <c r="G111" s="46">
        <f>COUNTIF('Detailed Attendance'!I113:I113, "P")+COUNTIF('Detailed Attendance'!Q113:Q113, "P")+COUNTIF('Detailed Attendance'!AC113:AC113, "P")+COUNTIF('Detailed Attendance'!AK113:AK113, "P")+COUNTIF('Detailed Attendance'!AW113:AW113, "P")+COUNTIF('Detailed Attendance'!BE113:BE113, "P")+COUNTIF('Detailed Attendance'!BQ113:BQ113, "P")+COUNTIF('Detailed Attendance'!BY113:BY113, "P")+COUNTIF('Detailed Attendance'!CN113:CN113, "P")+COUNTIF('Detailed Attendance'!CV113:CV113, "P")+COUNTIF('Detailed Attendance'!DK113:DK113, "P")+COUNTIF('Detailed Attendance'!DS113:DS113, "P")+COUNTIF('Detailed Attendance'!EH113:EH113, "P")+COUNTIF('Detailed Attendance'!EP113:EP113, "P")+COUNTIF('Detailed Attendance'!FB113:FB113, "P")+COUNTIF('Detailed Attendance'!FJ113:FJ113, "P")+COUNTIF('Detailed Attendance'!FR113:FR113, "P")+COUNTIF('Detailed Attendance'!FZ113:FZ113, "P")</f>
        <v/>
      </c>
      <c r="H111" s="46">
        <f>COUNTIF('Detailed Attendance'!I113:I113, "A")+COUNTIF('Detailed Attendance'!Q113:Q113, "A")+COUNTIF('Detailed Attendance'!AC113:AC113, "A")+COUNTIF('Detailed Attendance'!AK113:AK113, "A")+COUNTIF('Detailed Attendance'!AW113:AW113, "A")+COUNTIF('Detailed Attendance'!BE113:BE113, "A")+COUNTIF('Detailed Attendance'!BQ113:BQ113, "A")+COUNTIF('Detailed Attendance'!BY113:BY113, "A")+COUNTIF('Detailed Attendance'!CN113:CN113, "A")+COUNTIF('Detailed Attendance'!CV113:CV113, "A")+COUNTIF('Detailed Attendance'!DK113:DK113, "A")+COUNTIF('Detailed Attendance'!DS113:DS113, "A")+COUNTIF('Detailed Attendance'!EH113:EH113, "A")+COUNTIF('Detailed Attendance'!EP113:EP113, "A")+COUNTIF('Detailed Attendance'!FB113:FB113, "A")+COUNTIF('Detailed Attendance'!FJ113:FJ113, "A")+COUNTIF('Detailed Attendance'!FR113:FR113, "A")+COUNTIF('Detailed Attendance'!FZ113:FZ113, "A")</f>
        <v/>
      </c>
      <c r="I111" s="72">
        <f>IF((G111+H111)=0, "", G111/(G111+H111))</f>
        <v/>
      </c>
      <c r="J111" s="46">
        <f>COUNTIF('Detailed Attendance'!L113:L113, "P")+COUNTIF('Detailed Attendance'!P113:P113, "P")+COUNTIF('Detailed Attendance'!AF113:AF113, "P")+COUNTIF('Detailed Attendance'!AJ113:AJ113, "P")+COUNTIF('Detailed Attendance'!AZ113:AZ113, "P")+COUNTIF('Detailed Attendance'!BD113:BD113, "P")+COUNTIF('Detailed Attendance'!BT113:BT113, "P")+COUNTIF('Detailed Attendance'!BX113:BX113, "P")+COUNTIF('Detailed Attendance'!CQ113:CQ113, "P")+COUNTIF('Detailed Attendance'!CU113:CU113, "P")+COUNTIF('Detailed Attendance'!DN113:DN113, "P")+COUNTIF('Detailed Attendance'!DR113:DR113, "P")+COUNTIF('Detailed Attendance'!EK113:EK113, "P")+COUNTIF('Detailed Attendance'!EO113:EO113, "P")+COUNTIF('Detailed Attendance'!FE113:FE113, "P")+COUNTIF('Detailed Attendance'!FI113:FI113, "P")+COUNTIF('Detailed Attendance'!FU113:FU113, "P")+COUNTIF('Detailed Attendance'!FY113:FY113, "P")</f>
        <v/>
      </c>
      <c r="K111" s="46">
        <f>COUNTIF('Detailed Attendance'!L113:L113, "A")+COUNTIF('Detailed Attendance'!P113:P113, "A")+COUNTIF('Detailed Attendance'!AF113:AF113, "A")+COUNTIF('Detailed Attendance'!AJ113:AJ113, "A")+COUNTIF('Detailed Attendance'!AZ113:AZ113, "A")+COUNTIF('Detailed Attendance'!BD113:BD113, "A")+COUNTIF('Detailed Attendance'!BT113:BT113, "A")+COUNTIF('Detailed Attendance'!BX113:BX113, "A")+COUNTIF('Detailed Attendance'!CQ113:CQ113, "A")+COUNTIF('Detailed Attendance'!CU113:CU113, "A")+COUNTIF('Detailed Attendance'!DN113:DN113, "A")+COUNTIF('Detailed Attendance'!DR113:DR113, "A")+COUNTIF('Detailed Attendance'!EK113:EK113, "A")+COUNTIF('Detailed Attendance'!EO113:EO113, "A")+COUNTIF('Detailed Attendance'!FE113:FE113, "A")+COUNTIF('Detailed Attendance'!FI113:FI113, "A")+COUNTIF('Detailed Attendance'!FU113:FU113, "A")+COUNTIF('Detailed Attendance'!FY113:FY113, "A")</f>
        <v/>
      </c>
      <c r="L111" s="72">
        <f>IF((J111+K111)=0, "", J111/(J111+K111))</f>
        <v/>
      </c>
      <c r="M111" s="46">
        <f>COUNTIF('Detailed Attendance'!D113:D113, "P")+COUNTIF('Detailed Attendance'!T113:T113, "P")+COUNTIF('Detailed Attendance'!AN113:AN113, "P")+COUNTIF('Detailed Attendance'!AR113:AR113, "P")+COUNTIF('Detailed Attendance'!BH113:BH113, "P")+COUNTIF('Detailed Attendance'!CB113:CB113, "P")+COUNTIF('Detailed Attendance'!CF113:CF113, "P")+COUNTIF('Detailed Attendance'!CY113:CY113, "P")+COUNTIF('Detailed Attendance'!DC113:DC113, "P")+COUNTIF('Detailed Attendance'!DV113:DV113, "P")+COUNTIF('Detailed Attendance'!DZ113:DZ113, "P")+COUNTIF('Detailed Attendance'!ES113:ES113, "P")+COUNTIF('Detailed Attendance'!GC113:GC113, "P")+COUNTIF('Detailed Attendance'!GG113:GG113, "P")</f>
        <v/>
      </c>
      <c r="N111" s="46">
        <f>COUNTIF('Detailed Attendance'!D113:D113, "A")+COUNTIF('Detailed Attendance'!T113:T113, "A")+COUNTIF('Detailed Attendance'!AN113:AN113, "A")+COUNTIF('Detailed Attendance'!AR113:AR113, "A")+COUNTIF('Detailed Attendance'!BH113:BH113, "A")+COUNTIF('Detailed Attendance'!CB113:CB113, "A")+COUNTIF('Detailed Attendance'!CF113:CF113, "A")+COUNTIF('Detailed Attendance'!CY113:CY113, "A")+COUNTIF('Detailed Attendance'!DC113:DC113, "A")+COUNTIF('Detailed Attendance'!DV113:DV113, "A")+COUNTIF('Detailed Attendance'!DZ113:DZ113, "A")+COUNTIF('Detailed Attendance'!ES113:ES113, "A")+COUNTIF('Detailed Attendance'!GC113:GC113, "A")+COUNTIF('Detailed Attendance'!GG113:GG113, "A")</f>
        <v/>
      </c>
      <c r="O111" s="72">
        <f>IF((M111+N111)=0, "", M111/(M111+N111))</f>
        <v/>
      </c>
      <c r="P111" s="46">
        <f>COUNTIF('Detailed Attendance'!M113:M113, "P")+COUNTIF('Detailed Attendance'!U113:U113, "P")+COUNTIF('Detailed Attendance'!AG113:AG113, "P")+COUNTIF('Detailed Attendance'!AO113:AO113, "P")+COUNTIF('Detailed Attendance'!BA113:BA113, "P")+COUNTIF('Detailed Attendance'!BI113:BI113, "P")+COUNTIF('Detailed Attendance'!BU113:BU113, "P")+COUNTIF('Detailed Attendance'!CC113:CC113, "P")+COUNTIF('Detailed Attendance'!CR113:CR113, "P")+COUNTIF('Detailed Attendance'!CZ113:CZ113, "P")+COUNTIF('Detailed Attendance'!DO113:DO113, "P")+COUNTIF('Detailed Attendance'!DW113:DW113, "P")+COUNTIF('Detailed Attendance'!EL113:EL113, "P")+COUNTIF('Detailed Attendance'!ET113:ET113, "P")+COUNTIF('Detailed Attendance'!FF113:FF113, "P")+COUNTIF('Detailed Attendance'!FV113:FV113, "P")+COUNTIF('Detailed Attendance'!GD113:GD113, "P")</f>
        <v/>
      </c>
      <c r="Q111" s="46">
        <f>COUNTIF('Detailed Attendance'!M113:M113, "A")+COUNTIF('Detailed Attendance'!U113:U113, "A")+COUNTIF('Detailed Attendance'!AG113:AG113, "A")+COUNTIF('Detailed Attendance'!AO113:AO113, "A")+COUNTIF('Detailed Attendance'!BA113:BA113, "A")+COUNTIF('Detailed Attendance'!BI113:BI113, "A")+COUNTIF('Detailed Attendance'!BU113:BU113, "A")+COUNTIF('Detailed Attendance'!CC113:CC113, "A")+COUNTIF('Detailed Attendance'!CR113:CR113, "A")+COUNTIF('Detailed Attendance'!CZ113:CZ113, "A")+COUNTIF('Detailed Attendance'!DO113:DO113, "A")+COUNTIF('Detailed Attendance'!DW113:DW113, "A")+COUNTIF('Detailed Attendance'!EL113:EL113, "A")+COUNTIF('Detailed Attendance'!ET113:ET113, "A")+COUNTIF('Detailed Attendance'!FF113:FF113, "A")+COUNTIF('Detailed Attendance'!FV113:FV113, "A")+COUNTIF('Detailed Attendance'!GD113:GD113, "A")</f>
        <v/>
      </c>
      <c r="R111" s="72">
        <f>IF((P111+Q111)=0, "", P111/(P111+Q111))</f>
        <v/>
      </c>
      <c r="S111" s="46">
        <f>COUNTIF('Detailed Attendance'!H113:H113, "P")+COUNTIF('Detailed Attendance'!AB113:AB113, "P")+COUNTIF('Detailed Attendance'!AV113:AV113, "P")+COUNTIF('Detailed Attendance'!BP113:BP113, "P")+COUNTIF('Detailed Attendance'!CM113:CM113, "P")+COUNTIF('Detailed Attendance'!DJ113:DJ113, "P")+COUNTIF('Detailed Attendance'!EG113:EG113, "P")+COUNTIF('Detailed Attendance'!FA113:FA113, "P")+COUNTIF('Detailed Attendance'!FQ113:FQ113, "P")</f>
        <v/>
      </c>
      <c r="T111" s="46">
        <f>COUNTIF('Detailed Attendance'!H113:H113, "A")+COUNTIF('Detailed Attendance'!AB113:AB113, "A")+COUNTIF('Detailed Attendance'!AV113:AV113, "A")+COUNTIF('Detailed Attendance'!BP113:BP113, "A")+COUNTIF('Detailed Attendance'!CM113:CM113, "A")+COUNTIF('Detailed Attendance'!DJ113:DJ113, "A")+COUNTIF('Detailed Attendance'!EG113:EG113, "A")+COUNTIF('Detailed Attendance'!FA113:FA113, "A")+COUNTIF('Detailed Attendance'!FQ113:FQ113, "A")</f>
        <v/>
      </c>
      <c r="U111" s="73">
        <f>IF((S111+T111)=0, "", S111/(S111+T111))</f>
        <v/>
      </c>
      <c r="V111" s="46">
        <f>COUNTIF('Detailed Attendance'!E113:E113, "P")+COUNTIF('Detailed Attendance'!Y113:Y113, "P")+COUNTIF('Detailed Attendance'!AS113:AS113, "P")+COUNTIF('Detailed Attendance'!BM113:BM113, "P")+COUNTIF('Detailed Attendance'!CJ113:CJ113, "P")+COUNTIF('Detailed Attendance'!DG113:DG113, "P")+COUNTIF('Detailed Attendance'!ED113:ED113, "P")+COUNTIF('Detailed Attendance'!EX113:EX113, "P")+COUNTIF('Detailed Attendance'!FN113:FN113, "P")</f>
        <v/>
      </c>
      <c r="W111" s="46">
        <f>COUNTIF('Detailed Attendance'!E113:E113, "A")+COUNTIF('Detailed Attendance'!Y113:Y113, "A")+COUNTIF('Detailed Attendance'!AS113:AS113, "A")+COUNTIF('Detailed Attendance'!BM113:BM113, "A")+COUNTIF('Detailed Attendance'!CJ113:CJ113, "A")+COUNTIF('Detailed Attendance'!DG113:DG113, "A")+COUNTIF('Detailed Attendance'!ED113:ED113, "A")+COUNTIF('Detailed Attendance'!EX113:EX113, "A")+COUNTIF('Detailed Attendance'!FN113:FN113, "A")</f>
        <v/>
      </c>
      <c r="X111" s="73">
        <f>IF((V111+W111)=0, "", V111/(V111+W111))</f>
        <v/>
      </c>
      <c r="Y111" s="46">
        <f>COUNTIF('Detailed Attendance'!CH113:CH113, "P")+COUNTIF('Detailed Attendance'!DE113:DE113, "P")+COUNTIF('Detailed Attendance'!EB113:EB113, "P")+COUNTIF('Detailed Attendance'!GI113:GI113, "P")</f>
        <v/>
      </c>
      <c r="Z111" s="46">
        <f>COUNTIF('Detailed Attendance'!CH113:CH113, "A")+COUNTIF('Detailed Attendance'!DE113:DE113, "A")+COUNTIF('Detailed Attendance'!EB113:EB113, "A")+COUNTIF('Detailed Attendance'!GI113:GI113, "A")</f>
        <v/>
      </c>
      <c r="AA111" s="73">
        <f>IF((Y111+Z111)=0, "", Y111/(Y111+Z111))</f>
        <v/>
      </c>
      <c r="AB111" s="46">
        <f>S111+V111+Y111</f>
        <v/>
      </c>
      <c r="AC111" s="46">
        <f>T111+W111+Z111</f>
        <v/>
      </c>
      <c r="AD111" s="73">
        <f>IF((AB111+AC111)=0, "", AB111/(AB111+AC111))</f>
        <v/>
      </c>
      <c r="AE111" s="46" t="inlineStr">
        <is>
          <t>Batch 3</t>
        </is>
      </c>
    </row>
    <row r="112" ht="14.25" customHeight="1" s="34">
      <c r="A112" s="46" t="n">
        <v>111</v>
      </c>
      <c r="B112" s="46" t="inlineStr">
        <is>
          <t>325106410111</t>
        </is>
      </c>
      <c r="C112" s="46" t="inlineStr">
        <is>
          <t>TJITAREE TJIUMBUA</t>
        </is>
      </c>
      <c r="D112" s="46">
        <f>COUNTIF('Detailed Attendance'!R114:R114, "P")+COUNTIF('Detailed Attendance'!X114:X114, "P")+COUNTIF('Detailed Attendance'!AL114:AL114, "P")+COUNTIF('Detailed Attendance'!BF114:BF114, "P")+COUNTIF('Detailed Attendance'!BL114:BL114, "P")+COUNTIF('Detailed Attendance'!BZ114:BZ114, "P")+COUNTIF('Detailed Attendance'!CI114:CI114, "P")+COUNTIF('Detailed Attendance'!CW114:CW114, "P")+COUNTIF('Detailed Attendance'!DF114:DF114, "P")+COUNTIF('Detailed Attendance'!DT114:DT114, "P")+COUNTIF('Detailed Attendance'!EC114:EC114, "P")+COUNTIF('Detailed Attendance'!EQ114:EQ114, "P")+COUNTIF('Detailed Attendance'!EW114:EW114, "P")+COUNTIF('Detailed Attendance'!FK114:FK114, "P")+COUNTIF('Detailed Attendance'!FM114:FM114, "P")+COUNTIF('Detailed Attendance'!GA114:GA114, "P")</f>
        <v/>
      </c>
      <c r="E112" s="46">
        <f>COUNTIF('Detailed Attendance'!R114:R114, "A")+COUNTIF('Detailed Attendance'!X114:X114, "A")+COUNTIF('Detailed Attendance'!AL114:AL114, "A")+COUNTIF('Detailed Attendance'!BF114:BF114, "A")+COUNTIF('Detailed Attendance'!BL114:BL114, "A")+COUNTIF('Detailed Attendance'!BZ114:BZ114, "A")+COUNTIF('Detailed Attendance'!CI114:CI114, "A")+COUNTIF('Detailed Attendance'!CW114:CW114, "A")+COUNTIF('Detailed Attendance'!DF114:DF114, "A")+COUNTIF('Detailed Attendance'!DT114:DT114, "A")+COUNTIF('Detailed Attendance'!EC114:EC114, "A")+COUNTIF('Detailed Attendance'!EQ114:EQ114, "A")+COUNTIF('Detailed Attendance'!EW114:EW114, "A")+COUNTIF('Detailed Attendance'!FK114:FK114, "A")+COUNTIF('Detailed Attendance'!FM114:FM114, "A")+COUNTIF('Detailed Attendance'!GA114:GA114, "A")</f>
        <v/>
      </c>
      <c r="F112" s="72">
        <f>IF((D112+E112)=0, "", D112/(D112+E112))</f>
        <v/>
      </c>
      <c r="G112" s="46">
        <f>COUNTIF('Detailed Attendance'!I114:I114, "P")+COUNTIF('Detailed Attendance'!Q114:Q114, "P")+COUNTIF('Detailed Attendance'!AC114:AC114, "P")+COUNTIF('Detailed Attendance'!AK114:AK114, "P")+COUNTIF('Detailed Attendance'!AW114:AW114, "P")+COUNTIF('Detailed Attendance'!BE114:BE114, "P")+COUNTIF('Detailed Attendance'!BQ114:BQ114, "P")+COUNTIF('Detailed Attendance'!BY114:BY114, "P")+COUNTIF('Detailed Attendance'!CN114:CN114, "P")+COUNTIF('Detailed Attendance'!CV114:CV114, "P")+COUNTIF('Detailed Attendance'!DK114:DK114, "P")+COUNTIF('Detailed Attendance'!DS114:DS114, "P")+COUNTIF('Detailed Attendance'!EH114:EH114, "P")+COUNTIF('Detailed Attendance'!EP114:EP114, "P")+COUNTIF('Detailed Attendance'!FB114:FB114, "P")+COUNTIF('Detailed Attendance'!FJ114:FJ114, "P")+COUNTIF('Detailed Attendance'!FR114:FR114, "P")+COUNTIF('Detailed Attendance'!FZ114:FZ114, "P")</f>
        <v/>
      </c>
      <c r="H112" s="46">
        <f>COUNTIF('Detailed Attendance'!I114:I114, "A")+COUNTIF('Detailed Attendance'!Q114:Q114, "A")+COUNTIF('Detailed Attendance'!AC114:AC114, "A")+COUNTIF('Detailed Attendance'!AK114:AK114, "A")+COUNTIF('Detailed Attendance'!AW114:AW114, "A")+COUNTIF('Detailed Attendance'!BE114:BE114, "A")+COUNTIF('Detailed Attendance'!BQ114:BQ114, "A")+COUNTIF('Detailed Attendance'!BY114:BY114, "A")+COUNTIF('Detailed Attendance'!CN114:CN114, "A")+COUNTIF('Detailed Attendance'!CV114:CV114, "A")+COUNTIF('Detailed Attendance'!DK114:DK114, "A")+COUNTIF('Detailed Attendance'!DS114:DS114, "A")+COUNTIF('Detailed Attendance'!EH114:EH114, "A")+COUNTIF('Detailed Attendance'!EP114:EP114, "A")+COUNTIF('Detailed Attendance'!FB114:FB114, "A")+COUNTIF('Detailed Attendance'!FJ114:FJ114, "A")+COUNTIF('Detailed Attendance'!FR114:FR114, "A")+COUNTIF('Detailed Attendance'!FZ114:FZ114, "A")</f>
        <v/>
      </c>
      <c r="I112" s="72">
        <f>IF((G112+H112)=0, "", G112/(G112+H112))</f>
        <v/>
      </c>
      <c r="J112" s="46">
        <f>COUNTIF('Detailed Attendance'!L114:L114, "P")+COUNTIF('Detailed Attendance'!P114:P114, "P")+COUNTIF('Detailed Attendance'!AF114:AF114, "P")+COUNTIF('Detailed Attendance'!AJ114:AJ114, "P")+COUNTIF('Detailed Attendance'!AZ114:AZ114, "P")+COUNTIF('Detailed Attendance'!BD114:BD114, "P")+COUNTIF('Detailed Attendance'!BT114:BT114, "P")+COUNTIF('Detailed Attendance'!BX114:BX114, "P")+COUNTIF('Detailed Attendance'!CQ114:CQ114, "P")+COUNTIF('Detailed Attendance'!CU114:CU114, "P")+COUNTIF('Detailed Attendance'!DN114:DN114, "P")+COUNTIF('Detailed Attendance'!DR114:DR114, "P")+COUNTIF('Detailed Attendance'!EK114:EK114, "P")+COUNTIF('Detailed Attendance'!EO114:EO114, "P")+COUNTIF('Detailed Attendance'!FE114:FE114, "P")+COUNTIF('Detailed Attendance'!FI114:FI114, "P")+COUNTIF('Detailed Attendance'!FU114:FU114, "P")+COUNTIF('Detailed Attendance'!FY114:FY114, "P")</f>
        <v/>
      </c>
      <c r="K112" s="46">
        <f>COUNTIF('Detailed Attendance'!L114:L114, "A")+COUNTIF('Detailed Attendance'!P114:P114, "A")+COUNTIF('Detailed Attendance'!AF114:AF114, "A")+COUNTIF('Detailed Attendance'!AJ114:AJ114, "A")+COUNTIF('Detailed Attendance'!AZ114:AZ114, "A")+COUNTIF('Detailed Attendance'!BD114:BD114, "A")+COUNTIF('Detailed Attendance'!BT114:BT114, "A")+COUNTIF('Detailed Attendance'!BX114:BX114, "A")+COUNTIF('Detailed Attendance'!CQ114:CQ114, "A")+COUNTIF('Detailed Attendance'!CU114:CU114, "A")+COUNTIF('Detailed Attendance'!DN114:DN114, "A")+COUNTIF('Detailed Attendance'!DR114:DR114, "A")+COUNTIF('Detailed Attendance'!EK114:EK114, "A")+COUNTIF('Detailed Attendance'!EO114:EO114, "A")+COUNTIF('Detailed Attendance'!FE114:FE114, "A")+COUNTIF('Detailed Attendance'!FI114:FI114, "A")+COUNTIF('Detailed Attendance'!FU114:FU114, "A")+COUNTIF('Detailed Attendance'!FY114:FY114, "A")</f>
        <v/>
      </c>
      <c r="L112" s="72">
        <f>IF((J112+K112)=0, "", J112/(J112+K112))</f>
        <v/>
      </c>
      <c r="M112" s="46">
        <f>COUNTIF('Detailed Attendance'!D114:D114, "P")+COUNTIF('Detailed Attendance'!T114:T114, "P")+COUNTIF('Detailed Attendance'!AN114:AN114, "P")+COUNTIF('Detailed Attendance'!AR114:AR114, "P")+COUNTIF('Detailed Attendance'!BH114:BH114, "P")+COUNTIF('Detailed Attendance'!CB114:CB114, "P")+COUNTIF('Detailed Attendance'!CF114:CF114, "P")+COUNTIF('Detailed Attendance'!CY114:CY114, "P")+COUNTIF('Detailed Attendance'!DC114:DC114, "P")+COUNTIF('Detailed Attendance'!DV114:DV114, "P")+COUNTIF('Detailed Attendance'!DZ114:DZ114, "P")+COUNTIF('Detailed Attendance'!ES114:ES114, "P")+COUNTIF('Detailed Attendance'!GC114:GC114, "P")+COUNTIF('Detailed Attendance'!GG114:GG114, "P")</f>
        <v/>
      </c>
      <c r="N112" s="46">
        <f>COUNTIF('Detailed Attendance'!D114:D114, "A")+COUNTIF('Detailed Attendance'!T114:T114, "A")+COUNTIF('Detailed Attendance'!AN114:AN114, "A")+COUNTIF('Detailed Attendance'!AR114:AR114, "A")+COUNTIF('Detailed Attendance'!BH114:BH114, "A")+COUNTIF('Detailed Attendance'!CB114:CB114, "A")+COUNTIF('Detailed Attendance'!CF114:CF114, "A")+COUNTIF('Detailed Attendance'!CY114:CY114, "A")+COUNTIF('Detailed Attendance'!DC114:DC114, "A")+COUNTIF('Detailed Attendance'!DV114:DV114, "A")+COUNTIF('Detailed Attendance'!DZ114:DZ114, "A")+COUNTIF('Detailed Attendance'!ES114:ES114, "A")+COUNTIF('Detailed Attendance'!GC114:GC114, "A")+COUNTIF('Detailed Attendance'!GG114:GG114, "A")</f>
        <v/>
      </c>
      <c r="O112" s="72">
        <f>IF((M112+N112)=0, "", M112/(M112+N112))</f>
        <v/>
      </c>
      <c r="P112" s="46">
        <f>COUNTIF('Detailed Attendance'!M114:M114, "P")+COUNTIF('Detailed Attendance'!U114:U114, "P")+COUNTIF('Detailed Attendance'!AG114:AG114, "P")+COUNTIF('Detailed Attendance'!AO114:AO114, "P")+COUNTIF('Detailed Attendance'!BA114:BA114, "P")+COUNTIF('Detailed Attendance'!BI114:BI114, "P")+COUNTIF('Detailed Attendance'!BU114:BU114, "P")+COUNTIF('Detailed Attendance'!CC114:CC114, "P")+COUNTIF('Detailed Attendance'!CR114:CR114, "P")+COUNTIF('Detailed Attendance'!CZ114:CZ114, "P")+COUNTIF('Detailed Attendance'!DO114:DO114, "P")+COUNTIF('Detailed Attendance'!DW114:DW114, "P")+COUNTIF('Detailed Attendance'!EL114:EL114, "P")+COUNTIF('Detailed Attendance'!ET114:ET114, "P")+COUNTIF('Detailed Attendance'!FF114:FF114, "P")+COUNTIF('Detailed Attendance'!FV114:FV114, "P")+COUNTIF('Detailed Attendance'!GD114:GD114, "P")</f>
        <v/>
      </c>
      <c r="Q112" s="46">
        <f>COUNTIF('Detailed Attendance'!M114:M114, "A")+COUNTIF('Detailed Attendance'!U114:U114, "A")+COUNTIF('Detailed Attendance'!AG114:AG114, "A")+COUNTIF('Detailed Attendance'!AO114:AO114, "A")+COUNTIF('Detailed Attendance'!BA114:BA114, "A")+COUNTIF('Detailed Attendance'!BI114:BI114, "A")+COUNTIF('Detailed Attendance'!BU114:BU114, "A")+COUNTIF('Detailed Attendance'!CC114:CC114, "A")+COUNTIF('Detailed Attendance'!CR114:CR114, "A")+COUNTIF('Detailed Attendance'!CZ114:CZ114, "A")+COUNTIF('Detailed Attendance'!DO114:DO114, "A")+COUNTIF('Detailed Attendance'!DW114:DW114, "A")+COUNTIF('Detailed Attendance'!EL114:EL114, "A")+COUNTIF('Detailed Attendance'!ET114:ET114, "A")+COUNTIF('Detailed Attendance'!FF114:FF114, "A")+COUNTIF('Detailed Attendance'!FV114:FV114, "A")+COUNTIF('Detailed Attendance'!GD114:GD114, "A")</f>
        <v/>
      </c>
      <c r="R112" s="72">
        <f>IF((P112+Q112)=0, "", P112/(P112+Q112))</f>
        <v/>
      </c>
      <c r="S112" s="46">
        <f>COUNTIF('Detailed Attendance'!H114:H114, "P")+COUNTIF('Detailed Attendance'!AB114:AB114, "P")+COUNTIF('Detailed Attendance'!AV114:AV114, "P")+COUNTIF('Detailed Attendance'!BP114:BP114, "P")+COUNTIF('Detailed Attendance'!CM114:CM114, "P")+COUNTIF('Detailed Attendance'!DJ114:DJ114, "P")+COUNTIF('Detailed Attendance'!EG114:EG114, "P")+COUNTIF('Detailed Attendance'!FA114:FA114, "P")+COUNTIF('Detailed Attendance'!FQ114:FQ114, "P")</f>
        <v/>
      </c>
      <c r="T112" s="46">
        <f>COUNTIF('Detailed Attendance'!H114:H114, "A")+COUNTIF('Detailed Attendance'!AB114:AB114, "A")+COUNTIF('Detailed Attendance'!AV114:AV114, "A")+COUNTIF('Detailed Attendance'!BP114:BP114, "A")+COUNTIF('Detailed Attendance'!CM114:CM114, "A")+COUNTIF('Detailed Attendance'!DJ114:DJ114, "A")+COUNTIF('Detailed Attendance'!EG114:EG114, "A")+COUNTIF('Detailed Attendance'!FA114:FA114, "A")+COUNTIF('Detailed Attendance'!FQ114:FQ114, "A")</f>
        <v/>
      </c>
      <c r="U112" s="73">
        <f>IF((S112+T112)=0, "", S112/(S112+T112))</f>
        <v/>
      </c>
      <c r="V112" s="46">
        <f>COUNTIF('Detailed Attendance'!E114:E114, "P")+COUNTIF('Detailed Attendance'!Y114:Y114, "P")+COUNTIF('Detailed Attendance'!AS114:AS114, "P")+COUNTIF('Detailed Attendance'!BM114:BM114, "P")+COUNTIF('Detailed Attendance'!CJ114:CJ114, "P")+COUNTIF('Detailed Attendance'!DG114:DG114, "P")+COUNTIF('Detailed Attendance'!ED114:ED114, "P")+COUNTIF('Detailed Attendance'!EX114:EX114, "P")+COUNTIF('Detailed Attendance'!FN114:FN114, "P")</f>
        <v/>
      </c>
      <c r="W112" s="46">
        <f>COUNTIF('Detailed Attendance'!E114:E114, "A")+COUNTIF('Detailed Attendance'!Y114:Y114, "A")+COUNTIF('Detailed Attendance'!AS114:AS114, "A")+COUNTIF('Detailed Attendance'!BM114:BM114, "A")+COUNTIF('Detailed Attendance'!CJ114:CJ114, "A")+COUNTIF('Detailed Attendance'!DG114:DG114, "A")+COUNTIF('Detailed Attendance'!ED114:ED114, "A")+COUNTIF('Detailed Attendance'!EX114:EX114, "A")+COUNTIF('Detailed Attendance'!FN114:FN114, "A")</f>
        <v/>
      </c>
      <c r="X112" s="73">
        <f>IF((V112+W112)=0, "", V112/(V112+W112))</f>
        <v/>
      </c>
      <c r="Y112" s="46">
        <f>COUNTIF('Detailed Attendance'!CH114:CH114, "P")+COUNTIF('Detailed Attendance'!DE114:DE114, "P")+COUNTIF('Detailed Attendance'!EB114:EB114, "P")+COUNTIF('Detailed Attendance'!GI114:GI114, "P")</f>
        <v/>
      </c>
      <c r="Z112" s="46">
        <f>COUNTIF('Detailed Attendance'!CH114:CH114, "A")+COUNTIF('Detailed Attendance'!DE114:DE114, "A")+COUNTIF('Detailed Attendance'!EB114:EB114, "A")+COUNTIF('Detailed Attendance'!GI114:GI114, "A")</f>
        <v/>
      </c>
      <c r="AA112" s="73">
        <f>IF((Y112+Z112)=0, "", Y112/(Y112+Z112))</f>
        <v/>
      </c>
      <c r="AB112" s="46">
        <f>S112+V112+Y112</f>
        <v/>
      </c>
      <c r="AC112" s="46">
        <f>T112+W112+Z112</f>
        <v/>
      </c>
      <c r="AD112" s="73">
        <f>IF((AB112+AC112)=0, "", AB112/(AB112+AC112))</f>
        <v/>
      </c>
      <c r="AE112" s="46" t="inlineStr">
        <is>
          <t>Batch 3</t>
        </is>
      </c>
    </row>
    <row r="113" ht="14.25" customHeight="1" s="34">
      <c r="A113" s="46" t="n">
        <v>112</v>
      </c>
      <c r="B113" s="46" t="inlineStr">
        <is>
          <t>325106410112</t>
        </is>
      </c>
      <c r="C113" s="46" t="inlineStr">
        <is>
          <t>TOTHAGOTA DEY KABBO</t>
        </is>
      </c>
      <c r="D113" s="46">
        <f>COUNTIF('Detailed Attendance'!R115:R115, "P")+COUNTIF('Detailed Attendance'!X115:X115, "P")+COUNTIF('Detailed Attendance'!AL115:AL115, "P")+COUNTIF('Detailed Attendance'!BF115:BF115, "P")+COUNTIF('Detailed Attendance'!BL115:BL115, "P")+COUNTIF('Detailed Attendance'!BZ115:BZ115, "P")+COUNTIF('Detailed Attendance'!CI115:CI115, "P")+COUNTIF('Detailed Attendance'!CW115:CW115, "P")+COUNTIF('Detailed Attendance'!DF115:DF115, "P")+COUNTIF('Detailed Attendance'!DT115:DT115, "P")+COUNTIF('Detailed Attendance'!EC115:EC115, "P")+COUNTIF('Detailed Attendance'!EQ115:EQ115, "P")+COUNTIF('Detailed Attendance'!EW115:EW115, "P")+COUNTIF('Detailed Attendance'!FK115:FK115, "P")+COUNTIF('Detailed Attendance'!FM115:FM115, "P")+COUNTIF('Detailed Attendance'!GA115:GA115, "P")</f>
        <v/>
      </c>
      <c r="E113" s="46">
        <f>COUNTIF('Detailed Attendance'!R115:R115, "A")+COUNTIF('Detailed Attendance'!X115:X115, "A")+COUNTIF('Detailed Attendance'!AL115:AL115, "A")+COUNTIF('Detailed Attendance'!BF115:BF115, "A")+COUNTIF('Detailed Attendance'!BL115:BL115, "A")+COUNTIF('Detailed Attendance'!BZ115:BZ115, "A")+COUNTIF('Detailed Attendance'!CI115:CI115, "A")+COUNTIF('Detailed Attendance'!CW115:CW115, "A")+COUNTIF('Detailed Attendance'!DF115:DF115, "A")+COUNTIF('Detailed Attendance'!DT115:DT115, "A")+COUNTIF('Detailed Attendance'!EC115:EC115, "A")+COUNTIF('Detailed Attendance'!EQ115:EQ115, "A")+COUNTIF('Detailed Attendance'!EW115:EW115, "A")+COUNTIF('Detailed Attendance'!FK115:FK115, "A")+COUNTIF('Detailed Attendance'!FM115:FM115, "A")+COUNTIF('Detailed Attendance'!GA115:GA115, "A")</f>
        <v/>
      </c>
      <c r="F113" s="72">
        <f>IF((D113+E113)=0, "", D113/(D113+E113))</f>
        <v/>
      </c>
      <c r="G113" s="46">
        <f>COUNTIF('Detailed Attendance'!I115:I115, "P")+COUNTIF('Detailed Attendance'!Q115:Q115, "P")+COUNTIF('Detailed Attendance'!AC115:AC115, "P")+COUNTIF('Detailed Attendance'!AK115:AK115, "P")+COUNTIF('Detailed Attendance'!AW115:AW115, "P")+COUNTIF('Detailed Attendance'!BE115:BE115, "P")+COUNTIF('Detailed Attendance'!BQ115:BQ115, "P")+COUNTIF('Detailed Attendance'!BY115:BY115, "P")+COUNTIF('Detailed Attendance'!CN115:CN115, "P")+COUNTIF('Detailed Attendance'!CV115:CV115, "P")+COUNTIF('Detailed Attendance'!DK115:DK115, "P")+COUNTIF('Detailed Attendance'!DS115:DS115, "P")+COUNTIF('Detailed Attendance'!EH115:EH115, "P")+COUNTIF('Detailed Attendance'!EP115:EP115, "P")+COUNTIF('Detailed Attendance'!FB115:FB115, "P")+COUNTIF('Detailed Attendance'!FJ115:FJ115, "P")+COUNTIF('Detailed Attendance'!FR115:FR115, "P")+COUNTIF('Detailed Attendance'!FZ115:FZ115, "P")</f>
        <v/>
      </c>
      <c r="H113" s="46">
        <f>COUNTIF('Detailed Attendance'!I115:I115, "A")+COUNTIF('Detailed Attendance'!Q115:Q115, "A")+COUNTIF('Detailed Attendance'!AC115:AC115, "A")+COUNTIF('Detailed Attendance'!AK115:AK115, "A")+COUNTIF('Detailed Attendance'!AW115:AW115, "A")+COUNTIF('Detailed Attendance'!BE115:BE115, "A")+COUNTIF('Detailed Attendance'!BQ115:BQ115, "A")+COUNTIF('Detailed Attendance'!BY115:BY115, "A")+COUNTIF('Detailed Attendance'!CN115:CN115, "A")+COUNTIF('Detailed Attendance'!CV115:CV115, "A")+COUNTIF('Detailed Attendance'!DK115:DK115, "A")+COUNTIF('Detailed Attendance'!DS115:DS115, "A")+COUNTIF('Detailed Attendance'!EH115:EH115, "A")+COUNTIF('Detailed Attendance'!EP115:EP115, "A")+COUNTIF('Detailed Attendance'!FB115:FB115, "A")+COUNTIF('Detailed Attendance'!FJ115:FJ115, "A")+COUNTIF('Detailed Attendance'!FR115:FR115, "A")+COUNTIF('Detailed Attendance'!FZ115:FZ115, "A")</f>
        <v/>
      </c>
      <c r="I113" s="72">
        <f>IF((G113+H113)=0, "", G113/(G113+H113))</f>
        <v/>
      </c>
      <c r="J113" s="46">
        <f>COUNTIF('Detailed Attendance'!L115:L115, "P")+COUNTIF('Detailed Attendance'!P115:P115, "P")+COUNTIF('Detailed Attendance'!AF115:AF115, "P")+COUNTIF('Detailed Attendance'!AJ115:AJ115, "P")+COUNTIF('Detailed Attendance'!AZ115:AZ115, "P")+COUNTIF('Detailed Attendance'!BD115:BD115, "P")+COUNTIF('Detailed Attendance'!BT115:BT115, "P")+COUNTIF('Detailed Attendance'!BX115:BX115, "P")+COUNTIF('Detailed Attendance'!CQ115:CQ115, "P")+COUNTIF('Detailed Attendance'!CU115:CU115, "P")+COUNTIF('Detailed Attendance'!DN115:DN115, "P")+COUNTIF('Detailed Attendance'!DR115:DR115, "P")+COUNTIF('Detailed Attendance'!EK115:EK115, "P")+COUNTIF('Detailed Attendance'!EO115:EO115, "P")+COUNTIF('Detailed Attendance'!FE115:FE115, "P")+COUNTIF('Detailed Attendance'!FI115:FI115, "P")+COUNTIF('Detailed Attendance'!FU115:FU115, "P")+COUNTIF('Detailed Attendance'!FY115:FY115, "P")</f>
        <v/>
      </c>
      <c r="K113" s="46">
        <f>COUNTIF('Detailed Attendance'!L115:L115, "A")+COUNTIF('Detailed Attendance'!P115:P115, "A")+COUNTIF('Detailed Attendance'!AF115:AF115, "A")+COUNTIF('Detailed Attendance'!AJ115:AJ115, "A")+COUNTIF('Detailed Attendance'!AZ115:AZ115, "A")+COUNTIF('Detailed Attendance'!BD115:BD115, "A")+COUNTIF('Detailed Attendance'!BT115:BT115, "A")+COUNTIF('Detailed Attendance'!BX115:BX115, "A")+COUNTIF('Detailed Attendance'!CQ115:CQ115, "A")+COUNTIF('Detailed Attendance'!CU115:CU115, "A")+COUNTIF('Detailed Attendance'!DN115:DN115, "A")+COUNTIF('Detailed Attendance'!DR115:DR115, "A")+COUNTIF('Detailed Attendance'!EK115:EK115, "A")+COUNTIF('Detailed Attendance'!EO115:EO115, "A")+COUNTIF('Detailed Attendance'!FE115:FE115, "A")+COUNTIF('Detailed Attendance'!FI115:FI115, "A")+COUNTIF('Detailed Attendance'!FU115:FU115, "A")+COUNTIF('Detailed Attendance'!FY115:FY115, "A")</f>
        <v/>
      </c>
      <c r="L113" s="72">
        <f>IF((J113+K113)=0, "", J113/(J113+K113))</f>
        <v/>
      </c>
      <c r="M113" s="46">
        <f>COUNTIF('Detailed Attendance'!D115:D115, "P")+COUNTIF('Detailed Attendance'!T115:T115, "P")+COUNTIF('Detailed Attendance'!AN115:AN115, "P")+COUNTIF('Detailed Attendance'!AR115:AR115, "P")+COUNTIF('Detailed Attendance'!BH115:BH115, "P")+COUNTIF('Detailed Attendance'!CB115:CB115, "P")+COUNTIF('Detailed Attendance'!CF115:CF115, "P")+COUNTIF('Detailed Attendance'!CY115:CY115, "P")+COUNTIF('Detailed Attendance'!DC115:DC115, "P")+COUNTIF('Detailed Attendance'!DV115:DV115, "P")+COUNTIF('Detailed Attendance'!DZ115:DZ115, "P")+COUNTIF('Detailed Attendance'!ES115:ES115, "P")+COUNTIF('Detailed Attendance'!GC115:GC115, "P")+COUNTIF('Detailed Attendance'!GG115:GG115, "P")</f>
        <v/>
      </c>
      <c r="N113" s="46">
        <f>COUNTIF('Detailed Attendance'!D115:D115, "A")+COUNTIF('Detailed Attendance'!T115:T115, "A")+COUNTIF('Detailed Attendance'!AN115:AN115, "A")+COUNTIF('Detailed Attendance'!AR115:AR115, "A")+COUNTIF('Detailed Attendance'!BH115:BH115, "A")+COUNTIF('Detailed Attendance'!CB115:CB115, "A")+COUNTIF('Detailed Attendance'!CF115:CF115, "A")+COUNTIF('Detailed Attendance'!CY115:CY115, "A")+COUNTIF('Detailed Attendance'!DC115:DC115, "A")+COUNTIF('Detailed Attendance'!DV115:DV115, "A")+COUNTIF('Detailed Attendance'!DZ115:DZ115, "A")+COUNTIF('Detailed Attendance'!ES115:ES115, "A")+COUNTIF('Detailed Attendance'!GC115:GC115, "A")+COUNTIF('Detailed Attendance'!GG115:GG115, "A")</f>
        <v/>
      </c>
      <c r="O113" s="72">
        <f>IF((M113+N113)=0, "", M113/(M113+N113))</f>
        <v/>
      </c>
      <c r="P113" s="46">
        <f>COUNTIF('Detailed Attendance'!M115:M115, "P")+COUNTIF('Detailed Attendance'!U115:U115, "P")+COUNTIF('Detailed Attendance'!AG115:AG115, "P")+COUNTIF('Detailed Attendance'!AO115:AO115, "P")+COUNTIF('Detailed Attendance'!BA115:BA115, "P")+COUNTIF('Detailed Attendance'!BI115:BI115, "P")+COUNTIF('Detailed Attendance'!BU115:BU115, "P")+COUNTIF('Detailed Attendance'!CC115:CC115, "P")+COUNTIF('Detailed Attendance'!CR115:CR115, "P")+COUNTIF('Detailed Attendance'!CZ115:CZ115, "P")+COUNTIF('Detailed Attendance'!DO115:DO115, "P")+COUNTIF('Detailed Attendance'!DW115:DW115, "P")+COUNTIF('Detailed Attendance'!EL115:EL115, "P")+COUNTIF('Detailed Attendance'!ET115:ET115, "P")+COUNTIF('Detailed Attendance'!FF115:FF115, "P")+COUNTIF('Detailed Attendance'!FV115:FV115, "P")+COUNTIF('Detailed Attendance'!GD115:GD115, "P")</f>
        <v/>
      </c>
      <c r="Q113" s="46">
        <f>COUNTIF('Detailed Attendance'!M115:M115, "A")+COUNTIF('Detailed Attendance'!U115:U115, "A")+COUNTIF('Detailed Attendance'!AG115:AG115, "A")+COUNTIF('Detailed Attendance'!AO115:AO115, "A")+COUNTIF('Detailed Attendance'!BA115:BA115, "A")+COUNTIF('Detailed Attendance'!BI115:BI115, "A")+COUNTIF('Detailed Attendance'!BU115:BU115, "A")+COUNTIF('Detailed Attendance'!CC115:CC115, "A")+COUNTIF('Detailed Attendance'!CR115:CR115, "A")+COUNTIF('Detailed Attendance'!CZ115:CZ115, "A")+COUNTIF('Detailed Attendance'!DO115:DO115, "A")+COUNTIF('Detailed Attendance'!DW115:DW115, "A")+COUNTIF('Detailed Attendance'!EL115:EL115, "A")+COUNTIF('Detailed Attendance'!ET115:ET115, "A")+COUNTIF('Detailed Attendance'!FF115:FF115, "A")+COUNTIF('Detailed Attendance'!FV115:FV115, "A")+COUNTIF('Detailed Attendance'!GD115:GD115, "A")</f>
        <v/>
      </c>
      <c r="R113" s="72">
        <f>IF((P113+Q113)=0, "", P113/(P113+Q113))</f>
        <v/>
      </c>
      <c r="S113" s="46">
        <f>COUNTIF('Detailed Attendance'!H115:H115, "P")+COUNTIF('Detailed Attendance'!AB115:AB115, "P")+COUNTIF('Detailed Attendance'!AV115:AV115, "P")+COUNTIF('Detailed Attendance'!BP115:BP115, "P")+COUNTIF('Detailed Attendance'!CM115:CM115, "P")+COUNTIF('Detailed Attendance'!DJ115:DJ115, "P")+COUNTIF('Detailed Attendance'!EG115:EG115, "P")+COUNTIF('Detailed Attendance'!FA115:FA115, "P")+COUNTIF('Detailed Attendance'!FQ115:FQ115, "P")</f>
        <v/>
      </c>
      <c r="T113" s="46">
        <f>COUNTIF('Detailed Attendance'!H115:H115, "A")+COUNTIF('Detailed Attendance'!AB115:AB115, "A")+COUNTIF('Detailed Attendance'!AV115:AV115, "A")+COUNTIF('Detailed Attendance'!BP115:BP115, "A")+COUNTIF('Detailed Attendance'!CM115:CM115, "A")+COUNTIF('Detailed Attendance'!DJ115:DJ115, "A")+COUNTIF('Detailed Attendance'!EG115:EG115, "A")+COUNTIF('Detailed Attendance'!FA115:FA115, "A")+COUNTIF('Detailed Attendance'!FQ115:FQ115, "A")</f>
        <v/>
      </c>
      <c r="U113" s="73">
        <f>IF((S113+T113)=0, "", S113/(S113+T113))</f>
        <v/>
      </c>
      <c r="V113" s="46">
        <f>COUNTIF('Detailed Attendance'!E115:E115, "P")+COUNTIF('Detailed Attendance'!Y115:Y115, "P")+COUNTIF('Detailed Attendance'!AS115:AS115, "P")+COUNTIF('Detailed Attendance'!BM115:BM115, "P")+COUNTIF('Detailed Attendance'!CJ115:CJ115, "P")+COUNTIF('Detailed Attendance'!DG115:DG115, "P")+COUNTIF('Detailed Attendance'!ED115:ED115, "P")+COUNTIF('Detailed Attendance'!EX115:EX115, "P")+COUNTIF('Detailed Attendance'!FN115:FN115, "P")</f>
        <v/>
      </c>
      <c r="W113" s="46">
        <f>COUNTIF('Detailed Attendance'!E115:E115, "A")+COUNTIF('Detailed Attendance'!Y115:Y115, "A")+COUNTIF('Detailed Attendance'!AS115:AS115, "A")+COUNTIF('Detailed Attendance'!BM115:BM115, "A")+COUNTIF('Detailed Attendance'!CJ115:CJ115, "A")+COUNTIF('Detailed Attendance'!DG115:DG115, "A")+COUNTIF('Detailed Attendance'!ED115:ED115, "A")+COUNTIF('Detailed Attendance'!EX115:EX115, "A")+COUNTIF('Detailed Attendance'!FN115:FN115, "A")</f>
        <v/>
      </c>
      <c r="X113" s="73">
        <f>IF((V113+W113)=0, "", V113/(V113+W113))</f>
        <v/>
      </c>
      <c r="Y113" s="46">
        <f>COUNTIF('Detailed Attendance'!CH115:CH115, "P")+COUNTIF('Detailed Attendance'!DE115:DE115, "P")+COUNTIF('Detailed Attendance'!EB115:EB115, "P")+COUNTIF('Detailed Attendance'!GI115:GI115, "P")</f>
        <v/>
      </c>
      <c r="Z113" s="46">
        <f>COUNTIF('Detailed Attendance'!CH115:CH115, "A")+COUNTIF('Detailed Attendance'!DE115:DE115, "A")+COUNTIF('Detailed Attendance'!EB115:EB115, "A")+COUNTIF('Detailed Attendance'!GI115:GI115, "A")</f>
        <v/>
      </c>
      <c r="AA113" s="73">
        <f>IF((Y113+Z113)=0, "", Y113/(Y113+Z113))</f>
        <v/>
      </c>
      <c r="AB113" s="46">
        <f>S113+V113+Y113</f>
        <v/>
      </c>
      <c r="AC113" s="46">
        <f>T113+W113+Z113</f>
        <v/>
      </c>
      <c r="AD113" s="73">
        <f>IF((AB113+AC113)=0, "", AB113/(AB113+AC113))</f>
        <v/>
      </c>
      <c r="AE113" s="46" t="inlineStr">
        <is>
          <t>Batch 3</t>
        </is>
      </c>
    </row>
    <row r="114" ht="14.25" customHeight="1" s="34">
      <c r="A114" s="46" t="n">
        <v>113</v>
      </c>
      <c r="B114" s="46" t="inlineStr">
        <is>
          <t>325106410113</t>
        </is>
      </c>
      <c r="C114" s="46" t="inlineStr">
        <is>
          <t>TUMPA DEBNATH</t>
        </is>
      </c>
      <c r="D114" s="46">
        <f>COUNTIF('Detailed Attendance'!R116:R116, "P")+COUNTIF('Detailed Attendance'!X116:X116, "P")+COUNTIF('Detailed Attendance'!AL116:AL116, "P")+COUNTIF('Detailed Attendance'!BF116:BF116, "P")+COUNTIF('Detailed Attendance'!BL116:BL116, "P")+COUNTIF('Detailed Attendance'!BZ116:BZ116, "P")+COUNTIF('Detailed Attendance'!CI116:CI116, "P")+COUNTIF('Detailed Attendance'!CW116:CW116, "P")+COUNTIF('Detailed Attendance'!DF116:DF116, "P")+COUNTIF('Detailed Attendance'!DT116:DT116, "P")+COUNTIF('Detailed Attendance'!EC116:EC116, "P")+COUNTIF('Detailed Attendance'!EQ116:EQ116, "P")+COUNTIF('Detailed Attendance'!EW116:EW116, "P")+COUNTIF('Detailed Attendance'!FK116:FK116, "P")+COUNTIF('Detailed Attendance'!FM116:FM116, "P")+COUNTIF('Detailed Attendance'!GA116:GA116, "P")</f>
        <v/>
      </c>
      <c r="E114" s="46">
        <f>COUNTIF('Detailed Attendance'!R116:R116, "A")+COUNTIF('Detailed Attendance'!X116:X116, "A")+COUNTIF('Detailed Attendance'!AL116:AL116, "A")+COUNTIF('Detailed Attendance'!BF116:BF116, "A")+COUNTIF('Detailed Attendance'!BL116:BL116, "A")+COUNTIF('Detailed Attendance'!BZ116:BZ116, "A")+COUNTIF('Detailed Attendance'!CI116:CI116, "A")+COUNTIF('Detailed Attendance'!CW116:CW116, "A")+COUNTIF('Detailed Attendance'!DF116:DF116, "A")+COUNTIF('Detailed Attendance'!DT116:DT116, "A")+COUNTIF('Detailed Attendance'!EC116:EC116, "A")+COUNTIF('Detailed Attendance'!EQ116:EQ116, "A")+COUNTIF('Detailed Attendance'!EW116:EW116, "A")+COUNTIF('Detailed Attendance'!FK116:FK116, "A")+COUNTIF('Detailed Attendance'!FM116:FM116, "A")+COUNTIF('Detailed Attendance'!GA116:GA116, "A")</f>
        <v/>
      </c>
      <c r="F114" s="72">
        <f>IF((D114+E114)=0, "", D114/(D114+E114))</f>
        <v/>
      </c>
      <c r="G114" s="46">
        <f>COUNTIF('Detailed Attendance'!I116:I116, "P")+COUNTIF('Detailed Attendance'!Q116:Q116, "P")+COUNTIF('Detailed Attendance'!AC116:AC116, "P")+COUNTIF('Detailed Attendance'!AK116:AK116, "P")+COUNTIF('Detailed Attendance'!AW116:AW116, "P")+COUNTIF('Detailed Attendance'!BE116:BE116, "P")+COUNTIF('Detailed Attendance'!BQ116:BQ116, "P")+COUNTIF('Detailed Attendance'!BY116:BY116, "P")+COUNTIF('Detailed Attendance'!CN116:CN116, "P")+COUNTIF('Detailed Attendance'!CV116:CV116, "P")+COUNTIF('Detailed Attendance'!DK116:DK116, "P")+COUNTIF('Detailed Attendance'!DS116:DS116, "P")+COUNTIF('Detailed Attendance'!EH116:EH116, "P")+COUNTIF('Detailed Attendance'!EP116:EP116, "P")+COUNTIF('Detailed Attendance'!FB116:FB116, "P")+COUNTIF('Detailed Attendance'!FJ116:FJ116, "P")+COUNTIF('Detailed Attendance'!FR116:FR116, "P")+COUNTIF('Detailed Attendance'!FZ116:FZ116, "P")</f>
        <v/>
      </c>
      <c r="H114" s="46">
        <f>COUNTIF('Detailed Attendance'!I116:I116, "A")+COUNTIF('Detailed Attendance'!Q116:Q116, "A")+COUNTIF('Detailed Attendance'!AC116:AC116, "A")+COUNTIF('Detailed Attendance'!AK116:AK116, "A")+COUNTIF('Detailed Attendance'!AW116:AW116, "A")+COUNTIF('Detailed Attendance'!BE116:BE116, "A")+COUNTIF('Detailed Attendance'!BQ116:BQ116, "A")+COUNTIF('Detailed Attendance'!BY116:BY116, "A")+COUNTIF('Detailed Attendance'!CN116:CN116, "A")+COUNTIF('Detailed Attendance'!CV116:CV116, "A")+COUNTIF('Detailed Attendance'!DK116:DK116, "A")+COUNTIF('Detailed Attendance'!DS116:DS116, "A")+COUNTIF('Detailed Attendance'!EH116:EH116, "A")+COUNTIF('Detailed Attendance'!EP116:EP116, "A")+COUNTIF('Detailed Attendance'!FB116:FB116, "A")+COUNTIF('Detailed Attendance'!FJ116:FJ116, "A")+COUNTIF('Detailed Attendance'!FR116:FR116, "A")+COUNTIF('Detailed Attendance'!FZ116:FZ116, "A")</f>
        <v/>
      </c>
      <c r="I114" s="72">
        <f>IF((G114+H114)=0, "", G114/(G114+H114))</f>
        <v/>
      </c>
      <c r="J114" s="46">
        <f>COUNTIF('Detailed Attendance'!L116:L116, "P")+COUNTIF('Detailed Attendance'!P116:P116, "P")+COUNTIF('Detailed Attendance'!AF116:AF116, "P")+COUNTIF('Detailed Attendance'!AJ116:AJ116, "P")+COUNTIF('Detailed Attendance'!AZ116:AZ116, "P")+COUNTIF('Detailed Attendance'!BD116:BD116, "P")+COUNTIF('Detailed Attendance'!BT116:BT116, "P")+COUNTIF('Detailed Attendance'!BX116:BX116, "P")+COUNTIF('Detailed Attendance'!CQ116:CQ116, "P")+COUNTIF('Detailed Attendance'!CU116:CU116, "P")+COUNTIF('Detailed Attendance'!DN116:DN116, "P")+COUNTIF('Detailed Attendance'!DR116:DR116, "P")+COUNTIF('Detailed Attendance'!EK116:EK116, "P")+COUNTIF('Detailed Attendance'!EO116:EO116, "P")+COUNTIF('Detailed Attendance'!FE116:FE116, "P")+COUNTIF('Detailed Attendance'!FI116:FI116, "P")+COUNTIF('Detailed Attendance'!FU116:FU116, "P")+COUNTIF('Detailed Attendance'!FY116:FY116, "P")</f>
        <v/>
      </c>
      <c r="K114" s="46">
        <f>COUNTIF('Detailed Attendance'!L116:L116, "A")+COUNTIF('Detailed Attendance'!P116:P116, "A")+COUNTIF('Detailed Attendance'!AF116:AF116, "A")+COUNTIF('Detailed Attendance'!AJ116:AJ116, "A")+COUNTIF('Detailed Attendance'!AZ116:AZ116, "A")+COUNTIF('Detailed Attendance'!BD116:BD116, "A")+COUNTIF('Detailed Attendance'!BT116:BT116, "A")+COUNTIF('Detailed Attendance'!BX116:BX116, "A")+COUNTIF('Detailed Attendance'!CQ116:CQ116, "A")+COUNTIF('Detailed Attendance'!CU116:CU116, "A")+COUNTIF('Detailed Attendance'!DN116:DN116, "A")+COUNTIF('Detailed Attendance'!DR116:DR116, "A")+COUNTIF('Detailed Attendance'!EK116:EK116, "A")+COUNTIF('Detailed Attendance'!EO116:EO116, "A")+COUNTIF('Detailed Attendance'!FE116:FE116, "A")+COUNTIF('Detailed Attendance'!FI116:FI116, "A")+COUNTIF('Detailed Attendance'!FU116:FU116, "A")+COUNTIF('Detailed Attendance'!FY116:FY116, "A")</f>
        <v/>
      </c>
      <c r="L114" s="72">
        <f>IF((J114+K114)=0, "", J114/(J114+K114))</f>
        <v/>
      </c>
      <c r="M114" s="46">
        <f>COUNTIF('Detailed Attendance'!D116:D116, "P")+COUNTIF('Detailed Attendance'!T116:T116, "P")+COUNTIF('Detailed Attendance'!AN116:AN116, "P")+COUNTIF('Detailed Attendance'!AR116:AR116, "P")+COUNTIF('Detailed Attendance'!BH116:BH116, "P")+COUNTIF('Detailed Attendance'!CB116:CB116, "P")+COUNTIF('Detailed Attendance'!CF116:CF116, "P")+COUNTIF('Detailed Attendance'!CY116:CY116, "P")+COUNTIF('Detailed Attendance'!DC116:DC116, "P")+COUNTIF('Detailed Attendance'!DV116:DV116, "P")+COUNTIF('Detailed Attendance'!DZ116:DZ116, "P")+COUNTIF('Detailed Attendance'!ES116:ES116, "P")+COUNTIF('Detailed Attendance'!GC116:GC116, "P")+COUNTIF('Detailed Attendance'!GG116:GG116, "P")</f>
        <v/>
      </c>
      <c r="N114" s="46">
        <f>COUNTIF('Detailed Attendance'!D116:D116, "A")+COUNTIF('Detailed Attendance'!T116:T116, "A")+COUNTIF('Detailed Attendance'!AN116:AN116, "A")+COUNTIF('Detailed Attendance'!AR116:AR116, "A")+COUNTIF('Detailed Attendance'!BH116:BH116, "A")+COUNTIF('Detailed Attendance'!CB116:CB116, "A")+COUNTIF('Detailed Attendance'!CF116:CF116, "A")+COUNTIF('Detailed Attendance'!CY116:CY116, "A")+COUNTIF('Detailed Attendance'!DC116:DC116, "A")+COUNTIF('Detailed Attendance'!DV116:DV116, "A")+COUNTIF('Detailed Attendance'!DZ116:DZ116, "A")+COUNTIF('Detailed Attendance'!ES116:ES116, "A")+COUNTIF('Detailed Attendance'!GC116:GC116, "A")+COUNTIF('Detailed Attendance'!GG116:GG116, "A")</f>
        <v/>
      </c>
      <c r="O114" s="72">
        <f>IF((M114+N114)=0, "", M114/(M114+N114))</f>
        <v/>
      </c>
      <c r="P114" s="46">
        <f>COUNTIF('Detailed Attendance'!M116:M116, "P")+COUNTIF('Detailed Attendance'!U116:U116, "P")+COUNTIF('Detailed Attendance'!AG116:AG116, "P")+COUNTIF('Detailed Attendance'!AO116:AO116, "P")+COUNTIF('Detailed Attendance'!BA116:BA116, "P")+COUNTIF('Detailed Attendance'!BI116:BI116, "P")+COUNTIF('Detailed Attendance'!BU116:BU116, "P")+COUNTIF('Detailed Attendance'!CC116:CC116, "P")+COUNTIF('Detailed Attendance'!CR116:CR116, "P")+COUNTIF('Detailed Attendance'!CZ116:CZ116, "P")+COUNTIF('Detailed Attendance'!DO116:DO116, "P")+COUNTIF('Detailed Attendance'!DW116:DW116, "P")+COUNTIF('Detailed Attendance'!EL116:EL116, "P")+COUNTIF('Detailed Attendance'!ET116:ET116, "P")+COUNTIF('Detailed Attendance'!FF116:FF116, "P")+COUNTIF('Detailed Attendance'!FV116:FV116, "P")+COUNTIF('Detailed Attendance'!GD116:GD116, "P")</f>
        <v/>
      </c>
      <c r="Q114" s="46">
        <f>COUNTIF('Detailed Attendance'!M116:M116, "A")+COUNTIF('Detailed Attendance'!U116:U116, "A")+COUNTIF('Detailed Attendance'!AG116:AG116, "A")+COUNTIF('Detailed Attendance'!AO116:AO116, "A")+COUNTIF('Detailed Attendance'!BA116:BA116, "A")+COUNTIF('Detailed Attendance'!BI116:BI116, "A")+COUNTIF('Detailed Attendance'!BU116:BU116, "A")+COUNTIF('Detailed Attendance'!CC116:CC116, "A")+COUNTIF('Detailed Attendance'!CR116:CR116, "A")+COUNTIF('Detailed Attendance'!CZ116:CZ116, "A")+COUNTIF('Detailed Attendance'!DO116:DO116, "A")+COUNTIF('Detailed Attendance'!DW116:DW116, "A")+COUNTIF('Detailed Attendance'!EL116:EL116, "A")+COUNTIF('Detailed Attendance'!ET116:ET116, "A")+COUNTIF('Detailed Attendance'!FF116:FF116, "A")+COUNTIF('Detailed Attendance'!FV116:FV116, "A")+COUNTIF('Detailed Attendance'!GD116:GD116, "A")</f>
        <v/>
      </c>
      <c r="R114" s="72">
        <f>IF((P114+Q114)=0, "", P114/(P114+Q114))</f>
        <v/>
      </c>
      <c r="S114" s="46">
        <f>COUNTIF('Detailed Attendance'!H116:H116, "P")+COUNTIF('Detailed Attendance'!AB116:AB116, "P")+COUNTIF('Detailed Attendance'!AV116:AV116, "P")+COUNTIF('Detailed Attendance'!BP116:BP116, "P")+COUNTIF('Detailed Attendance'!CM116:CM116, "P")+COUNTIF('Detailed Attendance'!DJ116:DJ116, "P")+COUNTIF('Detailed Attendance'!EG116:EG116, "P")+COUNTIF('Detailed Attendance'!FA116:FA116, "P")+COUNTIF('Detailed Attendance'!FQ116:FQ116, "P")</f>
        <v/>
      </c>
      <c r="T114" s="46">
        <f>COUNTIF('Detailed Attendance'!H116:H116, "A")+COUNTIF('Detailed Attendance'!AB116:AB116, "A")+COUNTIF('Detailed Attendance'!AV116:AV116, "A")+COUNTIF('Detailed Attendance'!BP116:BP116, "A")+COUNTIF('Detailed Attendance'!CM116:CM116, "A")+COUNTIF('Detailed Attendance'!DJ116:DJ116, "A")+COUNTIF('Detailed Attendance'!EG116:EG116, "A")+COUNTIF('Detailed Attendance'!FA116:FA116, "A")+COUNTIF('Detailed Attendance'!FQ116:FQ116, "A")</f>
        <v/>
      </c>
      <c r="U114" s="73">
        <f>IF((S114+T114)=0, "", S114/(S114+T114))</f>
        <v/>
      </c>
      <c r="V114" s="46">
        <f>COUNTIF('Detailed Attendance'!E116:E116, "P")+COUNTIF('Detailed Attendance'!Y116:Y116, "P")+COUNTIF('Detailed Attendance'!AS116:AS116, "P")+COUNTIF('Detailed Attendance'!BM116:BM116, "P")+COUNTIF('Detailed Attendance'!CJ116:CJ116, "P")+COUNTIF('Detailed Attendance'!DG116:DG116, "P")+COUNTIF('Detailed Attendance'!ED116:ED116, "P")+COUNTIF('Detailed Attendance'!EX116:EX116, "P")+COUNTIF('Detailed Attendance'!FN116:FN116, "P")</f>
        <v/>
      </c>
      <c r="W114" s="46">
        <f>COUNTIF('Detailed Attendance'!E116:E116, "A")+COUNTIF('Detailed Attendance'!Y116:Y116, "A")+COUNTIF('Detailed Attendance'!AS116:AS116, "A")+COUNTIF('Detailed Attendance'!BM116:BM116, "A")+COUNTIF('Detailed Attendance'!CJ116:CJ116, "A")+COUNTIF('Detailed Attendance'!DG116:DG116, "A")+COUNTIF('Detailed Attendance'!ED116:ED116, "A")+COUNTIF('Detailed Attendance'!EX116:EX116, "A")+COUNTIF('Detailed Attendance'!FN116:FN116, "A")</f>
        <v/>
      </c>
      <c r="X114" s="73">
        <f>IF((V114+W114)=0, "", V114/(V114+W114))</f>
        <v/>
      </c>
      <c r="Y114" s="46">
        <f>COUNTIF('Detailed Attendance'!CH116:CH116, "P")+COUNTIF('Detailed Attendance'!DE116:DE116, "P")+COUNTIF('Detailed Attendance'!EB116:EB116, "P")+COUNTIF('Detailed Attendance'!GI116:GI116, "P")</f>
        <v/>
      </c>
      <c r="Z114" s="46">
        <f>COUNTIF('Detailed Attendance'!CH116:CH116, "A")+COUNTIF('Detailed Attendance'!DE116:DE116, "A")+COUNTIF('Detailed Attendance'!EB116:EB116, "A")+COUNTIF('Detailed Attendance'!GI116:GI116, "A")</f>
        <v/>
      </c>
      <c r="AA114" s="73">
        <f>IF((Y114+Z114)=0, "", Y114/(Y114+Z114))</f>
        <v/>
      </c>
      <c r="AB114" s="46">
        <f>S114+V114+Y114</f>
        <v/>
      </c>
      <c r="AC114" s="46">
        <f>T114+W114+Z114</f>
        <v/>
      </c>
      <c r="AD114" s="73">
        <f>IF((AB114+AC114)=0, "", AB114/(AB114+AC114))</f>
        <v/>
      </c>
      <c r="AE114" s="46" t="inlineStr">
        <is>
          <t>Batch 3</t>
        </is>
      </c>
    </row>
    <row r="115" ht="14.25" customHeight="1" s="34">
      <c r="A115" s="46" t="n">
        <v>114</v>
      </c>
      <c r="B115" s="46" t="inlineStr">
        <is>
          <t>325106410114</t>
        </is>
      </c>
      <c r="C115" s="46" t="inlineStr">
        <is>
          <t>UKASH CHAUDHARY</t>
        </is>
      </c>
      <c r="D115" s="46">
        <f>COUNTIF('Detailed Attendance'!R117:R117, "P")+COUNTIF('Detailed Attendance'!X117:X117, "P")+COUNTIF('Detailed Attendance'!AL117:AL117, "P")+COUNTIF('Detailed Attendance'!BF117:BF117, "P")+COUNTIF('Detailed Attendance'!BL117:BL117, "P")+COUNTIF('Detailed Attendance'!BZ117:BZ117, "P")+COUNTIF('Detailed Attendance'!CI117:CI117, "P")+COUNTIF('Detailed Attendance'!CW117:CW117, "P")+COUNTIF('Detailed Attendance'!DF117:DF117, "P")+COUNTIF('Detailed Attendance'!DT117:DT117, "P")+COUNTIF('Detailed Attendance'!EC117:EC117, "P")+COUNTIF('Detailed Attendance'!EQ117:EQ117, "P")+COUNTIF('Detailed Attendance'!EW117:EW117, "P")+COUNTIF('Detailed Attendance'!FK117:FK117, "P")+COUNTIF('Detailed Attendance'!FM117:FM117, "P")+COUNTIF('Detailed Attendance'!GA117:GA117, "P")</f>
        <v/>
      </c>
      <c r="E115" s="46">
        <f>COUNTIF('Detailed Attendance'!R117:R117, "A")+COUNTIF('Detailed Attendance'!X117:X117, "A")+COUNTIF('Detailed Attendance'!AL117:AL117, "A")+COUNTIF('Detailed Attendance'!BF117:BF117, "A")+COUNTIF('Detailed Attendance'!BL117:BL117, "A")+COUNTIF('Detailed Attendance'!BZ117:BZ117, "A")+COUNTIF('Detailed Attendance'!CI117:CI117, "A")+COUNTIF('Detailed Attendance'!CW117:CW117, "A")+COUNTIF('Detailed Attendance'!DF117:DF117, "A")+COUNTIF('Detailed Attendance'!DT117:DT117, "A")+COUNTIF('Detailed Attendance'!EC117:EC117, "A")+COUNTIF('Detailed Attendance'!EQ117:EQ117, "A")+COUNTIF('Detailed Attendance'!EW117:EW117, "A")+COUNTIF('Detailed Attendance'!FK117:FK117, "A")+COUNTIF('Detailed Attendance'!FM117:FM117, "A")+COUNTIF('Detailed Attendance'!GA117:GA117, "A")</f>
        <v/>
      </c>
      <c r="F115" s="72">
        <f>IF((D115+E115)=0, "", D115/(D115+E115))</f>
        <v/>
      </c>
      <c r="G115" s="46">
        <f>COUNTIF('Detailed Attendance'!I117:I117, "P")+COUNTIF('Detailed Attendance'!Q117:Q117, "P")+COUNTIF('Detailed Attendance'!AC117:AC117, "P")+COUNTIF('Detailed Attendance'!AK117:AK117, "P")+COUNTIF('Detailed Attendance'!AW117:AW117, "P")+COUNTIF('Detailed Attendance'!BE117:BE117, "P")+COUNTIF('Detailed Attendance'!BQ117:BQ117, "P")+COUNTIF('Detailed Attendance'!BY117:BY117, "P")+COUNTIF('Detailed Attendance'!CN117:CN117, "P")+COUNTIF('Detailed Attendance'!CV117:CV117, "P")+COUNTIF('Detailed Attendance'!DK117:DK117, "P")+COUNTIF('Detailed Attendance'!DS117:DS117, "P")+COUNTIF('Detailed Attendance'!EH117:EH117, "P")+COUNTIF('Detailed Attendance'!EP117:EP117, "P")+COUNTIF('Detailed Attendance'!FB117:FB117, "P")+COUNTIF('Detailed Attendance'!FJ117:FJ117, "P")+COUNTIF('Detailed Attendance'!FR117:FR117, "P")+COUNTIF('Detailed Attendance'!FZ117:FZ117, "P")</f>
        <v/>
      </c>
      <c r="H115" s="46">
        <f>COUNTIF('Detailed Attendance'!I117:I117, "A")+COUNTIF('Detailed Attendance'!Q117:Q117, "A")+COUNTIF('Detailed Attendance'!AC117:AC117, "A")+COUNTIF('Detailed Attendance'!AK117:AK117, "A")+COUNTIF('Detailed Attendance'!AW117:AW117, "A")+COUNTIF('Detailed Attendance'!BE117:BE117, "A")+COUNTIF('Detailed Attendance'!BQ117:BQ117, "A")+COUNTIF('Detailed Attendance'!BY117:BY117, "A")+COUNTIF('Detailed Attendance'!CN117:CN117, "A")+COUNTIF('Detailed Attendance'!CV117:CV117, "A")+COUNTIF('Detailed Attendance'!DK117:DK117, "A")+COUNTIF('Detailed Attendance'!DS117:DS117, "A")+COUNTIF('Detailed Attendance'!EH117:EH117, "A")+COUNTIF('Detailed Attendance'!EP117:EP117, "A")+COUNTIF('Detailed Attendance'!FB117:FB117, "A")+COUNTIF('Detailed Attendance'!FJ117:FJ117, "A")+COUNTIF('Detailed Attendance'!FR117:FR117, "A")+COUNTIF('Detailed Attendance'!FZ117:FZ117, "A")</f>
        <v/>
      </c>
      <c r="I115" s="72">
        <f>IF((G115+H115)=0, "", G115/(G115+H115))</f>
        <v/>
      </c>
      <c r="J115" s="46">
        <f>COUNTIF('Detailed Attendance'!L117:L117, "P")+COUNTIF('Detailed Attendance'!P117:P117, "P")+COUNTIF('Detailed Attendance'!AF117:AF117, "P")+COUNTIF('Detailed Attendance'!AJ117:AJ117, "P")+COUNTIF('Detailed Attendance'!AZ117:AZ117, "P")+COUNTIF('Detailed Attendance'!BD117:BD117, "P")+COUNTIF('Detailed Attendance'!BT117:BT117, "P")+COUNTIF('Detailed Attendance'!BX117:BX117, "P")+COUNTIF('Detailed Attendance'!CQ117:CQ117, "P")+COUNTIF('Detailed Attendance'!CU117:CU117, "P")+COUNTIF('Detailed Attendance'!DN117:DN117, "P")+COUNTIF('Detailed Attendance'!DR117:DR117, "P")+COUNTIF('Detailed Attendance'!EK117:EK117, "P")+COUNTIF('Detailed Attendance'!EO117:EO117, "P")+COUNTIF('Detailed Attendance'!FE117:FE117, "P")+COUNTIF('Detailed Attendance'!FI117:FI117, "P")+COUNTIF('Detailed Attendance'!FU117:FU117, "P")+COUNTIF('Detailed Attendance'!FY117:FY117, "P")</f>
        <v/>
      </c>
      <c r="K115" s="46">
        <f>COUNTIF('Detailed Attendance'!L117:L117, "A")+COUNTIF('Detailed Attendance'!P117:P117, "A")+COUNTIF('Detailed Attendance'!AF117:AF117, "A")+COUNTIF('Detailed Attendance'!AJ117:AJ117, "A")+COUNTIF('Detailed Attendance'!AZ117:AZ117, "A")+COUNTIF('Detailed Attendance'!BD117:BD117, "A")+COUNTIF('Detailed Attendance'!BT117:BT117, "A")+COUNTIF('Detailed Attendance'!BX117:BX117, "A")+COUNTIF('Detailed Attendance'!CQ117:CQ117, "A")+COUNTIF('Detailed Attendance'!CU117:CU117, "A")+COUNTIF('Detailed Attendance'!DN117:DN117, "A")+COUNTIF('Detailed Attendance'!DR117:DR117, "A")+COUNTIF('Detailed Attendance'!EK117:EK117, "A")+COUNTIF('Detailed Attendance'!EO117:EO117, "A")+COUNTIF('Detailed Attendance'!FE117:FE117, "A")+COUNTIF('Detailed Attendance'!FI117:FI117, "A")+COUNTIF('Detailed Attendance'!FU117:FU117, "A")+COUNTIF('Detailed Attendance'!FY117:FY117, "A")</f>
        <v/>
      </c>
      <c r="L115" s="72">
        <f>IF((J115+K115)=0, "", J115/(J115+K115))</f>
        <v/>
      </c>
      <c r="M115" s="46">
        <f>COUNTIF('Detailed Attendance'!D117:D117, "P")+COUNTIF('Detailed Attendance'!T117:T117, "P")+COUNTIF('Detailed Attendance'!AN117:AN117, "P")+COUNTIF('Detailed Attendance'!AR117:AR117, "P")+COUNTIF('Detailed Attendance'!BH117:BH117, "P")+COUNTIF('Detailed Attendance'!CB117:CB117, "P")+COUNTIF('Detailed Attendance'!CF117:CF117, "P")+COUNTIF('Detailed Attendance'!CY117:CY117, "P")+COUNTIF('Detailed Attendance'!DC117:DC117, "P")+COUNTIF('Detailed Attendance'!DV117:DV117, "P")+COUNTIF('Detailed Attendance'!DZ117:DZ117, "P")+COUNTIF('Detailed Attendance'!ES117:ES117, "P")+COUNTIF('Detailed Attendance'!GC117:GC117, "P")+COUNTIF('Detailed Attendance'!GG117:GG117, "P")</f>
        <v/>
      </c>
      <c r="N115" s="46">
        <f>COUNTIF('Detailed Attendance'!D117:D117, "A")+COUNTIF('Detailed Attendance'!T117:T117, "A")+COUNTIF('Detailed Attendance'!AN117:AN117, "A")+COUNTIF('Detailed Attendance'!AR117:AR117, "A")+COUNTIF('Detailed Attendance'!BH117:BH117, "A")+COUNTIF('Detailed Attendance'!CB117:CB117, "A")+COUNTIF('Detailed Attendance'!CF117:CF117, "A")+COUNTIF('Detailed Attendance'!CY117:CY117, "A")+COUNTIF('Detailed Attendance'!DC117:DC117, "A")+COUNTIF('Detailed Attendance'!DV117:DV117, "A")+COUNTIF('Detailed Attendance'!DZ117:DZ117, "A")+COUNTIF('Detailed Attendance'!ES117:ES117, "A")+COUNTIF('Detailed Attendance'!GC117:GC117, "A")+COUNTIF('Detailed Attendance'!GG117:GG117, "A")</f>
        <v/>
      </c>
      <c r="O115" s="72">
        <f>IF((M115+N115)=0, "", M115/(M115+N115))</f>
        <v/>
      </c>
      <c r="P115" s="46">
        <f>COUNTIF('Detailed Attendance'!M117:M117, "P")+COUNTIF('Detailed Attendance'!U117:U117, "P")+COUNTIF('Detailed Attendance'!AG117:AG117, "P")+COUNTIF('Detailed Attendance'!AO117:AO117, "P")+COUNTIF('Detailed Attendance'!BA117:BA117, "P")+COUNTIF('Detailed Attendance'!BI117:BI117, "P")+COUNTIF('Detailed Attendance'!BU117:BU117, "P")+COUNTIF('Detailed Attendance'!CC117:CC117, "P")+COUNTIF('Detailed Attendance'!CR117:CR117, "P")+COUNTIF('Detailed Attendance'!CZ117:CZ117, "P")+COUNTIF('Detailed Attendance'!DO117:DO117, "P")+COUNTIF('Detailed Attendance'!DW117:DW117, "P")+COUNTIF('Detailed Attendance'!EL117:EL117, "P")+COUNTIF('Detailed Attendance'!ET117:ET117, "P")+COUNTIF('Detailed Attendance'!FF117:FF117, "P")+COUNTIF('Detailed Attendance'!FV117:FV117, "P")+COUNTIF('Detailed Attendance'!GD117:GD117, "P")</f>
        <v/>
      </c>
      <c r="Q115" s="46">
        <f>COUNTIF('Detailed Attendance'!M117:M117, "A")+COUNTIF('Detailed Attendance'!U117:U117, "A")+COUNTIF('Detailed Attendance'!AG117:AG117, "A")+COUNTIF('Detailed Attendance'!AO117:AO117, "A")+COUNTIF('Detailed Attendance'!BA117:BA117, "A")+COUNTIF('Detailed Attendance'!BI117:BI117, "A")+COUNTIF('Detailed Attendance'!BU117:BU117, "A")+COUNTIF('Detailed Attendance'!CC117:CC117, "A")+COUNTIF('Detailed Attendance'!CR117:CR117, "A")+COUNTIF('Detailed Attendance'!CZ117:CZ117, "A")+COUNTIF('Detailed Attendance'!DO117:DO117, "A")+COUNTIF('Detailed Attendance'!DW117:DW117, "A")+COUNTIF('Detailed Attendance'!EL117:EL117, "A")+COUNTIF('Detailed Attendance'!ET117:ET117, "A")+COUNTIF('Detailed Attendance'!FF117:FF117, "A")+COUNTIF('Detailed Attendance'!FV117:FV117, "A")+COUNTIF('Detailed Attendance'!GD117:GD117, "A")</f>
        <v/>
      </c>
      <c r="R115" s="72">
        <f>IF((P115+Q115)=0, "", P115/(P115+Q115))</f>
        <v/>
      </c>
      <c r="S115" s="46">
        <f>COUNTIF('Detailed Attendance'!H117:H117, "P")+COUNTIF('Detailed Attendance'!AB117:AB117, "P")+COUNTIF('Detailed Attendance'!AV117:AV117, "P")+COUNTIF('Detailed Attendance'!BP117:BP117, "P")+COUNTIF('Detailed Attendance'!CM117:CM117, "P")+COUNTIF('Detailed Attendance'!DJ117:DJ117, "P")+COUNTIF('Detailed Attendance'!EG117:EG117, "P")+COUNTIF('Detailed Attendance'!FA117:FA117, "P")+COUNTIF('Detailed Attendance'!FQ117:FQ117, "P")</f>
        <v/>
      </c>
      <c r="T115" s="46">
        <f>COUNTIF('Detailed Attendance'!H117:H117, "A")+COUNTIF('Detailed Attendance'!AB117:AB117, "A")+COUNTIF('Detailed Attendance'!AV117:AV117, "A")+COUNTIF('Detailed Attendance'!BP117:BP117, "A")+COUNTIF('Detailed Attendance'!CM117:CM117, "A")+COUNTIF('Detailed Attendance'!DJ117:DJ117, "A")+COUNTIF('Detailed Attendance'!EG117:EG117, "A")+COUNTIF('Detailed Attendance'!FA117:FA117, "A")+COUNTIF('Detailed Attendance'!FQ117:FQ117, "A")</f>
        <v/>
      </c>
      <c r="U115" s="73">
        <f>IF((S115+T115)=0, "", S115/(S115+T115))</f>
        <v/>
      </c>
      <c r="V115" s="46">
        <f>COUNTIF('Detailed Attendance'!E117:E117, "P")+COUNTIF('Detailed Attendance'!Y117:Y117, "P")+COUNTIF('Detailed Attendance'!AS117:AS117, "P")+COUNTIF('Detailed Attendance'!BM117:BM117, "P")+COUNTIF('Detailed Attendance'!CJ117:CJ117, "P")+COUNTIF('Detailed Attendance'!DG117:DG117, "P")+COUNTIF('Detailed Attendance'!ED117:ED117, "P")+COUNTIF('Detailed Attendance'!EX117:EX117, "P")+COUNTIF('Detailed Attendance'!FN117:FN117, "P")</f>
        <v/>
      </c>
      <c r="W115" s="46">
        <f>COUNTIF('Detailed Attendance'!E117:E117, "A")+COUNTIF('Detailed Attendance'!Y117:Y117, "A")+COUNTIF('Detailed Attendance'!AS117:AS117, "A")+COUNTIF('Detailed Attendance'!BM117:BM117, "A")+COUNTIF('Detailed Attendance'!CJ117:CJ117, "A")+COUNTIF('Detailed Attendance'!DG117:DG117, "A")+COUNTIF('Detailed Attendance'!ED117:ED117, "A")+COUNTIF('Detailed Attendance'!EX117:EX117, "A")+COUNTIF('Detailed Attendance'!FN117:FN117, "A")</f>
        <v/>
      </c>
      <c r="X115" s="73">
        <f>IF((V115+W115)=0, "", V115/(V115+W115))</f>
        <v/>
      </c>
      <c r="Y115" s="46">
        <f>COUNTIF('Detailed Attendance'!CH117:CH117, "P")+COUNTIF('Detailed Attendance'!DE117:DE117, "P")+COUNTIF('Detailed Attendance'!EB117:EB117, "P")+COUNTIF('Detailed Attendance'!GI117:GI117, "P")</f>
        <v/>
      </c>
      <c r="Z115" s="46">
        <f>COUNTIF('Detailed Attendance'!CH117:CH117, "A")+COUNTIF('Detailed Attendance'!DE117:DE117, "A")+COUNTIF('Detailed Attendance'!EB117:EB117, "A")+COUNTIF('Detailed Attendance'!GI117:GI117, "A")</f>
        <v/>
      </c>
      <c r="AA115" s="73">
        <f>IF((Y115+Z115)=0, "", Y115/(Y115+Z115))</f>
        <v/>
      </c>
      <c r="AB115" s="46">
        <f>S115+V115+Y115</f>
        <v/>
      </c>
      <c r="AC115" s="46">
        <f>T115+W115+Z115</f>
        <v/>
      </c>
      <c r="AD115" s="73">
        <f>IF((AB115+AC115)=0, "", AB115/(AB115+AC115))</f>
        <v/>
      </c>
      <c r="AE115" s="46" t="inlineStr">
        <is>
          <t>Batch 3</t>
        </is>
      </c>
    </row>
    <row r="116" ht="14.25" customHeight="1" s="34">
      <c r="A116" s="46" t="n">
        <v>115</v>
      </c>
      <c r="B116" s="46" t="inlineStr">
        <is>
          <t>325106410115</t>
        </is>
      </c>
      <c r="C116" s="46" t="inlineStr">
        <is>
          <t>WANTOK AMAKOU WANTOK AKHOL</t>
        </is>
      </c>
      <c r="D116" s="46">
        <f>COUNTIF('Detailed Attendance'!R118:R118, "P")+COUNTIF('Detailed Attendance'!X118:X118, "P")+COUNTIF('Detailed Attendance'!AL118:AL118, "P")+COUNTIF('Detailed Attendance'!BF118:BF118, "P")+COUNTIF('Detailed Attendance'!BL118:BL118, "P")+COUNTIF('Detailed Attendance'!BZ118:BZ118, "P")+COUNTIF('Detailed Attendance'!CI118:CI118, "P")+COUNTIF('Detailed Attendance'!CW118:CW118, "P")+COUNTIF('Detailed Attendance'!DF118:DF118, "P")+COUNTIF('Detailed Attendance'!DT118:DT118, "P")+COUNTIF('Detailed Attendance'!EC118:EC118, "P")+COUNTIF('Detailed Attendance'!EQ118:EQ118, "P")+COUNTIF('Detailed Attendance'!EW118:EW118, "P")+COUNTIF('Detailed Attendance'!FK118:FK118, "P")+COUNTIF('Detailed Attendance'!FM118:FM118, "P")+COUNTIF('Detailed Attendance'!GA118:GA118, "P")</f>
        <v/>
      </c>
      <c r="E116" s="46">
        <f>COUNTIF('Detailed Attendance'!R118:R118, "A")+COUNTIF('Detailed Attendance'!X118:X118, "A")+COUNTIF('Detailed Attendance'!AL118:AL118, "A")+COUNTIF('Detailed Attendance'!BF118:BF118, "A")+COUNTIF('Detailed Attendance'!BL118:BL118, "A")+COUNTIF('Detailed Attendance'!BZ118:BZ118, "A")+COUNTIF('Detailed Attendance'!CI118:CI118, "A")+COUNTIF('Detailed Attendance'!CW118:CW118, "A")+COUNTIF('Detailed Attendance'!DF118:DF118, "A")+COUNTIF('Detailed Attendance'!DT118:DT118, "A")+COUNTIF('Detailed Attendance'!EC118:EC118, "A")+COUNTIF('Detailed Attendance'!EQ118:EQ118, "A")+COUNTIF('Detailed Attendance'!EW118:EW118, "A")+COUNTIF('Detailed Attendance'!FK118:FK118, "A")+COUNTIF('Detailed Attendance'!FM118:FM118, "A")+COUNTIF('Detailed Attendance'!GA118:GA118, "A")</f>
        <v/>
      </c>
      <c r="F116" s="72">
        <f>IF((D116+E116)=0, "", D116/(D116+E116))</f>
        <v/>
      </c>
      <c r="G116" s="46">
        <f>COUNTIF('Detailed Attendance'!I118:I118, "P")+COUNTIF('Detailed Attendance'!Q118:Q118, "P")+COUNTIF('Detailed Attendance'!AC118:AC118, "P")+COUNTIF('Detailed Attendance'!AK118:AK118, "P")+COUNTIF('Detailed Attendance'!AW118:AW118, "P")+COUNTIF('Detailed Attendance'!BE118:BE118, "P")+COUNTIF('Detailed Attendance'!BQ118:BQ118, "P")+COUNTIF('Detailed Attendance'!BY118:BY118, "P")+COUNTIF('Detailed Attendance'!CN118:CN118, "P")+COUNTIF('Detailed Attendance'!CV118:CV118, "P")+COUNTIF('Detailed Attendance'!DK118:DK118, "P")+COUNTIF('Detailed Attendance'!DS118:DS118, "P")+COUNTIF('Detailed Attendance'!EH118:EH118, "P")+COUNTIF('Detailed Attendance'!EP118:EP118, "P")+COUNTIF('Detailed Attendance'!FB118:FB118, "P")+COUNTIF('Detailed Attendance'!FJ118:FJ118, "P")+COUNTIF('Detailed Attendance'!FR118:FR118, "P")+COUNTIF('Detailed Attendance'!FZ118:FZ118, "P")</f>
        <v/>
      </c>
      <c r="H116" s="46">
        <f>COUNTIF('Detailed Attendance'!I118:I118, "A")+COUNTIF('Detailed Attendance'!Q118:Q118, "A")+COUNTIF('Detailed Attendance'!AC118:AC118, "A")+COUNTIF('Detailed Attendance'!AK118:AK118, "A")+COUNTIF('Detailed Attendance'!AW118:AW118, "A")+COUNTIF('Detailed Attendance'!BE118:BE118, "A")+COUNTIF('Detailed Attendance'!BQ118:BQ118, "A")+COUNTIF('Detailed Attendance'!BY118:BY118, "A")+COUNTIF('Detailed Attendance'!CN118:CN118, "A")+COUNTIF('Detailed Attendance'!CV118:CV118, "A")+COUNTIF('Detailed Attendance'!DK118:DK118, "A")+COUNTIF('Detailed Attendance'!DS118:DS118, "A")+COUNTIF('Detailed Attendance'!EH118:EH118, "A")+COUNTIF('Detailed Attendance'!EP118:EP118, "A")+COUNTIF('Detailed Attendance'!FB118:FB118, "A")+COUNTIF('Detailed Attendance'!FJ118:FJ118, "A")+COUNTIF('Detailed Attendance'!FR118:FR118, "A")+COUNTIF('Detailed Attendance'!FZ118:FZ118, "A")</f>
        <v/>
      </c>
      <c r="I116" s="72">
        <f>IF((G116+H116)=0, "", G116/(G116+H116))</f>
        <v/>
      </c>
      <c r="J116" s="46">
        <f>COUNTIF('Detailed Attendance'!L118:L118, "P")+COUNTIF('Detailed Attendance'!P118:P118, "P")+COUNTIF('Detailed Attendance'!AF118:AF118, "P")+COUNTIF('Detailed Attendance'!AJ118:AJ118, "P")+COUNTIF('Detailed Attendance'!AZ118:AZ118, "P")+COUNTIF('Detailed Attendance'!BD118:BD118, "P")+COUNTIF('Detailed Attendance'!BT118:BT118, "P")+COUNTIF('Detailed Attendance'!BX118:BX118, "P")+COUNTIF('Detailed Attendance'!CQ118:CQ118, "P")+COUNTIF('Detailed Attendance'!CU118:CU118, "P")+COUNTIF('Detailed Attendance'!DN118:DN118, "P")+COUNTIF('Detailed Attendance'!DR118:DR118, "P")+COUNTIF('Detailed Attendance'!EK118:EK118, "P")+COUNTIF('Detailed Attendance'!EO118:EO118, "P")+COUNTIF('Detailed Attendance'!FE118:FE118, "P")+COUNTIF('Detailed Attendance'!FI118:FI118, "P")+COUNTIF('Detailed Attendance'!FU118:FU118, "P")+COUNTIF('Detailed Attendance'!FY118:FY118, "P")</f>
        <v/>
      </c>
      <c r="K116" s="46">
        <f>COUNTIF('Detailed Attendance'!L118:L118, "A")+COUNTIF('Detailed Attendance'!P118:P118, "A")+COUNTIF('Detailed Attendance'!AF118:AF118, "A")+COUNTIF('Detailed Attendance'!AJ118:AJ118, "A")+COUNTIF('Detailed Attendance'!AZ118:AZ118, "A")+COUNTIF('Detailed Attendance'!BD118:BD118, "A")+COUNTIF('Detailed Attendance'!BT118:BT118, "A")+COUNTIF('Detailed Attendance'!BX118:BX118, "A")+COUNTIF('Detailed Attendance'!CQ118:CQ118, "A")+COUNTIF('Detailed Attendance'!CU118:CU118, "A")+COUNTIF('Detailed Attendance'!DN118:DN118, "A")+COUNTIF('Detailed Attendance'!DR118:DR118, "A")+COUNTIF('Detailed Attendance'!EK118:EK118, "A")+COUNTIF('Detailed Attendance'!EO118:EO118, "A")+COUNTIF('Detailed Attendance'!FE118:FE118, "A")+COUNTIF('Detailed Attendance'!FI118:FI118, "A")+COUNTIF('Detailed Attendance'!FU118:FU118, "A")+COUNTIF('Detailed Attendance'!FY118:FY118, "A")</f>
        <v/>
      </c>
      <c r="L116" s="72">
        <f>IF((J116+K116)=0, "", J116/(J116+K116))</f>
        <v/>
      </c>
      <c r="M116" s="46">
        <f>COUNTIF('Detailed Attendance'!D118:D118, "P")+COUNTIF('Detailed Attendance'!T118:T118, "P")+COUNTIF('Detailed Attendance'!AN118:AN118, "P")+COUNTIF('Detailed Attendance'!AR118:AR118, "P")+COUNTIF('Detailed Attendance'!BH118:BH118, "P")+COUNTIF('Detailed Attendance'!CB118:CB118, "P")+COUNTIF('Detailed Attendance'!CF118:CF118, "P")+COUNTIF('Detailed Attendance'!CY118:CY118, "P")+COUNTIF('Detailed Attendance'!DC118:DC118, "P")+COUNTIF('Detailed Attendance'!DV118:DV118, "P")+COUNTIF('Detailed Attendance'!DZ118:DZ118, "P")+COUNTIF('Detailed Attendance'!ES118:ES118, "P")+COUNTIF('Detailed Attendance'!GC118:GC118, "P")+COUNTIF('Detailed Attendance'!GG118:GG118, "P")</f>
        <v/>
      </c>
      <c r="N116" s="46">
        <f>COUNTIF('Detailed Attendance'!D118:D118, "A")+COUNTIF('Detailed Attendance'!T118:T118, "A")+COUNTIF('Detailed Attendance'!AN118:AN118, "A")+COUNTIF('Detailed Attendance'!AR118:AR118, "A")+COUNTIF('Detailed Attendance'!BH118:BH118, "A")+COUNTIF('Detailed Attendance'!CB118:CB118, "A")+COUNTIF('Detailed Attendance'!CF118:CF118, "A")+COUNTIF('Detailed Attendance'!CY118:CY118, "A")+COUNTIF('Detailed Attendance'!DC118:DC118, "A")+COUNTIF('Detailed Attendance'!DV118:DV118, "A")+COUNTIF('Detailed Attendance'!DZ118:DZ118, "A")+COUNTIF('Detailed Attendance'!ES118:ES118, "A")+COUNTIF('Detailed Attendance'!GC118:GC118, "A")+COUNTIF('Detailed Attendance'!GG118:GG118, "A")</f>
        <v/>
      </c>
      <c r="O116" s="72">
        <f>IF((M116+N116)=0, "", M116/(M116+N116))</f>
        <v/>
      </c>
      <c r="P116" s="46">
        <f>COUNTIF('Detailed Attendance'!M118:M118, "P")+COUNTIF('Detailed Attendance'!U118:U118, "P")+COUNTIF('Detailed Attendance'!AG118:AG118, "P")+COUNTIF('Detailed Attendance'!AO118:AO118, "P")+COUNTIF('Detailed Attendance'!BA118:BA118, "P")+COUNTIF('Detailed Attendance'!BI118:BI118, "P")+COUNTIF('Detailed Attendance'!BU118:BU118, "P")+COUNTIF('Detailed Attendance'!CC118:CC118, "P")+COUNTIF('Detailed Attendance'!CR118:CR118, "P")+COUNTIF('Detailed Attendance'!CZ118:CZ118, "P")+COUNTIF('Detailed Attendance'!DO118:DO118, "P")+COUNTIF('Detailed Attendance'!DW118:DW118, "P")+COUNTIF('Detailed Attendance'!EL118:EL118, "P")+COUNTIF('Detailed Attendance'!ET118:ET118, "P")+COUNTIF('Detailed Attendance'!FF118:FF118, "P")+COUNTIF('Detailed Attendance'!FV118:FV118, "P")+COUNTIF('Detailed Attendance'!GD118:GD118, "P")</f>
        <v/>
      </c>
      <c r="Q116" s="46">
        <f>COUNTIF('Detailed Attendance'!M118:M118, "A")+COUNTIF('Detailed Attendance'!U118:U118, "A")+COUNTIF('Detailed Attendance'!AG118:AG118, "A")+COUNTIF('Detailed Attendance'!AO118:AO118, "A")+COUNTIF('Detailed Attendance'!BA118:BA118, "A")+COUNTIF('Detailed Attendance'!BI118:BI118, "A")+COUNTIF('Detailed Attendance'!BU118:BU118, "A")+COUNTIF('Detailed Attendance'!CC118:CC118, "A")+COUNTIF('Detailed Attendance'!CR118:CR118, "A")+COUNTIF('Detailed Attendance'!CZ118:CZ118, "A")+COUNTIF('Detailed Attendance'!DO118:DO118, "A")+COUNTIF('Detailed Attendance'!DW118:DW118, "A")+COUNTIF('Detailed Attendance'!EL118:EL118, "A")+COUNTIF('Detailed Attendance'!ET118:ET118, "A")+COUNTIF('Detailed Attendance'!FF118:FF118, "A")+COUNTIF('Detailed Attendance'!FV118:FV118, "A")+COUNTIF('Detailed Attendance'!GD118:GD118, "A")</f>
        <v/>
      </c>
      <c r="R116" s="72">
        <f>IF((P116+Q116)=0, "", P116/(P116+Q116))</f>
        <v/>
      </c>
      <c r="S116" s="46">
        <f>COUNTIF('Detailed Attendance'!H118:H118, "P")+COUNTIF('Detailed Attendance'!AB118:AB118, "P")+COUNTIF('Detailed Attendance'!AV118:AV118, "P")+COUNTIF('Detailed Attendance'!BP118:BP118, "P")+COUNTIF('Detailed Attendance'!CM118:CM118, "P")+COUNTIF('Detailed Attendance'!DJ118:DJ118, "P")+COUNTIF('Detailed Attendance'!EG118:EG118, "P")+COUNTIF('Detailed Attendance'!FA118:FA118, "P")+COUNTIF('Detailed Attendance'!FQ118:FQ118, "P")</f>
        <v/>
      </c>
      <c r="T116" s="46">
        <f>COUNTIF('Detailed Attendance'!H118:H118, "A")+COUNTIF('Detailed Attendance'!AB118:AB118, "A")+COUNTIF('Detailed Attendance'!AV118:AV118, "A")+COUNTIF('Detailed Attendance'!BP118:BP118, "A")+COUNTIF('Detailed Attendance'!CM118:CM118, "A")+COUNTIF('Detailed Attendance'!DJ118:DJ118, "A")+COUNTIF('Detailed Attendance'!EG118:EG118, "A")+COUNTIF('Detailed Attendance'!FA118:FA118, "A")+COUNTIF('Detailed Attendance'!FQ118:FQ118, "A")</f>
        <v/>
      </c>
      <c r="U116" s="73">
        <f>IF((S116+T116)=0, "", S116/(S116+T116))</f>
        <v/>
      </c>
      <c r="V116" s="46">
        <f>COUNTIF('Detailed Attendance'!E118:E118, "P")+COUNTIF('Detailed Attendance'!Y118:Y118, "P")+COUNTIF('Detailed Attendance'!AS118:AS118, "P")+COUNTIF('Detailed Attendance'!BM118:BM118, "P")+COUNTIF('Detailed Attendance'!CJ118:CJ118, "P")+COUNTIF('Detailed Attendance'!DG118:DG118, "P")+COUNTIF('Detailed Attendance'!ED118:ED118, "P")+COUNTIF('Detailed Attendance'!EX118:EX118, "P")+COUNTIF('Detailed Attendance'!FN118:FN118, "P")</f>
        <v/>
      </c>
      <c r="W116" s="46">
        <f>COUNTIF('Detailed Attendance'!E118:E118, "A")+COUNTIF('Detailed Attendance'!Y118:Y118, "A")+COUNTIF('Detailed Attendance'!AS118:AS118, "A")+COUNTIF('Detailed Attendance'!BM118:BM118, "A")+COUNTIF('Detailed Attendance'!CJ118:CJ118, "A")+COUNTIF('Detailed Attendance'!DG118:DG118, "A")+COUNTIF('Detailed Attendance'!ED118:ED118, "A")+COUNTIF('Detailed Attendance'!EX118:EX118, "A")+COUNTIF('Detailed Attendance'!FN118:FN118, "A")</f>
        <v/>
      </c>
      <c r="X116" s="73">
        <f>IF((V116+W116)=0, "", V116/(V116+W116))</f>
        <v/>
      </c>
      <c r="Y116" s="46">
        <f>COUNTIF('Detailed Attendance'!CH118:CH118, "P")+COUNTIF('Detailed Attendance'!DE118:DE118, "P")+COUNTIF('Detailed Attendance'!EB118:EB118, "P")+COUNTIF('Detailed Attendance'!GI118:GI118, "P")</f>
        <v/>
      </c>
      <c r="Z116" s="46">
        <f>COUNTIF('Detailed Attendance'!CH118:CH118, "A")+COUNTIF('Detailed Attendance'!DE118:DE118, "A")+COUNTIF('Detailed Attendance'!EB118:EB118, "A")+COUNTIF('Detailed Attendance'!GI118:GI118, "A")</f>
        <v/>
      </c>
      <c r="AA116" s="73">
        <f>IF((Y116+Z116)=0, "", Y116/(Y116+Z116))</f>
        <v/>
      </c>
      <c r="AB116" s="46">
        <f>S116+V116+Y116</f>
        <v/>
      </c>
      <c r="AC116" s="46">
        <f>T116+W116+Z116</f>
        <v/>
      </c>
      <c r="AD116" s="73">
        <f>IF((AB116+AC116)=0, "", AB116/(AB116+AC116))</f>
        <v/>
      </c>
      <c r="AE116" s="46" t="inlineStr">
        <is>
          <t>Batch 3</t>
        </is>
      </c>
    </row>
    <row r="117" ht="14.25" customHeight="1" s="34">
      <c r="A117" s="46" t="n">
        <v>116</v>
      </c>
      <c r="B117" s="46" t="inlineStr">
        <is>
          <t>325106410116</t>
        </is>
      </c>
      <c r="C117" s="46" t="inlineStr">
        <is>
          <t>WEESLEY ROLL MUNGOI</t>
        </is>
      </c>
      <c r="D117" s="46">
        <f>COUNTIF('Detailed Attendance'!R119:R119, "P")+COUNTIF('Detailed Attendance'!X119:X119, "P")+COUNTIF('Detailed Attendance'!AL119:AL119, "P")+COUNTIF('Detailed Attendance'!BF119:BF119, "P")+COUNTIF('Detailed Attendance'!BL119:BL119, "P")+COUNTIF('Detailed Attendance'!BZ119:BZ119, "P")+COUNTIF('Detailed Attendance'!CI119:CI119, "P")+COUNTIF('Detailed Attendance'!CW119:CW119, "P")+COUNTIF('Detailed Attendance'!DF119:DF119, "P")+COUNTIF('Detailed Attendance'!DT119:DT119, "P")+COUNTIF('Detailed Attendance'!EC119:EC119, "P")+COUNTIF('Detailed Attendance'!EQ119:EQ119, "P")+COUNTIF('Detailed Attendance'!EW119:EW119, "P")+COUNTIF('Detailed Attendance'!FK119:FK119, "P")+COUNTIF('Detailed Attendance'!FM119:FM119, "P")+COUNTIF('Detailed Attendance'!GA119:GA119, "P")</f>
        <v/>
      </c>
      <c r="E117" s="46">
        <f>COUNTIF('Detailed Attendance'!R119:R119, "A")+COUNTIF('Detailed Attendance'!X119:X119, "A")+COUNTIF('Detailed Attendance'!AL119:AL119, "A")+COUNTIF('Detailed Attendance'!BF119:BF119, "A")+COUNTIF('Detailed Attendance'!BL119:BL119, "A")+COUNTIF('Detailed Attendance'!BZ119:BZ119, "A")+COUNTIF('Detailed Attendance'!CI119:CI119, "A")+COUNTIF('Detailed Attendance'!CW119:CW119, "A")+COUNTIF('Detailed Attendance'!DF119:DF119, "A")+COUNTIF('Detailed Attendance'!DT119:DT119, "A")+COUNTIF('Detailed Attendance'!EC119:EC119, "A")+COUNTIF('Detailed Attendance'!EQ119:EQ119, "A")+COUNTIF('Detailed Attendance'!EW119:EW119, "A")+COUNTIF('Detailed Attendance'!FK119:FK119, "A")+COUNTIF('Detailed Attendance'!FM119:FM119, "A")+COUNTIF('Detailed Attendance'!GA119:GA119, "A")</f>
        <v/>
      </c>
      <c r="F117" s="72">
        <f>IF((D117+E117)=0, "", D117/(D117+E117))</f>
        <v/>
      </c>
      <c r="G117" s="46">
        <f>COUNTIF('Detailed Attendance'!I119:I119, "P")+COUNTIF('Detailed Attendance'!Q119:Q119, "P")+COUNTIF('Detailed Attendance'!AC119:AC119, "P")+COUNTIF('Detailed Attendance'!AK119:AK119, "P")+COUNTIF('Detailed Attendance'!AW119:AW119, "P")+COUNTIF('Detailed Attendance'!BE119:BE119, "P")+COUNTIF('Detailed Attendance'!BQ119:BQ119, "P")+COUNTIF('Detailed Attendance'!BY119:BY119, "P")+COUNTIF('Detailed Attendance'!CN119:CN119, "P")+COUNTIF('Detailed Attendance'!CV119:CV119, "P")+COUNTIF('Detailed Attendance'!DK119:DK119, "P")+COUNTIF('Detailed Attendance'!DS119:DS119, "P")+COUNTIF('Detailed Attendance'!EH119:EH119, "P")+COUNTIF('Detailed Attendance'!EP119:EP119, "P")+COUNTIF('Detailed Attendance'!FB119:FB119, "P")+COUNTIF('Detailed Attendance'!FJ119:FJ119, "P")+COUNTIF('Detailed Attendance'!FR119:FR119, "P")+COUNTIF('Detailed Attendance'!FZ119:FZ119, "P")</f>
        <v/>
      </c>
      <c r="H117" s="46">
        <f>COUNTIF('Detailed Attendance'!I119:I119, "A")+COUNTIF('Detailed Attendance'!Q119:Q119, "A")+COUNTIF('Detailed Attendance'!AC119:AC119, "A")+COUNTIF('Detailed Attendance'!AK119:AK119, "A")+COUNTIF('Detailed Attendance'!AW119:AW119, "A")+COUNTIF('Detailed Attendance'!BE119:BE119, "A")+COUNTIF('Detailed Attendance'!BQ119:BQ119, "A")+COUNTIF('Detailed Attendance'!BY119:BY119, "A")+COUNTIF('Detailed Attendance'!CN119:CN119, "A")+COUNTIF('Detailed Attendance'!CV119:CV119, "A")+COUNTIF('Detailed Attendance'!DK119:DK119, "A")+COUNTIF('Detailed Attendance'!DS119:DS119, "A")+COUNTIF('Detailed Attendance'!EH119:EH119, "A")+COUNTIF('Detailed Attendance'!EP119:EP119, "A")+COUNTIF('Detailed Attendance'!FB119:FB119, "A")+COUNTIF('Detailed Attendance'!FJ119:FJ119, "A")+COUNTIF('Detailed Attendance'!FR119:FR119, "A")+COUNTIF('Detailed Attendance'!FZ119:FZ119, "A")</f>
        <v/>
      </c>
      <c r="I117" s="72">
        <f>IF((G117+H117)=0, "", G117/(G117+H117))</f>
        <v/>
      </c>
      <c r="J117" s="46">
        <f>COUNTIF('Detailed Attendance'!L119:L119, "P")+COUNTIF('Detailed Attendance'!P119:P119, "P")+COUNTIF('Detailed Attendance'!AF119:AF119, "P")+COUNTIF('Detailed Attendance'!AJ119:AJ119, "P")+COUNTIF('Detailed Attendance'!AZ119:AZ119, "P")+COUNTIF('Detailed Attendance'!BD119:BD119, "P")+COUNTIF('Detailed Attendance'!BT119:BT119, "P")+COUNTIF('Detailed Attendance'!BX119:BX119, "P")+COUNTIF('Detailed Attendance'!CQ119:CQ119, "P")+COUNTIF('Detailed Attendance'!CU119:CU119, "P")+COUNTIF('Detailed Attendance'!DN119:DN119, "P")+COUNTIF('Detailed Attendance'!DR119:DR119, "P")+COUNTIF('Detailed Attendance'!EK119:EK119, "P")+COUNTIF('Detailed Attendance'!EO119:EO119, "P")+COUNTIF('Detailed Attendance'!FE119:FE119, "P")+COUNTIF('Detailed Attendance'!FI119:FI119, "P")+COUNTIF('Detailed Attendance'!FU119:FU119, "P")+COUNTIF('Detailed Attendance'!FY119:FY119, "P")</f>
        <v/>
      </c>
      <c r="K117" s="46">
        <f>COUNTIF('Detailed Attendance'!L119:L119, "A")+COUNTIF('Detailed Attendance'!P119:P119, "A")+COUNTIF('Detailed Attendance'!AF119:AF119, "A")+COUNTIF('Detailed Attendance'!AJ119:AJ119, "A")+COUNTIF('Detailed Attendance'!AZ119:AZ119, "A")+COUNTIF('Detailed Attendance'!BD119:BD119, "A")+COUNTIF('Detailed Attendance'!BT119:BT119, "A")+COUNTIF('Detailed Attendance'!BX119:BX119, "A")+COUNTIF('Detailed Attendance'!CQ119:CQ119, "A")+COUNTIF('Detailed Attendance'!CU119:CU119, "A")+COUNTIF('Detailed Attendance'!DN119:DN119, "A")+COUNTIF('Detailed Attendance'!DR119:DR119, "A")+COUNTIF('Detailed Attendance'!EK119:EK119, "A")+COUNTIF('Detailed Attendance'!EO119:EO119, "A")+COUNTIF('Detailed Attendance'!FE119:FE119, "A")+COUNTIF('Detailed Attendance'!FI119:FI119, "A")+COUNTIF('Detailed Attendance'!FU119:FU119, "A")+COUNTIF('Detailed Attendance'!FY119:FY119, "A")</f>
        <v/>
      </c>
      <c r="L117" s="72">
        <f>IF((J117+K117)=0, "", J117/(J117+K117))</f>
        <v/>
      </c>
      <c r="M117" s="46">
        <f>COUNTIF('Detailed Attendance'!D119:D119, "P")+COUNTIF('Detailed Attendance'!T119:T119, "P")+COUNTIF('Detailed Attendance'!AN119:AN119, "P")+COUNTIF('Detailed Attendance'!AR119:AR119, "P")+COUNTIF('Detailed Attendance'!BH119:BH119, "P")+COUNTIF('Detailed Attendance'!CB119:CB119, "P")+COUNTIF('Detailed Attendance'!CF119:CF119, "P")+COUNTIF('Detailed Attendance'!CY119:CY119, "P")+COUNTIF('Detailed Attendance'!DC119:DC119, "P")+COUNTIF('Detailed Attendance'!DV119:DV119, "P")+COUNTIF('Detailed Attendance'!DZ119:DZ119, "P")+COUNTIF('Detailed Attendance'!ES119:ES119, "P")+COUNTIF('Detailed Attendance'!GC119:GC119, "P")+COUNTIF('Detailed Attendance'!GG119:GG119, "P")</f>
        <v/>
      </c>
      <c r="N117" s="46">
        <f>COUNTIF('Detailed Attendance'!D119:D119, "A")+COUNTIF('Detailed Attendance'!T119:T119, "A")+COUNTIF('Detailed Attendance'!AN119:AN119, "A")+COUNTIF('Detailed Attendance'!AR119:AR119, "A")+COUNTIF('Detailed Attendance'!BH119:BH119, "A")+COUNTIF('Detailed Attendance'!CB119:CB119, "A")+COUNTIF('Detailed Attendance'!CF119:CF119, "A")+COUNTIF('Detailed Attendance'!CY119:CY119, "A")+COUNTIF('Detailed Attendance'!DC119:DC119, "A")+COUNTIF('Detailed Attendance'!DV119:DV119, "A")+COUNTIF('Detailed Attendance'!DZ119:DZ119, "A")+COUNTIF('Detailed Attendance'!ES119:ES119, "A")+COUNTIF('Detailed Attendance'!GC119:GC119, "A")+COUNTIF('Detailed Attendance'!GG119:GG119, "A")</f>
        <v/>
      </c>
      <c r="O117" s="72">
        <f>IF((M117+N117)=0, "", M117/(M117+N117))</f>
        <v/>
      </c>
      <c r="P117" s="46">
        <f>COUNTIF('Detailed Attendance'!M119:M119, "P")+COUNTIF('Detailed Attendance'!U119:U119, "P")+COUNTIF('Detailed Attendance'!AG119:AG119, "P")+COUNTIF('Detailed Attendance'!AO119:AO119, "P")+COUNTIF('Detailed Attendance'!BA119:BA119, "P")+COUNTIF('Detailed Attendance'!BI119:BI119, "P")+COUNTIF('Detailed Attendance'!BU119:BU119, "P")+COUNTIF('Detailed Attendance'!CC119:CC119, "P")+COUNTIF('Detailed Attendance'!CR119:CR119, "P")+COUNTIF('Detailed Attendance'!CZ119:CZ119, "P")+COUNTIF('Detailed Attendance'!DO119:DO119, "P")+COUNTIF('Detailed Attendance'!DW119:DW119, "P")+COUNTIF('Detailed Attendance'!EL119:EL119, "P")+COUNTIF('Detailed Attendance'!ET119:ET119, "P")+COUNTIF('Detailed Attendance'!FF119:FF119, "P")+COUNTIF('Detailed Attendance'!FV119:FV119, "P")+COUNTIF('Detailed Attendance'!GD119:GD119, "P")</f>
        <v/>
      </c>
      <c r="Q117" s="46">
        <f>COUNTIF('Detailed Attendance'!M119:M119, "A")+COUNTIF('Detailed Attendance'!U119:U119, "A")+COUNTIF('Detailed Attendance'!AG119:AG119, "A")+COUNTIF('Detailed Attendance'!AO119:AO119, "A")+COUNTIF('Detailed Attendance'!BA119:BA119, "A")+COUNTIF('Detailed Attendance'!BI119:BI119, "A")+COUNTIF('Detailed Attendance'!BU119:BU119, "A")+COUNTIF('Detailed Attendance'!CC119:CC119, "A")+COUNTIF('Detailed Attendance'!CR119:CR119, "A")+COUNTIF('Detailed Attendance'!CZ119:CZ119, "A")+COUNTIF('Detailed Attendance'!DO119:DO119, "A")+COUNTIF('Detailed Attendance'!DW119:DW119, "A")+COUNTIF('Detailed Attendance'!EL119:EL119, "A")+COUNTIF('Detailed Attendance'!ET119:ET119, "A")+COUNTIF('Detailed Attendance'!FF119:FF119, "A")+COUNTIF('Detailed Attendance'!FV119:FV119, "A")+COUNTIF('Detailed Attendance'!GD119:GD119, "A")</f>
        <v/>
      </c>
      <c r="R117" s="72">
        <f>IF((P117+Q117)=0, "", P117/(P117+Q117))</f>
        <v/>
      </c>
      <c r="S117" s="46">
        <f>COUNTIF('Detailed Attendance'!H119:H119, "P")+COUNTIF('Detailed Attendance'!AB119:AB119, "P")+COUNTIF('Detailed Attendance'!AV119:AV119, "P")+COUNTIF('Detailed Attendance'!BP119:BP119, "P")+COUNTIF('Detailed Attendance'!CM119:CM119, "P")+COUNTIF('Detailed Attendance'!DJ119:DJ119, "P")+COUNTIF('Detailed Attendance'!EG119:EG119, "P")+COUNTIF('Detailed Attendance'!FA119:FA119, "P")+COUNTIF('Detailed Attendance'!FQ119:FQ119, "P")</f>
        <v/>
      </c>
      <c r="T117" s="46">
        <f>COUNTIF('Detailed Attendance'!H119:H119, "A")+COUNTIF('Detailed Attendance'!AB119:AB119, "A")+COUNTIF('Detailed Attendance'!AV119:AV119, "A")+COUNTIF('Detailed Attendance'!BP119:BP119, "A")+COUNTIF('Detailed Attendance'!CM119:CM119, "A")+COUNTIF('Detailed Attendance'!DJ119:DJ119, "A")+COUNTIF('Detailed Attendance'!EG119:EG119, "A")+COUNTIF('Detailed Attendance'!FA119:FA119, "A")+COUNTIF('Detailed Attendance'!FQ119:FQ119, "A")</f>
        <v/>
      </c>
      <c r="U117" s="73">
        <f>IF((S117+T117)=0, "", S117/(S117+T117))</f>
        <v/>
      </c>
      <c r="V117" s="46">
        <f>COUNTIF('Detailed Attendance'!E119:E119, "P")+COUNTIF('Detailed Attendance'!Y119:Y119, "P")+COUNTIF('Detailed Attendance'!AS119:AS119, "P")+COUNTIF('Detailed Attendance'!BM119:BM119, "P")+COUNTIF('Detailed Attendance'!CJ119:CJ119, "P")+COUNTIF('Detailed Attendance'!DG119:DG119, "P")+COUNTIF('Detailed Attendance'!ED119:ED119, "P")+COUNTIF('Detailed Attendance'!EX119:EX119, "P")+COUNTIF('Detailed Attendance'!FN119:FN119, "P")</f>
        <v/>
      </c>
      <c r="W117" s="46">
        <f>COUNTIF('Detailed Attendance'!E119:E119, "A")+COUNTIF('Detailed Attendance'!Y119:Y119, "A")+COUNTIF('Detailed Attendance'!AS119:AS119, "A")+COUNTIF('Detailed Attendance'!BM119:BM119, "A")+COUNTIF('Detailed Attendance'!CJ119:CJ119, "A")+COUNTIF('Detailed Attendance'!DG119:DG119, "A")+COUNTIF('Detailed Attendance'!ED119:ED119, "A")+COUNTIF('Detailed Attendance'!EX119:EX119, "A")+COUNTIF('Detailed Attendance'!FN119:FN119, "A")</f>
        <v/>
      </c>
      <c r="X117" s="73">
        <f>IF((V117+W117)=0, "", V117/(V117+W117))</f>
        <v/>
      </c>
      <c r="Y117" s="46">
        <f>COUNTIF('Detailed Attendance'!CH119:CH119, "P")+COUNTIF('Detailed Attendance'!DE119:DE119, "P")+COUNTIF('Detailed Attendance'!EB119:EB119, "P")+COUNTIF('Detailed Attendance'!GI119:GI119, "P")</f>
        <v/>
      </c>
      <c r="Z117" s="46">
        <f>COUNTIF('Detailed Attendance'!CH119:CH119, "A")+COUNTIF('Detailed Attendance'!DE119:DE119, "A")+COUNTIF('Detailed Attendance'!EB119:EB119, "A")+COUNTIF('Detailed Attendance'!GI119:GI119, "A")</f>
        <v/>
      </c>
      <c r="AA117" s="73">
        <f>IF((Y117+Z117)=0, "", Y117/(Y117+Z117))</f>
        <v/>
      </c>
      <c r="AB117" s="46">
        <f>S117+V117+Y117</f>
        <v/>
      </c>
      <c r="AC117" s="46">
        <f>T117+W117+Z117</f>
        <v/>
      </c>
      <c r="AD117" s="73">
        <f>IF((AB117+AC117)=0, "", AB117/(AB117+AC117))</f>
        <v/>
      </c>
      <c r="AE117" s="46" t="inlineStr">
        <is>
          <t>Batch 3</t>
        </is>
      </c>
    </row>
    <row r="118" ht="14.25" customHeight="1" s="34">
      <c r="A118" s="46" t="n">
        <v>117</v>
      </c>
      <c r="B118" s="46" t="inlineStr">
        <is>
          <t>325106410117</t>
        </is>
      </c>
      <c r="C118" s="46" t="inlineStr">
        <is>
          <t>YAZID RABIU</t>
        </is>
      </c>
      <c r="D118" s="46">
        <f>COUNTIF('Detailed Attendance'!R120:R120, "P")+COUNTIF('Detailed Attendance'!X120:X120, "P")+COUNTIF('Detailed Attendance'!AL120:AL120, "P")+COUNTIF('Detailed Attendance'!BF120:BF120, "P")+COUNTIF('Detailed Attendance'!BL120:BL120, "P")+COUNTIF('Detailed Attendance'!BZ120:BZ120, "P")+COUNTIF('Detailed Attendance'!CI120:CI120, "P")+COUNTIF('Detailed Attendance'!CW120:CW120, "P")+COUNTIF('Detailed Attendance'!DF120:DF120, "P")+COUNTIF('Detailed Attendance'!DT120:DT120, "P")+COUNTIF('Detailed Attendance'!EC120:EC120, "P")+COUNTIF('Detailed Attendance'!EQ120:EQ120, "P")+COUNTIF('Detailed Attendance'!EW120:EW120, "P")+COUNTIF('Detailed Attendance'!FK120:FK120, "P")+COUNTIF('Detailed Attendance'!FM120:FM120, "P")+COUNTIF('Detailed Attendance'!GA120:GA120, "P")</f>
        <v/>
      </c>
      <c r="E118" s="46">
        <f>COUNTIF('Detailed Attendance'!R120:R120, "A")+COUNTIF('Detailed Attendance'!X120:X120, "A")+COUNTIF('Detailed Attendance'!AL120:AL120, "A")+COUNTIF('Detailed Attendance'!BF120:BF120, "A")+COUNTIF('Detailed Attendance'!BL120:BL120, "A")+COUNTIF('Detailed Attendance'!BZ120:BZ120, "A")+COUNTIF('Detailed Attendance'!CI120:CI120, "A")+COUNTIF('Detailed Attendance'!CW120:CW120, "A")+COUNTIF('Detailed Attendance'!DF120:DF120, "A")+COUNTIF('Detailed Attendance'!DT120:DT120, "A")+COUNTIF('Detailed Attendance'!EC120:EC120, "A")+COUNTIF('Detailed Attendance'!EQ120:EQ120, "A")+COUNTIF('Detailed Attendance'!EW120:EW120, "A")+COUNTIF('Detailed Attendance'!FK120:FK120, "A")+COUNTIF('Detailed Attendance'!FM120:FM120, "A")+COUNTIF('Detailed Attendance'!GA120:GA120, "A")</f>
        <v/>
      </c>
      <c r="F118" s="72">
        <f>IF((D118+E118)=0, "", D118/(D118+E118))</f>
        <v/>
      </c>
      <c r="G118" s="46">
        <f>COUNTIF('Detailed Attendance'!I120:I120, "P")+COUNTIF('Detailed Attendance'!Q120:Q120, "P")+COUNTIF('Detailed Attendance'!AC120:AC120, "P")+COUNTIF('Detailed Attendance'!AK120:AK120, "P")+COUNTIF('Detailed Attendance'!AW120:AW120, "P")+COUNTIF('Detailed Attendance'!BE120:BE120, "P")+COUNTIF('Detailed Attendance'!BQ120:BQ120, "P")+COUNTIF('Detailed Attendance'!BY120:BY120, "P")+COUNTIF('Detailed Attendance'!CN120:CN120, "P")+COUNTIF('Detailed Attendance'!CV120:CV120, "P")+COUNTIF('Detailed Attendance'!DK120:DK120, "P")+COUNTIF('Detailed Attendance'!DS120:DS120, "P")+COUNTIF('Detailed Attendance'!EH120:EH120, "P")+COUNTIF('Detailed Attendance'!EP120:EP120, "P")+COUNTIF('Detailed Attendance'!FB120:FB120, "P")+COUNTIF('Detailed Attendance'!FJ120:FJ120, "P")+COUNTIF('Detailed Attendance'!FR120:FR120, "P")+COUNTIF('Detailed Attendance'!FZ120:FZ120, "P")</f>
        <v/>
      </c>
      <c r="H118" s="46">
        <f>COUNTIF('Detailed Attendance'!I120:I120, "A")+COUNTIF('Detailed Attendance'!Q120:Q120, "A")+COUNTIF('Detailed Attendance'!AC120:AC120, "A")+COUNTIF('Detailed Attendance'!AK120:AK120, "A")+COUNTIF('Detailed Attendance'!AW120:AW120, "A")+COUNTIF('Detailed Attendance'!BE120:BE120, "A")+COUNTIF('Detailed Attendance'!BQ120:BQ120, "A")+COUNTIF('Detailed Attendance'!BY120:BY120, "A")+COUNTIF('Detailed Attendance'!CN120:CN120, "A")+COUNTIF('Detailed Attendance'!CV120:CV120, "A")+COUNTIF('Detailed Attendance'!DK120:DK120, "A")+COUNTIF('Detailed Attendance'!DS120:DS120, "A")+COUNTIF('Detailed Attendance'!EH120:EH120, "A")+COUNTIF('Detailed Attendance'!EP120:EP120, "A")+COUNTIF('Detailed Attendance'!FB120:FB120, "A")+COUNTIF('Detailed Attendance'!FJ120:FJ120, "A")+COUNTIF('Detailed Attendance'!FR120:FR120, "A")+COUNTIF('Detailed Attendance'!FZ120:FZ120, "A")</f>
        <v/>
      </c>
      <c r="I118" s="72">
        <f>IF((G118+H118)=0, "", G118/(G118+H118))</f>
        <v/>
      </c>
      <c r="J118" s="46">
        <f>COUNTIF('Detailed Attendance'!L120:L120, "P")+COUNTIF('Detailed Attendance'!P120:P120, "P")+COUNTIF('Detailed Attendance'!AF120:AF120, "P")+COUNTIF('Detailed Attendance'!AJ120:AJ120, "P")+COUNTIF('Detailed Attendance'!AZ120:AZ120, "P")+COUNTIF('Detailed Attendance'!BD120:BD120, "P")+COUNTIF('Detailed Attendance'!BT120:BT120, "P")+COUNTIF('Detailed Attendance'!BX120:BX120, "P")+COUNTIF('Detailed Attendance'!CQ120:CQ120, "P")+COUNTIF('Detailed Attendance'!CU120:CU120, "P")+COUNTIF('Detailed Attendance'!DN120:DN120, "P")+COUNTIF('Detailed Attendance'!DR120:DR120, "P")+COUNTIF('Detailed Attendance'!EK120:EK120, "P")+COUNTIF('Detailed Attendance'!EO120:EO120, "P")+COUNTIF('Detailed Attendance'!FE120:FE120, "P")+COUNTIF('Detailed Attendance'!FI120:FI120, "P")+COUNTIF('Detailed Attendance'!FU120:FU120, "P")+COUNTIF('Detailed Attendance'!FY120:FY120, "P")</f>
        <v/>
      </c>
      <c r="K118" s="46">
        <f>COUNTIF('Detailed Attendance'!L120:L120, "A")+COUNTIF('Detailed Attendance'!P120:P120, "A")+COUNTIF('Detailed Attendance'!AF120:AF120, "A")+COUNTIF('Detailed Attendance'!AJ120:AJ120, "A")+COUNTIF('Detailed Attendance'!AZ120:AZ120, "A")+COUNTIF('Detailed Attendance'!BD120:BD120, "A")+COUNTIF('Detailed Attendance'!BT120:BT120, "A")+COUNTIF('Detailed Attendance'!BX120:BX120, "A")+COUNTIF('Detailed Attendance'!CQ120:CQ120, "A")+COUNTIF('Detailed Attendance'!CU120:CU120, "A")+COUNTIF('Detailed Attendance'!DN120:DN120, "A")+COUNTIF('Detailed Attendance'!DR120:DR120, "A")+COUNTIF('Detailed Attendance'!EK120:EK120, "A")+COUNTIF('Detailed Attendance'!EO120:EO120, "A")+COUNTIF('Detailed Attendance'!FE120:FE120, "A")+COUNTIF('Detailed Attendance'!FI120:FI120, "A")+COUNTIF('Detailed Attendance'!FU120:FU120, "A")+COUNTIF('Detailed Attendance'!FY120:FY120, "A")</f>
        <v/>
      </c>
      <c r="L118" s="72">
        <f>IF((J118+K118)=0, "", J118/(J118+K118))</f>
        <v/>
      </c>
      <c r="M118" s="46">
        <f>COUNTIF('Detailed Attendance'!D120:D120, "P")+COUNTIF('Detailed Attendance'!T120:T120, "P")+COUNTIF('Detailed Attendance'!AN120:AN120, "P")+COUNTIF('Detailed Attendance'!AR120:AR120, "P")+COUNTIF('Detailed Attendance'!BH120:BH120, "P")+COUNTIF('Detailed Attendance'!CB120:CB120, "P")+COUNTIF('Detailed Attendance'!CF120:CF120, "P")+COUNTIF('Detailed Attendance'!CY120:CY120, "P")+COUNTIF('Detailed Attendance'!DC120:DC120, "P")+COUNTIF('Detailed Attendance'!DV120:DV120, "P")+COUNTIF('Detailed Attendance'!DZ120:DZ120, "P")+COUNTIF('Detailed Attendance'!ES120:ES120, "P")+COUNTIF('Detailed Attendance'!GC120:GC120, "P")+COUNTIF('Detailed Attendance'!GG120:GG120, "P")</f>
        <v/>
      </c>
      <c r="N118" s="46">
        <f>COUNTIF('Detailed Attendance'!D120:D120, "A")+COUNTIF('Detailed Attendance'!T120:T120, "A")+COUNTIF('Detailed Attendance'!AN120:AN120, "A")+COUNTIF('Detailed Attendance'!AR120:AR120, "A")+COUNTIF('Detailed Attendance'!BH120:BH120, "A")+COUNTIF('Detailed Attendance'!CB120:CB120, "A")+COUNTIF('Detailed Attendance'!CF120:CF120, "A")+COUNTIF('Detailed Attendance'!CY120:CY120, "A")+COUNTIF('Detailed Attendance'!DC120:DC120, "A")+COUNTIF('Detailed Attendance'!DV120:DV120, "A")+COUNTIF('Detailed Attendance'!DZ120:DZ120, "A")+COUNTIF('Detailed Attendance'!ES120:ES120, "A")+COUNTIF('Detailed Attendance'!GC120:GC120, "A")+COUNTIF('Detailed Attendance'!GG120:GG120, "A")</f>
        <v/>
      </c>
      <c r="O118" s="72">
        <f>IF((M118+N118)=0, "", M118/(M118+N118))</f>
        <v/>
      </c>
      <c r="P118" s="46">
        <f>COUNTIF('Detailed Attendance'!M120:M120, "P")+COUNTIF('Detailed Attendance'!U120:U120, "P")+COUNTIF('Detailed Attendance'!AG120:AG120, "P")+COUNTIF('Detailed Attendance'!AO120:AO120, "P")+COUNTIF('Detailed Attendance'!BA120:BA120, "P")+COUNTIF('Detailed Attendance'!BI120:BI120, "P")+COUNTIF('Detailed Attendance'!BU120:BU120, "P")+COUNTIF('Detailed Attendance'!CC120:CC120, "P")+COUNTIF('Detailed Attendance'!CR120:CR120, "P")+COUNTIF('Detailed Attendance'!CZ120:CZ120, "P")+COUNTIF('Detailed Attendance'!DO120:DO120, "P")+COUNTIF('Detailed Attendance'!DW120:DW120, "P")+COUNTIF('Detailed Attendance'!EL120:EL120, "P")+COUNTIF('Detailed Attendance'!ET120:ET120, "P")+COUNTIF('Detailed Attendance'!FF120:FF120, "P")+COUNTIF('Detailed Attendance'!FV120:FV120, "P")+COUNTIF('Detailed Attendance'!GD120:GD120, "P")</f>
        <v/>
      </c>
      <c r="Q118" s="46">
        <f>COUNTIF('Detailed Attendance'!M120:M120, "A")+COUNTIF('Detailed Attendance'!U120:U120, "A")+COUNTIF('Detailed Attendance'!AG120:AG120, "A")+COUNTIF('Detailed Attendance'!AO120:AO120, "A")+COUNTIF('Detailed Attendance'!BA120:BA120, "A")+COUNTIF('Detailed Attendance'!BI120:BI120, "A")+COUNTIF('Detailed Attendance'!BU120:BU120, "A")+COUNTIF('Detailed Attendance'!CC120:CC120, "A")+COUNTIF('Detailed Attendance'!CR120:CR120, "A")+COUNTIF('Detailed Attendance'!CZ120:CZ120, "A")+COUNTIF('Detailed Attendance'!DO120:DO120, "A")+COUNTIF('Detailed Attendance'!DW120:DW120, "A")+COUNTIF('Detailed Attendance'!EL120:EL120, "A")+COUNTIF('Detailed Attendance'!ET120:ET120, "A")+COUNTIF('Detailed Attendance'!FF120:FF120, "A")+COUNTIF('Detailed Attendance'!FV120:FV120, "A")+COUNTIF('Detailed Attendance'!GD120:GD120, "A")</f>
        <v/>
      </c>
      <c r="R118" s="72">
        <f>IF((P118+Q118)=0, "", P118/(P118+Q118))</f>
        <v/>
      </c>
      <c r="S118" s="46">
        <f>COUNTIF('Detailed Attendance'!H120:H120, "P")+COUNTIF('Detailed Attendance'!AB120:AB120, "P")+COUNTIF('Detailed Attendance'!AV120:AV120, "P")+COUNTIF('Detailed Attendance'!BP120:BP120, "P")+COUNTIF('Detailed Attendance'!CM120:CM120, "P")+COUNTIF('Detailed Attendance'!DJ120:DJ120, "P")+COUNTIF('Detailed Attendance'!EG120:EG120, "P")+COUNTIF('Detailed Attendance'!FA120:FA120, "P")+COUNTIF('Detailed Attendance'!FQ120:FQ120, "P")</f>
        <v/>
      </c>
      <c r="T118" s="46">
        <f>COUNTIF('Detailed Attendance'!H120:H120, "A")+COUNTIF('Detailed Attendance'!AB120:AB120, "A")+COUNTIF('Detailed Attendance'!AV120:AV120, "A")+COUNTIF('Detailed Attendance'!BP120:BP120, "A")+COUNTIF('Detailed Attendance'!CM120:CM120, "A")+COUNTIF('Detailed Attendance'!DJ120:DJ120, "A")+COUNTIF('Detailed Attendance'!EG120:EG120, "A")+COUNTIF('Detailed Attendance'!FA120:FA120, "A")+COUNTIF('Detailed Attendance'!FQ120:FQ120, "A")</f>
        <v/>
      </c>
      <c r="U118" s="73">
        <f>IF((S118+T118)=0, "", S118/(S118+T118))</f>
        <v/>
      </c>
      <c r="V118" s="46">
        <f>COUNTIF('Detailed Attendance'!E120:E120, "P")+COUNTIF('Detailed Attendance'!Y120:Y120, "P")+COUNTIF('Detailed Attendance'!AS120:AS120, "P")+COUNTIF('Detailed Attendance'!BM120:BM120, "P")+COUNTIF('Detailed Attendance'!CJ120:CJ120, "P")+COUNTIF('Detailed Attendance'!DG120:DG120, "P")+COUNTIF('Detailed Attendance'!ED120:ED120, "P")+COUNTIF('Detailed Attendance'!EX120:EX120, "P")+COUNTIF('Detailed Attendance'!FN120:FN120, "P")</f>
        <v/>
      </c>
      <c r="W118" s="46">
        <f>COUNTIF('Detailed Attendance'!E120:E120, "A")+COUNTIF('Detailed Attendance'!Y120:Y120, "A")+COUNTIF('Detailed Attendance'!AS120:AS120, "A")+COUNTIF('Detailed Attendance'!BM120:BM120, "A")+COUNTIF('Detailed Attendance'!CJ120:CJ120, "A")+COUNTIF('Detailed Attendance'!DG120:DG120, "A")+COUNTIF('Detailed Attendance'!ED120:ED120, "A")+COUNTIF('Detailed Attendance'!EX120:EX120, "A")+COUNTIF('Detailed Attendance'!FN120:FN120, "A")</f>
        <v/>
      </c>
      <c r="X118" s="73">
        <f>IF((V118+W118)=0, "", V118/(V118+W118))</f>
        <v/>
      </c>
      <c r="Y118" s="46">
        <f>COUNTIF('Detailed Attendance'!CH120:CH120, "P")+COUNTIF('Detailed Attendance'!DE120:DE120, "P")+COUNTIF('Detailed Attendance'!EB120:EB120, "P")+COUNTIF('Detailed Attendance'!GI120:GI120, "P")</f>
        <v/>
      </c>
      <c r="Z118" s="46">
        <f>COUNTIF('Detailed Attendance'!CH120:CH120, "A")+COUNTIF('Detailed Attendance'!DE120:DE120, "A")+COUNTIF('Detailed Attendance'!EB120:EB120, "A")+COUNTIF('Detailed Attendance'!GI120:GI120, "A")</f>
        <v/>
      </c>
      <c r="AA118" s="73">
        <f>IF((Y118+Z118)=0, "", Y118/(Y118+Z118))</f>
        <v/>
      </c>
      <c r="AB118" s="46">
        <f>S118+V118+Y118</f>
        <v/>
      </c>
      <c r="AC118" s="46">
        <f>T118+W118+Z118</f>
        <v/>
      </c>
      <c r="AD118" s="73">
        <f>IF((AB118+AC118)=0, "", AB118/(AB118+AC118))</f>
        <v/>
      </c>
      <c r="AE118" s="46" t="inlineStr">
        <is>
          <t>Batch 3</t>
        </is>
      </c>
    </row>
    <row r="119" ht="14.25" customHeight="1" s="34">
      <c r="A119" s="46" t="n">
        <v>118</v>
      </c>
      <c r="B119" s="46" t="inlineStr">
        <is>
          <t>325106410118</t>
        </is>
      </c>
      <c r="C119" s="46" t="inlineStr">
        <is>
          <t>BANDARU LAXMANA ROHAN PATRUDU</t>
        </is>
      </c>
      <c r="D119" s="46">
        <f>COUNTIF('Detailed Attendance'!R121:R121, "P")+COUNTIF('Detailed Attendance'!X121:X121, "P")+COUNTIF('Detailed Attendance'!AL121:AL121, "P")+COUNTIF('Detailed Attendance'!BF121:BF121, "P")+COUNTIF('Detailed Attendance'!BL121:BL121, "P")+COUNTIF('Detailed Attendance'!BZ121:BZ121, "P")+COUNTIF('Detailed Attendance'!CI121:CI121, "P")+COUNTIF('Detailed Attendance'!CW121:CW121, "P")+COUNTIF('Detailed Attendance'!DF121:DF121, "P")+COUNTIF('Detailed Attendance'!DT121:DT121, "P")+COUNTIF('Detailed Attendance'!EC121:EC121, "P")+COUNTIF('Detailed Attendance'!EQ121:EQ121, "P")+COUNTIF('Detailed Attendance'!EW121:EW121, "P")+COUNTIF('Detailed Attendance'!FK121:FK121, "P")+COUNTIF('Detailed Attendance'!FM121:FM121, "P")+COUNTIF('Detailed Attendance'!GA121:GA121, "P")</f>
        <v/>
      </c>
      <c r="E119" s="46">
        <f>COUNTIF('Detailed Attendance'!R121:R121, "A")+COUNTIF('Detailed Attendance'!X121:X121, "A")+COUNTIF('Detailed Attendance'!AL121:AL121, "A")+COUNTIF('Detailed Attendance'!BF121:BF121, "A")+COUNTIF('Detailed Attendance'!BL121:BL121, "A")+COUNTIF('Detailed Attendance'!BZ121:BZ121, "A")+COUNTIF('Detailed Attendance'!CI121:CI121, "A")+COUNTIF('Detailed Attendance'!CW121:CW121, "A")+COUNTIF('Detailed Attendance'!DF121:DF121, "A")+COUNTIF('Detailed Attendance'!DT121:DT121, "A")+COUNTIF('Detailed Attendance'!EC121:EC121, "A")+COUNTIF('Detailed Attendance'!EQ121:EQ121, "A")+COUNTIF('Detailed Attendance'!EW121:EW121, "A")+COUNTIF('Detailed Attendance'!FK121:FK121, "A")+COUNTIF('Detailed Attendance'!FM121:FM121, "A")+COUNTIF('Detailed Attendance'!GA121:GA121, "A")</f>
        <v/>
      </c>
      <c r="F119" s="72">
        <f>IF((D119+E119)=0, "", D119/(D119+E119))</f>
        <v/>
      </c>
      <c r="G119" s="46">
        <f>COUNTIF('Detailed Attendance'!I121:I121, "P")+COUNTIF('Detailed Attendance'!Q121:Q121, "P")+COUNTIF('Detailed Attendance'!AC121:AC121, "P")+COUNTIF('Detailed Attendance'!AK121:AK121, "P")+COUNTIF('Detailed Attendance'!AW121:AW121, "P")+COUNTIF('Detailed Attendance'!BE121:BE121, "P")+COUNTIF('Detailed Attendance'!BQ121:BQ121, "P")+COUNTIF('Detailed Attendance'!BY121:BY121, "P")+COUNTIF('Detailed Attendance'!CN121:CN121, "P")+COUNTIF('Detailed Attendance'!CV121:CV121, "P")+COUNTIF('Detailed Attendance'!DK121:DK121, "P")+COUNTIF('Detailed Attendance'!DS121:DS121, "P")+COUNTIF('Detailed Attendance'!EH121:EH121, "P")+COUNTIF('Detailed Attendance'!EP121:EP121, "P")+COUNTIF('Detailed Attendance'!FB121:FB121, "P")+COUNTIF('Detailed Attendance'!FJ121:FJ121, "P")+COUNTIF('Detailed Attendance'!FR121:FR121, "P")+COUNTIF('Detailed Attendance'!FZ121:FZ121, "P")</f>
        <v/>
      </c>
      <c r="H119" s="46">
        <f>COUNTIF('Detailed Attendance'!I121:I121, "A")+COUNTIF('Detailed Attendance'!Q121:Q121, "A")+COUNTIF('Detailed Attendance'!AC121:AC121, "A")+COUNTIF('Detailed Attendance'!AK121:AK121, "A")+COUNTIF('Detailed Attendance'!AW121:AW121, "A")+COUNTIF('Detailed Attendance'!BE121:BE121, "A")+COUNTIF('Detailed Attendance'!BQ121:BQ121, "A")+COUNTIF('Detailed Attendance'!BY121:BY121, "A")+COUNTIF('Detailed Attendance'!CN121:CN121, "A")+COUNTIF('Detailed Attendance'!CV121:CV121, "A")+COUNTIF('Detailed Attendance'!DK121:DK121, "A")+COUNTIF('Detailed Attendance'!DS121:DS121, "A")+COUNTIF('Detailed Attendance'!EH121:EH121, "A")+COUNTIF('Detailed Attendance'!EP121:EP121, "A")+COUNTIF('Detailed Attendance'!FB121:FB121, "A")+COUNTIF('Detailed Attendance'!FJ121:FJ121, "A")+COUNTIF('Detailed Attendance'!FR121:FR121, "A")+COUNTIF('Detailed Attendance'!FZ121:FZ121, "A")</f>
        <v/>
      </c>
      <c r="I119" s="72">
        <f>IF((G119+H119)=0, "", G119/(G119+H119))</f>
        <v/>
      </c>
      <c r="J119" s="46">
        <f>COUNTIF('Detailed Attendance'!L121:L121, "P")+COUNTIF('Detailed Attendance'!P121:P121, "P")+COUNTIF('Detailed Attendance'!AF121:AF121, "P")+COUNTIF('Detailed Attendance'!AJ121:AJ121, "P")+COUNTIF('Detailed Attendance'!AZ121:AZ121, "P")+COUNTIF('Detailed Attendance'!BD121:BD121, "P")+COUNTIF('Detailed Attendance'!BT121:BT121, "P")+COUNTIF('Detailed Attendance'!BX121:BX121, "P")+COUNTIF('Detailed Attendance'!CQ121:CQ121, "P")+COUNTIF('Detailed Attendance'!CU121:CU121, "P")+COUNTIF('Detailed Attendance'!DN121:DN121, "P")+COUNTIF('Detailed Attendance'!DR121:DR121, "P")+COUNTIF('Detailed Attendance'!EK121:EK121, "P")+COUNTIF('Detailed Attendance'!EO121:EO121, "P")+COUNTIF('Detailed Attendance'!FE121:FE121, "P")+COUNTIF('Detailed Attendance'!FI121:FI121, "P")+COUNTIF('Detailed Attendance'!FU121:FU121, "P")+COUNTIF('Detailed Attendance'!FY121:FY121, "P")</f>
        <v/>
      </c>
      <c r="K119" s="46">
        <f>COUNTIF('Detailed Attendance'!L121:L121, "A")+COUNTIF('Detailed Attendance'!P121:P121, "A")+COUNTIF('Detailed Attendance'!AF121:AF121, "A")+COUNTIF('Detailed Attendance'!AJ121:AJ121, "A")+COUNTIF('Detailed Attendance'!AZ121:AZ121, "A")+COUNTIF('Detailed Attendance'!BD121:BD121, "A")+COUNTIF('Detailed Attendance'!BT121:BT121, "A")+COUNTIF('Detailed Attendance'!BX121:BX121, "A")+COUNTIF('Detailed Attendance'!CQ121:CQ121, "A")+COUNTIF('Detailed Attendance'!CU121:CU121, "A")+COUNTIF('Detailed Attendance'!DN121:DN121, "A")+COUNTIF('Detailed Attendance'!DR121:DR121, "A")+COUNTIF('Detailed Attendance'!EK121:EK121, "A")+COUNTIF('Detailed Attendance'!EO121:EO121, "A")+COUNTIF('Detailed Attendance'!FE121:FE121, "A")+COUNTIF('Detailed Attendance'!FI121:FI121, "A")+COUNTIF('Detailed Attendance'!FU121:FU121, "A")+COUNTIF('Detailed Attendance'!FY121:FY121, "A")</f>
        <v/>
      </c>
      <c r="L119" s="72">
        <f>IF((J119+K119)=0, "", J119/(J119+K119))</f>
        <v/>
      </c>
      <c r="M119" s="46">
        <f>COUNTIF('Detailed Attendance'!D121:D121, "P")+COUNTIF('Detailed Attendance'!T121:T121, "P")+COUNTIF('Detailed Attendance'!AN121:AN121, "P")+COUNTIF('Detailed Attendance'!AR121:AR121, "P")+COUNTIF('Detailed Attendance'!BH121:BH121, "P")+COUNTIF('Detailed Attendance'!CB121:CB121, "P")+COUNTIF('Detailed Attendance'!CF121:CF121, "P")+COUNTIF('Detailed Attendance'!CY121:CY121, "P")+COUNTIF('Detailed Attendance'!DC121:DC121, "P")+COUNTIF('Detailed Attendance'!DV121:DV121, "P")+COUNTIF('Detailed Attendance'!DZ121:DZ121, "P")+COUNTIF('Detailed Attendance'!ES121:ES121, "P")+COUNTIF('Detailed Attendance'!GC121:GC121, "P")+COUNTIF('Detailed Attendance'!GG121:GG121, "P")</f>
        <v/>
      </c>
      <c r="N119" s="46">
        <f>COUNTIF('Detailed Attendance'!D121:D121, "A")+COUNTIF('Detailed Attendance'!T121:T121, "A")+COUNTIF('Detailed Attendance'!AN121:AN121, "A")+COUNTIF('Detailed Attendance'!AR121:AR121, "A")+COUNTIF('Detailed Attendance'!BH121:BH121, "A")+COUNTIF('Detailed Attendance'!CB121:CB121, "A")+COUNTIF('Detailed Attendance'!CF121:CF121, "A")+COUNTIF('Detailed Attendance'!CY121:CY121, "A")+COUNTIF('Detailed Attendance'!DC121:DC121, "A")+COUNTIF('Detailed Attendance'!DV121:DV121, "A")+COUNTIF('Detailed Attendance'!DZ121:DZ121, "A")+COUNTIF('Detailed Attendance'!ES121:ES121, "A")+COUNTIF('Detailed Attendance'!GC121:GC121, "A")+COUNTIF('Detailed Attendance'!GG121:GG121, "A")</f>
        <v/>
      </c>
      <c r="O119" s="72">
        <f>IF((M119+N119)=0, "", M119/(M119+N119))</f>
        <v/>
      </c>
      <c r="P119" s="46">
        <f>COUNTIF('Detailed Attendance'!M121:M121, "P")+COUNTIF('Detailed Attendance'!U121:U121, "P")+COUNTIF('Detailed Attendance'!AG121:AG121, "P")+COUNTIF('Detailed Attendance'!AO121:AO121, "P")+COUNTIF('Detailed Attendance'!BA121:BA121, "P")+COUNTIF('Detailed Attendance'!BI121:BI121, "P")+COUNTIF('Detailed Attendance'!BU121:BU121, "P")+COUNTIF('Detailed Attendance'!CC121:CC121, "P")+COUNTIF('Detailed Attendance'!CR121:CR121, "P")+COUNTIF('Detailed Attendance'!CZ121:CZ121, "P")+COUNTIF('Detailed Attendance'!DO121:DO121, "P")+COUNTIF('Detailed Attendance'!DW121:DW121, "P")+COUNTIF('Detailed Attendance'!EL121:EL121, "P")+COUNTIF('Detailed Attendance'!ET121:ET121, "P")+COUNTIF('Detailed Attendance'!FF121:FF121, "P")+COUNTIF('Detailed Attendance'!FV121:FV121, "P")+COUNTIF('Detailed Attendance'!GD121:GD121, "P")</f>
        <v/>
      </c>
      <c r="Q119" s="46">
        <f>COUNTIF('Detailed Attendance'!M121:M121, "A")+COUNTIF('Detailed Attendance'!U121:U121, "A")+COUNTIF('Detailed Attendance'!AG121:AG121, "A")+COUNTIF('Detailed Attendance'!AO121:AO121, "A")+COUNTIF('Detailed Attendance'!BA121:BA121, "A")+COUNTIF('Detailed Attendance'!BI121:BI121, "A")+COUNTIF('Detailed Attendance'!BU121:BU121, "A")+COUNTIF('Detailed Attendance'!CC121:CC121, "A")+COUNTIF('Detailed Attendance'!CR121:CR121, "A")+COUNTIF('Detailed Attendance'!CZ121:CZ121, "A")+COUNTIF('Detailed Attendance'!DO121:DO121, "A")+COUNTIF('Detailed Attendance'!DW121:DW121, "A")+COUNTIF('Detailed Attendance'!EL121:EL121, "A")+COUNTIF('Detailed Attendance'!ET121:ET121, "A")+COUNTIF('Detailed Attendance'!FF121:FF121, "A")+COUNTIF('Detailed Attendance'!FV121:FV121, "A")+COUNTIF('Detailed Attendance'!GD121:GD121, "A")</f>
        <v/>
      </c>
      <c r="R119" s="72">
        <f>IF((P119+Q119)=0, "", P119/(P119+Q119))</f>
        <v/>
      </c>
      <c r="S119" s="46">
        <f>COUNTIF('Detailed Attendance'!H121:H121, "P")+COUNTIF('Detailed Attendance'!AB121:AB121, "P")+COUNTIF('Detailed Attendance'!AV121:AV121, "P")+COUNTIF('Detailed Attendance'!BP121:BP121, "P")+COUNTIF('Detailed Attendance'!CM121:CM121, "P")+COUNTIF('Detailed Attendance'!DJ121:DJ121, "P")+COUNTIF('Detailed Attendance'!EG121:EG121, "P")+COUNTIF('Detailed Attendance'!FA121:FA121, "P")+COUNTIF('Detailed Attendance'!FQ121:FQ121, "P")</f>
        <v/>
      </c>
      <c r="T119" s="46">
        <f>COUNTIF('Detailed Attendance'!H121:H121, "A")+COUNTIF('Detailed Attendance'!AB121:AB121, "A")+COUNTIF('Detailed Attendance'!AV121:AV121, "A")+COUNTIF('Detailed Attendance'!BP121:BP121, "A")+COUNTIF('Detailed Attendance'!CM121:CM121, "A")+COUNTIF('Detailed Attendance'!DJ121:DJ121, "A")+COUNTIF('Detailed Attendance'!EG121:EG121, "A")+COUNTIF('Detailed Attendance'!FA121:FA121, "A")+COUNTIF('Detailed Attendance'!FQ121:FQ121, "A")</f>
        <v/>
      </c>
      <c r="U119" s="73">
        <f>IF((S119+T119)=0, "", S119/(S119+T119))</f>
        <v/>
      </c>
      <c r="V119" s="46">
        <f>COUNTIF('Detailed Attendance'!E121:E121, "P")+COUNTIF('Detailed Attendance'!Y121:Y121, "P")+COUNTIF('Detailed Attendance'!AS121:AS121, "P")+COUNTIF('Detailed Attendance'!BM121:BM121, "P")+COUNTIF('Detailed Attendance'!CJ121:CJ121, "P")+COUNTIF('Detailed Attendance'!DG121:DG121, "P")+COUNTIF('Detailed Attendance'!ED121:ED121, "P")+COUNTIF('Detailed Attendance'!EX121:EX121, "P")+COUNTIF('Detailed Attendance'!FN121:FN121, "P")</f>
        <v/>
      </c>
      <c r="W119" s="46">
        <f>COUNTIF('Detailed Attendance'!E121:E121, "A")+COUNTIF('Detailed Attendance'!Y121:Y121, "A")+COUNTIF('Detailed Attendance'!AS121:AS121, "A")+COUNTIF('Detailed Attendance'!BM121:BM121, "A")+COUNTIF('Detailed Attendance'!CJ121:CJ121, "A")+COUNTIF('Detailed Attendance'!DG121:DG121, "A")+COUNTIF('Detailed Attendance'!ED121:ED121, "A")+COUNTIF('Detailed Attendance'!EX121:EX121, "A")+COUNTIF('Detailed Attendance'!FN121:FN121, "A")</f>
        <v/>
      </c>
      <c r="X119" s="73">
        <f>IF((V119+W119)=0, "", V119/(V119+W119))</f>
        <v/>
      </c>
      <c r="Y119" s="46">
        <f>COUNTIF('Detailed Attendance'!CH121:CH121, "P")+COUNTIF('Detailed Attendance'!DE121:DE121, "P")+COUNTIF('Detailed Attendance'!EB121:EB121, "P")+COUNTIF('Detailed Attendance'!GI121:GI121, "P")</f>
        <v/>
      </c>
      <c r="Z119" s="46">
        <f>COUNTIF('Detailed Attendance'!CH121:CH121, "A")+COUNTIF('Detailed Attendance'!DE121:DE121, "A")+COUNTIF('Detailed Attendance'!EB121:EB121, "A")+COUNTIF('Detailed Attendance'!GI121:GI121, "A")</f>
        <v/>
      </c>
      <c r="AA119" s="73">
        <f>IF((Y119+Z119)=0, "", Y119/(Y119+Z119))</f>
        <v/>
      </c>
      <c r="AB119" s="46">
        <f>S119+V119+Y119</f>
        <v/>
      </c>
      <c r="AC119" s="46">
        <f>T119+W119+Z119</f>
        <v/>
      </c>
      <c r="AD119" s="73">
        <f>IF((AB119+AC119)=0, "", AB119/(AB119+AC119))</f>
        <v/>
      </c>
      <c r="AE119" s="46" t="inlineStr">
        <is>
          <t>Batch 3</t>
        </is>
      </c>
    </row>
    <row r="120" ht="14.25" customHeight="1" s="34">
      <c r="A120" s="46" t="n">
        <v>119</v>
      </c>
      <c r="B120" s="46" t="inlineStr">
        <is>
          <t>325106410119</t>
        </is>
      </c>
      <c r="C120" s="46" t="inlineStr">
        <is>
          <t>BENDURTHI JAYASREE</t>
        </is>
      </c>
      <c r="D120" s="46">
        <f>COUNTIF('Detailed Attendance'!R122:R122, "P")+COUNTIF('Detailed Attendance'!X122:X122, "P")+COUNTIF('Detailed Attendance'!AL122:AL122, "P")+COUNTIF('Detailed Attendance'!BF122:BF122, "P")+COUNTIF('Detailed Attendance'!BL122:BL122, "P")+COUNTIF('Detailed Attendance'!BZ122:BZ122, "P")+COUNTIF('Detailed Attendance'!CI122:CI122, "P")+COUNTIF('Detailed Attendance'!CW122:CW122, "P")+COUNTIF('Detailed Attendance'!DF122:DF122, "P")+COUNTIF('Detailed Attendance'!DT122:DT122, "P")+COUNTIF('Detailed Attendance'!EC122:EC122, "P")+COUNTIF('Detailed Attendance'!EQ122:EQ122, "P")+COUNTIF('Detailed Attendance'!EW122:EW122, "P")+COUNTIF('Detailed Attendance'!FK122:FK122, "P")+COUNTIF('Detailed Attendance'!FM122:FM122, "P")+COUNTIF('Detailed Attendance'!GA122:GA122, "P")</f>
        <v/>
      </c>
      <c r="E120" s="46">
        <f>COUNTIF('Detailed Attendance'!R122:R122, "A")+COUNTIF('Detailed Attendance'!X122:X122, "A")+COUNTIF('Detailed Attendance'!AL122:AL122, "A")+COUNTIF('Detailed Attendance'!BF122:BF122, "A")+COUNTIF('Detailed Attendance'!BL122:BL122, "A")+COUNTIF('Detailed Attendance'!BZ122:BZ122, "A")+COUNTIF('Detailed Attendance'!CI122:CI122, "A")+COUNTIF('Detailed Attendance'!CW122:CW122, "A")+COUNTIF('Detailed Attendance'!DF122:DF122, "A")+COUNTIF('Detailed Attendance'!DT122:DT122, "A")+COUNTIF('Detailed Attendance'!EC122:EC122, "A")+COUNTIF('Detailed Attendance'!EQ122:EQ122, "A")+COUNTIF('Detailed Attendance'!EW122:EW122, "A")+COUNTIF('Detailed Attendance'!FK122:FK122, "A")+COUNTIF('Detailed Attendance'!FM122:FM122, "A")+COUNTIF('Detailed Attendance'!GA122:GA122, "A")</f>
        <v/>
      </c>
      <c r="F120" s="72">
        <f>IF((D120+E120)=0, "", D120/(D120+E120))</f>
        <v/>
      </c>
      <c r="G120" s="46">
        <f>COUNTIF('Detailed Attendance'!I122:I122, "P")+COUNTIF('Detailed Attendance'!Q122:Q122, "P")+COUNTIF('Detailed Attendance'!AC122:AC122, "P")+COUNTIF('Detailed Attendance'!AK122:AK122, "P")+COUNTIF('Detailed Attendance'!AW122:AW122, "P")+COUNTIF('Detailed Attendance'!BE122:BE122, "P")+COUNTIF('Detailed Attendance'!BQ122:BQ122, "P")+COUNTIF('Detailed Attendance'!BY122:BY122, "P")+COUNTIF('Detailed Attendance'!CN122:CN122, "P")+COUNTIF('Detailed Attendance'!CV122:CV122, "P")+COUNTIF('Detailed Attendance'!DK122:DK122, "P")+COUNTIF('Detailed Attendance'!DS122:DS122, "P")+COUNTIF('Detailed Attendance'!EH122:EH122, "P")+COUNTIF('Detailed Attendance'!EP122:EP122, "P")+COUNTIF('Detailed Attendance'!FB122:FB122, "P")+COUNTIF('Detailed Attendance'!FJ122:FJ122, "P")+COUNTIF('Detailed Attendance'!FR122:FR122, "P")+COUNTIF('Detailed Attendance'!FZ122:FZ122, "P")</f>
        <v/>
      </c>
      <c r="H120" s="46">
        <f>COUNTIF('Detailed Attendance'!I122:I122, "A")+COUNTIF('Detailed Attendance'!Q122:Q122, "A")+COUNTIF('Detailed Attendance'!AC122:AC122, "A")+COUNTIF('Detailed Attendance'!AK122:AK122, "A")+COUNTIF('Detailed Attendance'!AW122:AW122, "A")+COUNTIF('Detailed Attendance'!BE122:BE122, "A")+COUNTIF('Detailed Attendance'!BQ122:BQ122, "A")+COUNTIF('Detailed Attendance'!BY122:BY122, "A")+COUNTIF('Detailed Attendance'!CN122:CN122, "A")+COUNTIF('Detailed Attendance'!CV122:CV122, "A")+COUNTIF('Detailed Attendance'!DK122:DK122, "A")+COUNTIF('Detailed Attendance'!DS122:DS122, "A")+COUNTIF('Detailed Attendance'!EH122:EH122, "A")+COUNTIF('Detailed Attendance'!EP122:EP122, "A")+COUNTIF('Detailed Attendance'!FB122:FB122, "A")+COUNTIF('Detailed Attendance'!FJ122:FJ122, "A")+COUNTIF('Detailed Attendance'!FR122:FR122, "A")+COUNTIF('Detailed Attendance'!FZ122:FZ122, "A")</f>
        <v/>
      </c>
      <c r="I120" s="72">
        <f>IF((G120+H120)=0, "", G120/(G120+H120))</f>
        <v/>
      </c>
      <c r="J120" s="46">
        <f>COUNTIF('Detailed Attendance'!L122:L122, "P")+COUNTIF('Detailed Attendance'!P122:P122, "P")+COUNTIF('Detailed Attendance'!AF122:AF122, "P")+COUNTIF('Detailed Attendance'!AJ122:AJ122, "P")+COUNTIF('Detailed Attendance'!AZ122:AZ122, "P")+COUNTIF('Detailed Attendance'!BD122:BD122, "P")+COUNTIF('Detailed Attendance'!BT122:BT122, "P")+COUNTIF('Detailed Attendance'!BX122:BX122, "P")+COUNTIF('Detailed Attendance'!CQ122:CQ122, "P")+COUNTIF('Detailed Attendance'!CU122:CU122, "P")+COUNTIF('Detailed Attendance'!DN122:DN122, "P")+COUNTIF('Detailed Attendance'!DR122:DR122, "P")+COUNTIF('Detailed Attendance'!EK122:EK122, "P")+COUNTIF('Detailed Attendance'!EO122:EO122, "P")+COUNTIF('Detailed Attendance'!FE122:FE122, "P")+COUNTIF('Detailed Attendance'!FI122:FI122, "P")+COUNTIF('Detailed Attendance'!FU122:FU122, "P")+COUNTIF('Detailed Attendance'!FY122:FY122, "P")</f>
        <v/>
      </c>
      <c r="K120" s="46">
        <f>COUNTIF('Detailed Attendance'!L122:L122, "A")+COUNTIF('Detailed Attendance'!P122:P122, "A")+COUNTIF('Detailed Attendance'!AF122:AF122, "A")+COUNTIF('Detailed Attendance'!AJ122:AJ122, "A")+COUNTIF('Detailed Attendance'!AZ122:AZ122, "A")+COUNTIF('Detailed Attendance'!BD122:BD122, "A")+COUNTIF('Detailed Attendance'!BT122:BT122, "A")+COUNTIF('Detailed Attendance'!BX122:BX122, "A")+COUNTIF('Detailed Attendance'!CQ122:CQ122, "A")+COUNTIF('Detailed Attendance'!CU122:CU122, "A")+COUNTIF('Detailed Attendance'!DN122:DN122, "A")+COUNTIF('Detailed Attendance'!DR122:DR122, "A")+COUNTIF('Detailed Attendance'!EK122:EK122, "A")+COUNTIF('Detailed Attendance'!EO122:EO122, "A")+COUNTIF('Detailed Attendance'!FE122:FE122, "A")+COUNTIF('Detailed Attendance'!FI122:FI122, "A")+COUNTIF('Detailed Attendance'!FU122:FU122, "A")+COUNTIF('Detailed Attendance'!FY122:FY122, "A")</f>
        <v/>
      </c>
      <c r="L120" s="72">
        <f>IF((J120+K120)=0, "", J120/(J120+K120))</f>
        <v/>
      </c>
      <c r="M120" s="46">
        <f>COUNTIF('Detailed Attendance'!D122:D122, "P")+COUNTIF('Detailed Attendance'!T122:T122, "P")+COUNTIF('Detailed Attendance'!AN122:AN122, "P")+COUNTIF('Detailed Attendance'!AR122:AR122, "P")+COUNTIF('Detailed Attendance'!BH122:BH122, "P")+COUNTIF('Detailed Attendance'!CB122:CB122, "P")+COUNTIF('Detailed Attendance'!CF122:CF122, "P")+COUNTIF('Detailed Attendance'!CY122:CY122, "P")+COUNTIF('Detailed Attendance'!DC122:DC122, "P")+COUNTIF('Detailed Attendance'!DV122:DV122, "P")+COUNTIF('Detailed Attendance'!DZ122:DZ122, "P")+COUNTIF('Detailed Attendance'!ES122:ES122, "P")+COUNTIF('Detailed Attendance'!GC122:GC122, "P")+COUNTIF('Detailed Attendance'!GG122:GG122, "P")</f>
        <v/>
      </c>
      <c r="N120" s="46">
        <f>COUNTIF('Detailed Attendance'!D122:D122, "A")+COUNTIF('Detailed Attendance'!T122:T122, "A")+COUNTIF('Detailed Attendance'!AN122:AN122, "A")+COUNTIF('Detailed Attendance'!AR122:AR122, "A")+COUNTIF('Detailed Attendance'!BH122:BH122, "A")+COUNTIF('Detailed Attendance'!CB122:CB122, "A")+COUNTIF('Detailed Attendance'!CF122:CF122, "A")+COUNTIF('Detailed Attendance'!CY122:CY122, "A")+COUNTIF('Detailed Attendance'!DC122:DC122, "A")+COUNTIF('Detailed Attendance'!DV122:DV122, "A")+COUNTIF('Detailed Attendance'!DZ122:DZ122, "A")+COUNTIF('Detailed Attendance'!ES122:ES122, "A")+COUNTIF('Detailed Attendance'!GC122:GC122, "A")+COUNTIF('Detailed Attendance'!GG122:GG122, "A")</f>
        <v/>
      </c>
      <c r="O120" s="72">
        <f>IF((M120+N120)=0, "", M120/(M120+N120))</f>
        <v/>
      </c>
      <c r="P120" s="46">
        <f>COUNTIF('Detailed Attendance'!M122:M122, "P")+COUNTIF('Detailed Attendance'!U122:U122, "P")+COUNTIF('Detailed Attendance'!AG122:AG122, "P")+COUNTIF('Detailed Attendance'!AO122:AO122, "P")+COUNTIF('Detailed Attendance'!BA122:BA122, "P")+COUNTIF('Detailed Attendance'!BI122:BI122, "P")+COUNTIF('Detailed Attendance'!BU122:BU122, "P")+COUNTIF('Detailed Attendance'!CC122:CC122, "P")+COUNTIF('Detailed Attendance'!CR122:CR122, "P")+COUNTIF('Detailed Attendance'!CZ122:CZ122, "P")+COUNTIF('Detailed Attendance'!DO122:DO122, "P")+COUNTIF('Detailed Attendance'!DW122:DW122, "P")+COUNTIF('Detailed Attendance'!EL122:EL122, "P")+COUNTIF('Detailed Attendance'!ET122:ET122, "P")+COUNTIF('Detailed Attendance'!FF122:FF122, "P")+COUNTIF('Detailed Attendance'!FV122:FV122, "P")+COUNTIF('Detailed Attendance'!GD122:GD122, "P")</f>
        <v/>
      </c>
      <c r="Q120" s="46">
        <f>COUNTIF('Detailed Attendance'!M122:M122, "A")+COUNTIF('Detailed Attendance'!U122:U122, "A")+COUNTIF('Detailed Attendance'!AG122:AG122, "A")+COUNTIF('Detailed Attendance'!AO122:AO122, "A")+COUNTIF('Detailed Attendance'!BA122:BA122, "A")+COUNTIF('Detailed Attendance'!BI122:BI122, "A")+COUNTIF('Detailed Attendance'!BU122:BU122, "A")+COUNTIF('Detailed Attendance'!CC122:CC122, "A")+COUNTIF('Detailed Attendance'!CR122:CR122, "A")+COUNTIF('Detailed Attendance'!CZ122:CZ122, "A")+COUNTIF('Detailed Attendance'!DO122:DO122, "A")+COUNTIF('Detailed Attendance'!DW122:DW122, "A")+COUNTIF('Detailed Attendance'!EL122:EL122, "A")+COUNTIF('Detailed Attendance'!ET122:ET122, "A")+COUNTIF('Detailed Attendance'!FF122:FF122, "A")+COUNTIF('Detailed Attendance'!FV122:FV122, "A")+COUNTIF('Detailed Attendance'!GD122:GD122, "A")</f>
        <v/>
      </c>
      <c r="R120" s="72">
        <f>IF((P120+Q120)=0, "", P120/(P120+Q120))</f>
        <v/>
      </c>
      <c r="S120" s="46">
        <f>COUNTIF('Detailed Attendance'!H122:H122, "P")+COUNTIF('Detailed Attendance'!AB122:AB122, "P")+COUNTIF('Detailed Attendance'!AV122:AV122, "P")+COUNTIF('Detailed Attendance'!BP122:BP122, "P")+COUNTIF('Detailed Attendance'!CM122:CM122, "P")+COUNTIF('Detailed Attendance'!DJ122:DJ122, "P")+COUNTIF('Detailed Attendance'!EG122:EG122, "P")+COUNTIF('Detailed Attendance'!FA122:FA122, "P")+COUNTIF('Detailed Attendance'!FQ122:FQ122, "P")</f>
        <v/>
      </c>
      <c r="T120" s="46">
        <f>COUNTIF('Detailed Attendance'!H122:H122, "A")+COUNTIF('Detailed Attendance'!AB122:AB122, "A")+COUNTIF('Detailed Attendance'!AV122:AV122, "A")+COUNTIF('Detailed Attendance'!BP122:BP122, "A")+COUNTIF('Detailed Attendance'!CM122:CM122, "A")+COUNTIF('Detailed Attendance'!DJ122:DJ122, "A")+COUNTIF('Detailed Attendance'!EG122:EG122, "A")+COUNTIF('Detailed Attendance'!FA122:FA122, "A")+COUNTIF('Detailed Attendance'!FQ122:FQ122, "A")</f>
        <v/>
      </c>
      <c r="U120" s="73">
        <f>IF((S120+T120)=0, "", S120/(S120+T120))</f>
        <v/>
      </c>
      <c r="V120" s="46">
        <f>COUNTIF('Detailed Attendance'!E122:E122, "P")+COUNTIF('Detailed Attendance'!Y122:Y122, "P")+COUNTIF('Detailed Attendance'!AS122:AS122, "P")+COUNTIF('Detailed Attendance'!BM122:BM122, "P")+COUNTIF('Detailed Attendance'!CJ122:CJ122, "P")+COUNTIF('Detailed Attendance'!DG122:DG122, "P")+COUNTIF('Detailed Attendance'!ED122:ED122, "P")+COUNTIF('Detailed Attendance'!EX122:EX122, "P")+COUNTIF('Detailed Attendance'!FN122:FN122, "P")</f>
        <v/>
      </c>
      <c r="W120" s="46">
        <f>COUNTIF('Detailed Attendance'!E122:E122, "A")+COUNTIF('Detailed Attendance'!Y122:Y122, "A")+COUNTIF('Detailed Attendance'!AS122:AS122, "A")+COUNTIF('Detailed Attendance'!BM122:BM122, "A")+COUNTIF('Detailed Attendance'!CJ122:CJ122, "A")+COUNTIF('Detailed Attendance'!DG122:DG122, "A")+COUNTIF('Detailed Attendance'!ED122:ED122, "A")+COUNTIF('Detailed Attendance'!EX122:EX122, "A")+COUNTIF('Detailed Attendance'!FN122:FN122, "A")</f>
        <v/>
      </c>
      <c r="X120" s="73">
        <f>IF((V120+W120)=0, "", V120/(V120+W120))</f>
        <v/>
      </c>
      <c r="Y120" s="46">
        <f>COUNTIF('Detailed Attendance'!CH122:CH122, "P")+COUNTIF('Detailed Attendance'!DE122:DE122, "P")+COUNTIF('Detailed Attendance'!EB122:EB122, "P")+COUNTIF('Detailed Attendance'!GI122:GI122, "P")</f>
        <v/>
      </c>
      <c r="Z120" s="46">
        <f>COUNTIF('Detailed Attendance'!CH122:CH122, "A")+COUNTIF('Detailed Attendance'!DE122:DE122, "A")+COUNTIF('Detailed Attendance'!EB122:EB122, "A")+COUNTIF('Detailed Attendance'!GI122:GI122, "A")</f>
        <v/>
      </c>
      <c r="AA120" s="73">
        <f>IF((Y120+Z120)=0, "", Y120/(Y120+Z120))</f>
        <v/>
      </c>
      <c r="AB120" s="46">
        <f>S120+V120+Y120</f>
        <v/>
      </c>
      <c r="AC120" s="46">
        <f>T120+W120+Z120</f>
        <v/>
      </c>
      <c r="AD120" s="73">
        <f>IF((AB120+AC120)=0, "", AB120/(AB120+AC120))</f>
        <v/>
      </c>
      <c r="AE120" s="46" t="inlineStr">
        <is>
          <t>Batch 3</t>
        </is>
      </c>
    </row>
    <row r="121" ht="14.25" customHeight="1" s="34">
      <c r="A121" s="46" t="n">
        <v>120</v>
      </c>
      <c r="B121" s="46" t="inlineStr">
        <is>
          <t>325106410120</t>
        </is>
      </c>
      <c r="C121" s="46" t="inlineStr">
        <is>
          <t>BOTTA LOKESH BABU</t>
        </is>
      </c>
      <c r="D121" s="46">
        <f>COUNTIF('Detailed Attendance'!R123:R123, "P")+COUNTIF('Detailed Attendance'!X123:X123, "P")+COUNTIF('Detailed Attendance'!AL123:AL123, "P")+COUNTIF('Detailed Attendance'!BF123:BF123, "P")+COUNTIF('Detailed Attendance'!BL123:BL123, "P")+COUNTIF('Detailed Attendance'!BZ123:BZ123, "P")+COUNTIF('Detailed Attendance'!CI123:CI123, "P")+COUNTIF('Detailed Attendance'!CW123:CW123, "P")+COUNTIF('Detailed Attendance'!DF123:DF123, "P")+COUNTIF('Detailed Attendance'!DT123:DT123, "P")+COUNTIF('Detailed Attendance'!EC123:EC123, "P")+COUNTIF('Detailed Attendance'!EQ123:EQ123, "P")+COUNTIF('Detailed Attendance'!EW123:EW123, "P")+COUNTIF('Detailed Attendance'!FK123:FK123, "P")+COUNTIF('Detailed Attendance'!FM123:FM123, "P")+COUNTIF('Detailed Attendance'!GA123:GA123, "P")</f>
        <v/>
      </c>
      <c r="E121" s="46">
        <f>COUNTIF('Detailed Attendance'!R123:R123, "A")+COUNTIF('Detailed Attendance'!X123:X123, "A")+COUNTIF('Detailed Attendance'!AL123:AL123, "A")+COUNTIF('Detailed Attendance'!BF123:BF123, "A")+COUNTIF('Detailed Attendance'!BL123:BL123, "A")+COUNTIF('Detailed Attendance'!BZ123:BZ123, "A")+COUNTIF('Detailed Attendance'!CI123:CI123, "A")+COUNTIF('Detailed Attendance'!CW123:CW123, "A")+COUNTIF('Detailed Attendance'!DF123:DF123, "A")+COUNTIF('Detailed Attendance'!DT123:DT123, "A")+COUNTIF('Detailed Attendance'!EC123:EC123, "A")+COUNTIF('Detailed Attendance'!EQ123:EQ123, "A")+COUNTIF('Detailed Attendance'!EW123:EW123, "A")+COUNTIF('Detailed Attendance'!FK123:FK123, "A")+COUNTIF('Detailed Attendance'!FM123:FM123, "A")+COUNTIF('Detailed Attendance'!GA123:GA123, "A")</f>
        <v/>
      </c>
      <c r="F121" s="72">
        <f>IF((D121+E121)=0, "", D121/(D121+E121))</f>
        <v/>
      </c>
      <c r="G121" s="46">
        <f>COUNTIF('Detailed Attendance'!I123:I123, "P")+COUNTIF('Detailed Attendance'!Q123:Q123, "P")+COUNTIF('Detailed Attendance'!AC123:AC123, "P")+COUNTIF('Detailed Attendance'!AK123:AK123, "P")+COUNTIF('Detailed Attendance'!AW123:AW123, "P")+COUNTIF('Detailed Attendance'!BE123:BE123, "P")+COUNTIF('Detailed Attendance'!BQ123:BQ123, "P")+COUNTIF('Detailed Attendance'!BY123:BY123, "P")+COUNTIF('Detailed Attendance'!CN123:CN123, "P")+COUNTIF('Detailed Attendance'!CV123:CV123, "P")+COUNTIF('Detailed Attendance'!DK123:DK123, "P")+COUNTIF('Detailed Attendance'!DS123:DS123, "P")+COUNTIF('Detailed Attendance'!EH123:EH123, "P")+COUNTIF('Detailed Attendance'!EP123:EP123, "P")+COUNTIF('Detailed Attendance'!FB123:FB123, "P")+COUNTIF('Detailed Attendance'!FJ123:FJ123, "P")+COUNTIF('Detailed Attendance'!FR123:FR123, "P")+COUNTIF('Detailed Attendance'!FZ123:FZ123, "P")</f>
        <v/>
      </c>
      <c r="H121" s="46">
        <f>COUNTIF('Detailed Attendance'!I123:I123, "A")+COUNTIF('Detailed Attendance'!Q123:Q123, "A")+COUNTIF('Detailed Attendance'!AC123:AC123, "A")+COUNTIF('Detailed Attendance'!AK123:AK123, "A")+COUNTIF('Detailed Attendance'!AW123:AW123, "A")+COUNTIF('Detailed Attendance'!BE123:BE123, "A")+COUNTIF('Detailed Attendance'!BQ123:BQ123, "A")+COUNTIF('Detailed Attendance'!BY123:BY123, "A")+COUNTIF('Detailed Attendance'!CN123:CN123, "A")+COUNTIF('Detailed Attendance'!CV123:CV123, "A")+COUNTIF('Detailed Attendance'!DK123:DK123, "A")+COUNTIF('Detailed Attendance'!DS123:DS123, "A")+COUNTIF('Detailed Attendance'!EH123:EH123, "A")+COUNTIF('Detailed Attendance'!EP123:EP123, "A")+COUNTIF('Detailed Attendance'!FB123:FB123, "A")+COUNTIF('Detailed Attendance'!FJ123:FJ123, "A")+COUNTIF('Detailed Attendance'!FR123:FR123, "A")+COUNTIF('Detailed Attendance'!FZ123:FZ123, "A")</f>
        <v/>
      </c>
      <c r="I121" s="72">
        <f>IF((G121+H121)=0, "", G121/(G121+H121))</f>
        <v/>
      </c>
      <c r="J121" s="46">
        <f>COUNTIF('Detailed Attendance'!L123:L123, "P")+COUNTIF('Detailed Attendance'!P123:P123, "P")+COUNTIF('Detailed Attendance'!AF123:AF123, "P")+COUNTIF('Detailed Attendance'!AJ123:AJ123, "P")+COUNTIF('Detailed Attendance'!AZ123:AZ123, "P")+COUNTIF('Detailed Attendance'!BD123:BD123, "P")+COUNTIF('Detailed Attendance'!BT123:BT123, "P")+COUNTIF('Detailed Attendance'!BX123:BX123, "P")+COUNTIF('Detailed Attendance'!CQ123:CQ123, "P")+COUNTIF('Detailed Attendance'!CU123:CU123, "P")+COUNTIF('Detailed Attendance'!DN123:DN123, "P")+COUNTIF('Detailed Attendance'!DR123:DR123, "P")+COUNTIF('Detailed Attendance'!EK123:EK123, "P")+COUNTIF('Detailed Attendance'!EO123:EO123, "P")+COUNTIF('Detailed Attendance'!FE123:FE123, "P")+COUNTIF('Detailed Attendance'!FI123:FI123, "P")+COUNTIF('Detailed Attendance'!FU123:FU123, "P")+COUNTIF('Detailed Attendance'!FY123:FY123, "P")</f>
        <v/>
      </c>
      <c r="K121" s="46">
        <f>COUNTIF('Detailed Attendance'!L123:L123, "A")+COUNTIF('Detailed Attendance'!P123:P123, "A")+COUNTIF('Detailed Attendance'!AF123:AF123, "A")+COUNTIF('Detailed Attendance'!AJ123:AJ123, "A")+COUNTIF('Detailed Attendance'!AZ123:AZ123, "A")+COUNTIF('Detailed Attendance'!BD123:BD123, "A")+COUNTIF('Detailed Attendance'!BT123:BT123, "A")+COUNTIF('Detailed Attendance'!BX123:BX123, "A")+COUNTIF('Detailed Attendance'!CQ123:CQ123, "A")+COUNTIF('Detailed Attendance'!CU123:CU123, "A")+COUNTIF('Detailed Attendance'!DN123:DN123, "A")+COUNTIF('Detailed Attendance'!DR123:DR123, "A")+COUNTIF('Detailed Attendance'!EK123:EK123, "A")+COUNTIF('Detailed Attendance'!EO123:EO123, "A")+COUNTIF('Detailed Attendance'!FE123:FE123, "A")+COUNTIF('Detailed Attendance'!FI123:FI123, "A")+COUNTIF('Detailed Attendance'!FU123:FU123, "A")+COUNTIF('Detailed Attendance'!FY123:FY123, "A")</f>
        <v/>
      </c>
      <c r="L121" s="72">
        <f>IF((J121+K121)=0, "", J121/(J121+K121))</f>
        <v/>
      </c>
      <c r="M121" s="46">
        <f>COUNTIF('Detailed Attendance'!D123:D123, "P")+COUNTIF('Detailed Attendance'!T123:T123, "P")+COUNTIF('Detailed Attendance'!AN123:AN123, "P")+COUNTIF('Detailed Attendance'!AR123:AR123, "P")+COUNTIF('Detailed Attendance'!BH123:BH123, "P")+COUNTIF('Detailed Attendance'!CB123:CB123, "P")+COUNTIF('Detailed Attendance'!CF123:CF123, "P")+COUNTIF('Detailed Attendance'!CY123:CY123, "P")+COUNTIF('Detailed Attendance'!DC123:DC123, "P")+COUNTIF('Detailed Attendance'!DV123:DV123, "P")+COUNTIF('Detailed Attendance'!DZ123:DZ123, "P")+COUNTIF('Detailed Attendance'!ES123:ES123, "P")+COUNTIF('Detailed Attendance'!GC123:GC123, "P")+COUNTIF('Detailed Attendance'!GG123:GG123, "P")</f>
        <v/>
      </c>
      <c r="N121" s="46">
        <f>COUNTIF('Detailed Attendance'!D123:D123, "A")+COUNTIF('Detailed Attendance'!T123:T123, "A")+COUNTIF('Detailed Attendance'!AN123:AN123, "A")+COUNTIF('Detailed Attendance'!AR123:AR123, "A")+COUNTIF('Detailed Attendance'!BH123:BH123, "A")+COUNTIF('Detailed Attendance'!CB123:CB123, "A")+COUNTIF('Detailed Attendance'!CF123:CF123, "A")+COUNTIF('Detailed Attendance'!CY123:CY123, "A")+COUNTIF('Detailed Attendance'!DC123:DC123, "A")+COUNTIF('Detailed Attendance'!DV123:DV123, "A")+COUNTIF('Detailed Attendance'!DZ123:DZ123, "A")+COUNTIF('Detailed Attendance'!ES123:ES123, "A")+COUNTIF('Detailed Attendance'!GC123:GC123, "A")+COUNTIF('Detailed Attendance'!GG123:GG123, "A")</f>
        <v/>
      </c>
      <c r="O121" s="72">
        <f>IF((M121+N121)=0, "", M121/(M121+N121))</f>
        <v/>
      </c>
      <c r="P121" s="46">
        <f>COUNTIF('Detailed Attendance'!M123:M123, "P")+COUNTIF('Detailed Attendance'!U123:U123, "P")+COUNTIF('Detailed Attendance'!AG123:AG123, "P")+COUNTIF('Detailed Attendance'!AO123:AO123, "P")+COUNTIF('Detailed Attendance'!BA123:BA123, "P")+COUNTIF('Detailed Attendance'!BI123:BI123, "P")+COUNTIF('Detailed Attendance'!BU123:BU123, "P")+COUNTIF('Detailed Attendance'!CC123:CC123, "P")+COUNTIF('Detailed Attendance'!CR123:CR123, "P")+COUNTIF('Detailed Attendance'!CZ123:CZ123, "P")+COUNTIF('Detailed Attendance'!DO123:DO123, "P")+COUNTIF('Detailed Attendance'!DW123:DW123, "P")+COUNTIF('Detailed Attendance'!EL123:EL123, "P")+COUNTIF('Detailed Attendance'!ET123:ET123, "P")+COUNTIF('Detailed Attendance'!FF123:FF123, "P")+COUNTIF('Detailed Attendance'!FV123:FV123, "P")+COUNTIF('Detailed Attendance'!GD123:GD123, "P")</f>
        <v/>
      </c>
      <c r="Q121" s="46">
        <f>COUNTIF('Detailed Attendance'!M123:M123, "A")+COUNTIF('Detailed Attendance'!U123:U123, "A")+COUNTIF('Detailed Attendance'!AG123:AG123, "A")+COUNTIF('Detailed Attendance'!AO123:AO123, "A")+COUNTIF('Detailed Attendance'!BA123:BA123, "A")+COUNTIF('Detailed Attendance'!BI123:BI123, "A")+COUNTIF('Detailed Attendance'!BU123:BU123, "A")+COUNTIF('Detailed Attendance'!CC123:CC123, "A")+COUNTIF('Detailed Attendance'!CR123:CR123, "A")+COUNTIF('Detailed Attendance'!CZ123:CZ123, "A")+COUNTIF('Detailed Attendance'!DO123:DO123, "A")+COUNTIF('Detailed Attendance'!DW123:DW123, "A")+COUNTIF('Detailed Attendance'!EL123:EL123, "A")+COUNTIF('Detailed Attendance'!ET123:ET123, "A")+COUNTIF('Detailed Attendance'!FF123:FF123, "A")+COUNTIF('Detailed Attendance'!FV123:FV123, "A")+COUNTIF('Detailed Attendance'!GD123:GD123, "A")</f>
        <v/>
      </c>
      <c r="R121" s="72">
        <f>IF((P121+Q121)=0, "", P121/(P121+Q121))</f>
        <v/>
      </c>
      <c r="S121" s="46">
        <f>COUNTIF('Detailed Attendance'!H123:H123, "P")+COUNTIF('Detailed Attendance'!AB123:AB123, "P")+COUNTIF('Detailed Attendance'!AV123:AV123, "P")+COUNTIF('Detailed Attendance'!BP123:BP123, "P")+COUNTIF('Detailed Attendance'!CM123:CM123, "P")+COUNTIF('Detailed Attendance'!DJ123:DJ123, "P")+COUNTIF('Detailed Attendance'!EG123:EG123, "P")+COUNTIF('Detailed Attendance'!FA123:FA123, "P")+COUNTIF('Detailed Attendance'!FQ123:FQ123, "P")</f>
        <v/>
      </c>
      <c r="T121" s="46">
        <f>COUNTIF('Detailed Attendance'!H123:H123, "A")+COUNTIF('Detailed Attendance'!AB123:AB123, "A")+COUNTIF('Detailed Attendance'!AV123:AV123, "A")+COUNTIF('Detailed Attendance'!BP123:BP123, "A")+COUNTIF('Detailed Attendance'!CM123:CM123, "A")+COUNTIF('Detailed Attendance'!DJ123:DJ123, "A")+COUNTIF('Detailed Attendance'!EG123:EG123, "A")+COUNTIF('Detailed Attendance'!FA123:FA123, "A")+COUNTIF('Detailed Attendance'!FQ123:FQ123, "A")</f>
        <v/>
      </c>
      <c r="U121" s="73">
        <f>IF((S121+T121)=0, "", S121/(S121+T121))</f>
        <v/>
      </c>
      <c r="V121" s="46">
        <f>COUNTIF('Detailed Attendance'!E123:E123, "P")+COUNTIF('Detailed Attendance'!Y123:Y123, "P")+COUNTIF('Detailed Attendance'!AS123:AS123, "P")+COUNTIF('Detailed Attendance'!BM123:BM123, "P")+COUNTIF('Detailed Attendance'!CJ123:CJ123, "P")+COUNTIF('Detailed Attendance'!DG123:DG123, "P")+COUNTIF('Detailed Attendance'!ED123:ED123, "P")+COUNTIF('Detailed Attendance'!EX123:EX123, "P")+COUNTIF('Detailed Attendance'!FN123:FN123, "P")</f>
        <v/>
      </c>
      <c r="W121" s="46">
        <f>COUNTIF('Detailed Attendance'!E123:E123, "A")+COUNTIF('Detailed Attendance'!Y123:Y123, "A")+COUNTIF('Detailed Attendance'!AS123:AS123, "A")+COUNTIF('Detailed Attendance'!BM123:BM123, "A")+COUNTIF('Detailed Attendance'!CJ123:CJ123, "A")+COUNTIF('Detailed Attendance'!DG123:DG123, "A")+COUNTIF('Detailed Attendance'!ED123:ED123, "A")+COUNTIF('Detailed Attendance'!EX123:EX123, "A")+COUNTIF('Detailed Attendance'!FN123:FN123, "A")</f>
        <v/>
      </c>
      <c r="X121" s="73">
        <f>IF((V121+W121)=0, "", V121/(V121+W121))</f>
        <v/>
      </c>
      <c r="Y121" s="46">
        <f>COUNTIF('Detailed Attendance'!CH123:CH123, "P")+COUNTIF('Detailed Attendance'!DE123:DE123, "P")+COUNTIF('Detailed Attendance'!EB123:EB123, "P")+COUNTIF('Detailed Attendance'!GI123:GI123, "P")</f>
        <v/>
      </c>
      <c r="Z121" s="46">
        <f>COUNTIF('Detailed Attendance'!CH123:CH123, "A")+COUNTIF('Detailed Attendance'!DE123:DE123, "A")+COUNTIF('Detailed Attendance'!EB123:EB123, "A")+COUNTIF('Detailed Attendance'!GI123:GI123, "A")</f>
        <v/>
      </c>
      <c r="AA121" s="73">
        <f>IF((Y121+Z121)=0, "", Y121/(Y121+Z121))</f>
        <v/>
      </c>
      <c r="AB121" s="46">
        <f>S121+V121+Y121</f>
        <v/>
      </c>
      <c r="AC121" s="46">
        <f>T121+W121+Z121</f>
        <v/>
      </c>
      <c r="AD121" s="73">
        <f>IF((AB121+AC121)=0, "", AB121/(AB121+AC121))</f>
        <v/>
      </c>
      <c r="AE121" s="46" t="inlineStr">
        <is>
          <t>Batch 3</t>
        </is>
      </c>
    </row>
    <row r="122" ht="14.25" customHeight="1" s="34">
      <c r="A122" s="46" t="n">
        <v>121</v>
      </c>
      <c r="B122" s="46" t="inlineStr">
        <is>
          <t>325106410121</t>
        </is>
      </c>
      <c r="C122" s="46" t="inlineStr">
        <is>
          <t>MADDULA SRAVAN KUMAR</t>
        </is>
      </c>
      <c r="D122" s="46">
        <f>COUNTIF('Detailed Attendance'!R124:R124, "P")+COUNTIF('Detailed Attendance'!X124:X124, "P")+COUNTIF('Detailed Attendance'!AL124:AL124, "P")+COUNTIF('Detailed Attendance'!BF124:BF124, "P")+COUNTIF('Detailed Attendance'!BL124:BL124, "P")+COUNTIF('Detailed Attendance'!BZ124:BZ124, "P")+COUNTIF('Detailed Attendance'!CI124:CI124, "P")+COUNTIF('Detailed Attendance'!CW124:CW124, "P")+COUNTIF('Detailed Attendance'!DF124:DF124, "P")+COUNTIF('Detailed Attendance'!DT124:DT124, "P")+COUNTIF('Detailed Attendance'!EC124:EC124, "P")+COUNTIF('Detailed Attendance'!EQ124:EQ124, "P")+COUNTIF('Detailed Attendance'!EW124:EW124, "P")+COUNTIF('Detailed Attendance'!FK124:FK124, "P")+COUNTIF('Detailed Attendance'!FM124:FM124, "P")+COUNTIF('Detailed Attendance'!GA124:GA124, "P")</f>
        <v/>
      </c>
      <c r="E122" s="46">
        <f>COUNTIF('Detailed Attendance'!R124:R124, "A")+COUNTIF('Detailed Attendance'!X124:X124, "A")+COUNTIF('Detailed Attendance'!AL124:AL124, "A")+COUNTIF('Detailed Attendance'!BF124:BF124, "A")+COUNTIF('Detailed Attendance'!BL124:BL124, "A")+COUNTIF('Detailed Attendance'!BZ124:BZ124, "A")+COUNTIF('Detailed Attendance'!CI124:CI124, "A")+COUNTIF('Detailed Attendance'!CW124:CW124, "A")+COUNTIF('Detailed Attendance'!DF124:DF124, "A")+COUNTIF('Detailed Attendance'!DT124:DT124, "A")+COUNTIF('Detailed Attendance'!EC124:EC124, "A")+COUNTIF('Detailed Attendance'!EQ124:EQ124, "A")+COUNTIF('Detailed Attendance'!EW124:EW124, "A")+COUNTIF('Detailed Attendance'!FK124:FK124, "A")+COUNTIF('Detailed Attendance'!FM124:FM124, "A")+COUNTIF('Detailed Attendance'!GA124:GA124, "A")</f>
        <v/>
      </c>
      <c r="F122" s="72">
        <f>IF((D122+E122)=0, "", D122/(D122+E122))</f>
        <v/>
      </c>
      <c r="G122" s="46">
        <f>COUNTIF('Detailed Attendance'!I124:I124, "P")+COUNTIF('Detailed Attendance'!Q124:Q124, "P")+COUNTIF('Detailed Attendance'!AC124:AC124, "P")+COUNTIF('Detailed Attendance'!AK124:AK124, "P")+COUNTIF('Detailed Attendance'!AW124:AW124, "P")+COUNTIF('Detailed Attendance'!BE124:BE124, "P")+COUNTIF('Detailed Attendance'!BQ124:BQ124, "P")+COUNTIF('Detailed Attendance'!BY124:BY124, "P")+COUNTIF('Detailed Attendance'!CN124:CN124, "P")+COUNTIF('Detailed Attendance'!CV124:CV124, "P")+COUNTIF('Detailed Attendance'!DK124:DK124, "P")+COUNTIF('Detailed Attendance'!DS124:DS124, "P")+COUNTIF('Detailed Attendance'!EH124:EH124, "P")+COUNTIF('Detailed Attendance'!EP124:EP124, "P")+COUNTIF('Detailed Attendance'!FB124:FB124, "P")+COUNTIF('Detailed Attendance'!FJ124:FJ124, "P")+COUNTIF('Detailed Attendance'!FR124:FR124, "P")+COUNTIF('Detailed Attendance'!FZ124:FZ124, "P")</f>
        <v/>
      </c>
      <c r="H122" s="46">
        <f>COUNTIF('Detailed Attendance'!I124:I124, "A")+COUNTIF('Detailed Attendance'!Q124:Q124, "A")+COUNTIF('Detailed Attendance'!AC124:AC124, "A")+COUNTIF('Detailed Attendance'!AK124:AK124, "A")+COUNTIF('Detailed Attendance'!AW124:AW124, "A")+COUNTIF('Detailed Attendance'!BE124:BE124, "A")+COUNTIF('Detailed Attendance'!BQ124:BQ124, "A")+COUNTIF('Detailed Attendance'!BY124:BY124, "A")+COUNTIF('Detailed Attendance'!CN124:CN124, "A")+COUNTIF('Detailed Attendance'!CV124:CV124, "A")+COUNTIF('Detailed Attendance'!DK124:DK124, "A")+COUNTIF('Detailed Attendance'!DS124:DS124, "A")+COUNTIF('Detailed Attendance'!EH124:EH124, "A")+COUNTIF('Detailed Attendance'!EP124:EP124, "A")+COUNTIF('Detailed Attendance'!FB124:FB124, "A")+COUNTIF('Detailed Attendance'!FJ124:FJ124, "A")+COUNTIF('Detailed Attendance'!FR124:FR124, "A")+COUNTIF('Detailed Attendance'!FZ124:FZ124, "A")</f>
        <v/>
      </c>
      <c r="I122" s="72">
        <f>IF((G122+H122)=0, "", G122/(G122+H122))</f>
        <v/>
      </c>
      <c r="J122" s="46">
        <f>COUNTIF('Detailed Attendance'!L124:L124, "P")+COUNTIF('Detailed Attendance'!P124:P124, "P")+COUNTIF('Detailed Attendance'!AF124:AF124, "P")+COUNTIF('Detailed Attendance'!AJ124:AJ124, "P")+COUNTIF('Detailed Attendance'!AZ124:AZ124, "P")+COUNTIF('Detailed Attendance'!BD124:BD124, "P")+COUNTIF('Detailed Attendance'!BT124:BT124, "P")+COUNTIF('Detailed Attendance'!BX124:BX124, "P")+COUNTIF('Detailed Attendance'!CQ124:CQ124, "P")+COUNTIF('Detailed Attendance'!CU124:CU124, "P")+COUNTIF('Detailed Attendance'!DN124:DN124, "P")+COUNTIF('Detailed Attendance'!DR124:DR124, "P")+COUNTIF('Detailed Attendance'!EK124:EK124, "P")+COUNTIF('Detailed Attendance'!EO124:EO124, "P")+COUNTIF('Detailed Attendance'!FE124:FE124, "P")+COUNTIF('Detailed Attendance'!FI124:FI124, "P")+COUNTIF('Detailed Attendance'!FU124:FU124, "P")+COUNTIF('Detailed Attendance'!FY124:FY124, "P")</f>
        <v/>
      </c>
      <c r="K122" s="46">
        <f>COUNTIF('Detailed Attendance'!L124:L124, "A")+COUNTIF('Detailed Attendance'!P124:P124, "A")+COUNTIF('Detailed Attendance'!AF124:AF124, "A")+COUNTIF('Detailed Attendance'!AJ124:AJ124, "A")+COUNTIF('Detailed Attendance'!AZ124:AZ124, "A")+COUNTIF('Detailed Attendance'!BD124:BD124, "A")+COUNTIF('Detailed Attendance'!BT124:BT124, "A")+COUNTIF('Detailed Attendance'!BX124:BX124, "A")+COUNTIF('Detailed Attendance'!CQ124:CQ124, "A")+COUNTIF('Detailed Attendance'!CU124:CU124, "A")+COUNTIF('Detailed Attendance'!DN124:DN124, "A")+COUNTIF('Detailed Attendance'!DR124:DR124, "A")+COUNTIF('Detailed Attendance'!EK124:EK124, "A")+COUNTIF('Detailed Attendance'!EO124:EO124, "A")+COUNTIF('Detailed Attendance'!FE124:FE124, "A")+COUNTIF('Detailed Attendance'!FI124:FI124, "A")+COUNTIF('Detailed Attendance'!FU124:FU124, "A")+COUNTIF('Detailed Attendance'!FY124:FY124, "A")</f>
        <v/>
      </c>
      <c r="L122" s="72">
        <f>IF((J122+K122)=0, "", J122/(J122+K122))</f>
        <v/>
      </c>
      <c r="M122" s="46">
        <f>COUNTIF('Detailed Attendance'!D124:D124, "P")+COUNTIF('Detailed Attendance'!T124:T124, "P")+COUNTIF('Detailed Attendance'!AN124:AN124, "P")+COUNTIF('Detailed Attendance'!AR124:AR124, "P")+COUNTIF('Detailed Attendance'!BH124:BH124, "P")+COUNTIF('Detailed Attendance'!CB124:CB124, "P")+COUNTIF('Detailed Attendance'!CF124:CF124, "P")+COUNTIF('Detailed Attendance'!CY124:CY124, "P")+COUNTIF('Detailed Attendance'!DC124:DC124, "P")+COUNTIF('Detailed Attendance'!DV124:DV124, "P")+COUNTIF('Detailed Attendance'!DZ124:DZ124, "P")+COUNTIF('Detailed Attendance'!ES124:ES124, "P")+COUNTIF('Detailed Attendance'!GC124:GC124, "P")+COUNTIF('Detailed Attendance'!GG124:GG124, "P")</f>
        <v/>
      </c>
      <c r="N122" s="46">
        <f>COUNTIF('Detailed Attendance'!D124:D124, "A")+COUNTIF('Detailed Attendance'!T124:T124, "A")+COUNTIF('Detailed Attendance'!AN124:AN124, "A")+COUNTIF('Detailed Attendance'!AR124:AR124, "A")+COUNTIF('Detailed Attendance'!BH124:BH124, "A")+COUNTIF('Detailed Attendance'!CB124:CB124, "A")+COUNTIF('Detailed Attendance'!CF124:CF124, "A")+COUNTIF('Detailed Attendance'!CY124:CY124, "A")+COUNTIF('Detailed Attendance'!DC124:DC124, "A")+COUNTIF('Detailed Attendance'!DV124:DV124, "A")+COUNTIF('Detailed Attendance'!DZ124:DZ124, "A")+COUNTIF('Detailed Attendance'!ES124:ES124, "A")+COUNTIF('Detailed Attendance'!GC124:GC124, "A")+COUNTIF('Detailed Attendance'!GG124:GG124, "A")</f>
        <v/>
      </c>
      <c r="O122" s="72">
        <f>IF((M122+N122)=0, "", M122/(M122+N122))</f>
        <v/>
      </c>
      <c r="P122" s="46">
        <f>COUNTIF('Detailed Attendance'!M124:M124, "P")+COUNTIF('Detailed Attendance'!U124:U124, "P")+COUNTIF('Detailed Attendance'!AG124:AG124, "P")+COUNTIF('Detailed Attendance'!AO124:AO124, "P")+COUNTIF('Detailed Attendance'!BA124:BA124, "P")+COUNTIF('Detailed Attendance'!BI124:BI124, "P")+COUNTIF('Detailed Attendance'!BU124:BU124, "P")+COUNTIF('Detailed Attendance'!CC124:CC124, "P")+COUNTIF('Detailed Attendance'!CR124:CR124, "P")+COUNTIF('Detailed Attendance'!CZ124:CZ124, "P")+COUNTIF('Detailed Attendance'!DO124:DO124, "P")+COUNTIF('Detailed Attendance'!DW124:DW124, "P")+COUNTIF('Detailed Attendance'!EL124:EL124, "P")+COUNTIF('Detailed Attendance'!ET124:ET124, "P")+COUNTIF('Detailed Attendance'!FF124:FF124, "P")+COUNTIF('Detailed Attendance'!FV124:FV124, "P")+COUNTIF('Detailed Attendance'!GD124:GD124, "P")</f>
        <v/>
      </c>
      <c r="Q122" s="46">
        <f>COUNTIF('Detailed Attendance'!M124:M124, "A")+COUNTIF('Detailed Attendance'!U124:U124, "A")+COUNTIF('Detailed Attendance'!AG124:AG124, "A")+COUNTIF('Detailed Attendance'!AO124:AO124, "A")+COUNTIF('Detailed Attendance'!BA124:BA124, "A")+COUNTIF('Detailed Attendance'!BI124:BI124, "A")+COUNTIF('Detailed Attendance'!BU124:BU124, "A")+COUNTIF('Detailed Attendance'!CC124:CC124, "A")+COUNTIF('Detailed Attendance'!CR124:CR124, "A")+COUNTIF('Detailed Attendance'!CZ124:CZ124, "A")+COUNTIF('Detailed Attendance'!DO124:DO124, "A")+COUNTIF('Detailed Attendance'!DW124:DW124, "A")+COUNTIF('Detailed Attendance'!EL124:EL124, "A")+COUNTIF('Detailed Attendance'!ET124:ET124, "A")+COUNTIF('Detailed Attendance'!FF124:FF124, "A")+COUNTIF('Detailed Attendance'!FV124:FV124, "A")+COUNTIF('Detailed Attendance'!GD124:GD124, "A")</f>
        <v/>
      </c>
      <c r="R122" s="72">
        <f>IF((P122+Q122)=0, "", P122/(P122+Q122))</f>
        <v/>
      </c>
      <c r="S122" s="46">
        <f>COUNTIF('Detailed Attendance'!H124:H124, "P")+COUNTIF('Detailed Attendance'!AB124:AB124, "P")+COUNTIF('Detailed Attendance'!AV124:AV124, "P")+COUNTIF('Detailed Attendance'!BP124:BP124, "P")+COUNTIF('Detailed Attendance'!CM124:CM124, "P")+COUNTIF('Detailed Attendance'!DJ124:DJ124, "P")+COUNTIF('Detailed Attendance'!EG124:EG124, "P")+COUNTIF('Detailed Attendance'!FA124:FA124, "P")+COUNTIF('Detailed Attendance'!FQ124:FQ124, "P")</f>
        <v/>
      </c>
      <c r="T122" s="46">
        <f>COUNTIF('Detailed Attendance'!H124:H124, "A")+COUNTIF('Detailed Attendance'!AB124:AB124, "A")+COUNTIF('Detailed Attendance'!AV124:AV124, "A")+COUNTIF('Detailed Attendance'!BP124:BP124, "A")+COUNTIF('Detailed Attendance'!CM124:CM124, "A")+COUNTIF('Detailed Attendance'!DJ124:DJ124, "A")+COUNTIF('Detailed Attendance'!EG124:EG124, "A")+COUNTIF('Detailed Attendance'!FA124:FA124, "A")+COUNTIF('Detailed Attendance'!FQ124:FQ124, "A")</f>
        <v/>
      </c>
      <c r="U122" s="73">
        <f>IF((S122+T122)=0, "", S122/(S122+T122))</f>
        <v/>
      </c>
      <c r="V122" s="46">
        <f>COUNTIF('Detailed Attendance'!E124:E124, "P")+COUNTIF('Detailed Attendance'!Y124:Y124, "P")+COUNTIF('Detailed Attendance'!AS124:AS124, "P")+COUNTIF('Detailed Attendance'!BM124:BM124, "P")+COUNTIF('Detailed Attendance'!CJ124:CJ124, "P")+COUNTIF('Detailed Attendance'!DG124:DG124, "P")+COUNTIF('Detailed Attendance'!ED124:ED124, "P")+COUNTIF('Detailed Attendance'!EX124:EX124, "P")+COUNTIF('Detailed Attendance'!FN124:FN124, "P")</f>
        <v/>
      </c>
      <c r="W122" s="46">
        <f>COUNTIF('Detailed Attendance'!E124:E124, "A")+COUNTIF('Detailed Attendance'!Y124:Y124, "A")+COUNTIF('Detailed Attendance'!AS124:AS124, "A")+COUNTIF('Detailed Attendance'!BM124:BM124, "A")+COUNTIF('Detailed Attendance'!CJ124:CJ124, "A")+COUNTIF('Detailed Attendance'!DG124:DG124, "A")+COUNTIF('Detailed Attendance'!ED124:ED124, "A")+COUNTIF('Detailed Attendance'!EX124:EX124, "A")+COUNTIF('Detailed Attendance'!FN124:FN124, "A")</f>
        <v/>
      </c>
      <c r="X122" s="73">
        <f>IF((V122+W122)=0, "", V122/(V122+W122))</f>
        <v/>
      </c>
      <c r="Y122" s="46">
        <f>COUNTIF('Detailed Attendance'!CH124:CH124, "P")+COUNTIF('Detailed Attendance'!DE124:DE124, "P")+COUNTIF('Detailed Attendance'!EB124:EB124, "P")+COUNTIF('Detailed Attendance'!GI124:GI124, "P")</f>
        <v/>
      </c>
      <c r="Z122" s="46">
        <f>COUNTIF('Detailed Attendance'!CH124:CH124, "A")+COUNTIF('Detailed Attendance'!DE124:DE124, "A")+COUNTIF('Detailed Attendance'!EB124:EB124, "A")+COUNTIF('Detailed Attendance'!GI124:GI124, "A")</f>
        <v/>
      </c>
      <c r="AA122" s="73">
        <f>IF((Y122+Z122)=0, "", Y122/(Y122+Z122))</f>
        <v/>
      </c>
      <c r="AB122" s="46">
        <f>S122+V122+Y122</f>
        <v/>
      </c>
      <c r="AC122" s="46">
        <f>T122+W122+Z122</f>
        <v/>
      </c>
      <c r="AD122" s="73">
        <f>IF((AB122+AC122)=0, "", AB122/(AB122+AC122))</f>
        <v/>
      </c>
      <c r="AE122" s="46" t="inlineStr">
        <is>
          <t>Batch 3</t>
        </is>
      </c>
    </row>
    <row r="123" ht="14.25" customHeight="1" s="34">
      <c r="A123" s="46" t="n">
        <v>122</v>
      </c>
      <c r="B123" s="46" t="inlineStr">
        <is>
          <t>325106410122</t>
        </is>
      </c>
      <c r="C123" s="46" t="inlineStr">
        <is>
          <t>SALADI KALYAN MODHA ANKSHINI</t>
        </is>
      </c>
      <c r="D123" s="46">
        <f>COUNTIF('Detailed Attendance'!R125:R125, "P")+COUNTIF('Detailed Attendance'!X125:X125, "P")+COUNTIF('Detailed Attendance'!AL125:AL125, "P")+COUNTIF('Detailed Attendance'!BF125:BF125, "P")+COUNTIF('Detailed Attendance'!BL125:BL125, "P")+COUNTIF('Detailed Attendance'!BZ125:BZ125, "P")+COUNTIF('Detailed Attendance'!CI125:CI125, "P")+COUNTIF('Detailed Attendance'!CW125:CW125, "P")+COUNTIF('Detailed Attendance'!DF125:DF125, "P")+COUNTIF('Detailed Attendance'!DT125:DT125, "P")+COUNTIF('Detailed Attendance'!EC125:EC125, "P")+COUNTIF('Detailed Attendance'!EQ125:EQ125, "P")+COUNTIF('Detailed Attendance'!EW125:EW125, "P")+COUNTIF('Detailed Attendance'!FK125:FK125, "P")+COUNTIF('Detailed Attendance'!FM125:FM125, "P")+COUNTIF('Detailed Attendance'!GA125:GA125, "P")</f>
        <v/>
      </c>
      <c r="E123" s="46">
        <f>COUNTIF('Detailed Attendance'!R125:R125, "A")+COUNTIF('Detailed Attendance'!X125:X125, "A")+COUNTIF('Detailed Attendance'!AL125:AL125, "A")+COUNTIF('Detailed Attendance'!BF125:BF125, "A")+COUNTIF('Detailed Attendance'!BL125:BL125, "A")+COUNTIF('Detailed Attendance'!BZ125:BZ125, "A")+COUNTIF('Detailed Attendance'!CI125:CI125, "A")+COUNTIF('Detailed Attendance'!CW125:CW125, "A")+COUNTIF('Detailed Attendance'!DF125:DF125, "A")+COUNTIF('Detailed Attendance'!DT125:DT125, "A")+COUNTIF('Detailed Attendance'!EC125:EC125, "A")+COUNTIF('Detailed Attendance'!EQ125:EQ125, "A")+COUNTIF('Detailed Attendance'!EW125:EW125, "A")+COUNTIF('Detailed Attendance'!FK125:FK125, "A")+COUNTIF('Detailed Attendance'!FM125:FM125, "A")+COUNTIF('Detailed Attendance'!GA125:GA125, "A")</f>
        <v/>
      </c>
      <c r="F123" s="72">
        <f>IF((D123+E123)=0, "", D123/(D123+E123))</f>
        <v/>
      </c>
      <c r="G123" s="46">
        <f>COUNTIF('Detailed Attendance'!I125:I125, "P")+COUNTIF('Detailed Attendance'!Q125:Q125, "P")+COUNTIF('Detailed Attendance'!AC125:AC125, "P")+COUNTIF('Detailed Attendance'!AK125:AK125, "P")+COUNTIF('Detailed Attendance'!AW125:AW125, "P")+COUNTIF('Detailed Attendance'!BE125:BE125, "P")+COUNTIF('Detailed Attendance'!BQ125:BQ125, "P")+COUNTIF('Detailed Attendance'!BY125:BY125, "P")+COUNTIF('Detailed Attendance'!CN125:CN125, "P")+COUNTIF('Detailed Attendance'!CV125:CV125, "P")+COUNTIF('Detailed Attendance'!DK125:DK125, "P")+COUNTIF('Detailed Attendance'!DS125:DS125, "P")+COUNTIF('Detailed Attendance'!EH125:EH125, "P")+COUNTIF('Detailed Attendance'!EP125:EP125, "P")+COUNTIF('Detailed Attendance'!FB125:FB125, "P")+COUNTIF('Detailed Attendance'!FJ125:FJ125, "P")+COUNTIF('Detailed Attendance'!FR125:FR125, "P")+COUNTIF('Detailed Attendance'!FZ125:FZ125, "P")</f>
        <v/>
      </c>
      <c r="H123" s="46">
        <f>COUNTIF('Detailed Attendance'!I125:I125, "A")+COUNTIF('Detailed Attendance'!Q125:Q125, "A")+COUNTIF('Detailed Attendance'!AC125:AC125, "A")+COUNTIF('Detailed Attendance'!AK125:AK125, "A")+COUNTIF('Detailed Attendance'!AW125:AW125, "A")+COUNTIF('Detailed Attendance'!BE125:BE125, "A")+COUNTIF('Detailed Attendance'!BQ125:BQ125, "A")+COUNTIF('Detailed Attendance'!BY125:BY125, "A")+COUNTIF('Detailed Attendance'!CN125:CN125, "A")+COUNTIF('Detailed Attendance'!CV125:CV125, "A")+COUNTIF('Detailed Attendance'!DK125:DK125, "A")+COUNTIF('Detailed Attendance'!DS125:DS125, "A")+COUNTIF('Detailed Attendance'!EH125:EH125, "A")+COUNTIF('Detailed Attendance'!EP125:EP125, "A")+COUNTIF('Detailed Attendance'!FB125:FB125, "A")+COUNTIF('Detailed Attendance'!FJ125:FJ125, "A")+COUNTIF('Detailed Attendance'!FR125:FR125, "A")+COUNTIF('Detailed Attendance'!FZ125:FZ125, "A")</f>
        <v/>
      </c>
      <c r="I123" s="72">
        <f>IF((G123+H123)=0, "", G123/(G123+H123))</f>
        <v/>
      </c>
      <c r="J123" s="46">
        <f>COUNTIF('Detailed Attendance'!L125:L125, "P")+COUNTIF('Detailed Attendance'!P125:P125, "P")+COUNTIF('Detailed Attendance'!AF125:AF125, "P")+COUNTIF('Detailed Attendance'!AJ125:AJ125, "P")+COUNTIF('Detailed Attendance'!AZ125:AZ125, "P")+COUNTIF('Detailed Attendance'!BD125:BD125, "P")+COUNTIF('Detailed Attendance'!BT125:BT125, "P")+COUNTIF('Detailed Attendance'!BX125:BX125, "P")+COUNTIF('Detailed Attendance'!CQ125:CQ125, "P")+COUNTIF('Detailed Attendance'!CU125:CU125, "P")+COUNTIF('Detailed Attendance'!DN125:DN125, "P")+COUNTIF('Detailed Attendance'!DR125:DR125, "P")+COUNTIF('Detailed Attendance'!EK125:EK125, "P")+COUNTIF('Detailed Attendance'!EO125:EO125, "P")+COUNTIF('Detailed Attendance'!FE125:FE125, "P")+COUNTIF('Detailed Attendance'!FI125:FI125, "P")+COUNTIF('Detailed Attendance'!FU125:FU125, "P")+COUNTIF('Detailed Attendance'!FY125:FY125, "P")</f>
        <v/>
      </c>
      <c r="K123" s="46">
        <f>COUNTIF('Detailed Attendance'!L125:L125, "A")+COUNTIF('Detailed Attendance'!P125:P125, "A")+COUNTIF('Detailed Attendance'!AF125:AF125, "A")+COUNTIF('Detailed Attendance'!AJ125:AJ125, "A")+COUNTIF('Detailed Attendance'!AZ125:AZ125, "A")+COUNTIF('Detailed Attendance'!BD125:BD125, "A")+COUNTIF('Detailed Attendance'!BT125:BT125, "A")+COUNTIF('Detailed Attendance'!BX125:BX125, "A")+COUNTIF('Detailed Attendance'!CQ125:CQ125, "A")+COUNTIF('Detailed Attendance'!CU125:CU125, "A")+COUNTIF('Detailed Attendance'!DN125:DN125, "A")+COUNTIF('Detailed Attendance'!DR125:DR125, "A")+COUNTIF('Detailed Attendance'!EK125:EK125, "A")+COUNTIF('Detailed Attendance'!EO125:EO125, "A")+COUNTIF('Detailed Attendance'!FE125:FE125, "A")+COUNTIF('Detailed Attendance'!FI125:FI125, "A")+COUNTIF('Detailed Attendance'!FU125:FU125, "A")+COUNTIF('Detailed Attendance'!FY125:FY125, "A")</f>
        <v/>
      </c>
      <c r="L123" s="72">
        <f>IF((J123+K123)=0, "", J123/(J123+K123))</f>
        <v/>
      </c>
      <c r="M123" s="46">
        <f>COUNTIF('Detailed Attendance'!D125:D125, "P")+COUNTIF('Detailed Attendance'!T125:T125, "P")+COUNTIF('Detailed Attendance'!AN125:AN125, "P")+COUNTIF('Detailed Attendance'!AR125:AR125, "P")+COUNTIF('Detailed Attendance'!BH125:BH125, "P")+COUNTIF('Detailed Attendance'!CB125:CB125, "P")+COUNTIF('Detailed Attendance'!CF125:CF125, "P")+COUNTIF('Detailed Attendance'!CY125:CY125, "P")+COUNTIF('Detailed Attendance'!DC125:DC125, "P")+COUNTIF('Detailed Attendance'!DV125:DV125, "P")+COUNTIF('Detailed Attendance'!DZ125:DZ125, "P")+COUNTIF('Detailed Attendance'!ES125:ES125, "P")+COUNTIF('Detailed Attendance'!GC125:GC125, "P")+COUNTIF('Detailed Attendance'!GG125:GG125, "P")</f>
        <v/>
      </c>
      <c r="N123" s="46">
        <f>COUNTIF('Detailed Attendance'!D125:D125, "A")+COUNTIF('Detailed Attendance'!T125:T125, "A")+COUNTIF('Detailed Attendance'!AN125:AN125, "A")+COUNTIF('Detailed Attendance'!AR125:AR125, "A")+COUNTIF('Detailed Attendance'!BH125:BH125, "A")+COUNTIF('Detailed Attendance'!CB125:CB125, "A")+COUNTIF('Detailed Attendance'!CF125:CF125, "A")+COUNTIF('Detailed Attendance'!CY125:CY125, "A")+COUNTIF('Detailed Attendance'!DC125:DC125, "A")+COUNTIF('Detailed Attendance'!DV125:DV125, "A")+COUNTIF('Detailed Attendance'!DZ125:DZ125, "A")+COUNTIF('Detailed Attendance'!ES125:ES125, "A")+COUNTIF('Detailed Attendance'!GC125:GC125, "A")+COUNTIF('Detailed Attendance'!GG125:GG125, "A")</f>
        <v/>
      </c>
      <c r="O123" s="72">
        <f>IF((M123+N123)=0, "", M123/(M123+N123))</f>
        <v/>
      </c>
      <c r="P123" s="46">
        <f>COUNTIF('Detailed Attendance'!M125:M125, "P")+COUNTIF('Detailed Attendance'!U125:U125, "P")+COUNTIF('Detailed Attendance'!AG125:AG125, "P")+COUNTIF('Detailed Attendance'!AO125:AO125, "P")+COUNTIF('Detailed Attendance'!BA125:BA125, "P")+COUNTIF('Detailed Attendance'!BI125:BI125, "P")+COUNTIF('Detailed Attendance'!BU125:BU125, "P")+COUNTIF('Detailed Attendance'!CC125:CC125, "P")+COUNTIF('Detailed Attendance'!CR125:CR125, "P")+COUNTIF('Detailed Attendance'!CZ125:CZ125, "P")+COUNTIF('Detailed Attendance'!DO125:DO125, "P")+COUNTIF('Detailed Attendance'!DW125:DW125, "P")+COUNTIF('Detailed Attendance'!EL125:EL125, "P")+COUNTIF('Detailed Attendance'!ET125:ET125, "P")+COUNTIF('Detailed Attendance'!FF125:FF125, "P")+COUNTIF('Detailed Attendance'!FV125:FV125, "P")+COUNTIF('Detailed Attendance'!GD125:GD125, "P")</f>
        <v/>
      </c>
      <c r="Q123" s="46">
        <f>COUNTIF('Detailed Attendance'!M125:M125, "A")+COUNTIF('Detailed Attendance'!U125:U125, "A")+COUNTIF('Detailed Attendance'!AG125:AG125, "A")+COUNTIF('Detailed Attendance'!AO125:AO125, "A")+COUNTIF('Detailed Attendance'!BA125:BA125, "A")+COUNTIF('Detailed Attendance'!BI125:BI125, "A")+COUNTIF('Detailed Attendance'!BU125:BU125, "A")+COUNTIF('Detailed Attendance'!CC125:CC125, "A")+COUNTIF('Detailed Attendance'!CR125:CR125, "A")+COUNTIF('Detailed Attendance'!CZ125:CZ125, "A")+COUNTIF('Detailed Attendance'!DO125:DO125, "A")+COUNTIF('Detailed Attendance'!DW125:DW125, "A")+COUNTIF('Detailed Attendance'!EL125:EL125, "A")+COUNTIF('Detailed Attendance'!ET125:ET125, "A")+COUNTIF('Detailed Attendance'!FF125:FF125, "A")+COUNTIF('Detailed Attendance'!FV125:FV125, "A")+COUNTIF('Detailed Attendance'!GD125:GD125, "A")</f>
        <v/>
      </c>
      <c r="R123" s="72">
        <f>IF((P123+Q123)=0, "", P123/(P123+Q123))</f>
        <v/>
      </c>
      <c r="S123" s="46">
        <f>COUNTIF('Detailed Attendance'!H125:H125, "P")+COUNTIF('Detailed Attendance'!AB125:AB125, "P")+COUNTIF('Detailed Attendance'!AV125:AV125, "P")+COUNTIF('Detailed Attendance'!BP125:BP125, "P")+COUNTIF('Detailed Attendance'!CM125:CM125, "P")+COUNTIF('Detailed Attendance'!DJ125:DJ125, "P")+COUNTIF('Detailed Attendance'!EG125:EG125, "P")+COUNTIF('Detailed Attendance'!FA125:FA125, "P")+COUNTIF('Detailed Attendance'!FQ125:FQ125, "P")</f>
        <v/>
      </c>
      <c r="T123" s="46">
        <f>COUNTIF('Detailed Attendance'!H125:H125, "A")+COUNTIF('Detailed Attendance'!AB125:AB125, "A")+COUNTIF('Detailed Attendance'!AV125:AV125, "A")+COUNTIF('Detailed Attendance'!BP125:BP125, "A")+COUNTIF('Detailed Attendance'!CM125:CM125, "A")+COUNTIF('Detailed Attendance'!DJ125:DJ125, "A")+COUNTIF('Detailed Attendance'!EG125:EG125, "A")+COUNTIF('Detailed Attendance'!FA125:FA125, "A")+COUNTIF('Detailed Attendance'!FQ125:FQ125, "A")</f>
        <v/>
      </c>
      <c r="U123" s="73">
        <f>IF((S123+T123)=0, "", S123/(S123+T123))</f>
        <v/>
      </c>
      <c r="V123" s="46">
        <f>COUNTIF('Detailed Attendance'!E125:E125, "P")+COUNTIF('Detailed Attendance'!Y125:Y125, "P")+COUNTIF('Detailed Attendance'!AS125:AS125, "P")+COUNTIF('Detailed Attendance'!BM125:BM125, "P")+COUNTIF('Detailed Attendance'!CJ125:CJ125, "P")+COUNTIF('Detailed Attendance'!DG125:DG125, "P")+COUNTIF('Detailed Attendance'!ED125:ED125, "P")+COUNTIF('Detailed Attendance'!EX125:EX125, "P")+COUNTIF('Detailed Attendance'!FN125:FN125, "P")</f>
        <v/>
      </c>
      <c r="W123" s="46">
        <f>COUNTIF('Detailed Attendance'!E125:E125, "A")+COUNTIF('Detailed Attendance'!Y125:Y125, "A")+COUNTIF('Detailed Attendance'!AS125:AS125, "A")+COUNTIF('Detailed Attendance'!BM125:BM125, "A")+COUNTIF('Detailed Attendance'!CJ125:CJ125, "A")+COUNTIF('Detailed Attendance'!DG125:DG125, "A")+COUNTIF('Detailed Attendance'!ED125:ED125, "A")+COUNTIF('Detailed Attendance'!EX125:EX125, "A")+COUNTIF('Detailed Attendance'!FN125:FN125, "A")</f>
        <v/>
      </c>
      <c r="X123" s="73">
        <f>IF((V123+W123)=0, "", V123/(V123+W123))</f>
        <v/>
      </c>
      <c r="Y123" s="46">
        <f>COUNTIF('Detailed Attendance'!CH125:CH125, "P")+COUNTIF('Detailed Attendance'!DE125:DE125, "P")+COUNTIF('Detailed Attendance'!EB125:EB125, "P")+COUNTIF('Detailed Attendance'!GI125:GI125, "P")</f>
        <v/>
      </c>
      <c r="Z123" s="46">
        <f>COUNTIF('Detailed Attendance'!CH125:CH125, "A")+COUNTIF('Detailed Attendance'!DE125:DE125, "A")+COUNTIF('Detailed Attendance'!EB125:EB125, "A")+COUNTIF('Detailed Attendance'!GI125:GI125, "A")</f>
        <v/>
      </c>
      <c r="AA123" s="73">
        <f>IF((Y123+Z123)=0, "", Y123/(Y123+Z123))</f>
        <v/>
      </c>
      <c r="AB123" s="46">
        <f>S123+V123+Y123</f>
        <v/>
      </c>
      <c r="AC123" s="46">
        <f>T123+W123+Z123</f>
        <v/>
      </c>
      <c r="AD123" s="73">
        <f>IF((AB123+AC123)=0, "", AB123/(AB123+AC123))</f>
        <v/>
      </c>
      <c r="AE123" s="46" t="inlineStr">
        <is>
          <t>Batch 3</t>
        </is>
      </c>
    </row>
    <row r="124" ht="14.25" customHeight="1" s="34">
      <c r="A124" s="46" t="n">
        <v>123</v>
      </c>
      <c r="B124" s="46" t="inlineStr">
        <is>
          <t>325106410123</t>
        </is>
      </c>
      <c r="C124" s="46" t="inlineStr">
        <is>
          <t>VERAPANENI VENKATA CHOWDARY</t>
        </is>
      </c>
      <c r="D124" s="46">
        <f>COUNTIF('Detailed Attendance'!R126:R126, "P")+COUNTIF('Detailed Attendance'!X126:X126, "P")+COUNTIF('Detailed Attendance'!AL126:AL126, "P")+COUNTIF('Detailed Attendance'!BF126:BF126, "P")+COUNTIF('Detailed Attendance'!BL126:BL126, "P")+COUNTIF('Detailed Attendance'!BZ126:BZ126, "P")+COUNTIF('Detailed Attendance'!CI126:CI126, "P")+COUNTIF('Detailed Attendance'!CW126:CW126, "P")+COUNTIF('Detailed Attendance'!DF126:DF126, "P")+COUNTIF('Detailed Attendance'!DT126:DT126, "P")+COUNTIF('Detailed Attendance'!EC126:EC126, "P")+COUNTIF('Detailed Attendance'!EQ126:EQ126, "P")+COUNTIF('Detailed Attendance'!EW126:EW126, "P")+COUNTIF('Detailed Attendance'!FK126:FK126, "P")+COUNTIF('Detailed Attendance'!FM126:FM126, "P")+COUNTIF('Detailed Attendance'!GA126:GA126, "P")</f>
        <v/>
      </c>
      <c r="E124" s="46">
        <f>COUNTIF('Detailed Attendance'!R126:R126, "A")+COUNTIF('Detailed Attendance'!X126:X126, "A")+COUNTIF('Detailed Attendance'!AL126:AL126, "A")+COUNTIF('Detailed Attendance'!BF126:BF126, "A")+COUNTIF('Detailed Attendance'!BL126:BL126, "A")+COUNTIF('Detailed Attendance'!BZ126:BZ126, "A")+COUNTIF('Detailed Attendance'!CI126:CI126, "A")+COUNTIF('Detailed Attendance'!CW126:CW126, "A")+COUNTIF('Detailed Attendance'!DF126:DF126, "A")+COUNTIF('Detailed Attendance'!DT126:DT126, "A")+COUNTIF('Detailed Attendance'!EC126:EC126, "A")+COUNTIF('Detailed Attendance'!EQ126:EQ126, "A")+COUNTIF('Detailed Attendance'!EW126:EW126, "A")+COUNTIF('Detailed Attendance'!FK126:FK126, "A")+COUNTIF('Detailed Attendance'!FM126:FM126, "A")+COUNTIF('Detailed Attendance'!GA126:GA126, "A")</f>
        <v/>
      </c>
      <c r="F124" s="72">
        <f>IF((D124+E124)=0, "", D124/(D124+E124))</f>
        <v/>
      </c>
      <c r="G124" s="46">
        <f>COUNTIF('Detailed Attendance'!I126:I126, "P")+COUNTIF('Detailed Attendance'!Q126:Q126, "P")+COUNTIF('Detailed Attendance'!AC126:AC126, "P")+COUNTIF('Detailed Attendance'!AK126:AK126, "P")+COUNTIF('Detailed Attendance'!AW126:AW126, "P")+COUNTIF('Detailed Attendance'!BE126:BE126, "P")+COUNTIF('Detailed Attendance'!BQ126:BQ126, "P")+COUNTIF('Detailed Attendance'!BY126:BY126, "P")+COUNTIF('Detailed Attendance'!CN126:CN126, "P")+COUNTIF('Detailed Attendance'!CV126:CV126, "P")+COUNTIF('Detailed Attendance'!DK126:DK126, "P")+COUNTIF('Detailed Attendance'!DS126:DS126, "P")+COUNTIF('Detailed Attendance'!EH126:EH126, "P")+COUNTIF('Detailed Attendance'!EP126:EP126, "P")+COUNTIF('Detailed Attendance'!FB126:FB126, "P")+COUNTIF('Detailed Attendance'!FJ126:FJ126, "P")+COUNTIF('Detailed Attendance'!FR126:FR126, "P")+COUNTIF('Detailed Attendance'!FZ126:FZ126, "P")</f>
        <v/>
      </c>
      <c r="H124" s="46">
        <f>COUNTIF('Detailed Attendance'!I126:I126, "A")+COUNTIF('Detailed Attendance'!Q126:Q126, "A")+COUNTIF('Detailed Attendance'!AC126:AC126, "A")+COUNTIF('Detailed Attendance'!AK126:AK126, "A")+COUNTIF('Detailed Attendance'!AW126:AW126, "A")+COUNTIF('Detailed Attendance'!BE126:BE126, "A")+COUNTIF('Detailed Attendance'!BQ126:BQ126, "A")+COUNTIF('Detailed Attendance'!BY126:BY126, "A")+COUNTIF('Detailed Attendance'!CN126:CN126, "A")+COUNTIF('Detailed Attendance'!CV126:CV126, "A")+COUNTIF('Detailed Attendance'!DK126:DK126, "A")+COUNTIF('Detailed Attendance'!DS126:DS126, "A")+COUNTIF('Detailed Attendance'!EH126:EH126, "A")+COUNTIF('Detailed Attendance'!EP126:EP126, "A")+COUNTIF('Detailed Attendance'!FB126:FB126, "A")+COUNTIF('Detailed Attendance'!FJ126:FJ126, "A")+COUNTIF('Detailed Attendance'!FR126:FR126, "A")+COUNTIF('Detailed Attendance'!FZ126:FZ126, "A")</f>
        <v/>
      </c>
      <c r="I124" s="72">
        <f>IF((G124+H124)=0, "", G124/(G124+H124))</f>
        <v/>
      </c>
      <c r="J124" s="46">
        <f>COUNTIF('Detailed Attendance'!L126:L126, "P")+COUNTIF('Detailed Attendance'!P126:P126, "P")+COUNTIF('Detailed Attendance'!AF126:AF126, "P")+COUNTIF('Detailed Attendance'!AJ126:AJ126, "P")+COUNTIF('Detailed Attendance'!AZ126:AZ126, "P")+COUNTIF('Detailed Attendance'!BD126:BD126, "P")+COUNTIF('Detailed Attendance'!BT126:BT126, "P")+COUNTIF('Detailed Attendance'!BX126:BX126, "P")+COUNTIF('Detailed Attendance'!CQ126:CQ126, "P")+COUNTIF('Detailed Attendance'!CU126:CU126, "P")+COUNTIF('Detailed Attendance'!DN126:DN126, "P")+COUNTIF('Detailed Attendance'!DR126:DR126, "P")+COUNTIF('Detailed Attendance'!EK126:EK126, "P")+COUNTIF('Detailed Attendance'!EO126:EO126, "P")+COUNTIF('Detailed Attendance'!FE126:FE126, "P")+COUNTIF('Detailed Attendance'!FI126:FI126, "P")+COUNTIF('Detailed Attendance'!FU126:FU126, "P")+COUNTIF('Detailed Attendance'!FY126:FY126, "P")</f>
        <v/>
      </c>
      <c r="K124" s="46">
        <f>COUNTIF('Detailed Attendance'!L126:L126, "A")+COUNTIF('Detailed Attendance'!P126:P126, "A")+COUNTIF('Detailed Attendance'!AF126:AF126, "A")+COUNTIF('Detailed Attendance'!AJ126:AJ126, "A")+COUNTIF('Detailed Attendance'!AZ126:AZ126, "A")+COUNTIF('Detailed Attendance'!BD126:BD126, "A")+COUNTIF('Detailed Attendance'!BT126:BT126, "A")+COUNTIF('Detailed Attendance'!BX126:BX126, "A")+COUNTIF('Detailed Attendance'!CQ126:CQ126, "A")+COUNTIF('Detailed Attendance'!CU126:CU126, "A")+COUNTIF('Detailed Attendance'!DN126:DN126, "A")+COUNTIF('Detailed Attendance'!DR126:DR126, "A")+COUNTIF('Detailed Attendance'!EK126:EK126, "A")+COUNTIF('Detailed Attendance'!EO126:EO126, "A")+COUNTIF('Detailed Attendance'!FE126:FE126, "A")+COUNTIF('Detailed Attendance'!FI126:FI126, "A")+COUNTIF('Detailed Attendance'!FU126:FU126, "A")+COUNTIF('Detailed Attendance'!FY126:FY126, "A")</f>
        <v/>
      </c>
      <c r="L124" s="72">
        <f>IF((J124+K124)=0, "", J124/(J124+K124))</f>
        <v/>
      </c>
      <c r="M124" s="46">
        <f>COUNTIF('Detailed Attendance'!D126:D126, "P")+COUNTIF('Detailed Attendance'!T126:T126, "P")+COUNTIF('Detailed Attendance'!AN126:AN126, "P")+COUNTIF('Detailed Attendance'!AR126:AR126, "P")+COUNTIF('Detailed Attendance'!BH126:BH126, "P")+COUNTIF('Detailed Attendance'!CB126:CB126, "P")+COUNTIF('Detailed Attendance'!CF126:CF126, "P")+COUNTIF('Detailed Attendance'!CY126:CY126, "P")+COUNTIF('Detailed Attendance'!DC126:DC126, "P")+COUNTIF('Detailed Attendance'!DV126:DV126, "P")+COUNTIF('Detailed Attendance'!DZ126:DZ126, "P")+COUNTIF('Detailed Attendance'!ES126:ES126, "P")+COUNTIF('Detailed Attendance'!GC126:GC126, "P")+COUNTIF('Detailed Attendance'!GG126:GG126, "P")</f>
        <v/>
      </c>
      <c r="N124" s="46">
        <f>COUNTIF('Detailed Attendance'!D126:D126, "A")+COUNTIF('Detailed Attendance'!T126:T126, "A")+COUNTIF('Detailed Attendance'!AN126:AN126, "A")+COUNTIF('Detailed Attendance'!AR126:AR126, "A")+COUNTIF('Detailed Attendance'!BH126:BH126, "A")+COUNTIF('Detailed Attendance'!CB126:CB126, "A")+COUNTIF('Detailed Attendance'!CF126:CF126, "A")+COUNTIF('Detailed Attendance'!CY126:CY126, "A")+COUNTIF('Detailed Attendance'!DC126:DC126, "A")+COUNTIF('Detailed Attendance'!DV126:DV126, "A")+COUNTIF('Detailed Attendance'!DZ126:DZ126, "A")+COUNTIF('Detailed Attendance'!ES126:ES126, "A")+COUNTIF('Detailed Attendance'!GC126:GC126, "A")+COUNTIF('Detailed Attendance'!GG126:GG126, "A")</f>
        <v/>
      </c>
      <c r="O124" s="72">
        <f>IF((M124+N124)=0, "", M124/(M124+N124))</f>
        <v/>
      </c>
      <c r="P124" s="46">
        <f>COUNTIF('Detailed Attendance'!M126:M126, "P")+COUNTIF('Detailed Attendance'!U126:U126, "P")+COUNTIF('Detailed Attendance'!AG126:AG126, "P")+COUNTIF('Detailed Attendance'!AO126:AO126, "P")+COUNTIF('Detailed Attendance'!BA126:BA126, "P")+COUNTIF('Detailed Attendance'!BI126:BI126, "P")+COUNTIF('Detailed Attendance'!BU126:BU126, "P")+COUNTIF('Detailed Attendance'!CC126:CC126, "P")+COUNTIF('Detailed Attendance'!CR126:CR126, "P")+COUNTIF('Detailed Attendance'!CZ126:CZ126, "P")+COUNTIF('Detailed Attendance'!DO126:DO126, "P")+COUNTIF('Detailed Attendance'!DW126:DW126, "P")+COUNTIF('Detailed Attendance'!EL126:EL126, "P")+COUNTIF('Detailed Attendance'!ET126:ET126, "P")+COUNTIF('Detailed Attendance'!FF126:FF126, "P")+COUNTIF('Detailed Attendance'!FV126:FV126, "P")+COUNTIF('Detailed Attendance'!GD126:GD126, "P")</f>
        <v/>
      </c>
      <c r="Q124" s="46">
        <f>COUNTIF('Detailed Attendance'!M126:M126, "A")+COUNTIF('Detailed Attendance'!U126:U126, "A")+COUNTIF('Detailed Attendance'!AG126:AG126, "A")+COUNTIF('Detailed Attendance'!AO126:AO126, "A")+COUNTIF('Detailed Attendance'!BA126:BA126, "A")+COUNTIF('Detailed Attendance'!BI126:BI126, "A")+COUNTIF('Detailed Attendance'!BU126:BU126, "A")+COUNTIF('Detailed Attendance'!CC126:CC126, "A")+COUNTIF('Detailed Attendance'!CR126:CR126, "A")+COUNTIF('Detailed Attendance'!CZ126:CZ126, "A")+COUNTIF('Detailed Attendance'!DO126:DO126, "A")+COUNTIF('Detailed Attendance'!DW126:DW126, "A")+COUNTIF('Detailed Attendance'!EL126:EL126, "A")+COUNTIF('Detailed Attendance'!ET126:ET126, "A")+COUNTIF('Detailed Attendance'!FF126:FF126, "A")+COUNTIF('Detailed Attendance'!FV126:FV126, "A")+COUNTIF('Detailed Attendance'!GD126:GD126, "A")</f>
        <v/>
      </c>
      <c r="R124" s="72">
        <f>IF((P124+Q124)=0, "", P124/(P124+Q124))</f>
        <v/>
      </c>
      <c r="S124" s="46">
        <f>COUNTIF('Detailed Attendance'!H126:H126, "P")+COUNTIF('Detailed Attendance'!AB126:AB126, "P")+COUNTIF('Detailed Attendance'!AV126:AV126, "P")+COUNTIF('Detailed Attendance'!BP126:BP126, "P")+COUNTIF('Detailed Attendance'!CM126:CM126, "P")+COUNTIF('Detailed Attendance'!DJ126:DJ126, "P")+COUNTIF('Detailed Attendance'!EG126:EG126, "P")+COUNTIF('Detailed Attendance'!FA126:FA126, "P")+COUNTIF('Detailed Attendance'!FQ126:FQ126, "P")</f>
        <v/>
      </c>
      <c r="T124" s="46">
        <f>COUNTIF('Detailed Attendance'!H126:H126, "A")+COUNTIF('Detailed Attendance'!AB126:AB126, "A")+COUNTIF('Detailed Attendance'!AV126:AV126, "A")+COUNTIF('Detailed Attendance'!BP126:BP126, "A")+COUNTIF('Detailed Attendance'!CM126:CM126, "A")+COUNTIF('Detailed Attendance'!DJ126:DJ126, "A")+COUNTIF('Detailed Attendance'!EG126:EG126, "A")+COUNTIF('Detailed Attendance'!FA126:FA126, "A")+COUNTIF('Detailed Attendance'!FQ126:FQ126, "A")</f>
        <v/>
      </c>
      <c r="U124" s="73">
        <f>IF((S124+T124)=0, "", S124/(S124+T124))</f>
        <v/>
      </c>
      <c r="V124" s="46">
        <f>COUNTIF('Detailed Attendance'!E126:E126, "P")+COUNTIF('Detailed Attendance'!Y126:Y126, "P")+COUNTIF('Detailed Attendance'!AS126:AS126, "P")+COUNTIF('Detailed Attendance'!BM126:BM126, "P")+COUNTIF('Detailed Attendance'!CJ126:CJ126, "P")+COUNTIF('Detailed Attendance'!DG126:DG126, "P")+COUNTIF('Detailed Attendance'!ED126:ED126, "P")+COUNTIF('Detailed Attendance'!EX126:EX126, "P")+COUNTIF('Detailed Attendance'!FN126:FN126, "P")</f>
        <v/>
      </c>
      <c r="W124" s="46">
        <f>COUNTIF('Detailed Attendance'!E126:E126, "A")+COUNTIF('Detailed Attendance'!Y126:Y126, "A")+COUNTIF('Detailed Attendance'!AS126:AS126, "A")+COUNTIF('Detailed Attendance'!BM126:BM126, "A")+COUNTIF('Detailed Attendance'!CJ126:CJ126, "A")+COUNTIF('Detailed Attendance'!DG126:DG126, "A")+COUNTIF('Detailed Attendance'!ED126:ED126, "A")+COUNTIF('Detailed Attendance'!EX126:EX126, "A")+COUNTIF('Detailed Attendance'!FN126:FN126, "A")</f>
        <v/>
      </c>
      <c r="X124" s="73">
        <f>IF((V124+W124)=0, "", V124/(V124+W124))</f>
        <v/>
      </c>
      <c r="Y124" s="46">
        <f>COUNTIF('Detailed Attendance'!CH126:CH126, "P")+COUNTIF('Detailed Attendance'!DE126:DE126, "P")+COUNTIF('Detailed Attendance'!EB126:EB126, "P")+COUNTIF('Detailed Attendance'!GI126:GI126, "P")</f>
        <v/>
      </c>
      <c r="Z124" s="46">
        <f>COUNTIF('Detailed Attendance'!CH126:CH126, "A")+COUNTIF('Detailed Attendance'!DE126:DE126, "A")+COUNTIF('Detailed Attendance'!EB126:EB126, "A")+COUNTIF('Detailed Attendance'!GI126:GI126, "A")</f>
        <v/>
      </c>
      <c r="AA124" s="73">
        <f>IF((Y124+Z124)=0, "", Y124/(Y124+Z124))</f>
        <v/>
      </c>
      <c r="AB124" s="46">
        <f>S124+V124+Y124</f>
        <v/>
      </c>
      <c r="AC124" s="46">
        <f>T124+W124+Z124</f>
        <v/>
      </c>
      <c r="AD124" s="73">
        <f>IF((AB124+AC124)=0, "", AB124/(AB124+AC124))</f>
        <v/>
      </c>
      <c r="AE124" s="46" t="inlineStr">
        <is>
          <t>Batch 3</t>
        </is>
      </c>
    </row>
    <row r="125" ht="14.25" customHeight="1" s="34">
      <c r="A125" s="46" t="n">
        <v>124</v>
      </c>
      <c r="B125" s="46" t="inlineStr">
        <is>
          <t>325106410124</t>
        </is>
      </c>
      <c r="C125" s="46" t="inlineStr">
        <is>
          <t>YUVRAJ SINGH</t>
        </is>
      </c>
      <c r="D125" s="46">
        <f>COUNTIF('Detailed Attendance'!R127:R127, "P")+COUNTIF('Detailed Attendance'!X127:X127, "P")+COUNTIF('Detailed Attendance'!AL127:AL127, "P")+COUNTIF('Detailed Attendance'!BF127:BF127, "P")+COUNTIF('Detailed Attendance'!BL127:BL127, "P")+COUNTIF('Detailed Attendance'!BZ127:BZ127, "P")+COUNTIF('Detailed Attendance'!CI127:CI127, "P")+COUNTIF('Detailed Attendance'!CW127:CW127, "P")+COUNTIF('Detailed Attendance'!DF127:DF127, "P")+COUNTIF('Detailed Attendance'!DT127:DT127, "P")+COUNTIF('Detailed Attendance'!EC127:EC127, "P")+COUNTIF('Detailed Attendance'!EQ127:EQ127, "P")+COUNTIF('Detailed Attendance'!EW127:EW127, "P")+COUNTIF('Detailed Attendance'!FK127:FK127, "P")+COUNTIF('Detailed Attendance'!FM127:FM127, "P")+COUNTIF('Detailed Attendance'!GA127:GA127, "P")</f>
        <v/>
      </c>
      <c r="E125" s="46">
        <f>COUNTIF('Detailed Attendance'!R127:R127, "A")+COUNTIF('Detailed Attendance'!X127:X127, "A")+COUNTIF('Detailed Attendance'!AL127:AL127, "A")+COUNTIF('Detailed Attendance'!BF127:BF127, "A")+COUNTIF('Detailed Attendance'!BL127:BL127, "A")+COUNTIF('Detailed Attendance'!BZ127:BZ127, "A")+COUNTIF('Detailed Attendance'!CI127:CI127, "A")+COUNTIF('Detailed Attendance'!CW127:CW127, "A")+COUNTIF('Detailed Attendance'!DF127:DF127, "A")+COUNTIF('Detailed Attendance'!DT127:DT127, "A")+COUNTIF('Detailed Attendance'!EC127:EC127, "A")+COUNTIF('Detailed Attendance'!EQ127:EQ127, "A")+COUNTIF('Detailed Attendance'!EW127:EW127, "A")+COUNTIF('Detailed Attendance'!FK127:FK127, "A")+COUNTIF('Detailed Attendance'!FM127:FM127, "A")+COUNTIF('Detailed Attendance'!GA127:GA127, "A")</f>
        <v/>
      </c>
      <c r="F125" s="72">
        <f>IF((D125+E125)=0, "", D125/(D125+E125))</f>
        <v/>
      </c>
      <c r="G125" s="46">
        <f>COUNTIF('Detailed Attendance'!I127:I127, "P")+COUNTIF('Detailed Attendance'!Q127:Q127, "P")+COUNTIF('Detailed Attendance'!AC127:AC127, "P")+COUNTIF('Detailed Attendance'!AK127:AK127, "P")+COUNTIF('Detailed Attendance'!AW127:AW127, "P")+COUNTIF('Detailed Attendance'!BE127:BE127, "P")+COUNTIF('Detailed Attendance'!BQ127:BQ127, "P")+COUNTIF('Detailed Attendance'!BY127:BY127, "P")+COUNTIF('Detailed Attendance'!CN127:CN127, "P")+COUNTIF('Detailed Attendance'!CV127:CV127, "P")+COUNTIF('Detailed Attendance'!DK127:DK127, "P")+COUNTIF('Detailed Attendance'!DS127:DS127, "P")+COUNTIF('Detailed Attendance'!EH127:EH127, "P")+COUNTIF('Detailed Attendance'!EP127:EP127, "P")+COUNTIF('Detailed Attendance'!FB127:FB127, "P")+COUNTIF('Detailed Attendance'!FJ127:FJ127, "P")+COUNTIF('Detailed Attendance'!FR127:FR127, "P")+COUNTIF('Detailed Attendance'!FZ127:FZ127, "P")</f>
        <v/>
      </c>
      <c r="H125" s="46">
        <f>COUNTIF('Detailed Attendance'!I127:I127, "A")+COUNTIF('Detailed Attendance'!Q127:Q127, "A")+COUNTIF('Detailed Attendance'!AC127:AC127, "A")+COUNTIF('Detailed Attendance'!AK127:AK127, "A")+COUNTIF('Detailed Attendance'!AW127:AW127, "A")+COUNTIF('Detailed Attendance'!BE127:BE127, "A")+COUNTIF('Detailed Attendance'!BQ127:BQ127, "A")+COUNTIF('Detailed Attendance'!BY127:BY127, "A")+COUNTIF('Detailed Attendance'!CN127:CN127, "A")+COUNTIF('Detailed Attendance'!CV127:CV127, "A")+COUNTIF('Detailed Attendance'!DK127:DK127, "A")+COUNTIF('Detailed Attendance'!DS127:DS127, "A")+COUNTIF('Detailed Attendance'!EH127:EH127, "A")+COUNTIF('Detailed Attendance'!EP127:EP127, "A")+COUNTIF('Detailed Attendance'!FB127:FB127, "A")+COUNTIF('Detailed Attendance'!FJ127:FJ127, "A")+COUNTIF('Detailed Attendance'!FR127:FR127, "A")+COUNTIF('Detailed Attendance'!FZ127:FZ127, "A")</f>
        <v/>
      </c>
      <c r="I125" s="72">
        <f>IF((G125+H125)=0, "", G125/(G125+H125))</f>
        <v/>
      </c>
      <c r="J125" s="46">
        <f>COUNTIF('Detailed Attendance'!L127:L127, "P")+COUNTIF('Detailed Attendance'!P127:P127, "P")+COUNTIF('Detailed Attendance'!AF127:AF127, "P")+COUNTIF('Detailed Attendance'!AJ127:AJ127, "P")+COUNTIF('Detailed Attendance'!AZ127:AZ127, "P")+COUNTIF('Detailed Attendance'!BD127:BD127, "P")+COUNTIF('Detailed Attendance'!BT127:BT127, "P")+COUNTIF('Detailed Attendance'!BX127:BX127, "P")+COUNTIF('Detailed Attendance'!CQ127:CQ127, "P")+COUNTIF('Detailed Attendance'!CU127:CU127, "P")+COUNTIF('Detailed Attendance'!DN127:DN127, "P")+COUNTIF('Detailed Attendance'!DR127:DR127, "P")+COUNTIF('Detailed Attendance'!EK127:EK127, "P")+COUNTIF('Detailed Attendance'!EO127:EO127, "P")+COUNTIF('Detailed Attendance'!FE127:FE127, "P")+COUNTIF('Detailed Attendance'!FI127:FI127, "P")+COUNTIF('Detailed Attendance'!FU127:FU127, "P")+COUNTIF('Detailed Attendance'!FY127:FY127, "P")</f>
        <v/>
      </c>
      <c r="K125" s="46">
        <f>COUNTIF('Detailed Attendance'!L127:L127, "A")+COUNTIF('Detailed Attendance'!P127:P127, "A")+COUNTIF('Detailed Attendance'!AF127:AF127, "A")+COUNTIF('Detailed Attendance'!AJ127:AJ127, "A")+COUNTIF('Detailed Attendance'!AZ127:AZ127, "A")+COUNTIF('Detailed Attendance'!BD127:BD127, "A")+COUNTIF('Detailed Attendance'!BT127:BT127, "A")+COUNTIF('Detailed Attendance'!BX127:BX127, "A")+COUNTIF('Detailed Attendance'!CQ127:CQ127, "A")+COUNTIF('Detailed Attendance'!CU127:CU127, "A")+COUNTIF('Detailed Attendance'!DN127:DN127, "A")+COUNTIF('Detailed Attendance'!DR127:DR127, "A")+COUNTIF('Detailed Attendance'!EK127:EK127, "A")+COUNTIF('Detailed Attendance'!EO127:EO127, "A")+COUNTIF('Detailed Attendance'!FE127:FE127, "A")+COUNTIF('Detailed Attendance'!FI127:FI127, "A")+COUNTIF('Detailed Attendance'!FU127:FU127, "A")+COUNTIF('Detailed Attendance'!FY127:FY127, "A")</f>
        <v/>
      </c>
      <c r="L125" s="72">
        <f>IF((J125+K125)=0, "", J125/(J125+K125))</f>
        <v/>
      </c>
      <c r="M125" s="46">
        <f>COUNTIF('Detailed Attendance'!D127:D127, "P")+COUNTIF('Detailed Attendance'!T127:T127, "P")+COUNTIF('Detailed Attendance'!AN127:AN127, "P")+COUNTIF('Detailed Attendance'!AR127:AR127, "P")+COUNTIF('Detailed Attendance'!BH127:BH127, "P")+COUNTIF('Detailed Attendance'!CB127:CB127, "P")+COUNTIF('Detailed Attendance'!CF127:CF127, "P")+COUNTIF('Detailed Attendance'!CY127:CY127, "P")+COUNTIF('Detailed Attendance'!DC127:DC127, "P")+COUNTIF('Detailed Attendance'!DV127:DV127, "P")+COUNTIF('Detailed Attendance'!DZ127:DZ127, "P")+COUNTIF('Detailed Attendance'!ES127:ES127, "P")+COUNTIF('Detailed Attendance'!GC127:GC127, "P")+COUNTIF('Detailed Attendance'!GG127:GG127, "P")</f>
        <v/>
      </c>
      <c r="N125" s="46">
        <f>COUNTIF('Detailed Attendance'!D127:D127, "A")+COUNTIF('Detailed Attendance'!T127:T127, "A")+COUNTIF('Detailed Attendance'!AN127:AN127, "A")+COUNTIF('Detailed Attendance'!AR127:AR127, "A")+COUNTIF('Detailed Attendance'!BH127:BH127, "A")+COUNTIF('Detailed Attendance'!CB127:CB127, "A")+COUNTIF('Detailed Attendance'!CF127:CF127, "A")+COUNTIF('Detailed Attendance'!CY127:CY127, "A")+COUNTIF('Detailed Attendance'!DC127:DC127, "A")+COUNTIF('Detailed Attendance'!DV127:DV127, "A")+COUNTIF('Detailed Attendance'!DZ127:DZ127, "A")+COUNTIF('Detailed Attendance'!ES127:ES127, "A")+COUNTIF('Detailed Attendance'!GC127:GC127, "A")+COUNTIF('Detailed Attendance'!GG127:GG127, "A")</f>
        <v/>
      </c>
      <c r="O125" s="72">
        <f>IF((M125+N125)=0, "", M125/(M125+N125))</f>
        <v/>
      </c>
      <c r="P125" s="46">
        <f>COUNTIF('Detailed Attendance'!M127:M127, "P")+COUNTIF('Detailed Attendance'!U127:U127, "P")+COUNTIF('Detailed Attendance'!AG127:AG127, "P")+COUNTIF('Detailed Attendance'!AO127:AO127, "P")+COUNTIF('Detailed Attendance'!BA127:BA127, "P")+COUNTIF('Detailed Attendance'!BI127:BI127, "P")+COUNTIF('Detailed Attendance'!BU127:BU127, "P")+COUNTIF('Detailed Attendance'!CC127:CC127, "P")+COUNTIF('Detailed Attendance'!CR127:CR127, "P")+COUNTIF('Detailed Attendance'!CZ127:CZ127, "P")+COUNTIF('Detailed Attendance'!DO127:DO127, "P")+COUNTIF('Detailed Attendance'!DW127:DW127, "P")+COUNTIF('Detailed Attendance'!EL127:EL127, "P")+COUNTIF('Detailed Attendance'!ET127:ET127, "P")+COUNTIF('Detailed Attendance'!FF127:FF127, "P")+COUNTIF('Detailed Attendance'!FV127:FV127, "P")+COUNTIF('Detailed Attendance'!GD127:GD127, "P")</f>
        <v/>
      </c>
      <c r="Q125" s="46">
        <f>COUNTIF('Detailed Attendance'!M127:M127, "A")+COUNTIF('Detailed Attendance'!U127:U127, "A")+COUNTIF('Detailed Attendance'!AG127:AG127, "A")+COUNTIF('Detailed Attendance'!AO127:AO127, "A")+COUNTIF('Detailed Attendance'!BA127:BA127, "A")+COUNTIF('Detailed Attendance'!BI127:BI127, "A")+COUNTIF('Detailed Attendance'!BU127:BU127, "A")+COUNTIF('Detailed Attendance'!CC127:CC127, "A")+COUNTIF('Detailed Attendance'!CR127:CR127, "A")+COUNTIF('Detailed Attendance'!CZ127:CZ127, "A")+COUNTIF('Detailed Attendance'!DO127:DO127, "A")+COUNTIF('Detailed Attendance'!DW127:DW127, "A")+COUNTIF('Detailed Attendance'!EL127:EL127, "A")+COUNTIF('Detailed Attendance'!ET127:ET127, "A")+COUNTIF('Detailed Attendance'!FF127:FF127, "A")+COUNTIF('Detailed Attendance'!FV127:FV127, "A")+COUNTIF('Detailed Attendance'!GD127:GD127, "A")</f>
        <v/>
      </c>
      <c r="R125" s="72">
        <f>IF((P125+Q125)=0, "", P125/(P125+Q125))</f>
        <v/>
      </c>
      <c r="S125" s="46">
        <f>COUNTIF('Detailed Attendance'!H127:H127, "P")+COUNTIF('Detailed Attendance'!AB127:AB127, "P")+COUNTIF('Detailed Attendance'!AV127:AV127, "P")+COUNTIF('Detailed Attendance'!BP127:BP127, "P")+COUNTIF('Detailed Attendance'!CM127:CM127, "P")+COUNTIF('Detailed Attendance'!DJ127:DJ127, "P")+COUNTIF('Detailed Attendance'!EG127:EG127, "P")+COUNTIF('Detailed Attendance'!FA127:FA127, "P")+COUNTIF('Detailed Attendance'!FQ127:FQ127, "P")</f>
        <v/>
      </c>
      <c r="T125" s="46">
        <f>COUNTIF('Detailed Attendance'!H127:H127, "A")+COUNTIF('Detailed Attendance'!AB127:AB127, "A")+COUNTIF('Detailed Attendance'!AV127:AV127, "A")+COUNTIF('Detailed Attendance'!BP127:BP127, "A")+COUNTIF('Detailed Attendance'!CM127:CM127, "A")+COUNTIF('Detailed Attendance'!DJ127:DJ127, "A")+COUNTIF('Detailed Attendance'!EG127:EG127, "A")+COUNTIF('Detailed Attendance'!FA127:FA127, "A")+COUNTIF('Detailed Attendance'!FQ127:FQ127, "A")</f>
        <v/>
      </c>
      <c r="U125" s="73">
        <f>IF((S125+T125)=0, "", S125/(S125+T125))</f>
        <v/>
      </c>
      <c r="V125" s="46">
        <f>COUNTIF('Detailed Attendance'!E127:E127, "P")+COUNTIF('Detailed Attendance'!Y127:Y127, "P")+COUNTIF('Detailed Attendance'!AS127:AS127, "P")+COUNTIF('Detailed Attendance'!BM127:BM127, "P")+COUNTIF('Detailed Attendance'!CJ127:CJ127, "P")+COUNTIF('Detailed Attendance'!DG127:DG127, "P")+COUNTIF('Detailed Attendance'!ED127:ED127, "P")+COUNTIF('Detailed Attendance'!EX127:EX127, "P")+COUNTIF('Detailed Attendance'!FN127:FN127, "P")</f>
        <v/>
      </c>
      <c r="W125" s="46">
        <f>COUNTIF('Detailed Attendance'!E127:E127, "A")+COUNTIF('Detailed Attendance'!Y127:Y127, "A")+COUNTIF('Detailed Attendance'!AS127:AS127, "A")+COUNTIF('Detailed Attendance'!BM127:BM127, "A")+COUNTIF('Detailed Attendance'!CJ127:CJ127, "A")+COUNTIF('Detailed Attendance'!DG127:DG127, "A")+COUNTIF('Detailed Attendance'!ED127:ED127, "A")+COUNTIF('Detailed Attendance'!EX127:EX127, "A")+COUNTIF('Detailed Attendance'!FN127:FN127, "A")</f>
        <v/>
      </c>
      <c r="X125" s="73">
        <f>IF((V125+W125)=0, "", V125/(V125+W125))</f>
        <v/>
      </c>
      <c r="Y125" s="46">
        <f>COUNTIF('Detailed Attendance'!CH127:CH127, "P")+COUNTIF('Detailed Attendance'!DE127:DE127, "P")+COUNTIF('Detailed Attendance'!EB127:EB127, "P")+COUNTIF('Detailed Attendance'!GI127:GI127, "P")</f>
        <v/>
      </c>
      <c r="Z125" s="46">
        <f>COUNTIF('Detailed Attendance'!CH127:CH127, "A")+COUNTIF('Detailed Attendance'!DE127:DE127, "A")+COUNTIF('Detailed Attendance'!EB127:EB127, "A")+COUNTIF('Detailed Attendance'!GI127:GI127, "A")</f>
        <v/>
      </c>
      <c r="AA125" s="73">
        <f>IF((Y125+Z125)=0, "", Y125/(Y125+Z125))</f>
        <v/>
      </c>
      <c r="AB125" s="46">
        <f>S125+V125+Y125</f>
        <v/>
      </c>
      <c r="AC125" s="46">
        <f>T125+W125+Z125</f>
        <v/>
      </c>
      <c r="AD125" s="73">
        <f>IF((AB125+AC125)=0, "", AB125/(AB125+AC125))</f>
        <v/>
      </c>
      <c r="AE125" s="46" t="inlineStr">
        <is>
          <t>Batch 3</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AT126"/>
  <sheetViews>
    <sheetView showFormulas="0" showGridLines="1" showRowColHeaders="1" showZeros="1" rightToLeft="0" tabSelected="1" showOutlineSymbols="1" defaultGridColor="1" view="normal" topLeftCell="A1" colorId="64" zoomScale="122" zoomScaleNormal="122"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G14" activeCellId="0" sqref="G14"/>
    </sheetView>
  </sheetViews>
  <sheetFormatPr baseColWidth="8" defaultColWidth="8.796875" defaultRowHeight="14.25" zeroHeight="0" outlineLevelRow="0"/>
  <cols>
    <col width="6" customWidth="1" style="36" min="1" max="1"/>
    <col width="18" customWidth="1" style="36" min="2" max="2"/>
    <col width="35" customWidth="1" style="36" min="3" max="3"/>
    <col width="13" customWidth="1" style="36" min="4" max="46"/>
  </cols>
  <sheetData>
    <row r="1" ht="21.75" customHeight="1" s="34">
      <c r="A1" s="48" t="n"/>
      <c r="B1" s="48" t="n"/>
      <c r="C1" s="48" t="n"/>
      <c r="D1" s="74" t="inlineStr">
        <is>
          <t>SUBJECT-WISE TOTAL — THEORY (Jun+Jul+Aug)</t>
        </is>
      </c>
      <c r="E1" s="50" t="n"/>
      <c r="F1" s="50" t="n"/>
      <c r="G1" s="50" t="n"/>
      <c r="H1" s="50" t="n"/>
      <c r="I1" s="50" t="n"/>
      <c r="J1" s="50" t="n"/>
      <c r="K1" s="50" t="n"/>
      <c r="L1" s="50" t="n"/>
      <c r="M1" s="50" t="n"/>
      <c r="N1" s="50" t="n"/>
      <c r="O1" s="50" t="n"/>
      <c r="P1" s="50" t="n"/>
      <c r="Q1" s="50" t="n"/>
      <c r="R1" s="51" t="n"/>
      <c r="S1" s="75" t="inlineStr">
        <is>
          <t>SUBJECT-WISE TOTAL — LAB (Jun+Jul+Aug)</t>
        </is>
      </c>
      <c r="T1" s="50" t="n"/>
      <c r="U1" s="50" t="n"/>
      <c r="V1" s="50" t="n"/>
      <c r="W1" s="50" t="n"/>
      <c r="X1" s="50" t="n"/>
      <c r="Y1" s="50" t="n"/>
      <c r="Z1" s="50" t="n"/>
      <c r="AA1" s="51" t="n"/>
      <c r="AB1" s="52" t="inlineStr">
        <is>
          <t>MONTH-WISE TOTAL (Theory)</t>
        </is>
      </c>
      <c r="AC1" s="50" t="n"/>
      <c r="AD1" s="50" t="n"/>
      <c r="AE1" s="50" t="n"/>
      <c r="AF1" s="50" t="n"/>
      <c r="AG1" s="50" t="n"/>
      <c r="AH1" s="50" t="n"/>
      <c r="AI1" s="50" t="n"/>
      <c r="AJ1" s="51" t="n"/>
      <c r="AK1" s="55" t="inlineStr">
        <is>
          <t>GRAND TOTAL (Theory 1x + Lab 2x)</t>
        </is>
      </c>
      <c r="AL1" s="50" t="n"/>
      <c r="AM1" s="50" t="n"/>
      <c r="AN1" s="50" t="n"/>
      <c r="AO1" s="50" t="n"/>
      <c r="AP1" s="50" t="n"/>
      <c r="AQ1" s="50" t="n"/>
      <c r="AR1" s="50" t="n"/>
      <c r="AS1" s="51" t="n"/>
    </row>
    <row r="2" ht="30" customHeight="1" s="34">
      <c r="A2" s="56" t="n"/>
      <c r="B2" s="56" t="n"/>
      <c r="C2" s="56" t="n"/>
      <c r="D2" s="76" t="inlineStr">
        <is>
          <t>PSQT P</t>
        </is>
      </c>
      <c r="E2" s="76" t="inlineStr">
        <is>
          <t>PSQT A</t>
        </is>
      </c>
      <c r="F2" s="76" t="inlineStr">
        <is>
          <t>PSQT %</t>
        </is>
      </c>
      <c r="G2" s="76" t="inlineStr">
        <is>
          <t>OOPJ P</t>
        </is>
      </c>
      <c r="H2" s="76" t="inlineStr">
        <is>
          <t>OOPJ A</t>
        </is>
      </c>
      <c r="I2" s="76" t="inlineStr">
        <is>
          <t>OOPJ %</t>
        </is>
      </c>
      <c r="J2" s="76" t="inlineStr">
        <is>
          <t>OS P</t>
        </is>
      </c>
      <c r="K2" s="76" t="inlineStr">
        <is>
          <t>OS A</t>
        </is>
      </c>
      <c r="L2" s="76" t="inlineStr">
        <is>
          <t>OS %</t>
        </is>
      </c>
      <c r="M2" s="76" t="inlineStr">
        <is>
          <t>COA P</t>
        </is>
      </c>
      <c r="N2" s="76" t="inlineStr">
        <is>
          <t>COA A</t>
        </is>
      </c>
      <c r="O2" s="76" t="inlineStr">
        <is>
          <t>COA %</t>
        </is>
      </c>
      <c r="P2" s="76" t="inlineStr">
        <is>
          <t>DMS P</t>
        </is>
      </c>
      <c r="Q2" s="76" t="inlineStr">
        <is>
          <t>DMS A</t>
        </is>
      </c>
      <c r="R2" s="76" t="inlineStr">
        <is>
          <t>DMS %</t>
        </is>
      </c>
      <c r="S2" s="58" t="inlineStr">
        <is>
          <t>OOPJ Lab P</t>
        </is>
      </c>
      <c r="T2" s="58" t="inlineStr">
        <is>
          <t>OOPJ Lab A</t>
        </is>
      </c>
      <c r="U2" s="58" t="inlineStr">
        <is>
          <t>OOPJ Lab %</t>
        </is>
      </c>
      <c r="V2" s="58" t="inlineStr">
        <is>
          <t>OS Lab P</t>
        </is>
      </c>
      <c r="W2" s="58" t="inlineStr">
        <is>
          <t>OS Lab A</t>
        </is>
      </c>
      <c r="X2" s="58" t="inlineStr">
        <is>
          <t>OS Lab %</t>
        </is>
      </c>
      <c r="Y2" s="58" t="inlineStr">
        <is>
          <t>COA Lab P</t>
        </is>
      </c>
      <c r="Z2" s="58" t="inlineStr">
        <is>
          <t>COA Lab A</t>
        </is>
      </c>
      <c r="AA2" s="58" t="inlineStr">
        <is>
          <t>COA Lab %</t>
        </is>
      </c>
      <c r="AB2" s="59" t="inlineStr">
        <is>
          <t>June P</t>
        </is>
      </c>
      <c r="AC2" s="59" t="inlineStr">
        <is>
          <t>June A</t>
        </is>
      </c>
      <c r="AD2" s="59" t="inlineStr">
        <is>
          <t>June %</t>
        </is>
      </c>
      <c r="AE2" s="59" t="inlineStr">
        <is>
          <t>July P</t>
        </is>
      </c>
      <c r="AF2" s="59" t="inlineStr">
        <is>
          <t>July A</t>
        </is>
      </c>
      <c r="AG2" s="59" t="inlineStr">
        <is>
          <t>July %</t>
        </is>
      </c>
      <c r="AH2" s="59" t="inlineStr">
        <is>
          <t>August P</t>
        </is>
      </c>
      <c r="AI2" s="59" t="inlineStr">
        <is>
          <t>August A</t>
        </is>
      </c>
      <c r="AJ2" s="59" t="inlineStr">
        <is>
          <t>August %</t>
        </is>
      </c>
      <c r="AK2" s="62" t="inlineStr">
        <is>
          <t>Theory Present (Days)</t>
        </is>
      </c>
      <c r="AL2" s="62" t="inlineStr">
        <is>
          <t>Theory Absent (Days)</t>
        </is>
      </c>
      <c r="AM2" s="62" t="inlineStr">
        <is>
          <t>Theory %</t>
        </is>
      </c>
      <c r="AN2" s="62" t="inlineStr">
        <is>
          <t>Lab Present (Days)</t>
        </is>
      </c>
      <c r="AO2" s="62" t="inlineStr">
        <is>
          <t>Lab Absent (Days)</t>
        </is>
      </c>
      <c r="AP2" s="62" t="inlineStr">
        <is>
          <t>Lab %</t>
        </is>
      </c>
      <c r="AQ2" s="62" t="inlineStr">
        <is>
          <t>Grand Total Present (Units)</t>
        </is>
      </c>
      <c r="AR2" s="62" t="inlineStr">
        <is>
          <t>Grand Total Absent (Units)</t>
        </is>
      </c>
      <c r="AS2" s="62" t="inlineStr">
        <is>
          <t>Grand Overall % (Theory=1x, Lab=2x)</t>
        </is>
      </c>
      <c r="AT2" s="62" t="inlineStr">
        <is>
          <t>Lab Batch</t>
        </is>
      </c>
    </row>
    <row r="3" ht="14.25" customHeight="1" s="34">
      <c r="A3" s="46" t="n">
        <v>1</v>
      </c>
      <c r="B3" s="46" t="inlineStr">
        <is>
          <t>325106410001</t>
        </is>
      </c>
      <c r="C3" s="46" t="inlineStr">
        <is>
          <t>RATISH SHARMA</t>
        </is>
      </c>
      <c r="D3" s="63">
        <f>'Monthly Summary'!BO3</f>
        <v/>
      </c>
      <c r="E3" s="63">
        <f>'Monthly Summary'!BP3</f>
        <v/>
      </c>
      <c r="F3" s="64">
        <f>'Monthly Summary'!BQ3</f>
        <v/>
      </c>
      <c r="G3" s="63">
        <f>'Monthly Summary'!BR3</f>
        <v/>
      </c>
      <c r="H3" s="63">
        <f>'Monthly Summary'!BS3</f>
        <v/>
      </c>
      <c r="I3" s="64">
        <f>'Monthly Summary'!BT3</f>
        <v/>
      </c>
      <c r="J3" s="63">
        <f>'Monthly Summary'!BU3</f>
        <v/>
      </c>
      <c r="K3" s="63">
        <f>'Monthly Summary'!BV3</f>
        <v/>
      </c>
      <c r="L3" s="64">
        <f>'Monthly Summary'!BW3</f>
        <v/>
      </c>
      <c r="M3" s="63">
        <f>'Monthly Summary'!BX3</f>
        <v/>
      </c>
      <c r="N3" s="67">
        <f>'Monthly Summary'!BY3</f>
        <v/>
      </c>
      <c r="O3" s="68">
        <f>'Monthly Summary'!BZ3</f>
        <v/>
      </c>
      <c r="P3" s="67">
        <f>'Monthly Summary'!CA3</f>
        <v/>
      </c>
      <c r="Q3" s="67">
        <f>'Monthly Summary'!CB3</f>
        <v/>
      </c>
      <c r="R3" s="68">
        <f>'Monthly Summary'!CC3</f>
        <v/>
      </c>
      <c r="S3" s="69">
        <f>'Subject-wise Summary'!S2</f>
        <v/>
      </c>
      <c r="T3" s="69">
        <f>'Subject-wise Summary'!T2</f>
        <v/>
      </c>
      <c r="U3" s="70">
        <f>'Subject-wise Summary'!U2</f>
        <v/>
      </c>
      <c r="V3" s="69">
        <f>'Subject-wise Summary'!V2</f>
        <v/>
      </c>
      <c r="W3" s="69">
        <f>'Subject-wise Summary'!W2</f>
        <v/>
      </c>
      <c r="X3" s="70">
        <f>'Subject-wise Summary'!X2</f>
        <v/>
      </c>
      <c r="Y3" s="69">
        <f>'Subject-wise Summary'!Y2</f>
        <v/>
      </c>
      <c r="Z3" s="69">
        <f>'Subject-wise Summary'!Z2</f>
        <v/>
      </c>
      <c r="AA3" s="70">
        <f>'Subject-wise Summary'!AA2</f>
        <v/>
      </c>
      <c r="AB3" s="67">
        <f>'Monthly Summary'!S3</f>
        <v/>
      </c>
      <c r="AC3" s="67">
        <f>'Monthly Summary'!T3</f>
        <v/>
      </c>
      <c r="AD3" s="68">
        <f>'Monthly Summary'!U3</f>
        <v/>
      </c>
      <c r="AE3" s="67">
        <f>'Monthly Summary'!AN3</f>
        <v/>
      </c>
      <c r="AF3" s="67">
        <f>'Monthly Summary'!AO3</f>
        <v/>
      </c>
      <c r="AG3" s="68">
        <f>'Monthly Summary'!AP3</f>
        <v/>
      </c>
      <c r="AH3" s="67">
        <f>'Monthly Summary'!BI3</f>
        <v/>
      </c>
      <c r="AI3" s="67">
        <f>'Monthly Summary'!BJ3</f>
        <v/>
      </c>
      <c r="AJ3" s="68">
        <f>'Monthly Summary'!BK3</f>
        <v/>
      </c>
      <c r="AK3" s="67">
        <f>'Monthly Summary'!CD3</f>
        <v/>
      </c>
      <c r="AL3" s="67">
        <f>'Monthly Summary'!CE3</f>
        <v/>
      </c>
      <c r="AM3" s="68">
        <f>'Monthly Summary'!CF3</f>
        <v/>
      </c>
      <c r="AN3" s="69">
        <f>'Monthly Summary'!CG3</f>
        <v/>
      </c>
      <c r="AO3" s="69">
        <f>'Monthly Summary'!CH3</f>
        <v/>
      </c>
      <c r="AP3" s="70">
        <f>'Monthly Summary'!CI3</f>
        <v/>
      </c>
      <c r="AQ3" s="67">
        <f>'Monthly Summary'!CJ3</f>
        <v/>
      </c>
      <c r="AR3" s="67">
        <f>'Monthly Summary'!CK3</f>
        <v/>
      </c>
      <c r="AS3" s="68">
        <f>'Monthly Summary'!CL3</f>
        <v/>
      </c>
      <c r="AT3" s="67" t="inlineStr">
        <is>
          <t>Batch 1</t>
        </is>
      </c>
    </row>
    <row r="4" ht="14.25" customHeight="1" s="34">
      <c r="A4" s="46" t="n">
        <v>2</v>
      </c>
      <c r="B4" s="46" t="inlineStr">
        <is>
          <t>325106410002</t>
        </is>
      </c>
      <c r="C4" s="46" t="inlineStr">
        <is>
          <t>ABDUL REHMAN</t>
        </is>
      </c>
      <c r="D4" s="63">
        <f>'Monthly Summary'!BO4</f>
        <v/>
      </c>
      <c r="E4" s="63">
        <f>'Monthly Summary'!BP4</f>
        <v/>
      </c>
      <c r="F4" s="64">
        <f>'Monthly Summary'!BQ4</f>
        <v/>
      </c>
      <c r="G4" s="63">
        <f>'Monthly Summary'!BR4</f>
        <v/>
      </c>
      <c r="H4" s="63">
        <f>'Monthly Summary'!BS4</f>
        <v/>
      </c>
      <c r="I4" s="64">
        <f>'Monthly Summary'!BT4</f>
        <v/>
      </c>
      <c r="J4" s="63">
        <f>'Monthly Summary'!BU4</f>
        <v/>
      </c>
      <c r="K4" s="63">
        <f>'Monthly Summary'!BV4</f>
        <v/>
      </c>
      <c r="L4" s="64">
        <f>'Monthly Summary'!BW4</f>
        <v/>
      </c>
      <c r="M4" s="63">
        <f>'Monthly Summary'!BX4</f>
        <v/>
      </c>
      <c r="N4" s="67">
        <f>'Monthly Summary'!BY4</f>
        <v/>
      </c>
      <c r="O4" s="68">
        <f>'Monthly Summary'!BZ4</f>
        <v/>
      </c>
      <c r="P4" s="67">
        <f>'Monthly Summary'!CA4</f>
        <v/>
      </c>
      <c r="Q4" s="67">
        <f>'Monthly Summary'!CB4</f>
        <v/>
      </c>
      <c r="R4" s="68">
        <f>'Monthly Summary'!CC4</f>
        <v/>
      </c>
      <c r="S4" s="69">
        <f>'Subject-wise Summary'!S3</f>
        <v/>
      </c>
      <c r="T4" s="69">
        <f>'Subject-wise Summary'!T3</f>
        <v/>
      </c>
      <c r="U4" s="70">
        <f>'Subject-wise Summary'!U3</f>
        <v/>
      </c>
      <c r="V4" s="69">
        <f>'Subject-wise Summary'!V3</f>
        <v/>
      </c>
      <c r="W4" s="69">
        <f>'Subject-wise Summary'!W3</f>
        <v/>
      </c>
      <c r="X4" s="70">
        <f>'Subject-wise Summary'!X3</f>
        <v/>
      </c>
      <c r="Y4" s="69">
        <f>'Subject-wise Summary'!Y3</f>
        <v/>
      </c>
      <c r="Z4" s="69">
        <f>'Subject-wise Summary'!Z3</f>
        <v/>
      </c>
      <c r="AA4" s="70">
        <f>'Subject-wise Summary'!AA3</f>
        <v/>
      </c>
      <c r="AB4" s="67">
        <f>'Monthly Summary'!S4</f>
        <v/>
      </c>
      <c r="AC4" s="67">
        <f>'Monthly Summary'!T4</f>
        <v/>
      </c>
      <c r="AD4" s="68">
        <f>'Monthly Summary'!U4</f>
        <v/>
      </c>
      <c r="AE4" s="67">
        <f>'Monthly Summary'!AN4</f>
        <v/>
      </c>
      <c r="AF4" s="67">
        <f>'Monthly Summary'!AO4</f>
        <v/>
      </c>
      <c r="AG4" s="68">
        <f>'Monthly Summary'!AP4</f>
        <v/>
      </c>
      <c r="AH4" s="67">
        <f>'Monthly Summary'!BI4</f>
        <v/>
      </c>
      <c r="AI4" s="67">
        <f>'Monthly Summary'!BJ4</f>
        <v/>
      </c>
      <c r="AJ4" s="68">
        <f>'Monthly Summary'!BK4</f>
        <v/>
      </c>
      <c r="AK4" s="67">
        <f>'Monthly Summary'!CD4</f>
        <v/>
      </c>
      <c r="AL4" s="67">
        <f>'Monthly Summary'!CE4</f>
        <v/>
      </c>
      <c r="AM4" s="68">
        <f>'Monthly Summary'!CF4</f>
        <v/>
      </c>
      <c r="AN4" s="69">
        <f>'Monthly Summary'!CG4</f>
        <v/>
      </c>
      <c r="AO4" s="69">
        <f>'Monthly Summary'!CH4</f>
        <v/>
      </c>
      <c r="AP4" s="70">
        <f>'Monthly Summary'!CI4</f>
        <v/>
      </c>
      <c r="AQ4" s="67">
        <f>'Monthly Summary'!CJ4</f>
        <v/>
      </c>
      <c r="AR4" s="67">
        <f>'Monthly Summary'!CK4</f>
        <v/>
      </c>
      <c r="AS4" s="68">
        <f>'Monthly Summary'!CL4</f>
        <v/>
      </c>
      <c r="AT4" s="67" t="inlineStr">
        <is>
          <t>Batch 1</t>
        </is>
      </c>
    </row>
    <row r="5" ht="14.25" customHeight="1" s="34">
      <c r="A5" s="46" t="n">
        <v>3</v>
      </c>
      <c r="B5" s="46" t="inlineStr">
        <is>
          <t>325106410003</t>
        </is>
      </c>
      <c r="C5" s="46" t="inlineStr">
        <is>
          <t>RISHITHA AKUMARTHI</t>
        </is>
      </c>
      <c r="D5" s="63">
        <f>'Monthly Summary'!BO5</f>
        <v/>
      </c>
      <c r="E5" s="63">
        <f>'Monthly Summary'!BP5</f>
        <v/>
      </c>
      <c r="F5" s="64">
        <f>'Monthly Summary'!BQ5</f>
        <v/>
      </c>
      <c r="G5" s="63">
        <f>'Monthly Summary'!BR5</f>
        <v/>
      </c>
      <c r="H5" s="63">
        <f>'Monthly Summary'!BS5</f>
        <v/>
      </c>
      <c r="I5" s="64">
        <f>'Monthly Summary'!BT5</f>
        <v/>
      </c>
      <c r="J5" s="63">
        <f>'Monthly Summary'!BU5</f>
        <v/>
      </c>
      <c r="K5" s="63">
        <f>'Monthly Summary'!BV5</f>
        <v/>
      </c>
      <c r="L5" s="64">
        <f>'Monthly Summary'!BW5</f>
        <v/>
      </c>
      <c r="M5" s="63">
        <f>'Monthly Summary'!BX5</f>
        <v/>
      </c>
      <c r="N5" s="67">
        <f>'Monthly Summary'!BY5</f>
        <v/>
      </c>
      <c r="O5" s="68">
        <f>'Monthly Summary'!BZ5</f>
        <v/>
      </c>
      <c r="P5" s="67">
        <f>'Monthly Summary'!CA5</f>
        <v/>
      </c>
      <c r="Q5" s="67">
        <f>'Monthly Summary'!CB5</f>
        <v/>
      </c>
      <c r="R5" s="68">
        <f>'Monthly Summary'!CC5</f>
        <v/>
      </c>
      <c r="S5" s="69">
        <f>'Subject-wise Summary'!S4</f>
        <v/>
      </c>
      <c r="T5" s="69">
        <f>'Subject-wise Summary'!T4</f>
        <v/>
      </c>
      <c r="U5" s="70">
        <f>'Subject-wise Summary'!U4</f>
        <v/>
      </c>
      <c r="V5" s="69">
        <f>'Subject-wise Summary'!V4</f>
        <v/>
      </c>
      <c r="W5" s="69">
        <f>'Subject-wise Summary'!W4</f>
        <v/>
      </c>
      <c r="X5" s="70">
        <f>'Subject-wise Summary'!X4</f>
        <v/>
      </c>
      <c r="Y5" s="69">
        <f>'Subject-wise Summary'!Y4</f>
        <v/>
      </c>
      <c r="Z5" s="69">
        <f>'Subject-wise Summary'!Z4</f>
        <v/>
      </c>
      <c r="AA5" s="70">
        <f>'Subject-wise Summary'!AA4</f>
        <v/>
      </c>
      <c r="AB5" s="67">
        <f>'Monthly Summary'!S5</f>
        <v/>
      </c>
      <c r="AC5" s="67">
        <f>'Monthly Summary'!T5</f>
        <v/>
      </c>
      <c r="AD5" s="68">
        <f>'Monthly Summary'!U5</f>
        <v/>
      </c>
      <c r="AE5" s="67">
        <f>'Monthly Summary'!AN5</f>
        <v/>
      </c>
      <c r="AF5" s="67">
        <f>'Monthly Summary'!AO5</f>
        <v/>
      </c>
      <c r="AG5" s="68">
        <f>'Monthly Summary'!AP5</f>
        <v/>
      </c>
      <c r="AH5" s="67">
        <f>'Monthly Summary'!BI5</f>
        <v/>
      </c>
      <c r="AI5" s="67">
        <f>'Monthly Summary'!BJ5</f>
        <v/>
      </c>
      <c r="AJ5" s="68">
        <f>'Monthly Summary'!BK5</f>
        <v/>
      </c>
      <c r="AK5" s="67">
        <f>'Monthly Summary'!CD5</f>
        <v/>
      </c>
      <c r="AL5" s="67">
        <f>'Monthly Summary'!CE5</f>
        <v/>
      </c>
      <c r="AM5" s="68">
        <f>'Monthly Summary'!CF5</f>
        <v/>
      </c>
      <c r="AN5" s="69">
        <f>'Monthly Summary'!CG5</f>
        <v/>
      </c>
      <c r="AO5" s="69">
        <f>'Monthly Summary'!CH5</f>
        <v/>
      </c>
      <c r="AP5" s="70">
        <f>'Monthly Summary'!CI5</f>
        <v/>
      </c>
      <c r="AQ5" s="67">
        <f>'Monthly Summary'!CJ5</f>
        <v/>
      </c>
      <c r="AR5" s="67">
        <f>'Monthly Summary'!CK5</f>
        <v/>
      </c>
      <c r="AS5" s="68">
        <f>'Monthly Summary'!CL5</f>
        <v/>
      </c>
      <c r="AT5" s="67" t="inlineStr">
        <is>
          <t>Batch 1</t>
        </is>
      </c>
    </row>
    <row r="6" ht="14.25" customHeight="1" s="34">
      <c r="A6" s="46" t="n">
        <v>4</v>
      </c>
      <c r="B6" s="46" t="inlineStr">
        <is>
          <t>325106410004</t>
        </is>
      </c>
      <c r="C6" s="46" t="inlineStr">
        <is>
          <t>SIREESHA BADANA</t>
        </is>
      </c>
      <c r="D6" s="63">
        <f>'Monthly Summary'!BO6</f>
        <v/>
      </c>
      <c r="E6" s="63">
        <f>'Monthly Summary'!BP6</f>
        <v/>
      </c>
      <c r="F6" s="64">
        <f>'Monthly Summary'!BQ6</f>
        <v/>
      </c>
      <c r="G6" s="63">
        <f>'Monthly Summary'!BR6</f>
        <v/>
      </c>
      <c r="H6" s="63">
        <f>'Monthly Summary'!BS6</f>
        <v/>
      </c>
      <c r="I6" s="64">
        <f>'Monthly Summary'!BT6</f>
        <v/>
      </c>
      <c r="J6" s="63">
        <f>'Monthly Summary'!BU6</f>
        <v/>
      </c>
      <c r="K6" s="63">
        <f>'Monthly Summary'!BV6</f>
        <v/>
      </c>
      <c r="L6" s="64">
        <f>'Monthly Summary'!BW6</f>
        <v/>
      </c>
      <c r="M6" s="63">
        <f>'Monthly Summary'!BX6</f>
        <v/>
      </c>
      <c r="N6" s="67">
        <f>'Monthly Summary'!BY6</f>
        <v/>
      </c>
      <c r="O6" s="68">
        <f>'Monthly Summary'!BZ6</f>
        <v/>
      </c>
      <c r="P6" s="67">
        <f>'Monthly Summary'!CA6</f>
        <v/>
      </c>
      <c r="Q6" s="67">
        <f>'Monthly Summary'!CB6</f>
        <v/>
      </c>
      <c r="R6" s="68">
        <f>'Monthly Summary'!CC6</f>
        <v/>
      </c>
      <c r="S6" s="69">
        <f>'Subject-wise Summary'!S5</f>
        <v/>
      </c>
      <c r="T6" s="69">
        <f>'Subject-wise Summary'!T5</f>
        <v/>
      </c>
      <c r="U6" s="70">
        <f>'Subject-wise Summary'!U5</f>
        <v/>
      </c>
      <c r="V6" s="69">
        <f>'Subject-wise Summary'!V5</f>
        <v/>
      </c>
      <c r="W6" s="69">
        <f>'Subject-wise Summary'!W5</f>
        <v/>
      </c>
      <c r="X6" s="70">
        <f>'Subject-wise Summary'!X5</f>
        <v/>
      </c>
      <c r="Y6" s="69">
        <f>'Subject-wise Summary'!Y5</f>
        <v/>
      </c>
      <c r="Z6" s="69">
        <f>'Subject-wise Summary'!Z5</f>
        <v/>
      </c>
      <c r="AA6" s="70">
        <f>'Subject-wise Summary'!AA5</f>
        <v/>
      </c>
      <c r="AB6" s="67">
        <f>'Monthly Summary'!S6</f>
        <v/>
      </c>
      <c r="AC6" s="67">
        <f>'Monthly Summary'!T6</f>
        <v/>
      </c>
      <c r="AD6" s="68">
        <f>'Monthly Summary'!U6</f>
        <v/>
      </c>
      <c r="AE6" s="67">
        <f>'Monthly Summary'!AN6</f>
        <v/>
      </c>
      <c r="AF6" s="67">
        <f>'Monthly Summary'!AO6</f>
        <v/>
      </c>
      <c r="AG6" s="68">
        <f>'Monthly Summary'!AP6</f>
        <v/>
      </c>
      <c r="AH6" s="67">
        <f>'Monthly Summary'!BI6</f>
        <v/>
      </c>
      <c r="AI6" s="67">
        <f>'Monthly Summary'!BJ6</f>
        <v/>
      </c>
      <c r="AJ6" s="68">
        <f>'Monthly Summary'!BK6</f>
        <v/>
      </c>
      <c r="AK6" s="67">
        <f>'Monthly Summary'!CD6</f>
        <v/>
      </c>
      <c r="AL6" s="67">
        <f>'Monthly Summary'!CE6</f>
        <v/>
      </c>
      <c r="AM6" s="68">
        <f>'Monthly Summary'!CF6</f>
        <v/>
      </c>
      <c r="AN6" s="69">
        <f>'Monthly Summary'!CG6</f>
        <v/>
      </c>
      <c r="AO6" s="69">
        <f>'Monthly Summary'!CH6</f>
        <v/>
      </c>
      <c r="AP6" s="70">
        <f>'Monthly Summary'!CI6</f>
        <v/>
      </c>
      <c r="AQ6" s="67">
        <f>'Monthly Summary'!CJ6</f>
        <v/>
      </c>
      <c r="AR6" s="67">
        <f>'Monthly Summary'!CK6</f>
        <v/>
      </c>
      <c r="AS6" s="68">
        <f>'Monthly Summary'!CL6</f>
        <v/>
      </c>
      <c r="AT6" s="67" t="inlineStr">
        <is>
          <t>Batch 1</t>
        </is>
      </c>
    </row>
    <row r="7" ht="14.25" customHeight="1" s="34">
      <c r="A7" s="46" t="n">
        <v>5</v>
      </c>
      <c r="B7" s="46" t="inlineStr">
        <is>
          <t>325106410005</t>
        </is>
      </c>
      <c r="C7" s="46" t="inlineStr">
        <is>
          <t>LAKSHMANA KUMAR BATHULA</t>
        </is>
      </c>
      <c r="D7" s="63">
        <f>'Monthly Summary'!BO7</f>
        <v/>
      </c>
      <c r="E7" s="63">
        <f>'Monthly Summary'!BP7</f>
        <v/>
      </c>
      <c r="F7" s="64">
        <f>'Monthly Summary'!BQ7</f>
        <v/>
      </c>
      <c r="G7" s="63">
        <f>'Monthly Summary'!BR7</f>
        <v/>
      </c>
      <c r="H7" s="63">
        <f>'Monthly Summary'!BS7</f>
        <v/>
      </c>
      <c r="I7" s="64">
        <f>'Monthly Summary'!BT7</f>
        <v/>
      </c>
      <c r="J7" s="63">
        <f>'Monthly Summary'!BU7</f>
        <v/>
      </c>
      <c r="K7" s="63">
        <f>'Monthly Summary'!BV7</f>
        <v/>
      </c>
      <c r="L7" s="64">
        <f>'Monthly Summary'!BW7</f>
        <v/>
      </c>
      <c r="M7" s="63">
        <f>'Monthly Summary'!BX7</f>
        <v/>
      </c>
      <c r="N7" s="67">
        <f>'Monthly Summary'!BY7</f>
        <v/>
      </c>
      <c r="O7" s="68">
        <f>'Monthly Summary'!BZ7</f>
        <v/>
      </c>
      <c r="P7" s="67">
        <f>'Monthly Summary'!CA7</f>
        <v/>
      </c>
      <c r="Q7" s="67">
        <f>'Monthly Summary'!CB7</f>
        <v/>
      </c>
      <c r="R7" s="68">
        <f>'Monthly Summary'!CC7</f>
        <v/>
      </c>
      <c r="S7" s="69">
        <f>'Subject-wise Summary'!S6</f>
        <v/>
      </c>
      <c r="T7" s="69">
        <f>'Subject-wise Summary'!T6</f>
        <v/>
      </c>
      <c r="U7" s="70">
        <f>'Subject-wise Summary'!U6</f>
        <v/>
      </c>
      <c r="V7" s="69">
        <f>'Subject-wise Summary'!V6</f>
        <v/>
      </c>
      <c r="W7" s="69">
        <f>'Subject-wise Summary'!W6</f>
        <v/>
      </c>
      <c r="X7" s="70">
        <f>'Subject-wise Summary'!X6</f>
        <v/>
      </c>
      <c r="Y7" s="69">
        <f>'Subject-wise Summary'!Y6</f>
        <v/>
      </c>
      <c r="Z7" s="69">
        <f>'Subject-wise Summary'!Z6</f>
        <v/>
      </c>
      <c r="AA7" s="70">
        <f>'Subject-wise Summary'!AA6</f>
        <v/>
      </c>
      <c r="AB7" s="67">
        <f>'Monthly Summary'!S7</f>
        <v/>
      </c>
      <c r="AC7" s="67">
        <f>'Monthly Summary'!T7</f>
        <v/>
      </c>
      <c r="AD7" s="68">
        <f>'Monthly Summary'!U7</f>
        <v/>
      </c>
      <c r="AE7" s="67">
        <f>'Monthly Summary'!AN7</f>
        <v/>
      </c>
      <c r="AF7" s="67">
        <f>'Monthly Summary'!AO7</f>
        <v/>
      </c>
      <c r="AG7" s="68">
        <f>'Monthly Summary'!AP7</f>
        <v/>
      </c>
      <c r="AH7" s="67">
        <f>'Monthly Summary'!BI7</f>
        <v/>
      </c>
      <c r="AI7" s="67">
        <f>'Monthly Summary'!BJ7</f>
        <v/>
      </c>
      <c r="AJ7" s="68">
        <f>'Monthly Summary'!BK7</f>
        <v/>
      </c>
      <c r="AK7" s="67">
        <f>'Monthly Summary'!CD7</f>
        <v/>
      </c>
      <c r="AL7" s="67">
        <f>'Monthly Summary'!CE7</f>
        <v/>
      </c>
      <c r="AM7" s="68">
        <f>'Monthly Summary'!CF7</f>
        <v/>
      </c>
      <c r="AN7" s="69">
        <f>'Monthly Summary'!CG7</f>
        <v/>
      </c>
      <c r="AO7" s="69">
        <f>'Monthly Summary'!CH7</f>
        <v/>
      </c>
      <c r="AP7" s="70">
        <f>'Monthly Summary'!CI7</f>
        <v/>
      </c>
      <c r="AQ7" s="67">
        <f>'Monthly Summary'!CJ7</f>
        <v/>
      </c>
      <c r="AR7" s="67">
        <f>'Monthly Summary'!CK7</f>
        <v/>
      </c>
      <c r="AS7" s="68">
        <f>'Monthly Summary'!CL7</f>
        <v/>
      </c>
      <c r="AT7" s="67" t="inlineStr">
        <is>
          <t>Batch 1</t>
        </is>
      </c>
    </row>
    <row r="8" ht="14.25" customHeight="1" s="34">
      <c r="A8" s="46" t="n">
        <v>6</v>
      </c>
      <c r="B8" s="46" t="inlineStr">
        <is>
          <t>325106410006</t>
        </is>
      </c>
      <c r="C8" s="46" t="inlineStr">
        <is>
          <t>PADMA KUMARI CHIKKALA</t>
        </is>
      </c>
      <c r="D8" s="63">
        <f>'Monthly Summary'!BO8</f>
        <v/>
      </c>
      <c r="E8" s="63">
        <f>'Monthly Summary'!BP8</f>
        <v/>
      </c>
      <c r="F8" s="64">
        <f>'Monthly Summary'!BQ8</f>
        <v/>
      </c>
      <c r="G8" s="63">
        <f>'Monthly Summary'!BR8</f>
        <v/>
      </c>
      <c r="H8" s="63">
        <f>'Monthly Summary'!BS8</f>
        <v/>
      </c>
      <c r="I8" s="64">
        <f>'Monthly Summary'!BT8</f>
        <v/>
      </c>
      <c r="J8" s="63">
        <f>'Monthly Summary'!BU8</f>
        <v/>
      </c>
      <c r="K8" s="63">
        <f>'Monthly Summary'!BV8</f>
        <v/>
      </c>
      <c r="L8" s="64">
        <f>'Monthly Summary'!BW8</f>
        <v/>
      </c>
      <c r="M8" s="63">
        <f>'Monthly Summary'!BX8</f>
        <v/>
      </c>
      <c r="N8" s="67">
        <f>'Monthly Summary'!BY8</f>
        <v/>
      </c>
      <c r="O8" s="68">
        <f>'Monthly Summary'!BZ8</f>
        <v/>
      </c>
      <c r="P8" s="67">
        <f>'Monthly Summary'!CA8</f>
        <v/>
      </c>
      <c r="Q8" s="67">
        <f>'Monthly Summary'!CB8</f>
        <v/>
      </c>
      <c r="R8" s="68">
        <f>'Monthly Summary'!CC8</f>
        <v/>
      </c>
      <c r="S8" s="69">
        <f>'Subject-wise Summary'!S7</f>
        <v/>
      </c>
      <c r="T8" s="69">
        <f>'Subject-wise Summary'!T7</f>
        <v/>
      </c>
      <c r="U8" s="70">
        <f>'Subject-wise Summary'!U7</f>
        <v/>
      </c>
      <c r="V8" s="69">
        <f>'Subject-wise Summary'!V7</f>
        <v/>
      </c>
      <c r="W8" s="69">
        <f>'Subject-wise Summary'!W7</f>
        <v/>
      </c>
      <c r="X8" s="70">
        <f>'Subject-wise Summary'!X7</f>
        <v/>
      </c>
      <c r="Y8" s="69">
        <f>'Subject-wise Summary'!Y7</f>
        <v/>
      </c>
      <c r="Z8" s="69">
        <f>'Subject-wise Summary'!Z7</f>
        <v/>
      </c>
      <c r="AA8" s="70">
        <f>'Subject-wise Summary'!AA7</f>
        <v/>
      </c>
      <c r="AB8" s="67">
        <f>'Monthly Summary'!S8</f>
        <v/>
      </c>
      <c r="AC8" s="67">
        <f>'Monthly Summary'!T8</f>
        <v/>
      </c>
      <c r="AD8" s="68">
        <f>'Monthly Summary'!U8</f>
        <v/>
      </c>
      <c r="AE8" s="67">
        <f>'Monthly Summary'!AN8</f>
        <v/>
      </c>
      <c r="AF8" s="67">
        <f>'Monthly Summary'!AO8</f>
        <v/>
      </c>
      <c r="AG8" s="68">
        <f>'Monthly Summary'!AP8</f>
        <v/>
      </c>
      <c r="AH8" s="67">
        <f>'Monthly Summary'!BI8</f>
        <v/>
      </c>
      <c r="AI8" s="67">
        <f>'Monthly Summary'!BJ8</f>
        <v/>
      </c>
      <c r="AJ8" s="68">
        <f>'Monthly Summary'!BK8</f>
        <v/>
      </c>
      <c r="AK8" s="67">
        <f>'Monthly Summary'!CD8</f>
        <v/>
      </c>
      <c r="AL8" s="67">
        <f>'Monthly Summary'!CE8</f>
        <v/>
      </c>
      <c r="AM8" s="68">
        <f>'Monthly Summary'!CF8</f>
        <v/>
      </c>
      <c r="AN8" s="69">
        <f>'Monthly Summary'!CG8</f>
        <v/>
      </c>
      <c r="AO8" s="69">
        <f>'Monthly Summary'!CH8</f>
        <v/>
      </c>
      <c r="AP8" s="70">
        <f>'Monthly Summary'!CI8</f>
        <v/>
      </c>
      <c r="AQ8" s="67">
        <f>'Monthly Summary'!CJ8</f>
        <v/>
      </c>
      <c r="AR8" s="67">
        <f>'Monthly Summary'!CK8</f>
        <v/>
      </c>
      <c r="AS8" s="68">
        <f>'Monthly Summary'!CL8</f>
        <v/>
      </c>
      <c r="AT8" s="67" t="inlineStr">
        <is>
          <t>Batch 1</t>
        </is>
      </c>
    </row>
    <row r="9" ht="14.25" customHeight="1" s="34">
      <c r="A9" s="46" t="n">
        <v>7</v>
      </c>
      <c r="B9" s="46" t="inlineStr">
        <is>
          <t>325106410007</t>
        </is>
      </c>
      <c r="C9" s="46" t="inlineStr">
        <is>
          <t>RAKESH CHOPPA</t>
        </is>
      </c>
      <c r="D9" s="63">
        <f>'Monthly Summary'!BO9</f>
        <v/>
      </c>
      <c r="E9" s="63">
        <f>'Monthly Summary'!BP9</f>
        <v/>
      </c>
      <c r="F9" s="64">
        <f>'Monthly Summary'!BQ9</f>
        <v/>
      </c>
      <c r="G9" s="63">
        <f>'Monthly Summary'!BR9</f>
        <v/>
      </c>
      <c r="H9" s="63">
        <f>'Monthly Summary'!BS9</f>
        <v/>
      </c>
      <c r="I9" s="64">
        <f>'Monthly Summary'!BT9</f>
        <v/>
      </c>
      <c r="J9" s="63">
        <f>'Monthly Summary'!BU9</f>
        <v/>
      </c>
      <c r="K9" s="63">
        <f>'Monthly Summary'!BV9</f>
        <v/>
      </c>
      <c r="L9" s="64">
        <f>'Monthly Summary'!BW9</f>
        <v/>
      </c>
      <c r="M9" s="63">
        <f>'Monthly Summary'!BX9</f>
        <v/>
      </c>
      <c r="N9" s="67">
        <f>'Monthly Summary'!BY9</f>
        <v/>
      </c>
      <c r="O9" s="68">
        <f>'Monthly Summary'!BZ9</f>
        <v/>
      </c>
      <c r="P9" s="67">
        <f>'Monthly Summary'!CA9</f>
        <v/>
      </c>
      <c r="Q9" s="67">
        <f>'Monthly Summary'!CB9</f>
        <v/>
      </c>
      <c r="R9" s="68">
        <f>'Monthly Summary'!CC9</f>
        <v/>
      </c>
      <c r="S9" s="69">
        <f>'Subject-wise Summary'!S8</f>
        <v/>
      </c>
      <c r="T9" s="69">
        <f>'Subject-wise Summary'!T8</f>
        <v/>
      </c>
      <c r="U9" s="70">
        <f>'Subject-wise Summary'!U8</f>
        <v/>
      </c>
      <c r="V9" s="69">
        <f>'Subject-wise Summary'!V8</f>
        <v/>
      </c>
      <c r="W9" s="69">
        <f>'Subject-wise Summary'!W8</f>
        <v/>
      </c>
      <c r="X9" s="70">
        <f>'Subject-wise Summary'!X8</f>
        <v/>
      </c>
      <c r="Y9" s="69">
        <f>'Subject-wise Summary'!Y8</f>
        <v/>
      </c>
      <c r="Z9" s="69">
        <f>'Subject-wise Summary'!Z8</f>
        <v/>
      </c>
      <c r="AA9" s="70">
        <f>'Subject-wise Summary'!AA8</f>
        <v/>
      </c>
      <c r="AB9" s="67">
        <f>'Monthly Summary'!S9</f>
        <v/>
      </c>
      <c r="AC9" s="67">
        <f>'Monthly Summary'!T9</f>
        <v/>
      </c>
      <c r="AD9" s="68">
        <f>'Monthly Summary'!U9</f>
        <v/>
      </c>
      <c r="AE9" s="67">
        <f>'Monthly Summary'!AN9</f>
        <v/>
      </c>
      <c r="AF9" s="67">
        <f>'Monthly Summary'!AO9</f>
        <v/>
      </c>
      <c r="AG9" s="68">
        <f>'Monthly Summary'!AP9</f>
        <v/>
      </c>
      <c r="AH9" s="67">
        <f>'Monthly Summary'!BI9</f>
        <v/>
      </c>
      <c r="AI9" s="67">
        <f>'Monthly Summary'!BJ9</f>
        <v/>
      </c>
      <c r="AJ9" s="68">
        <f>'Monthly Summary'!BK9</f>
        <v/>
      </c>
      <c r="AK9" s="67">
        <f>'Monthly Summary'!CD9</f>
        <v/>
      </c>
      <c r="AL9" s="67">
        <f>'Monthly Summary'!CE9</f>
        <v/>
      </c>
      <c r="AM9" s="68">
        <f>'Monthly Summary'!CF9</f>
        <v/>
      </c>
      <c r="AN9" s="69">
        <f>'Monthly Summary'!CG9</f>
        <v/>
      </c>
      <c r="AO9" s="69">
        <f>'Monthly Summary'!CH9</f>
        <v/>
      </c>
      <c r="AP9" s="70">
        <f>'Monthly Summary'!CI9</f>
        <v/>
      </c>
      <c r="AQ9" s="67">
        <f>'Monthly Summary'!CJ9</f>
        <v/>
      </c>
      <c r="AR9" s="67">
        <f>'Monthly Summary'!CK9</f>
        <v/>
      </c>
      <c r="AS9" s="68">
        <f>'Monthly Summary'!CL9</f>
        <v/>
      </c>
      <c r="AT9" s="67" t="inlineStr">
        <is>
          <t>Batch 1</t>
        </is>
      </c>
    </row>
    <row r="10" ht="14.25" customHeight="1" s="34">
      <c r="A10" s="46" t="n">
        <v>8</v>
      </c>
      <c r="B10" s="46" t="inlineStr">
        <is>
          <t>325106410008</t>
        </is>
      </c>
      <c r="C10" s="46" t="inlineStr">
        <is>
          <t>SUBHASH DHULIPUDI</t>
        </is>
      </c>
      <c r="D10" s="63">
        <f>'Monthly Summary'!BO10</f>
        <v/>
      </c>
      <c r="E10" s="63">
        <f>'Monthly Summary'!BP10</f>
        <v/>
      </c>
      <c r="F10" s="64">
        <f>'Monthly Summary'!BQ10</f>
        <v/>
      </c>
      <c r="G10" s="63">
        <f>'Monthly Summary'!BR10</f>
        <v/>
      </c>
      <c r="H10" s="63">
        <f>'Monthly Summary'!BS10</f>
        <v/>
      </c>
      <c r="I10" s="64">
        <f>'Monthly Summary'!BT10</f>
        <v/>
      </c>
      <c r="J10" s="63">
        <f>'Monthly Summary'!BU10</f>
        <v/>
      </c>
      <c r="K10" s="63">
        <f>'Monthly Summary'!BV10</f>
        <v/>
      </c>
      <c r="L10" s="64">
        <f>'Monthly Summary'!BW10</f>
        <v/>
      </c>
      <c r="M10" s="63">
        <f>'Monthly Summary'!BX10</f>
        <v/>
      </c>
      <c r="N10" s="67">
        <f>'Monthly Summary'!BY10</f>
        <v/>
      </c>
      <c r="O10" s="68">
        <f>'Monthly Summary'!BZ10</f>
        <v/>
      </c>
      <c r="P10" s="67">
        <f>'Monthly Summary'!CA10</f>
        <v/>
      </c>
      <c r="Q10" s="67">
        <f>'Monthly Summary'!CB10</f>
        <v/>
      </c>
      <c r="R10" s="68">
        <f>'Monthly Summary'!CC10</f>
        <v/>
      </c>
      <c r="S10" s="69">
        <f>'Subject-wise Summary'!S9</f>
        <v/>
      </c>
      <c r="T10" s="69">
        <f>'Subject-wise Summary'!T9</f>
        <v/>
      </c>
      <c r="U10" s="70">
        <f>'Subject-wise Summary'!U9</f>
        <v/>
      </c>
      <c r="V10" s="69">
        <f>'Subject-wise Summary'!V9</f>
        <v/>
      </c>
      <c r="W10" s="69">
        <f>'Subject-wise Summary'!W9</f>
        <v/>
      </c>
      <c r="X10" s="70">
        <f>'Subject-wise Summary'!X9</f>
        <v/>
      </c>
      <c r="Y10" s="69">
        <f>'Subject-wise Summary'!Y9</f>
        <v/>
      </c>
      <c r="Z10" s="69">
        <f>'Subject-wise Summary'!Z9</f>
        <v/>
      </c>
      <c r="AA10" s="70">
        <f>'Subject-wise Summary'!AA9</f>
        <v/>
      </c>
      <c r="AB10" s="67">
        <f>'Monthly Summary'!S10</f>
        <v/>
      </c>
      <c r="AC10" s="67">
        <f>'Monthly Summary'!T10</f>
        <v/>
      </c>
      <c r="AD10" s="68">
        <f>'Monthly Summary'!U10</f>
        <v/>
      </c>
      <c r="AE10" s="67">
        <f>'Monthly Summary'!AN10</f>
        <v/>
      </c>
      <c r="AF10" s="67">
        <f>'Monthly Summary'!AO10</f>
        <v/>
      </c>
      <c r="AG10" s="68">
        <f>'Monthly Summary'!AP10</f>
        <v/>
      </c>
      <c r="AH10" s="67">
        <f>'Monthly Summary'!BI10</f>
        <v/>
      </c>
      <c r="AI10" s="67">
        <f>'Monthly Summary'!BJ10</f>
        <v/>
      </c>
      <c r="AJ10" s="68">
        <f>'Monthly Summary'!BK10</f>
        <v/>
      </c>
      <c r="AK10" s="67">
        <f>'Monthly Summary'!CD10</f>
        <v/>
      </c>
      <c r="AL10" s="67">
        <f>'Monthly Summary'!CE10</f>
        <v/>
      </c>
      <c r="AM10" s="68">
        <f>'Monthly Summary'!CF10</f>
        <v/>
      </c>
      <c r="AN10" s="69">
        <f>'Monthly Summary'!CG10</f>
        <v/>
      </c>
      <c r="AO10" s="69">
        <f>'Monthly Summary'!CH10</f>
        <v/>
      </c>
      <c r="AP10" s="70">
        <f>'Monthly Summary'!CI10</f>
        <v/>
      </c>
      <c r="AQ10" s="67">
        <f>'Monthly Summary'!CJ10</f>
        <v/>
      </c>
      <c r="AR10" s="67">
        <f>'Monthly Summary'!CK10</f>
        <v/>
      </c>
      <c r="AS10" s="68">
        <f>'Monthly Summary'!CL10</f>
        <v/>
      </c>
      <c r="AT10" s="67" t="inlineStr">
        <is>
          <t>Batch 1</t>
        </is>
      </c>
    </row>
    <row r="11" ht="14.25" customHeight="1" s="34">
      <c r="A11" s="46" t="n">
        <v>9</v>
      </c>
      <c r="B11" s="46" t="inlineStr">
        <is>
          <t>325106410009</t>
        </is>
      </c>
      <c r="C11" s="46" t="inlineStr">
        <is>
          <t>SRAVANI DUMMU</t>
        </is>
      </c>
      <c r="D11" s="63">
        <f>'Monthly Summary'!BO11</f>
        <v/>
      </c>
      <c r="E11" s="63">
        <f>'Monthly Summary'!BP11</f>
        <v/>
      </c>
      <c r="F11" s="64">
        <f>'Monthly Summary'!BQ11</f>
        <v/>
      </c>
      <c r="G11" s="63">
        <f>'Monthly Summary'!BR11</f>
        <v/>
      </c>
      <c r="H11" s="63">
        <f>'Monthly Summary'!BS11</f>
        <v/>
      </c>
      <c r="I11" s="64">
        <f>'Monthly Summary'!BT11</f>
        <v/>
      </c>
      <c r="J11" s="63">
        <f>'Monthly Summary'!BU11</f>
        <v/>
      </c>
      <c r="K11" s="63">
        <f>'Monthly Summary'!BV11</f>
        <v/>
      </c>
      <c r="L11" s="64">
        <f>'Monthly Summary'!BW11</f>
        <v/>
      </c>
      <c r="M11" s="63">
        <f>'Monthly Summary'!BX11</f>
        <v/>
      </c>
      <c r="N11" s="67">
        <f>'Monthly Summary'!BY11</f>
        <v/>
      </c>
      <c r="O11" s="68">
        <f>'Monthly Summary'!BZ11</f>
        <v/>
      </c>
      <c r="P11" s="67">
        <f>'Monthly Summary'!CA11</f>
        <v/>
      </c>
      <c r="Q11" s="67">
        <f>'Monthly Summary'!CB11</f>
        <v/>
      </c>
      <c r="R11" s="68">
        <f>'Monthly Summary'!CC11</f>
        <v/>
      </c>
      <c r="S11" s="69">
        <f>'Subject-wise Summary'!S10</f>
        <v/>
      </c>
      <c r="T11" s="69">
        <f>'Subject-wise Summary'!T10</f>
        <v/>
      </c>
      <c r="U11" s="70">
        <f>'Subject-wise Summary'!U10</f>
        <v/>
      </c>
      <c r="V11" s="69">
        <f>'Subject-wise Summary'!V10</f>
        <v/>
      </c>
      <c r="W11" s="69">
        <f>'Subject-wise Summary'!W10</f>
        <v/>
      </c>
      <c r="X11" s="70">
        <f>'Subject-wise Summary'!X10</f>
        <v/>
      </c>
      <c r="Y11" s="69">
        <f>'Subject-wise Summary'!Y10</f>
        <v/>
      </c>
      <c r="Z11" s="69">
        <f>'Subject-wise Summary'!Z10</f>
        <v/>
      </c>
      <c r="AA11" s="70">
        <f>'Subject-wise Summary'!AA10</f>
        <v/>
      </c>
      <c r="AB11" s="67">
        <f>'Monthly Summary'!S11</f>
        <v/>
      </c>
      <c r="AC11" s="67">
        <f>'Monthly Summary'!T11</f>
        <v/>
      </c>
      <c r="AD11" s="68">
        <f>'Monthly Summary'!U11</f>
        <v/>
      </c>
      <c r="AE11" s="67">
        <f>'Monthly Summary'!AN11</f>
        <v/>
      </c>
      <c r="AF11" s="67">
        <f>'Monthly Summary'!AO11</f>
        <v/>
      </c>
      <c r="AG11" s="68">
        <f>'Monthly Summary'!AP11</f>
        <v/>
      </c>
      <c r="AH11" s="67">
        <f>'Monthly Summary'!BI11</f>
        <v/>
      </c>
      <c r="AI11" s="67">
        <f>'Monthly Summary'!BJ11</f>
        <v/>
      </c>
      <c r="AJ11" s="68">
        <f>'Monthly Summary'!BK11</f>
        <v/>
      </c>
      <c r="AK11" s="67">
        <f>'Monthly Summary'!CD11</f>
        <v/>
      </c>
      <c r="AL11" s="67">
        <f>'Monthly Summary'!CE11</f>
        <v/>
      </c>
      <c r="AM11" s="68">
        <f>'Monthly Summary'!CF11</f>
        <v/>
      </c>
      <c r="AN11" s="69">
        <f>'Monthly Summary'!CG11</f>
        <v/>
      </c>
      <c r="AO11" s="69">
        <f>'Monthly Summary'!CH11</f>
        <v/>
      </c>
      <c r="AP11" s="70">
        <f>'Monthly Summary'!CI11</f>
        <v/>
      </c>
      <c r="AQ11" s="67">
        <f>'Monthly Summary'!CJ11</f>
        <v/>
      </c>
      <c r="AR11" s="67">
        <f>'Monthly Summary'!CK11</f>
        <v/>
      </c>
      <c r="AS11" s="68">
        <f>'Monthly Summary'!CL11</f>
        <v/>
      </c>
      <c r="AT11" s="67" t="inlineStr">
        <is>
          <t>Batch 1</t>
        </is>
      </c>
    </row>
    <row r="12" ht="14.25" customHeight="1" s="34">
      <c r="A12" s="46" t="n">
        <v>10</v>
      </c>
      <c r="B12" s="46" t="inlineStr">
        <is>
          <t>325106410010</t>
        </is>
      </c>
      <c r="C12" s="46" t="inlineStr">
        <is>
          <t>EESHAAN URLAM</t>
        </is>
      </c>
      <c r="D12" s="63">
        <f>'Monthly Summary'!BO12</f>
        <v/>
      </c>
      <c r="E12" s="63">
        <f>'Monthly Summary'!BP12</f>
        <v/>
      </c>
      <c r="F12" s="64">
        <f>'Monthly Summary'!BQ12</f>
        <v/>
      </c>
      <c r="G12" s="63">
        <f>'Monthly Summary'!BR12</f>
        <v/>
      </c>
      <c r="H12" s="63">
        <f>'Monthly Summary'!BS12</f>
        <v/>
      </c>
      <c r="I12" s="64">
        <f>'Monthly Summary'!BT12</f>
        <v/>
      </c>
      <c r="J12" s="63">
        <f>'Monthly Summary'!BU12</f>
        <v/>
      </c>
      <c r="K12" s="63">
        <f>'Monthly Summary'!BV12</f>
        <v/>
      </c>
      <c r="L12" s="64">
        <f>'Monthly Summary'!BW12</f>
        <v/>
      </c>
      <c r="M12" s="63">
        <f>'Monthly Summary'!BX12</f>
        <v/>
      </c>
      <c r="N12" s="67">
        <f>'Monthly Summary'!BY12</f>
        <v/>
      </c>
      <c r="O12" s="68">
        <f>'Monthly Summary'!BZ12</f>
        <v/>
      </c>
      <c r="P12" s="67">
        <f>'Monthly Summary'!CA12</f>
        <v/>
      </c>
      <c r="Q12" s="67">
        <f>'Monthly Summary'!CB12</f>
        <v/>
      </c>
      <c r="R12" s="68">
        <f>'Monthly Summary'!CC12</f>
        <v/>
      </c>
      <c r="S12" s="69">
        <f>'Subject-wise Summary'!S11</f>
        <v/>
      </c>
      <c r="T12" s="69">
        <f>'Subject-wise Summary'!T11</f>
        <v/>
      </c>
      <c r="U12" s="70">
        <f>'Subject-wise Summary'!U11</f>
        <v/>
      </c>
      <c r="V12" s="69">
        <f>'Subject-wise Summary'!V11</f>
        <v/>
      </c>
      <c r="W12" s="69">
        <f>'Subject-wise Summary'!W11</f>
        <v/>
      </c>
      <c r="X12" s="70">
        <f>'Subject-wise Summary'!X11</f>
        <v/>
      </c>
      <c r="Y12" s="69">
        <f>'Subject-wise Summary'!Y11</f>
        <v/>
      </c>
      <c r="Z12" s="69">
        <f>'Subject-wise Summary'!Z11</f>
        <v/>
      </c>
      <c r="AA12" s="70">
        <f>'Subject-wise Summary'!AA11</f>
        <v/>
      </c>
      <c r="AB12" s="67">
        <f>'Monthly Summary'!S12</f>
        <v/>
      </c>
      <c r="AC12" s="67">
        <f>'Monthly Summary'!T12</f>
        <v/>
      </c>
      <c r="AD12" s="68">
        <f>'Monthly Summary'!U12</f>
        <v/>
      </c>
      <c r="AE12" s="67">
        <f>'Monthly Summary'!AN12</f>
        <v/>
      </c>
      <c r="AF12" s="67">
        <f>'Monthly Summary'!AO12</f>
        <v/>
      </c>
      <c r="AG12" s="68">
        <f>'Monthly Summary'!AP12</f>
        <v/>
      </c>
      <c r="AH12" s="67">
        <f>'Monthly Summary'!BI12</f>
        <v/>
      </c>
      <c r="AI12" s="67">
        <f>'Monthly Summary'!BJ12</f>
        <v/>
      </c>
      <c r="AJ12" s="68">
        <f>'Monthly Summary'!BK12</f>
        <v/>
      </c>
      <c r="AK12" s="67">
        <f>'Monthly Summary'!CD12</f>
        <v/>
      </c>
      <c r="AL12" s="67">
        <f>'Monthly Summary'!CE12</f>
        <v/>
      </c>
      <c r="AM12" s="68">
        <f>'Monthly Summary'!CF12</f>
        <v/>
      </c>
      <c r="AN12" s="69">
        <f>'Monthly Summary'!CG12</f>
        <v/>
      </c>
      <c r="AO12" s="69">
        <f>'Monthly Summary'!CH12</f>
        <v/>
      </c>
      <c r="AP12" s="70">
        <f>'Monthly Summary'!CI12</f>
        <v/>
      </c>
      <c r="AQ12" s="67">
        <f>'Monthly Summary'!CJ12</f>
        <v/>
      </c>
      <c r="AR12" s="67">
        <f>'Monthly Summary'!CK12</f>
        <v/>
      </c>
      <c r="AS12" s="68">
        <f>'Monthly Summary'!CL12</f>
        <v/>
      </c>
      <c r="AT12" s="67" t="inlineStr">
        <is>
          <t>Batch 1</t>
        </is>
      </c>
    </row>
    <row r="13" ht="14.25" customHeight="1" s="34">
      <c r="A13" s="46" t="n">
        <v>11</v>
      </c>
      <c r="B13" s="46" t="inlineStr">
        <is>
          <t>325106410011</t>
        </is>
      </c>
      <c r="C13" s="46" t="inlineStr">
        <is>
          <t>KAILASH REDDY GADI</t>
        </is>
      </c>
      <c r="D13" s="63">
        <f>'Monthly Summary'!BO13</f>
        <v/>
      </c>
      <c r="E13" s="63">
        <f>'Monthly Summary'!BP13</f>
        <v/>
      </c>
      <c r="F13" s="64">
        <f>'Monthly Summary'!BQ13</f>
        <v/>
      </c>
      <c r="G13" s="63">
        <f>'Monthly Summary'!BR13</f>
        <v/>
      </c>
      <c r="H13" s="63">
        <f>'Monthly Summary'!BS13</f>
        <v/>
      </c>
      <c r="I13" s="64">
        <f>'Monthly Summary'!BT13</f>
        <v/>
      </c>
      <c r="J13" s="63">
        <f>'Monthly Summary'!BU13</f>
        <v/>
      </c>
      <c r="K13" s="63">
        <f>'Monthly Summary'!BV13</f>
        <v/>
      </c>
      <c r="L13" s="64">
        <f>'Monthly Summary'!BW13</f>
        <v/>
      </c>
      <c r="M13" s="63">
        <f>'Monthly Summary'!BX13</f>
        <v/>
      </c>
      <c r="N13" s="67">
        <f>'Monthly Summary'!BY13</f>
        <v/>
      </c>
      <c r="O13" s="68">
        <f>'Monthly Summary'!BZ13</f>
        <v/>
      </c>
      <c r="P13" s="67">
        <f>'Monthly Summary'!CA13</f>
        <v/>
      </c>
      <c r="Q13" s="67">
        <f>'Monthly Summary'!CB13</f>
        <v/>
      </c>
      <c r="R13" s="68">
        <f>'Monthly Summary'!CC13</f>
        <v/>
      </c>
      <c r="S13" s="69">
        <f>'Subject-wise Summary'!S12</f>
        <v/>
      </c>
      <c r="T13" s="69">
        <f>'Subject-wise Summary'!T12</f>
        <v/>
      </c>
      <c r="U13" s="70">
        <f>'Subject-wise Summary'!U12</f>
        <v/>
      </c>
      <c r="V13" s="69">
        <f>'Subject-wise Summary'!V12</f>
        <v/>
      </c>
      <c r="W13" s="69">
        <f>'Subject-wise Summary'!W12</f>
        <v/>
      </c>
      <c r="X13" s="70">
        <f>'Subject-wise Summary'!X12</f>
        <v/>
      </c>
      <c r="Y13" s="69">
        <f>'Subject-wise Summary'!Y12</f>
        <v/>
      </c>
      <c r="Z13" s="69">
        <f>'Subject-wise Summary'!Z12</f>
        <v/>
      </c>
      <c r="AA13" s="70">
        <f>'Subject-wise Summary'!AA12</f>
        <v/>
      </c>
      <c r="AB13" s="67">
        <f>'Monthly Summary'!S13</f>
        <v/>
      </c>
      <c r="AC13" s="67">
        <f>'Monthly Summary'!T13</f>
        <v/>
      </c>
      <c r="AD13" s="68">
        <f>'Monthly Summary'!U13</f>
        <v/>
      </c>
      <c r="AE13" s="67">
        <f>'Monthly Summary'!AN13</f>
        <v/>
      </c>
      <c r="AF13" s="67">
        <f>'Monthly Summary'!AO13</f>
        <v/>
      </c>
      <c r="AG13" s="68">
        <f>'Monthly Summary'!AP13</f>
        <v/>
      </c>
      <c r="AH13" s="67">
        <f>'Monthly Summary'!BI13</f>
        <v/>
      </c>
      <c r="AI13" s="67">
        <f>'Monthly Summary'!BJ13</f>
        <v/>
      </c>
      <c r="AJ13" s="68">
        <f>'Monthly Summary'!BK13</f>
        <v/>
      </c>
      <c r="AK13" s="67">
        <f>'Monthly Summary'!CD13</f>
        <v/>
      </c>
      <c r="AL13" s="67">
        <f>'Monthly Summary'!CE13</f>
        <v/>
      </c>
      <c r="AM13" s="68">
        <f>'Monthly Summary'!CF13</f>
        <v/>
      </c>
      <c r="AN13" s="69">
        <f>'Monthly Summary'!CG13</f>
        <v/>
      </c>
      <c r="AO13" s="69">
        <f>'Monthly Summary'!CH13</f>
        <v/>
      </c>
      <c r="AP13" s="70">
        <f>'Monthly Summary'!CI13</f>
        <v/>
      </c>
      <c r="AQ13" s="67">
        <f>'Monthly Summary'!CJ13</f>
        <v/>
      </c>
      <c r="AR13" s="67">
        <f>'Monthly Summary'!CK13</f>
        <v/>
      </c>
      <c r="AS13" s="68">
        <f>'Monthly Summary'!CL13</f>
        <v/>
      </c>
      <c r="AT13" s="67" t="inlineStr">
        <is>
          <t>Batch 1</t>
        </is>
      </c>
    </row>
    <row r="14" ht="14.25" customHeight="1" s="34">
      <c r="A14" s="46" t="n">
        <v>12</v>
      </c>
      <c r="B14" s="46" t="inlineStr">
        <is>
          <t>325106410012</t>
        </is>
      </c>
      <c r="C14" s="46" t="inlineStr">
        <is>
          <t>DEEPIKA GANTA</t>
        </is>
      </c>
      <c r="D14" s="63">
        <f>'Monthly Summary'!BO14</f>
        <v/>
      </c>
      <c r="E14" s="63">
        <f>'Monthly Summary'!BP14</f>
        <v/>
      </c>
      <c r="F14" s="64">
        <f>'Monthly Summary'!BQ14</f>
        <v/>
      </c>
      <c r="G14" s="63">
        <f>'Monthly Summary'!BR14</f>
        <v/>
      </c>
      <c r="H14" s="63">
        <f>'Monthly Summary'!BS14</f>
        <v/>
      </c>
      <c r="I14" s="64">
        <f>'Monthly Summary'!BT14</f>
        <v/>
      </c>
      <c r="J14" s="63">
        <f>'Monthly Summary'!BU14</f>
        <v/>
      </c>
      <c r="K14" s="63">
        <f>'Monthly Summary'!BV14</f>
        <v/>
      </c>
      <c r="L14" s="64">
        <f>'Monthly Summary'!BW14</f>
        <v/>
      </c>
      <c r="M14" s="63">
        <f>'Monthly Summary'!BX14</f>
        <v/>
      </c>
      <c r="N14" s="67">
        <f>'Monthly Summary'!BY14</f>
        <v/>
      </c>
      <c r="O14" s="68">
        <f>'Monthly Summary'!BZ14</f>
        <v/>
      </c>
      <c r="P14" s="67">
        <f>'Monthly Summary'!CA14</f>
        <v/>
      </c>
      <c r="Q14" s="67">
        <f>'Monthly Summary'!CB14</f>
        <v/>
      </c>
      <c r="R14" s="68">
        <f>'Monthly Summary'!CC14</f>
        <v/>
      </c>
      <c r="S14" s="69">
        <f>'Subject-wise Summary'!S13</f>
        <v/>
      </c>
      <c r="T14" s="69">
        <f>'Subject-wise Summary'!T13</f>
        <v/>
      </c>
      <c r="U14" s="70">
        <f>'Subject-wise Summary'!U13</f>
        <v/>
      </c>
      <c r="V14" s="69">
        <f>'Subject-wise Summary'!V13</f>
        <v/>
      </c>
      <c r="W14" s="69">
        <f>'Subject-wise Summary'!W13</f>
        <v/>
      </c>
      <c r="X14" s="70">
        <f>'Subject-wise Summary'!X13</f>
        <v/>
      </c>
      <c r="Y14" s="69">
        <f>'Subject-wise Summary'!Y13</f>
        <v/>
      </c>
      <c r="Z14" s="69">
        <f>'Subject-wise Summary'!Z13</f>
        <v/>
      </c>
      <c r="AA14" s="70">
        <f>'Subject-wise Summary'!AA13</f>
        <v/>
      </c>
      <c r="AB14" s="67">
        <f>'Monthly Summary'!S14</f>
        <v/>
      </c>
      <c r="AC14" s="67">
        <f>'Monthly Summary'!T14</f>
        <v/>
      </c>
      <c r="AD14" s="68">
        <f>'Monthly Summary'!U14</f>
        <v/>
      </c>
      <c r="AE14" s="67">
        <f>'Monthly Summary'!AN14</f>
        <v/>
      </c>
      <c r="AF14" s="67">
        <f>'Monthly Summary'!AO14</f>
        <v/>
      </c>
      <c r="AG14" s="68">
        <f>'Monthly Summary'!AP14</f>
        <v/>
      </c>
      <c r="AH14" s="67">
        <f>'Monthly Summary'!BI14</f>
        <v/>
      </c>
      <c r="AI14" s="67">
        <f>'Monthly Summary'!BJ14</f>
        <v/>
      </c>
      <c r="AJ14" s="68">
        <f>'Monthly Summary'!BK14</f>
        <v/>
      </c>
      <c r="AK14" s="67">
        <f>'Monthly Summary'!CD14</f>
        <v/>
      </c>
      <c r="AL14" s="67">
        <f>'Monthly Summary'!CE14</f>
        <v/>
      </c>
      <c r="AM14" s="68">
        <f>'Monthly Summary'!CF14</f>
        <v/>
      </c>
      <c r="AN14" s="69">
        <f>'Monthly Summary'!CG14</f>
        <v/>
      </c>
      <c r="AO14" s="69">
        <f>'Monthly Summary'!CH14</f>
        <v/>
      </c>
      <c r="AP14" s="70">
        <f>'Monthly Summary'!CI14</f>
        <v/>
      </c>
      <c r="AQ14" s="67">
        <f>'Monthly Summary'!CJ14</f>
        <v/>
      </c>
      <c r="AR14" s="67">
        <f>'Monthly Summary'!CK14</f>
        <v/>
      </c>
      <c r="AS14" s="68">
        <f>'Monthly Summary'!CL14</f>
        <v/>
      </c>
      <c r="AT14" s="67" t="inlineStr">
        <is>
          <t>Batch 1</t>
        </is>
      </c>
    </row>
    <row r="15" ht="14.25" customHeight="1" s="34">
      <c r="A15" s="46" t="n">
        <v>13</v>
      </c>
      <c r="B15" s="46" t="inlineStr">
        <is>
          <t>325106410013</t>
        </is>
      </c>
      <c r="C15" s="46" t="inlineStr">
        <is>
          <t>HIMAVANTHKUMAR GUTTA</t>
        </is>
      </c>
      <c r="D15" s="63">
        <f>'Monthly Summary'!BO15</f>
        <v/>
      </c>
      <c r="E15" s="63">
        <f>'Monthly Summary'!BP15</f>
        <v/>
      </c>
      <c r="F15" s="64">
        <f>'Monthly Summary'!BQ15</f>
        <v/>
      </c>
      <c r="G15" s="63">
        <f>'Monthly Summary'!BR15</f>
        <v/>
      </c>
      <c r="H15" s="63">
        <f>'Monthly Summary'!BS15</f>
        <v/>
      </c>
      <c r="I15" s="64">
        <f>'Monthly Summary'!BT15</f>
        <v/>
      </c>
      <c r="J15" s="63">
        <f>'Monthly Summary'!BU15</f>
        <v/>
      </c>
      <c r="K15" s="63">
        <f>'Monthly Summary'!BV15</f>
        <v/>
      </c>
      <c r="L15" s="64">
        <f>'Monthly Summary'!BW15</f>
        <v/>
      </c>
      <c r="M15" s="63">
        <f>'Monthly Summary'!BX15</f>
        <v/>
      </c>
      <c r="N15" s="67">
        <f>'Monthly Summary'!BY15</f>
        <v/>
      </c>
      <c r="O15" s="68">
        <f>'Monthly Summary'!BZ15</f>
        <v/>
      </c>
      <c r="P15" s="67">
        <f>'Monthly Summary'!CA15</f>
        <v/>
      </c>
      <c r="Q15" s="67">
        <f>'Monthly Summary'!CB15</f>
        <v/>
      </c>
      <c r="R15" s="68">
        <f>'Monthly Summary'!CC15</f>
        <v/>
      </c>
      <c r="S15" s="69">
        <f>'Subject-wise Summary'!S14</f>
        <v/>
      </c>
      <c r="T15" s="69">
        <f>'Subject-wise Summary'!T14</f>
        <v/>
      </c>
      <c r="U15" s="70">
        <f>'Subject-wise Summary'!U14</f>
        <v/>
      </c>
      <c r="V15" s="69">
        <f>'Subject-wise Summary'!V14</f>
        <v/>
      </c>
      <c r="W15" s="69">
        <f>'Subject-wise Summary'!W14</f>
        <v/>
      </c>
      <c r="X15" s="70">
        <f>'Subject-wise Summary'!X14</f>
        <v/>
      </c>
      <c r="Y15" s="69">
        <f>'Subject-wise Summary'!Y14</f>
        <v/>
      </c>
      <c r="Z15" s="69">
        <f>'Subject-wise Summary'!Z14</f>
        <v/>
      </c>
      <c r="AA15" s="70">
        <f>'Subject-wise Summary'!AA14</f>
        <v/>
      </c>
      <c r="AB15" s="67">
        <f>'Monthly Summary'!S15</f>
        <v/>
      </c>
      <c r="AC15" s="67">
        <f>'Monthly Summary'!T15</f>
        <v/>
      </c>
      <c r="AD15" s="68">
        <f>'Monthly Summary'!U15</f>
        <v/>
      </c>
      <c r="AE15" s="67">
        <f>'Monthly Summary'!AN15</f>
        <v/>
      </c>
      <c r="AF15" s="67">
        <f>'Monthly Summary'!AO15</f>
        <v/>
      </c>
      <c r="AG15" s="68">
        <f>'Monthly Summary'!AP15</f>
        <v/>
      </c>
      <c r="AH15" s="67">
        <f>'Monthly Summary'!BI15</f>
        <v/>
      </c>
      <c r="AI15" s="67">
        <f>'Monthly Summary'!BJ15</f>
        <v/>
      </c>
      <c r="AJ15" s="68">
        <f>'Monthly Summary'!BK15</f>
        <v/>
      </c>
      <c r="AK15" s="67">
        <f>'Monthly Summary'!CD15</f>
        <v/>
      </c>
      <c r="AL15" s="67">
        <f>'Monthly Summary'!CE15</f>
        <v/>
      </c>
      <c r="AM15" s="68">
        <f>'Monthly Summary'!CF15</f>
        <v/>
      </c>
      <c r="AN15" s="69">
        <f>'Monthly Summary'!CG15</f>
        <v/>
      </c>
      <c r="AO15" s="69">
        <f>'Monthly Summary'!CH15</f>
        <v/>
      </c>
      <c r="AP15" s="70">
        <f>'Monthly Summary'!CI15</f>
        <v/>
      </c>
      <c r="AQ15" s="67">
        <f>'Monthly Summary'!CJ15</f>
        <v/>
      </c>
      <c r="AR15" s="67">
        <f>'Monthly Summary'!CK15</f>
        <v/>
      </c>
      <c r="AS15" s="68">
        <f>'Monthly Summary'!CL15</f>
        <v/>
      </c>
      <c r="AT15" s="67" t="inlineStr">
        <is>
          <t>Batch 1</t>
        </is>
      </c>
    </row>
    <row r="16" ht="14.25" customHeight="1" s="34">
      <c r="A16" s="46" t="n">
        <v>14</v>
      </c>
      <c r="B16" s="46" t="inlineStr">
        <is>
          <t>325106410014</t>
        </is>
      </c>
      <c r="C16" s="46" t="inlineStr">
        <is>
          <t>SNEHITHA REDDY JEERU</t>
        </is>
      </c>
      <c r="D16" s="63">
        <f>'Monthly Summary'!BO16</f>
        <v/>
      </c>
      <c r="E16" s="63">
        <f>'Monthly Summary'!BP16</f>
        <v/>
      </c>
      <c r="F16" s="64">
        <f>'Monthly Summary'!BQ16</f>
        <v/>
      </c>
      <c r="G16" s="63">
        <f>'Monthly Summary'!BR16</f>
        <v/>
      </c>
      <c r="H16" s="63">
        <f>'Monthly Summary'!BS16</f>
        <v/>
      </c>
      <c r="I16" s="64">
        <f>'Monthly Summary'!BT16</f>
        <v/>
      </c>
      <c r="J16" s="63">
        <f>'Monthly Summary'!BU16</f>
        <v/>
      </c>
      <c r="K16" s="63">
        <f>'Monthly Summary'!BV16</f>
        <v/>
      </c>
      <c r="L16" s="64">
        <f>'Monthly Summary'!BW16</f>
        <v/>
      </c>
      <c r="M16" s="63">
        <f>'Monthly Summary'!BX16</f>
        <v/>
      </c>
      <c r="N16" s="67">
        <f>'Monthly Summary'!BY16</f>
        <v/>
      </c>
      <c r="O16" s="68">
        <f>'Monthly Summary'!BZ16</f>
        <v/>
      </c>
      <c r="P16" s="67">
        <f>'Monthly Summary'!CA16</f>
        <v/>
      </c>
      <c r="Q16" s="67">
        <f>'Monthly Summary'!CB16</f>
        <v/>
      </c>
      <c r="R16" s="68">
        <f>'Monthly Summary'!CC16</f>
        <v/>
      </c>
      <c r="S16" s="69">
        <f>'Subject-wise Summary'!S15</f>
        <v/>
      </c>
      <c r="T16" s="69">
        <f>'Subject-wise Summary'!T15</f>
        <v/>
      </c>
      <c r="U16" s="70">
        <f>'Subject-wise Summary'!U15</f>
        <v/>
      </c>
      <c r="V16" s="69">
        <f>'Subject-wise Summary'!V15</f>
        <v/>
      </c>
      <c r="W16" s="69">
        <f>'Subject-wise Summary'!W15</f>
        <v/>
      </c>
      <c r="X16" s="70">
        <f>'Subject-wise Summary'!X15</f>
        <v/>
      </c>
      <c r="Y16" s="69">
        <f>'Subject-wise Summary'!Y15</f>
        <v/>
      </c>
      <c r="Z16" s="69">
        <f>'Subject-wise Summary'!Z15</f>
        <v/>
      </c>
      <c r="AA16" s="70">
        <f>'Subject-wise Summary'!AA15</f>
        <v/>
      </c>
      <c r="AB16" s="67">
        <f>'Monthly Summary'!S16</f>
        <v/>
      </c>
      <c r="AC16" s="67">
        <f>'Monthly Summary'!T16</f>
        <v/>
      </c>
      <c r="AD16" s="68">
        <f>'Monthly Summary'!U16</f>
        <v/>
      </c>
      <c r="AE16" s="67">
        <f>'Monthly Summary'!AN16</f>
        <v/>
      </c>
      <c r="AF16" s="67">
        <f>'Monthly Summary'!AO16</f>
        <v/>
      </c>
      <c r="AG16" s="68">
        <f>'Monthly Summary'!AP16</f>
        <v/>
      </c>
      <c r="AH16" s="67">
        <f>'Monthly Summary'!BI16</f>
        <v/>
      </c>
      <c r="AI16" s="67">
        <f>'Monthly Summary'!BJ16</f>
        <v/>
      </c>
      <c r="AJ16" s="68">
        <f>'Monthly Summary'!BK16</f>
        <v/>
      </c>
      <c r="AK16" s="67">
        <f>'Monthly Summary'!CD16</f>
        <v/>
      </c>
      <c r="AL16" s="67">
        <f>'Monthly Summary'!CE16</f>
        <v/>
      </c>
      <c r="AM16" s="68">
        <f>'Monthly Summary'!CF16</f>
        <v/>
      </c>
      <c r="AN16" s="69">
        <f>'Monthly Summary'!CG16</f>
        <v/>
      </c>
      <c r="AO16" s="69">
        <f>'Monthly Summary'!CH16</f>
        <v/>
      </c>
      <c r="AP16" s="70">
        <f>'Monthly Summary'!CI16</f>
        <v/>
      </c>
      <c r="AQ16" s="67">
        <f>'Monthly Summary'!CJ16</f>
        <v/>
      </c>
      <c r="AR16" s="67">
        <f>'Monthly Summary'!CK16</f>
        <v/>
      </c>
      <c r="AS16" s="68">
        <f>'Monthly Summary'!CL16</f>
        <v/>
      </c>
      <c r="AT16" s="67" t="inlineStr">
        <is>
          <t>Batch 1</t>
        </is>
      </c>
    </row>
    <row r="17" ht="14.25" customHeight="1" s="34">
      <c r="A17" s="46" t="n">
        <v>15</v>
      </c>
      <c r="B17" s="46" t="inlineStr">
        <is>
          <t>325106410015</t>
        </is>
      </c>
      <c r="C17" s="46" t="inlineStr">
        <is>
          <t>NEERAJ KUMAR JUTTADA</t>
        </is>
      </c>
      <c r="D17" s="63">
        <f>'Monthly Summary'!BO17</f>
        <v/>
      </c>
      <c r="E17" s="63">
        <f>'Monthly Summary'!BP17</f>
        <v/>
      </c>
      <c r="F17" s="64">
        <f>'Monthly Summary'!BQ17</f>
        <v/>
      </c>
      <c r="G17" s="63">
        <f>'Monthly Summary'!BR17</f>
        <v/>
      </c>
      <c r="H17" s="63">
        <f>'Monthly Summary'!BS17</f>
        <v/>
      </c>
      <c r="I17" s="64">
        <f>'Monthly Summary'!BT17</f>
        <v/>
      </c>
      <c r="J17" s="63">
        <f>'Monthly Summary'!BU17</f>
        <v/>
      </c>
      <c r="K17" s="63">
        <f>'Monthly Summary'!BV17</f>
        <v/>
      </c>
      <c r="L17" s="64">
        <f>'Monthly Summary'!BW17</f>
        <v/>
      </c>
      <c r="M17" s="63">
        <f>'Monthly Summary'!BX17</f>
        <v/>
      </c>
      <c r="N17" s="67">
        <f>'Monthly Summary'!BY17</f>
        <v/>
      </c>
      <c r="O17" s="68">
        <f>'Monthly Summary'!BZ17</f>
        <v/>
      </c>
      <c r="P17" s="67">
        <f>'Monthly Summary'!CA17</f>
        <v/>
      </c>
      <c r="Q17" s="67">
        <f>'Monthly Summary'!CB17</f>
        <v/>
      </c>
      <c r="R17" s="68">
        <f>'Monthly Summary'!CC17</f>
        <v/>
      </c>
      <c r="S17" s="69">
        <f>'Subject-wise Summary'!S16</f>
        <v/>
      </c>
      <c r="T17" s="69">
        <f>'Subject-wise Summary'!T16</f>
        <v/>
      </c>
      <c r="U17" s="70">
        <f>'Subject-wise Summary'!U16</f>
        <v/>
      </c>
      <c r="V17" s="69">
        <f>'Subject-wise Summary'!V16</f>
        <v/>
      </c>
      <c r="W17" s="69">
        <f>'Subject-wise Summary'!W16</f>
        <v/>
      </c>
      <c r="X17" s="70">
        <f>'Subject-wise Summary'!X16</f>
        <v/>
      </c>
      <c r="Y17" s="69">
        <f>'Subject-wise Summary'!Y16</f>
        <v/>
      </c>
      <c r="Z17" s="69">
        <f>'Subject-wise Summary'!Z16</f>
        <v/>
      </c>
      <c r="AA17" s="70">
        <f>'Subject-wise Summary'!AA16</f>
        <v/>
      </c>
      <c r="AB17" s="67">
        <f>'Monthly Summary'!S17</f>
        <v/>
      </c>
      <c r="AC17" s="67">
        <f>'Monthly Summary'!T17</f>
        <v/>
      </c>
      <c r="AD17" s="68">
        <f>'Monthly Summary'!U17</f>
        <v/>
      </c>
      <c r="AE17" s="67">
        <f>'Monthly Summary'!AN17</f>
        <v/>
      </c>
      <c r="AF17" s="67">
        <f>'Monthly Summary'!AO17</f>
        <v/>
      </c>
      <c r="AG17" s="68">
        <f>'Monthly Summary'!AP17</f>
        <v/>
      </c>
      <c r="AH17" s="67">
        <f>'Monthly Summary'!BI17</f>
        <v/>
      </c>
      <c r="AI17" s="67">
        <f>'Monthly Summary'!BJ17</f>
        <v/>
      </c>
      <c r="AJ17" s="68">
        <f>'Monthly Summary'!BK17</f>
        <v/>
      </c>
      <c r="AK17" s="67">
        <f>'Monthly Summary'!CD17</f>
        <v/>
      </c>
      <c r="AL17" s="67">
        <f>'Monthly Summary'!CE17</f>
        <v/>
      </c>
      <c r="AM17" s="68">
        <f>'Monthly Summary'!CF17</f>
        <v/>
      </c>
      <c r="AN17" s="69">
        <f>'Monthly Summary'!CG17</f>
        <v/>
      </c>
      <c r="AO17" s="69">
        <f>'Monthly Summary'!CH17</f>
        <v/>
      </c>
      <c r="AP17" s="70">
        <f>'Monthly Summary'!CI17</f>
        <v/>
      </c>
      <c r="AQ17" s="67">
        <f>'Monthly Summary'!CJ17</f>
        <v/>
      </c>
      <c r="AR17" s="67">
        <f>'Monthly Summary'!CK17</f>
        <v/>
      </c>
      <c r="AS17" s="68">
        <f>'Monthly Summary'!CL17</f>
        <v/>
      </c>
      <c r="AT17" s="67" t="inlineStr">
        <is>
          <t>Batch 1</t>
        </is>
      </c>
    </row>
    <row r="18" ht="14.25" customHeight="1" s="34">
      <c r="A18" s="46" t="n">
        <v>16</v>
      </c>
      <c r="B18" s="46" t="inlineStr">
        <is>
          <t>325106410016</t>
        </is>
      </c>
      <c r="C18" s="46" t="inlineStr">
        <is>
          <t>CHANDRIKA KADALI</t>
        </is>
      </c>
      <c r="D18" s="63">
        <f>'Monthly Summary'!BO18</f>
        <v/>
      </c>
      <c r="E18" s="63">
        <f>'Monthly Summary'!BP18</f>
        <v/>
      </c>
      <c r="F18" s="64">
        <f>'Monthly Summary'!BQ18</f>
        <v/>
      </c>
      <c r="G18" s="63">
        <f>'Monthly Summary'!BR18</f>
        <v/>
      </c>
      <c r="H18" s="63">
        <f>'Monthly Summary'!BS18</f>
        <v/>
      </c>
      <c r="I18" s="64">
        <f>'Monthly Summary'!BT18</f>
        <v/>
      </c>
      <c r="J18" s="63">
        <f>'Monthly Summary'!BU18</f>
        <v/>
      </c>
      <c r="K18" s="63">
        <f>'Monthly Summary'!BV18</f>
        <v/>
      </c>
      <c r="L18" s="64">
        <f>'Monthly Summary'!BW18</f>
        <v/>
      </c>
      <c r="M18" s="63">
        <f>'Monthly Summary'!BX18</f>
        <v/>
      </c>
      <c r="N18" s="67">
        <f>'Monthly Summary'!BY18</f>
        <v/>
      </c>
      <c r="O18" s="68">
        <f>'Monthly Summary'!BZ18</f>
        <v/>
      </c>
      <c r="P18" s="67">
        <f>'Monthly Summary'!CA18</f>
        <v/>
      </c>
      <c r="Q18" s="67">
        <f>'Monthly Summary'!CB18</f>
        <v/>
      </c>
      <c r="R18" s="68">
        <f>'Monthly Summary'!CC18</f>
        <v/>
      </c>
      <c r="S18" s="69">
        <f>'Subject-wise Summary'!S17</f>
        <v/>
      </c>
      <c r="T18" s="69">
        <f>'Subject-wise Summary'!T17</f>
        <v/>
      </c>
      <c r="U18" s="70">
        <f>'Subject-wise Summary'!U17</f>
        <v/>
      </c>
      <c r="V18" s="69">
        <f>'Subject-wise Summary'!V17</f>
        <v/>
      </c>
      <c r="W18" s="69">
        <f>'Subject-wise Summary'!W17</f>
        <v/>
      </c>
      <c r="X18" s="70">
        <f>'Subject-wise Summary'!X17</f>
        <v/>
      </c>
      <c r="Y18" s="69">
        <f>'Subject-wise Summary'!Y17</f>
        <v/>
      </c>
      <c r="Z18" s="69">
        <f>'Subject-wise Summary'!Z17</f>
        <v/>
      </c>
      <c r="AA18" s="70">
        <f>'Subject-wise Summary'!AA17</f>
        <v/>
      </c>
      <c r="AB18" s="67">
        <f>'Monthly Summary'!S18</f>
        <v/>
      </c>
      <c r="AC18" s="67">
        <f>'Monthly Summary'!T18</f>
        <v/>
      </c>
      <c r="AD18" s="68">
        <f>'Monthly Summary'!U18</f>
        <v/>
      </c>
      <c r="AE18" s="67">
        <f>'Monthly Summary'!AN18</f>
        <v/>
      </c>
      <c r="AF18" s="67">
        <f>'Monthly Summary'!AO18</f>
        <v/>
      </c>
      <c r="AG18" s="68">
        <f>'Monthly Summary'!AP18</f>
        <v/>
      </c>
      <c r="AH18" s="67">
        <f>'Monthly Summary'!BI18</f>
        <v/>
      </c>
      <c r="AI18" s="67">
        <f>'Monthly Summary'!BJ18</f>
        <v/>
      </c>
      <c r="AJ18" s="68">
        <f>'Monthly Summary'!BK18</f>
        <v/>
      </c>
      <c r="AK18" s="67">
        <f>'Monthly Summary'!CD18</f>
        <v/>
      </c>
      <c r="AL18" s="67">
        <f>'Monthly Summary'!CE18</f>
        <v/>
      </c>
      <c r="AM18" s="68">
        <f>'Monthly Summary'!CF18</f>
        <v/>
      </c>
      <c r="AN18" s="69">
        <f>'Monthly Summary'!CG18</f>
        <v/>
      </c>
      <c r="AO18" s="69">
        <f>'Monthly Summary'!CH18</f>
        <v/>
      </c>
      <c r="AP18" s="70">
        <f>'Monthly Summary'!CI18</f>
        <v/>
      </c>
      <c r="AQ18" s="67">
        <f>'Monthly Summary'!CJ18</f>
        <v/>
      </c>
      <c r="AR18" s="67">
        <f>'Monthly Summary'!CK18</f>
        <v/>
      </c>
      <c r="AS18" s="68">
        <f>'Monthly Summary'!CL18</f>
        <v/>
      </c>
      <c r="AT18" s="67" t="inlineStr">
        <is>
          <t>Batch 1</t>
        </is>
      </c>
    </row>
    <row r="19" ht="14.25" customHeight="1" s="34">
      <c r="A19" s="46" t="n">
        <v>17</v>
      </c>
      <c r="B19" s="46" t="inlineStr">
        <is>
          <t>325106410017</t>
        </is>
      </c>
      <c r="C19" s="46" t="inlineStr">
        <is>
          <t>GYANESHWARI KALLAPILLI</t>
        </is>
      </c>
      <c r="D19" s="63">
        <f>'Monthly Summary'!BO19</f>
        <v/>
      </c>
      <c r="E19" s="63">
        <f>'Monthly Summary'!BP19</f>
        <v/>
      </c>
      <c r="F19" s="64">
        <f>'Monthly Summary'!BQ19</f>
        <v/>
      </c>
      <c r="G19" s="63">
        <f>'Monthly Summary'!BR19</f>
        <v/>
      </c>
      <c r="H19" s="63">
        <f>'Monthly Summary'!BS19</f>
        <v/>
      </c>
      <c r="I19" s="64">
        <f>'Monthly Summary'!BT19</f>
        <v/>
      </c>
      <c r="J19" s="63">
        <f>'Monthly Summary'!BU19</f>
        <v/>
      </c>
      <c r="K19" s="63">
        <f>'Monthly Summary'!BV19</f>
        <v/>
      </c>
      <c r="L19" s="64">
        <f>'Monthly Summary'!BW19</f>
        <v/>
      </c>
      <c r="M19" s="63">
        <f>'Monthly Summary'!BX19</f>
        <v/>
      </c>
      <c r="N19" s="67">
        <f>'Monthly Summary'!BY19</f>
        <v/>
      </c>
      <c r="O19" s="68">
        <f>'Monthly Summary'!BZ19</f>
        <v/>
      </c>
      <c r="P19" s="67">
        <f>'Monthly Summary'!CA19</f>
        <v/>
      </c>
      <c r="Q19" s="67">
        <f>'Monthly Summary'!CB19</f>
        <v/>
      </c>
      <c r="R19" s="68">
        <f>'Monthly Summary'!CC19</f>
        <v/>
      </c>
      <c r="S19" s="69">
        <f>'Subject-wise Summary'!S18</f>
        <v/>
      </c>
      <c r="T19" s="69">
        <f>'Subject-wise Summary'!T18</f>
        <v/>
      </c>
      <c r="U19" s="70">
        <f>'Subject-wise Summary'!U18</f>
        <v/>
      </c>
      <c r="V19" s="69">
        <f>'Subject-wise Summary'!V18</f>
        <v/>
      </c>
      <c r="W19" s="69">
        <f>'Subject-wise Summary'!W18</f>
        <v/>
      </c>
      <c r="X19" s="70">
        <f>'Subject-wise Summary'!X18</f>
        <v/>
      </c>
      <c r="Y19" s="69">
        <f>'Subject-wise Summary'!Y18</f>
        <v/>
      </c>
      <c r="Z19" s="69">
        <f>'Subject-wise Summary'!Z18</f>
        <v/>
      </c>
      <c r="AA19" s="70">
        <f>'Subject-wise Summary'!AA18</f>
        <v/>
      </c>
      <c r="AB19" s="67">
        <f>'Monthly Summary'!S19</f>
        <v/>
      </c>
      <c r="AC19" s="67">
        <f>'Monthly Summary'!T19</f>
        <v/>
      </c>
      <c r="AD19" s="68">
        <f>'Monthly Summary'!U19</f>
        <v/>
      </c>
      <c r="AE19" s="67">
        <f>'Monthly Summary'!AN19</f>
        <v/>
      </c>
      <c r="AF19" s="67">
        <f>'Monthly Summary'!AO19</f>
        <v/>
      </c>
      <c r="AG19" s="68">
        <f>'Monthly Summary'!AP19</f>
        <v/>
      </c>
      <c r="AH19" s="67">
        <f>'Monthly Summary'!BI19</f>
        <v/>
      </c>
      <c r="AI19" s="67">
        <f>'Monthly Summary'!BJ19</f>
        <v/>
      </c>
      <c r="AJ19" s="68">
        <f>'Monthly Summary'!BK19</f>
        <v/>
      </c>
      <c r="AK19" s="67">
        <f>'Monthly Summary'!CD19</f>
        <v/>
      </c>
      <c r="AL19" s="67">
        <f>'Monthly Summary'!CE19</f>
        <v/>
      </c>
      <c r="AM19" s="68">
        <f>'Monthly Summary'!CF19</f>
        <v/>
      </c>
      <c r="AN19" s="69">
        <f>'Monthly Summary'!CG19</f>
        <v/>
      </c>
      <c r="AO19" s="69">
        <f>'Monthly Summary'!CH19</f>
        <v/>
      </c>
      <c r="AP19" s="70">
        <f>'Monthly Summary'!CI19</f>
        <v/>
      </c>
      <c r="AQ19" s="67">
        <f>'Monthly Summary'!CJ19</f>
        <v/>
      </c>
      <c r="AR19" s="67">
        <f>'Monthly Summary'!CK19</f>
        <v/>
      </c>
      <c r="AS19" s="68">
        <f>'Monthly Summary'!CL19</f>
        <v/>
      </c>
      <c r="AT19" s="67" t="inlineStr">
        <is>
          <t>Batch 1</t>
        </is>
      </c>
    </row>
    <row r="20" ht="14.25" customHeight="1" s="34">
      <c r="A20" s="46" t="n">
        <v>18</v>
      </c>
      <c r="B20" s="46" t="inlineStr">
        <is>
          <t>325106410018</t>
        </is>
      </c>
      <c r="C20" s="46" t="inlineStr">
        <is>
          <t>BHARGAV KRISHNA KANDREGULA</t>
        </is>
      </c>
      <c r="D20" s="63">
        <f>'Monthly Summary'!BO20</f>
        <v/>
      </c>
      <c r="E20" s="63">
        <f>'Monthly Summary'!BP20</f>
        <v/>
      </c>
      <c r="F20" s="64">
        <f>'Monthly Summary'!BQ20</f>
        <v/>
      </c>
      <c r="G20" s="63">
        <f>'Monthly Summary'!BR20</f>
        <v/>
      </c>
      <c r="H20" s="63">
        <f>'Monthly Summary'!BS20</f>
        <v/>
      </c>
      <c r="I20" s="64">
        <f>'Monthly Summary'!BT20</f>
        <v/>
      </c>
      <c r="J20" s="63">
        <f>'Monthly Summary'!BU20</f>
        <v/>
      </c>
      <c r="K20" s="63">
        <f>'Monthly Summary'!BV20</f>
        <v/>
      </c>
      <c r="L20" s="64">
        <f>'Monthly Summary'!BW20</f>
        <v/>
      </c>
      <c r="M20" s="63">
        <f>'Monthly Summary'!BX20</f>
        <v/>
      </c>
      <c r="N20" s="67">
        <f>'Monthly Summary'!BY20</f>
        <v/>
      </c>
      <c r="O20" s="68">
        <f>'Monthly Summary'!BZ20</f>
        <v/>
      </c>
      <c r="P20" s="67">
        <f>'Monthly Summary'!CA20</f>
        <v/>
      </c>
      <c r="Q20" s="67">
        <f>'Monthly Summary'!CB20</f>
        <v/>
      </c>
      <c r="R20" s="68">
        <f>'Monthly Summary'!CC20</f>
        <v/>
      </c>
      <c r="S20" s="69">
        <f>'Subject-wise Summary'!S19</f>
        <v/>
      </c>
      <c r="T20" s="69">
        <f>'Subject-wise Summary'!T19</f>
        <v/>
      </c>
      <c r="U20" s="70">
        <f>'Subject-wise Summary'!U19</f>
        <v/>
      </c>
      <c r="V20" s="69">
        <f>'Subject-wise Summary'!V19</f>
        <v/>
      </c>
      <c r="W20" s="69">
        <f>'Subject-wise Summary'!W19</f>
        <v/>
      </c>
      <c r="X20" s="70">
        <f>'Subject-wise Summary'!X19</f>
        <v/>
      </c>
      <c r="Y20" s="69">
        <f>'Subject-wise Summary'!Y19</f>
        <v/>
      </c>
      <c r="Z20" s="69">
        <f>'Subject-wise Summary'!Z19</f>
        <v/>
      </c>
      <c r="AA20" s="70">
        <f>'Subject-wise Summary'!AA19</f>
        <v/>
      </c>
      <c r="AB20" s="67">
        <f>'Monthly Summary'!S20</f>
        <v/>
      </c>
      <c r="AC20" s="67">
        <f>'Monthly Summary'!T20</f>
        <v/>
      </c>
      <c r="AD20" s="68">
        <f>'Monthly Summary'!U20</f>
        <v/>
      </c>
      <c r="AE20" s="67">
        <f>'Monthly Summary'!AN20</f>
        <v/>
      </c>
      <c r="AF20" s="67">
        <f>'Monthly Summary'!AO20</f>
        <v/>
      </c>
      <c r="AG20" s="68">
        <f>'Monthly Summary'!AP20</f>
        <v/>
      </c>
      <c r="AH20" s="67">
        <f>'Monthly Summary'!BI20</f>
        <v/>
      </c>
      <c r="AI20" s="67">
        <f>'Monthly Summary'!BJ20</f>
        <v/>
      </c>
      <c r="AJ20" s="68">
        <f>'Monthly Summary'!BK20</f>
        <v/>
      </c>
      <c r="AK20" s="67">
        <f>'Monthly Summary'!CD20</f>
        <v/>
      </c>
      <c r="AL20" s="67">
        <f>'Monthly Summary'!CE20</f>
        <v/>
      </c>
      <c r="AM20" s="68">
        <f>'Monthly Summary'!CF20</f>
        <v/>
      </c>
      <c r="AN20" s="69">
        <f>'Monthly Summary'!CG20</f>
        <v/>
      </c>
      <c r="AO20" s="69">
        <f>'Monthly Summary'!CH20</f>
        <v/>
      </c>
      <c r="AP20" s="70">
        <f>'Monthly Summary'!CI20</f>
        <v/>
      </c>
      <c r="AQ20" s="67">
        <f>'Monthly Summary'!CJ20</f>
        <v/>
      </c>
      <c r="AR20" s="67">
        <f>'Monthly Summary'!CK20</f>
        <v/>
      </c>
      <c r="AS20" s="68">
        <f>'Monthly Summary'!CL20</f>
        <v/>
      </c>
      <c r="AT20" s="67" t="inlineStr">
        <is>
          <t>Batch 1</t>
        </is>
      </c>
    </row>
    <row r="21" ht="14.25" customHeight="1" s="34">
      <c r="A21" s="46" t="n">
        <v>19</v>
      </c>
      <c r="B21" s="46" t="inlineStr">
        <is>
          <t>325106410019</t>
        </is>
      </c>
      <c r="C21" s="46" t="inlineStr">
        <is>
          <t>MUSTHAKHEEM KATTUBADI</t>
        </is>
      </c>
      <c r="D21" s="63">
        <f>'Monthly Summary'!BO21</f>
        <v/>
      </c>
      <c r="E21" s="63">
        <f>'Monthly Summary'!BP21</f>
        <v/>
      </c>
      <c r="F21" s="64">
        <f>'Monthly Summary'!BQ21</f>
        <v/>
      </c>
      <c r="G21" s="63">
        <f>'Monthly Summary'!BR21</f>
        <v/>
      </c>
      <c r="H21" s="63">
        <f>'Monthly Summary'!BS21</f>
        <v/>
      </c>
      <c r="I21" s="64">
        <f>'Monthly Summary'!BT21</f>
        <v/>
      </c>
      <c r="J21" s="63">
        <f>'Monthly Summary'!BU21</f>
        <v/>
      </c>
      <c r="K21" s="63">
        <f>'Monthly Summary'!BV21</f>
        <v/>
      </c>
      <c r="L21" s="64">
        <f>'Monthly Summary'!BW21</f>
        <v/>
      </c>
      <c r="M21" s="63">
        <f>'Monthly Summary'!BX21</f>
        <v/>
      </c>
      <c r="N21" s="67">
        <f>'Monthly Summary'!BY21</f>
        <v/>
      </c>
      <c r="O21" s="68">
        <f>'Monthly Summary'!BZ21</f>
        <v/>
      </c>
      <c r="P21" s="67">
        <f>'Monthly Summary'!CA21</f>
        <v/>
      </c>
      <c r="Q21" s="67">
        <f>'Monthly Summary'!CB21</f>
        <v/>
      </c>
      <c r="R21" s="68">
        <f>'Monthly Summary'!CC21</f>
        <v/>
      </c>
      <c r="S21" s="69">
        <f>'Subject-wise Summary'!S20</f>
        <v/>
      </c>
      <c r="T21" s="69">
        <f>'Subject-wise Summary'!T20</f>
        <v/>
      </c>
      <c r="U21" s="70">
        <f>'Subject-wise Summary'!U20</f>
        <v/>
      </c>
      <c r="V21" s="69">
        <f>'Subject-wise Summary'!V20</f>
        <v/>
      </c>
      <c r="W21" s="69">
        <f>'Subject-wise Summary'!W20</f>
        <v/>
      </c>
      <c r="X21" s="70">
        <f>'Subject-wise Summary'!X20</f>
        <v/>
      </c>
      <c r="Y21" s="69">
        <f>'Subject-wise Summary'!Y20</f>
        <v/>
      </c>
      <c r="Z21" s="69">
        <f>'Subject-wise Summary'!Z20</f>
        <v/>
      </c>
      <c r="AA21" s="70">
        <f>'Subject-wise Summary'!AA20</f>
        <v/>
      </c>
      <c r="AB21" s="67">
        <f>'Monthly Summary'!S21</f>
        <v/>
      </c>
      <c r="AC21" s="67">
        <f>'Monthly Summary'!T21</f>
        <v/>
      </c>
      <c r="AD21" s="68">
        <f>'Monthly Summary'!U21</f>
        <v/>
      </c>
      <c r="AE21" s="67">
        <f>'Monthly Summary'!AN21</f>
        <v/>
      </c>
      <c r="AF21" s="67">
        <f>'Monthly Summary'!AO21</f>
        <v/>
      </c>
      <c r="AG21" s="68">
        <f>'Monthly Summary'!AP21</f>
        <v/>
      </c>
      <c r="AH21" s="67">
        <f>'Monthly Summary'!BI21</f>
        <v/>
      </c>
      <c r="AI21" s="67">
        <f>'Monthly Summary'!BJ21</f>
        <v/>
      </c>
      <c r="AJ21" s="68">
        <f>'Monthly Summary'!BK21</f>
        <v/>
      </c>
      <c r="AK21" s="67">
        <f>'Monthly Summary'!CD21</f>
        <v/>
      </c>
      <c r="AL21" s="67">
        <f>'Monthly Summary'!CE21</f>
        <v/>
      </c>
      <c r="AM21" s="68">
        <f>'Monthly Summary'!CF21</f>
        <v/>
      </c>
      <c r="AN21" s="69">
        <f>'Monthly Summary'!CG21</f>
        <v/>
      </c>
      <c r="AO21" s="69">
        <f>'Monthly Summary'!CH21</f>
        <v/>
      </c>
      <c r="AP21" s="70">
        <f>'Monthly Summary'!CI21</f>
        <v/>
      </c>
      <c r="AQ21" s="67">
        <f>'Monthly Summary'!CJ21</f>
        <v/>
      </c>
      <c r="AR21" s="67">
        <f>'Monthly Summary'!CK21</f>
        <v/>
      </c>
      <c r="AS21" s="68">
        <f>'Monthly Summary'!CL21</f>
        <v/>
      </c>
      <c r="AT21" s="67" t="inlineStr">
        <is>
          <t>Batch 1</t>
        </is>
      </c>
    </row>
    <row r="22" ht="14.25" customHeight="1" s="34">
      <c r="A22" s="46" t="n">
        <v>20</v>
      </c>
      <c r="B22" s="46" t="inlineStr">
        <is>
          <t>325106410020</t>
        </is>
      </c>
      <c r="C22" s="46" t="inlineStr">
        <is>
          <t>HEMA VENKATA SAI RAM CHARAN KOMMURU</t>
        </is>
      </c>
      <c r="D22" s="63">
        <f>'Monthly Summary'!BO22</f>
        <v/>
      </c>
      <c r="E22" s="63">
        <f>'Monthly Summary'!BP22</f>
        <v/>
      </c>
      <c r="F22" s="64">
        <f>'Monthly Summary'!BQ22</f>
        <v/>
      </c>
      <c r="G22" s="63">
        <f>'Monthly Summary'!BR22</f>
        <v/>
      </c>
      <c r="H22" s="63">
        <f>'Monthly Summary'!BS22</f>
        <v/>
      </c>
      <c r="I22" s="64">
        <f>'Monthly Summary'!BT22</f>
        <v/>
      </c>
      <c r="J22" s="63">
        <f>'Monthly Summary'!BU22</f>
        <v/>
      </c>
      <c r="K22" s="63">
        <f>'Monthly Summary'!BV22</f>
        <v/>
      </c>
      <c r="L22" s="64">
        <f>'Monthly Summary'!BW22</f>
        <v/>
      </c>
      <c r="M22" s="63">
        <f>'Monthly Summary'!BX22</f>
        <v/>
      </c>
      <c r="N22" s="67">
        <f>'Monthly Summary'!BY22</f>
        <v/>
      </c>
      <c r="O22" s="68">
        <f>'Monthly Summary'!BZ22</f>
        <v/>
      </c>
      <c r="P22" s="67">
        <f>'Monthly Summary'!CA22</f>
        <v/>
      </c>
      <c r="Q22" s="67">
        <f>'Monthly Summary'!CB22</f>
        <v/>
      </c>
      <c r="R22" s="68">
        <f>'Monthly Summary'!CC22</f>
        <v/>
      </c>
      <c r="S22" s="69">
        <f>'Subject-wise Summary'!S21</f>
        <v/>
      </c>
      <c r="T22" s="69">
        <f>'Subject-wise Summary'!T21</f>
        <v/>
      </c>
      <c r="U22" s="70">
        <f>'Subject-wise Summary'!U21</f>
        <v/>
      </c>
      <c r="V22" s="69">
        <f>'Subject-wise Summary'!V21</f>
        <v/>
      </c>
      <c r="W22" s="69">
        <f>'Subject-wise Summary'!W21</f>
        <v/>
      </c>
      <c r="X22" s="70">
        <f>'Subject-wise Summary'!X21</f>
        <v/>
      </c>
      <c r="Y22" s="69">
        <f>'Subject-wise Summary'!Y21</f>
        <v/>
      </c>
      <c r="Z22" s="69">
        <f>'Subject-wise Summary'!Z21</f>
        <v/>
      </c>
      <c r="AA22" s="70">
        <f>'Subject-wise Summary'!AA21</f>
        <v/>
      </c>
      <c r="AB22" s="67">
        <f>'Monthly Summary'!S22</f>
        <v/>
      </c>
      <c r="AC22" s="67">
        <f>'Monthly Summary'!T22</f>
        <v/>
      </c>
      <c r="AD22" s="68">
        <f>'Monthly Summary'!U22</f>
        <v/>
      </c>
      <c r="AE22" s="67">
        <f>'Monthly Summary'!AN22</f>
        <v/>
      </c>
      <c r="AF22" s="67">
        <f>'Monthly Summary'!AO22</f>
        <v/>
      </c>
      <c r="AG22" s="68">
        <f>'Monthly Summary'!AP22</f>
        <v/>
      </c>
      <c r="AH22" s="67">
        <f>'Monthly Summary'!BI22</f>
        <v/>
      </c>
      <c r="AI22" s="67">
        <f>'Monthly Summary'!BJ22</f>
        <v/>
      </c>
      <c r="AJ22" s="68">
        <f>'Monthly Summary'!BK22</f>
        <v/>
      </c>
      <c r="AK22" s="67">
        <f>'Monthly Summary'!CD22</f>
        <v/>
      </c>
      <c r="AL22" s="67">
        <f>'Monthly Summary'!CE22</f>
        <v/>
      </c>
      <c r="AM22" s="68">
        <f>'Monthly Summary'!CF22</f>
        <v/>
      </c>
      <c r="AN22" s="69">
        <f>'Monthly Summary'!CG22</f>
        <v/>
      </c>
      <c r="AO22" s="69">
        <f>'Monthly Summary'!CH22</f>
        <v/>
      </c>
      <c r="AP22" s="70">
        <f>'Monthly Summary'!CI22</f>
        <v/>
      </c>
      <c r="AQ22" s="67">
        <f>'Monthly Summary'!CJ22</f>
        <v/>
      </c>
      <c r="AR22" s="67">
        <f>'Monthly Summary'!CK22</f>
        <v/>
      </c>
      <c r="AS22" s="68">
        <f>'Monthly Summary'!CL22</f>
        <v/>
      </c>
      <c r="AT22" s="67" t="inlineStr">
        <is>
          <t>Batch 1</t>
        </is>
      </c>
    </row>
    <row r="23" ht="14.25" customHeight="1" s="34">
      <c r="A23" s="46" t="n">
        <v>21</v>
      </c>
      <c r="B23" s="46" t="inlineStr">
        <is>
          <t>325106410021</t>
        </is>
      </c>
      <c r="C23" s="46" t="inlineStr">
        <is>
          <t>MUKESH VENKATA SURYA LOGISA</t>
        </is>
      </c>
      <c r="D23" s="63">
        <f>'Monthly Summary'!BO23</f>
        <v/>
      </c>
      <c r="E23" s="63">
        <f>'Monthly Summary'!BP23</f>
        <v/>
      </c>
      <c r="F23" s="64">
        <f>'Monthly Summary'!BQ23</f>
        <v/>
      </c>
      <c r="G23" s="63">
        <f>'Monthly Summary'!BR23</f>
        <v/>
      </c>
      <c r="H23" s="63">
        <f>'Monthly Summary'!BS23</f>
        <v/>
      </c>
      <c r="I23" s="64">
        <f>'Monthly Summary'!BT23</f>
        <v/>
      </c>
      <c r="J23" s="63">
        <f>'Monthly Summary'!BU23</f>
        <v/>
      </c>
      <c r="K23" s="63">
        <f>'Monthly Summary'!BV23</f>
        <v/>
      </c>
      <c r="L23" s="64">
        <f>'Monthly Summary'!BW23</f>
        <v/>
      </c>
      <c r="M23" s="63">
        <f>'Monthly Summary'!BX23</f>
        <v/>
      </c>
      <c r="N23" s="67">
        <f>'Monthly Summary'!BY23</f>
        <v/>
      </c>
      <c r="O23" s="68">
        <f>'Monthly Summary'!BZ23</f>
        <v/>
      </c>
      <c r="P23" s="67">
        <f>'Monthly Summary'!CA23</f>
        <v/>
      </c>
      <c r="Q23" s="67">
        <f>'Monthly Summary'!CB23</f>
        <v/>
      </c>
      <c r="R23" s="68">
        <f>'Monthly Summary'!CC23</f>
        <v/>
      </c>
      <c r="S23" s="69">
        <f>'Subject-wise Summary'!S22</f>
        <v/>
      </c>
      <c r="T23" s="69">
        <f>'Subject-wise Summary'!T22</f>
        <v/>
      </c>
      <c r="U23" s="70">
        <f>'Subject-wise Summary'!U22</f>
        <v/>
      </c>
      <c r="V23" s="69">
        <f>'Subject-wise Summary'!V22</f>
        <v/>
      </c>
      <c r="W23" s="69">
        <f>'Subject-wise Summary'!W22</f>
        <v/>
      </c>
      <c r="X23" s="70">
        <f>'Subject-wise Summary'!X22</f>
        <v/>
      </c>
      <c r="Y23" s="69">
        <f>'Subject-wise Summary'!Y22</f>
        <v/>
      </c>
      <c r="Z23" s="69">
        <f>'Subject-wise Summary'!Z22</f>
        <v/>
      </c>
      <c r="AA23" s="70">
        <f>'Subject-wise Summary'!AA22</f>
        <v/>
      </c>
      <c r="AB23" s="67">
        <f>'Monthly Summary'!S23</f>
        <v/>
      </c>
      <c r="AC23" s="67">
        <f>'Monthly Summary'!T23</f>
        <v/>
      </c>
      <c r="AD23" s="68">
        <f>'Monthly Summary'!U23</f>
        <v/>
      </c>
      <c r="AE23" s="67">
        <f>'Monthly Summary'!AN23</f>
        <v/>
      </c>
      <c r="AF23" s="67">
        <f>'Monthly Summary'!AO23</f>
        <v/>
      </c>
      <c r="AG23" s="68">
        <f>'Monthly Summary'!AP23</f>
        <v/>
      </c>
      <c r="AH23" s="67">
        <f>'Monthly Summary'!BI23</f>
        <v/>
      </c>
      <c r="AI23" s="67">
        <f>'Monthly Summary'!BJ23</f>
        <v/>
      </c>
      <c r="AJ23" s="68">
        <f>'Monthly Summary'!BK23</f>
        <v/>
      </c>
      <c r="AK23" s="67">
        <f>'Monthly Summary'!CD23</f>
        <v/>
      </c>
      <c r="AL23" s="67">
        <f>'Monthly Summary'!CE23</f>
        <v/>
      </c>
      <c r="AM23" s="68">
        <f>'Monthly Summary'!CF23</f>
        <v/>
      </c>
      <c r="AN23" s="69">
        <f>'Monthly Summary'!CG23</f>
        <v/>
      </c>
      <c r="AO23" s="69">
        <f>'Monthly Summary'!CH23</f>
        <v/>
      </c>
      <c r="AP23" s="70">
        <f>'Monthly Summary'!CI23</f>
        <v/>
      </c>
      <c r="AQ23" s="67">
        <f>'Monthly Summary'!CJ23</f>
        <v/>
      </c>
      <c r="AR23" s="67">
        <f>'Monthly Summary'!CK23</f>
        <v/>
      </c>
      <c r="AS23" s="68">
        <f>'Monthly Summary'!CL23</f>
        <v/>
      </c>
      <c r="AT23" s="67" t="inlineStr">
        <is>
          <t>Batch 1</t>
        </is>
      </c>
    </row>
    <row r="24" ht="14.25" customHeight="1" s="34">
      <c r="A24" s="46" t="n">
        <v>22</v>
      </c>
      <c r="B24" s="46" t="inlineStr">
        <is>
          <t>325106410022</t>
        </is>
      </c>
      <c r="C24" s="46" t="inlineStr">
        <is>
          <t>RAJESH MAJJI</t>
        </is>
      </c>
      <c r="D24" s="63">
        <f>'Monthly Summary'!BO24</f>
        <v/>
      </c>
      <c r="E24" s="63">
        <f>'Monthly Summary'!BP24</f>
        <v/>
      </c>
      <c r="F24" s="64">
        <f>'Monthly Summary'!BQ24</f>
        <v/>
      </c>
      <c r="G24" s="63">
        <f>'Monthly Summary'!BR24</f>
        <v/>
      </c>
      <c r="H24" s="63">
        <f>'Monthly Summary'!BS24</f>
        <v/>
      </c>
      <c r="I24" s="64">
        <f>'Monthly Summary'!BT24</f>
        <v/>
      </c>
      <c r="J24" s="63">
        <f>'Monthly Summary'!BU24</f>
        <v/>
      </c>
      <c r="K24" s="63">
        <f>'Monthly Summary'!BV24</f>
        <v/>
      </c>
      <c r="L24" s="64">
        <f>'Monthly Summary'!BW24</f>
        <v/>
      </c>
      <c r="M24" s="63">
        <f>'Monthly Summary'!BX24</f>
        <v/>
      </c>
      <c r="N24" s="67">
        <f>'Monthly Summary'!BY24</f>
        <v/>
      </c>
      <c r="O24" s="68">
        <f>'Monthly Summary'!BZ24</f>
        <v/>
      </c>
      <c r="P24" s="67">
        <f>'Monthly Summary'!CA24</f>
        <v/>
      </c>
      <c r="Q24" s="67">
        <f>'Monthly Summary'!CB24</f>
        <v/>
      </c>
      <c r="R24" s="68">
        <f>'Monthly Summary'!CC24</f>
        <v/>
      </c>
      <c r="S24" s="69">
        <f>'Subject-wise Summary'!S23</f>
        <v/>
      </c>
      <c r="T24" s="69">
        <f>'Subject-wise Summary'!T23</f>
        <v/>
      </c>
      <c r="U24" s="70">
        <f>'Subject-wise Summary'!U23</f>
        <v/>
      </c>
      <c r="V24" s="69">
        <f>'Subject-wise Summary'!V23</f>
        <v/>
      </c>
      <c r="W24" s="69">
        <f>'Subject-wise Summary'!W23</f>
        <v/>
      </c>
      <c r="X24" s="70">
        <f>'Subject-wise Summary'!X23</f>
        <v/>
      </c>
      <c r="Y24" s="69">
        <f>'Subject-wise Summary'!Y23</f>
        <v/>
      </c>
      <c r="Z24" s="69">
        <f>'Subject-wise Summary'!Z23</f>
        <v/>
      </c>
      <c r="AA24" s="70">
        <f>'Subject-wise Summary'!AA23</f>
        <v/>
      </c>
      <c r="AB24" s="67">
        <f>'Monthly Summary'!S24</f>
        <v/>
      </c>
      <c r="AC24" s="67">
        <f>'Monthly Summary'!T24</f>
        <v/>
      </c>
      <c r="AD24" s="68">
        <f>'Monthly Summary'!U24</f>
        <v/>
      </c>
      <c r="AE24" s="67">
        <f>'Monthly Summary'!AN24</f>
        <v/>
      </c>
      <c r="AF24" s="67">
        <f>'Monthly Summary'!AO24</f>
        <v/>
      </c>
      <c r="AG24" s="68">
        <f>'Monthly Summary'!AP24</f>
        <v/>
      </c>
      <c r="AH24" s="67">
        <f>'Monthly Summary'!BI24</f>
        <v/>
      </c>
      <c r="AI24" s="67">
        <f>'Monthly Summary'!BJ24</f>
        <v/>
      </c>
      <c r="AJ24" s="68">
        <f>'Monthly Summary'!BK24</f>
        <v/>
      </c>
      <c r="AK24" s="67">
        <f>'Monthly Summary'!CD24</f>
        <v/>
      </c>
      <c r="AL24" s="67">
        <f>'Monthly Summary'!CE24</f>
        <v/>
      </c>
      <c r="AM24" s="68">
        <f>'Monthly Summary'!CF24</f>
        <v/>
      </c>
      <c r="AN24" s="69">
        <f>'Monthly Summary'!CG24</f>
        <v/>
      </c>
      <c r="AO24" s="69">
        <f>'Monthly Summary'!CH24</f>
        <v/>
      </c>
      <c r="AP24" s="70">
        <f>'Monthly Summary'!CI24</f>
        <v/>
      </c>
      <c r="AQ24" s="67">
        <f>'Monthly Summary'!CJ24</f>
        <v/>
      </c>
      <c r="AR24" s="67">
        <f>'Monthly Summary'!CK24</f>
        <v/>
      </c>
      <c r="AS24" s="68">
        <f>'Monthly Summary'!CL24</f>
        <v/>
      </c>
      <c r="AT24" s="67" t="inlineStr">
        <is>
          <t>Batch 1</t>
        </is>
      </c>
    </row>
    <row r="25" ht="14.25" customHeight="1" s="34">
      <c r="A25" s="46" t="n">
        <v>23</v>
      </c>
      <c r="B25" s="46" t="inlineStr">
        <is>
          <t>325106410023</t>
        </is>
      </c>
      <c r="C25" s="46" t="inlineStr">
        <is>
          <t>SIVA SAI ANIRUDH MAMIDI</t>
        </is>
      </c>
      <c r="D25" s="63">
        <f>'Monthly Summary'!BO25</f>
        <v/>
      </c>
      <c r="E25" s="63">
        <f>'Monthly Summary'!BP25</f>
        <v/>
      </c>
      <c r="F25" s="64">
        <f>'Monthly Summary'!BQ25</f>
        <v/>
      </c>
      <c r="G25" s="63">
        <f>'Monthly Summary'!BR25</f>
        <v/>
      </c>
      <c r="H25" s="63">
        <f>'Monthly Summary'!BS25</f>
        <v/>
      </c>
      <c r="I25" s="64">
        <f>'Monthly Summary'!BT25</f>
        <v/>
      </c>
      <c r="J25" s="63">
        <f>'Monthly Summary'!BU25</f>
        <v/>
      </c>
      <c r="K25" s="63">
        <f>'Monthly Summary'!BV25</f>
        <v/>
      </c>
      <c r="L25" s="64">
        <f>'Monthly Summary'!BW25</f>
        <v/>
      </c>
      <c r="M25" s="63">
        <f>'Monthly Summary'!BX25</f>
        <v/>
      </c>
      <c r="N25" s="67">
        <f>'Monthly Summary'!BY25</f>
        <v/>
      </c>
      <c r="O25" s="68">
        <f>'Monthly Summary'!BZ25</f>
        <v/>
      </c>
      <c r="P25" s="67">
        <f>'Monthly Summary'!CA25</f>
        <v/>
      </c>
      <c r="Q25" s="67">
        <f>'Monthly Summary'!CB25</f>
        <v/>
      </c>
      <c r="R25" s="68">
        <f>'Monthly Summary'!CC25</f>
        <v/>
      </c>
      <c r="S25" s="69">
        <f>'Subject-wise Summary'!S24</f>
        <v/>
      </c>
      <c r="T25" s="69">
        <f>'Subject-wise Summary'!T24</f>
        <v/>
      </c>
      <c r="U25" s="70">
        <f>'Subject-wise Summary'!U24</f>
        <v/>
      </c>
      <c r="V25" s="69">
        <f>'Subject-wise Summary'!V24</f>
        <v/>
      </c>
      <c r="W25" s="69">
        <f>'Subject-wise Summary'!W24</f>
        <v/>
      </c>
      <c r="X25" s="70">
        <f>'Subject-wise Summary'!X24</f>
        <v/>
      </c>
      <c r="Y25" s="69">
        <f>'Subject-wise Summary'!Y24</f>
        <v/>
      </c>
      <c r="Z25" s="69">
        <f>'Subject-wise Summary'!Z24</f>
        <v/>
      </c>
      <c r="AA25" s="70">
        <f>'Subject-wise Summary'!AA24</f>
        <v/>
      </c>
      <c r="AB25" s="67">
        <f>'Monthly Summary'!S25</f>
        <v/>
      </c>
      <c r="AC25" s="67">
        <f>'Monthly Summary'!T25</f>
        <v/>
      </c>
      <c r="AD25" s="68">
        <f>'Monthly Summary'!U25</f>
        <v/>
      </c>
      <c r="AE25" s="67">
        <f>'Monthly Summary'!AN25</f>
        <v/>
      </c>
      <c r="AF25" s="67">
        <f>'Monthly Summary'!AO25</f>
        <v/>
      </c>
      <c r="AG25" s="68">
        <f>'Monthly Summary'!AP25</f>
        <v/>
      </c>
      <c r="AH25" s="67">
        <f>'Monthly Summary'!BI25</f>
        <v/>
      </c>
      <c r="AI25" s="67">
        <f>'Monthly Summary'!BJ25</f>
        <v/>
      </c>
      <c r="AJ25" s="68">
        <f>'Monthly Summary'!BK25</f>
        <v/>
      </c>
      <c r="AK25" s="67">
        <f>'Monthly Summary'!CD25</f>
        <v/>
      </c>
      <c r="AL25" s="67">
        <f>'Monthly Summary'!CE25</f>
        <v/>
      </c>
      <c r="AM25" s="68">
        <f>'Monthly Summary'!CF25</f>
        <v/>
      </c>
      <c r="AN25" s="69">
        <f>'Monthly Summary'!CG25</f>
        <v/>
      </c>
      <c r="AO25" s="69">
        <f>'Monthly Summary'!CH25</f>
        <v/>
      </c>
      <c r="AP25" s="70">
        <f>'Monthly Summary'!CI25</f>
        <v/>
      </c>
      <c r="AQ25" s="67">
        <f>'Monthly Summary'!CJ25</f>
        <v/>
      </c>
      <c r="AR25" s="67">
        <f>'Monthly Summary'!CK25</f>
        <v/>
      </c>
      <c r="AS25" s="68">
        <f>'Monthly Summary'!CL25</f>
        <v/>
      </c>
      <c r="AT25" s="67" t="inlineStr">
        <is>
          <t>Batch 1</t>
        </is>
      </c>
    </row>
    <row r="26" ht="14.25" customHeight="1" s="34">
      <c r="A26" s="46" t="n">
        <v>24</v>
      </c>
      <c r="B26" s="46" t="inlineStr">
        <is>
          <t>325106410024</t>
        </is>
      </c>
      <c r="C26" s="46" t="inlineStr">
        <is>
          <t>MUTYALA GAYATRI MANTHA</t>
        </is>
      </c>
      <c r="D26" s="63">
        <f>'Monthly Summary'!BO26</f>
        <v/>
      </c>
      <c r="E26" s="63">
        <f>'Monthly Summary'!BP26</f>
        <v/>
      </c>
      <c r="F26" s="64">
        <f>'Monthly Summary'!BQ26</f>
        <v/>
      </c>
      <c r="G26" s="63">
        <f>'Monthly Summary'!BR26</f>
        <v/>
      </c>
      <c r="H26" s="63">
        <f>'Monthly Summary'!BS26</f>
        <v/>
      </c>
      <c r="I26" s="64">
        <f>'Monthly Summary'!BT26</f>
        <v/>
      </c>
      <c r="J26" s="63">
        <f>'Monthly Summary'!BU26</f>
        <v/>
      </c>
      <c r="K26" s="63">
        <f>'Monthly Summary'!BV26</f>
        <v/>
      </c>
      <c r="L26" s="64">
        <f>'Monthly Summary'!BW26</f>
        <v/>
      </c>
      <c r="M26" s="63">
        <f>'Monthly Summary'!BX26</f>
        <v/>
      </c>
      <c r="N26" s="67">
        <f>'Monthly Summary'!BY26</f>
        <v/>
      </c>
      <c r="O26" s="68">
        <f>'Monthly Summary'!BZ26</f>
        <v/>
      </c>
      <c r="P26" s="67">
        <f>'Monthly Summary'!CA26</f>
        <v/>
      </c>
      <c r="Q26" s="67">
        <f>'Monthly Summary'!CB26</f>
        <v/>
      </c>
      <c r="R26" s="68">
        <f>'Monthly Summary'!CC26</f>
        <v/>
      </c>
      <c r="S26" s="69">
        <f>'Subject-wise Summary'!S25</f>
        <v/>
      </c>
      <c r="T26" s="69">
        <f>'Subject-wise Summary'!T25</f>
        <v/>
      </c>
      <c r="U26" s="70">
        <f>'Subject-wise Summary'!U25</f>
        <v/>
      </c>
      <c r="V26" s="69">
        <f>'Subject-wise Summary'!V25</f>
        <v/>
      </c>
      <c r="W26" s="69">
        <f>'Subject-wise Summary'!W25</f>
        <v/>
      </c>
      <c r="X26" s="70">
        <f>'Subject-wise Summary'!X25</f>
        <v/>
      </c>
      <c r="Y26" s="69">
        <f>'Subject-wise Summary'!Y25</f>
        <v/>
      </c>
      <c r="Z26" s="69">
        <f>'Subject-wise Summary'!Z25</f>
        <v/>
      </c>
      <c r="AA26" s="70">
        <f>'Subject-wise Summary'!AA25</f>
        <v/>
      </c>
      <c r="AB26" s="67">
        <f>'Monthly Summary'!S26</f>
        <v/>
      </c>
      <c r="AC26" s="67">
        <f>'Monthly Summary'!T26</f>
        <v/>
      </c>
      <c r="AD26" s="68">
        <f>'Monthly Summary'!U26</f>
        <v/>
      </c>
      <c r="AE26" s="67">
        <f>'Monthly Summary'!AN26</f>
        <v/>
      </c>
      <c r="AF26" s="67">
        <f>'Monthly Summary'!AO26</f>
        <v/>
      </c>
      <c r="AG26" s="68">
        <f>'Monthly Summary'!AP26</f>
        <v/>
      </c>
      <c r="AH26" s="67">
        <f>'Monthly Summary'!BI26</f>
        <v/>
      </c>
      <c r="AI26" s="67">
        <f>'Monthly Summary'!BJ26</f>
        <v/>
      </c>
      <c r="AJ26" s="68">
        <f>'Monthly Summary'!BK26</f>
        <v/>
      </c>
      <c r="AK26" s="67">
        <f>'Monthly Summary'!CD26</f>
        <v/>
      </c>
      <c r="AL26" s="67">
        <f>'Monthly Summary'!CE26</f>
        <v/>
      </c>
      <c r="AM26" s="68">
        <f>'Monthly Summary'!CF26</f>
        <v/>
      </c>
      <c r="AN26" s="69">
        <f>'Monthly Summary'!CG26</f>
        <v/>
      </c>
      <c r="AO26" s="69">
        <f>'Monthly Summary'!CH26</f>
        <v/>
      </c>
      <c r="AP26" s="70">
        <f>'Monthly Summary'!CI26</f>
        <v/>
      </c>
      <c r="AQ26" s="67">
        <f>'Monthly Summary'!CJ26</f>
        <v/>
      </c>
      <c r="AR26" s="67">
        <f>'Monthly Summary'!CK26</f>
        <v/>
      </c>
      <c r="AS26" s="68">
        <f>'Monthly Summary'!CL26</f>
        <v/>
      </c>
      <c r="AT26" s="67" t="inlineStr">
        <is>
          <t>Batch 1</t>
        </is>
      </c>
    </row>
    <row r="27" ht="14.25" customHeight="1" s="34">
      <c r="A27" s="46" t="n">
        <v>25</v>
      </c>
      <c r="B27" s="46" t="inlineStr">
        <is>
          <t>325106410025</t>
        </is>
      </c>
      <c r="C27" s="46" t="inlineStr">
        <is>
          <t>GAGANA SRI MANUPATI</t>
        </is>
      </c>
      <c r="D27" s="63">
        <f>'Monthly Summary'!BO27</f>
        <v/>
      </c>
      <c r="E27" s="63">
        <f>'Monthly Summary'!BP27</f>
        <v/>
      </c>
      <c r="F27" s="64">
        <f>'Monthly Summary'!BQ27</f>
        <v/>
      </c>
      <c r="G27" s="63">
        <f>'Monthly Summary'!BR27</f>
        <v/>
      </c>
      <c r="H27" s="63">
        <f>'Monthly Summary'!BS27</f>
        <v/>
      </c>
      <c r="I27" s="64">
        <f>'Monthly Summary'!BT27</f>
        <v/>
      </c>
      <c r="J27" s="63">
        <f>'Monthly Summary'!BU27</f>
        <v/>
      </c>
      <c r="K27" s="63">
        <f>'Monthly Summary'!BV27</f>
        <v/>
      </c>
      <c r="L27" s="64">
        <f>'Monthly Summary'!BW27</f>
        <v/>
      </c>
      <c r="M27" s="63">
        <f>'Monthly Summary'!BX27</f>
        <v/>
      </c>
      <c r="N27" s="67">
        <f>'Monthly Summary'!BY27</f>
        <v/>
      </c>
      <c r="O27" s="68">
        <f>'Monthly Summary'!BZ27</f>
        <v/>
      </c>
      <c r="P27" s="67">
        <f>'Monthly Summary'!CA27</f>
        <v/>
      </c>
      <c r="Q27" s="67">
        <f>'Monthly Summary'!CB27</f>
        <v/>
      </c>
      <c r="R27" s="68">
        <f>'Monthly Summary'!CC27</f>
        <v/>
      </c>
      <c r="S27" s="69">
        <f>'Subject-wise Summary'!S26</f>
        <v/>
      </c>
      <c r="T27" s="69">
        <f>'Subject-wise Summary'!T26</f>
        <v/>
      </c>
      <c r="U27" s="70">
        <f>'Subject-wise Summary'!U26</f>
        <v/>
      </c>
      <c r="V27" s="69">
        <f>'Subject-wise Summary'!V26</f>
        <v/>
      </c>
      <c r="W27" s="69">
        <f>'Subject-wise Summary'!W26</f>
        <v/>
      </c>
      <c r="X27" s="70">
        <f>'Subject-wise Summary'!X26</f>
        <v/>
      </c>
      <c r="Y27" s="69">
        <f>'Subject-wise Summary'!Y26</f>
        <v/>
      </c>
      <c r="Z27" s="69">
        <f>'Subject-wise Summary'!Z26</f>
        <v/>
      </c>
      <c r="AA27" s="70">
        <f>'Subject-wise Summary'!AA26</f>
        <v/>
      </c>
      <c r="AB27" s="67">
        <f>'Monthly Summary'!S27</f>
        <v/>
      </c>
      <c r="AC27" s="67">
        <f>'Monthly Summary'!T27</f>
        <v/>
      </c>
      <c r="AD27" s="68">
        <f>'Monthly Summary'!U27</f>
        <v/>
      </c>
      <c r="AE27" s="67">
        <f>'Monthly Summary'!AN27</f>
        <v/>
      </c>
      <c r="AF27" s="67">
        <f>'Monthly Summary'!AO27</f>
        <v/>
      </c>
      <c r="AG27" s="68">
        <f>'Monthly Summary'!AP27</f>
        <v/>
      </c>
      <c r="AH27" s="67">
        <f>'Monthly Summary'!BI27</f>
        <v/>
      </c>
      <c r="AI27" s="67">
        <f>'Monthly Summary'!BJ27</f>
        <v/>
      </c>
      <c r="AJ27" s="68">
        <f>'Monthly Summary'!BK27</f>
        <v/>
      </c>
      <c r="AK27" s="67">
        <f>'Monthly Summary'!CD27</f>
        <v/>
      </c>
      <c r="AL27" s="67">
        <f>'Monthly Summary'!CE27</f>
        <v/>
      </c>
      <c r="AM27" s="68">
        <f>'Monthly Summary'!CF27</f>
        <v/>
      </c>
      <c r="AN27" s="69">
        <f>'Monthly Summary'!CG27</f>
        <v/>
      </c>
      <c r="AO27" s="69">
        <f>'Monthly Summary'!CH27</f>
        <v/>
      </c>
      <c r="AP27" s="70">
        <f>'Monthly Summary'!CI27</f>
        <v/>
      </c>
      <c r="AQ27" s="67">
        <f>'Monthly Summary'!CJ27</f>
        <v/>
      </c>
      <c r="AR27" s="67">
        <f>'Monthly Summary'!CK27</f>
        <v/>
      </c>
      <c r="AS27" s="68">
        <f>'Monthly Summary'!CL27</f>
        <v/>
      </c>
      <c r="AT27" s="67" t="inlineStr">
        <is>
          <t>Batch 1</t>
        </is>
      </c>
    </row>
    <row r="28" ht="14.25" customHeight="1" s="34">
      <c r="A28" s="46" t="n">
        <v>26</v>
      </c>
      <c r="B28" s="46" t="inlineStr">
        <is>
          <t>325106410026</t>
        </is>
      </c>
      <c r="C28" s="46" t="inlineStr">
        <is>
          <t>RISHI NAVANTH MATTA</t>
        </is>
      </c>
      <c r="D28" s="63">
        <f>'Monthly Summary'!BO28</f>
        <v/>
      </c>
      <c r="E28" s="63">
        <f>'Monthly Summary'!BP28</f>
        <v/>
      </c>
      <c r="F28" s="64">
        <f>'Monthly Summary'!BQ28</f>
        <v/>
      </c>
      <c r="G28" s="63">
        <f>'Monthly Summary'!BR28</f>
        <v/>
      </c>
      <c r="H28" s="63">
        <f>'Monthly Summary'!BS28</f>
        <v/>
      </c>
      <c r="I28" s="64">
        <f>'Monthly Summary'!BT28</f>
        <v/>
      </c>
      <c r="J28" s="63">
        <f>'Monthly Summary'!BU28</f>
        <v/>
      </c>
      <c r="K28" s="63">
        <f>'Monthly Summary'!BV28</f>
        <v/>
      </c>
      <c r="L28" s="64">
        <f>'Monthly Summary'!BW28</f>
        <v/>
      </c>
      <c r="M28" s="63">
        <f>'Monthly Summary'!BX28</f>
        <v/>
      </c>
      <c r="N28" s="67">
        <f>'Monthly Summary'!BY28</f>
        <v/>
      </c>
      <c r="O28" s="68">
        <f>'Monthly Summary'!BZ28</f>
        <v/>
      </c>
      <c r="P28" s="67">
        <f>'Monthly Summary'!CA28</f>
        <v/>
      </c>
      <c r="Q28" s="67">
        <f>'Monthly Summary'!CB28</f>
        <v/>
      </c>
      <c r="R28" s="68">
        <f>'Monthly Summary'!CC28</f>
        <v/>
      </c>
      <c r="S28" s="69">
        <f>'Subject-wise Summary'!S27</f>
        <v/>
      </c>
      <c r="T28" s="69">
        <f>'Subject-wise Summary'!T27</f>
        <v/>
      </c>
      <c r="U28" s="70">
        <f>'Subject-wise Summary'!U27</f>
        <v/>
      </c>
      <c r="V28" s="69">
        <f>'Subject-wise Summary'!V27</f>
        <v/>
      </c>
      <c r="W28" s="69">
        <f>'Subject-wise Summary'!W27</f>
        <v/>
      </c>
      <c r="X28" s="70">
        <f>'Subject-wise Summary'!X27</f>
        <v/>
      </c>
      <c r="Y28" s="69">
        <f>'Subject-wise Summary'!Y27</f>
        <v/>
      </c>
      <c r="Z28" s="69">
        <f>'Subject-wise Summary'!Z27</f>
        <v/>
      </c>
      <c r="AA28" s="70">
        <f>'Subject-wise Summary'!AA27</f>
        <v/>
      </c>
      <c r="AB28" s="67">
        <f>'Monthly Summary'!S28</f>
        <v/>
      </c>
      <c r="AC28" s="67">
        <f>'Monthly Summary'!T28</f>
        <v/>
      </c>
      <c r="AD28" s="68">
        <f>'Monthly Summary'!U28</f>
        <v/>
      </c>
      <c r="AE28" s="67">
        <f>'Monthly Summary'!AN28</f>
        <v/>
      </c>
      <c r="AF28" s="67">
        <f>'Monthly Summary'!AO28</f>
        <v/>
      </c>
      <c r="AG28" s="68">
        <f>'Monthly Summary'!AP28</f>
        <v/>
      </c>
      <c r="AH28" s="67">
        <f>'Monthly Summary'!BI28</f>
        <v/>
      </c>
      <c r="AI28" s="67">
        <f>'Monthly Summary'!BJ28</f>
        <v/>
      </c>
      <c r="AJ28" s="68">
        <f>'Monthly Summary'!BK28</f>
        <v/>
      </c>
      <c r="AK28" s="67">
        <f>'Monthly Summary'!CD28</f>
        <v/>
      </c>
      <c r="AL28" s="67">
        <f>'Monthly Summary'!CE28</f>
        <v/>
      </c>
      <c r="AM28" s="68">
        <f>'Monthly Summary'!CF28</f>
        <v/>
      </c>
      <c r="AN28" s="69">
        <f>'Monthly Summary'!CG28</f>
        <v/>
      </c>
      <c r="AO28" s="69">
        <f>'Monthly Summary'!CH28</f>
        <v/>
      </c>
      <c r="AP28" s="70">
        <f>'Monthly Summary'!CI28</f>
        <v/>
      </c>
      <c r="AQ28" s="67">
        <f>'Monthly Summary'!CJ28</f>
        <v/>
      </c>
      <c r="AR28" s="67">
        <f>'Monthly Summary'!CK28</f>
        <v/>
      </c>
      <c r="AS28" s="68">
        <f>'Monthly Summary'!CL28</f>
        <v/>
      </c>
      <c r="AT28" s="67" t="inlineStr">
        <is>
          <t>Batch 1</t>
        </is>
      </c>
    </row>
    <row r="29" ht="14.25" customHeight="1" s="34">
      <c r="A29" s="46" t="n">
        <v>27</v>
      </c>
      <c r="B29" s="46" t="inlineStr">
        <is>
          <t>325106410027</t>
        </is>
      </c>
      <c r="C29" s="46" t="inlineStr">
        <is>
          <t>LOHITH SAI MEDA</t>
        </is>
      </c>
      <c r="D29" s="63">
        <f>'Monthly Summary'!BO29</f>
        <v/>
      </c>
      <c r="E29" s="63">
        <f>'Monthly Summary'!BP29</f>
        <v/>
      </c>
      <c r="F29" s="64">
        <f>'Monthly Summary'!BQ29</f>
        <v/>
      </c>
      <c r="G29" s="63">
        <f>'Monthly Summary'!BR29</f>
        <v/>
      </c>
      <c r="H29" s="63">
        <f>'Monthly Summary'!BS29</f>
        <v/>
      </c>
      <c r="I29" s="64">
        <f>'Monthly Summary'!BT29</f>
        <v/>
      </c>
      <c r="J29" s="63">
        <f>'Monthly Summary'!BU29</f>
        <v/>
      </c>
      <c r="K29" s="63">
        <f>'Monthly Summary'!BV29</f>
        <v/>
      </c>
      <c r="L29" s="64">
        <f>'Monthly Summary'!BW29</f>
        <v/>
      </c>
      <c r="M29" s="63">
        <f>'Monthly Summary'!BX29</f>
        <v/>
      </c>
      <c r="N29" s="67">
        <f>'Monthly Summary'!BY29</f>
        <v/>
      </c>
      <c r="O29" s="68">
        <f>'Monthly Summary'!BZ29</f>
        <v/>
      </c>
      <c r="P29" s="67">
        <f>'Monthly Summary'!CA29</f>
        <v/>
      </c>
      <c r="Q29" s="67">
        <f>'Monthly Summary'!CB29</f>
        <v/>
      </c>
      <c r="R29" s="68">
        <f>'Monthly Summary'!CC29</f>
        <v/>
      </c>
      <c r="S29" s="69">
        <f>'Subject-wise Summary'!S28</f>
        <v/>
      </c>
      <c r="T29" s="69">
        <f>'Subject-wise Summary'!T28</f>
        <v/>
      </c>
      <c r="U29" s="70">
        <f>'Subject-wise Summary'!U28</f>
        <v/>
      </c>
      <c r="V29" s="69">
        <f>'Subject-wise Summary'!V28</f>
        <v/>
      </c>
      <c r="W29" s="69">
        <f>'Subject-wise Summary'!W28</f>
        <v/>
      </c>
      <c r="X29" s="70">
        <f>'Subject-wise Summary'!X28</f>
        <v/>
      </c>
      <c r="Y29" s="69">
        <f>'Subject-wise Summary'!Y28</f>
        <v/>
      </c>
      <c r="Z29" s="69">
        <f>'Subject-wise Summary'!Z28</f>
        <v/>
      </c>
      <c r="AA29" s="70">
        <f>'Subject-wise Summary'!AA28</f>
        <v/>
      </c>
      <c r="AB29" s="67">
        <f>'Monthly Summary'!S29</f>
        <v/>
      </c>
      <c r="AC29" s="67">
        <f>'Monthly Summary'!T29</f>
        <v/>
      </c>
      <c r="AD29" s="68">
        <f>'Monthly Summary'!U29</f>
        <v/>
      </c>
      <c r="AE29" s="67">
        <f>'Monthly Summary'!AN29</f>
        <v/>
      </c>
      <c r="AF29" s="67">
        <f>'Monthly Summary'!AO29</f>
        <v/>
      </c>
      <c r="AG29" s="68">
        <f>'Monthly Summary'!AP29</f>
        <v/>
      </c>
      <c r="AH29" s="67">
        <f>'Monthly Summary'!BI29</f>
        <v/>
      </c>
      <c r="AI29" s="67">
        <f>'Monthly Summary'!BJ29</f>
        <v/>
      </c>
      <c r="AJ29" s="68">
        <f>'Monthly Summary'!BK29</f>
        <v/>
      </c>
      <c r="AK29" s="67">
        <f>'Monthly Summary'!CD29</f>
        <v/>
      </c>
      <c r="AL29" s="67">
        <f>'Monthly Summary'!CE29</f>
        <v/>
      </c>
      <c r="AM29" s="68">
        <f>'Monthly Summary'!CF29</f>
        <v/>
      </c>
      <c r="AN29" s="69">
        <f>'Monthly Summary'!CG29</f>
        <v/>
      </c>
      <c r="AO29" s="69">
        <f>'Monthly Summary'!CH29</f>
        <v/>
      </c>
      <c r="AP29" s="70">
        <f>'Monthly Summary'!CI29</f>
        <v/>
      </c>
      <c r="AQ29" s="67">
        <f>'Monthly Summary'!CJ29</f>
        <v/>
      </c>
      <c r="AR29" s="67">
        <f>'Monthly Summary'!CK29</f>
        <v/>
      </c>
      <c r="AS29" s="68">
        <f>'Monthly Summary'!CL29</f>
        <v/>
      </c>
      <c r="AT29" s="67" t="inlineStr">
        <is>
          <t>Batch 1</t>
        </is>
      </c>
    </row>
    <row r="30" ht="14.25" customHeight="1" s="34">
      <c r="A30" s="46" t="n">
        <v>28</v>
      </c>
      <c r="B30" s="46" t="inlineStr">
        <is>
          <t>325106410028</t>
        </is>
      </c>
      <c r="C30" s="46" t="inlineStr">
        <is>
          <t>HANUSRI VEERA VENKATA SANTOSH MIDATHA</t>
        </is>
      </c>
      <c r="D30" s="63">
        <f>'Monthly Summary'!BO30</f>
        <v/>
      </c>
      <c r="E30" s="63">
        <f>'Monthly Summary'!BP30</f>
        <v/>
      </c>
      <c r="F30" s="64">
        <f>'Monthly Summary'!BQ30</f>
        <v/>
      </c>
      <c r="G30" s="63">
        <f>'Monthly Summary'!BR30</f>
        <v/>
      </c>
      <c r="H30" s="63">
        <f>'Monthly Summary'!BS30</f>
        <v/>
      </c>
      <c r="I30" s="64">
        <f>'Monthly Summary'!BT30</f>
        <v/>
      </c>
      <c r="J30" s="63">
        <f>'Monthly Summary'!BU30</f>
        <v/>
      </c>
      <c r="K30" s="63">
        <f>'Monthly Summary'!BV30</f>
        <v/>
      </c>
      <c r="L30" s="64">
        <f>'Monthly Summary'!BW30</f>
        <v/>
      </c>
      <c r="M30" s="63">
        <f>'Monthly Summary'!BX30</f>
        <v/>
      </c>
      <c r="N30" s="67">
        <f>'Monthly Summary'!BY30</f>
        <v/>
      </c>
      <c r="O30" s="68">
        <f>'Monthly Summary'!BZ30</f>
        <v/>
      </c>
      <c r="P30" s="67">
        <f>'Monthly Summary'!CA30</f>
        <v/>
      </c>
      <c r="Q30" s="67">
        <f>'Monthly Summary'!CB30</f>
        <v/>
      </c>
      <c r="R30" s="68">
        <f>'Monthly Summary'!CC30</f>
        <v/>
      </c>
      <c r="S30" s="69">
        <f>'Subject-wise Summary'!S29</f>
        <v/>
      </c>
      <c r="T30" s="69">
        <f>'Subject-wise Summary'!T29</f>
        <v/>
      </c>
      <c r="U30" s="70">
        <f>'Subject-wise Summary'!U29</f>
        <v/>
      </c>
      <c r="V30" s="69">
        <f>'Subject-wise Summary'!V29</f>
        <v/>
      </c>
      <c r="W30" s="69">
        <f>'Subject-wise Summary'!W29</f>
        <v/>
      </c>
      <c r="X30" s="70">
        <f>'Subject-wise Summary'!X29</f>
        <v/>
      </c>
      <c r="Y30" s="69">
        <f>'Subject-wise Summary'!Y29</f>
        <v/>
      </c>
      <c r="Z30" s="69">
        <f>'Subject-wise Summary'!Z29</f>
        <v/>
      </c>
      <c r="AA30" s="70">
        <f>'Subject-wise Summary'!AA29</f>
        <v/>
      </c>
      <c r="AB30" s="67">
        <f>'Monthly Summary'!S30</f>
        <v/>
      </c>
      <c r="AC30" s="67">
        <f>'Monthly Summary'!T30</f>
        <v/>
      </c>
      <c r="AD30" s="68">
        <f>'Monthly Summary'!U30</f>
        <v/>
      </c>
      <c r="AE30" s="67">
        <f>'Monthly Summary'!AN30</f>
        <v/>
      </c>
      <c r="AF30" s="67">
        <f>'Monthly Summary'!AO30</f>
        <v/>
      </c>
      <c r="AG30" s="68">
        <f>'Monthly Summary'!AP30</f>
        <v/>
      </c>
      <c r="AH30" s="67">
        <f>'Monthly Summary'!BI30</f>
        <v/>
      </c>
      <c r="AI30" s="67">
        <f>'Monthly Summary'!BJ30</f>
        <v/>
      </c>
      <c r="AJ30" s="68">
        <f>'Monthly Summary'!BK30</f>
        <v/>
      </c>
      <c r="AK30" s="67">
        <f>'Monthly Summary'!CD30</f>
        <v/>
      </c>
      <c r="AL30" s="67">
        <f>'Monthly Summary'!CE30</f>
        <v/>
      </c>
      <c r="AM30" s="68">
        <f>'Monthly Summary'!CF30</f>
        <v/>
      </c>
      <c r="AN30" s="69">
        <f>'Monthly Summary'!CG30</f>
        <v/>
      </c>
      <c r="AO30" s="69">
        <f>'Monthly Summary'!CH30</f>
        <v/>
      </c>
      <c r="AP30" s="70">
        <f>'Monthly Summary'!CI30</f>
        <v/>
      </c>
      <c r="AQ30" s="67">
        <f>'Monthly Summary'!CJ30</f>
        <v/>
      </c>
      <c r="AR30" s="67">
        <f>'Monthly Summary'!CK30</f>
        <v/>
      </c>
      <c r="AS30" s="68">
        <f>'Monthly Summary'!CL30</f>
        <v/>
      </c>
      <c r="AT30" s="67" t="inlineStr">
        <is>
          <t>Batch 1</t>
        </is>
      </c>
    </row>
    <row r="31" ht="14.25" customHeight="1" s="34">
      <c r="A31" s="46" t="n">
        <v>29</v>
      </c>
      <c r="B31" s="46" t="inlineStr">
        <is>
          <t>325106410029</t>
        </is>
      </c>
      <c r="C31" s="46" t="inlineStr">
        <is>
          <t>SYAM KISHORE MOGILI</t>
        </is>
      </c>
      <c r="D31" s="63">
        <f>'Monthly Summary'!BO31</f>
        <v/>
      </c>
      <c r="E31" s="63">
        <f>'Monthly Summary'!BP31</f>
        <v/>
      </c>
      <c r="F31" s="64">
        <f>'Monthly Summary'!BQ31</f>
        <v/>
      </c>
      <c r="G31" s="63">
        <f>'Monthly Summary'!BR31</f>
        <v/>
      </c>
      <c r="H31" s="63">
        <f>'Monthly Summary'!BS31</f>
        <v/>
      </c>
      <c r="I31" s="64">
        <f>'Monthly Summary'!BT31</f>
        <v/>
      </c>
      <c r="J31" s="63">
        <f>'Monthly Summary'!BU31</f>
        <v/>
      </c>
      <c r="K31" s="63">
        <f>'Monthly Summary'!BV31</f>
        <v/>
      </c>
      <c r="L31" s="64">
        <f>'Monthly Summary'!BW31</f>
        <v/>
      </c>
      <c r="M31" s="63">
        <f>'Monthly Summary'!BX31</f>
        <v/>
      </c>
      <c r="N31" s="67">
        <f>'Monthly Summary'!BY31</f>
        <v/>
      </c>
      <c r="O31" s="68">
        <f>'Monthly Summary'!BZ31</f>
        <v/>
      </c>
      <c r="P31" s="67">
        <f>'Monthly Summary'!CA31</f>
        <v/>
      </c>
      <c r="Q31" s="67">
        <f>'Monthly Summary'!CB31</f>
        <v/>
      </c>
      <c r="R31" s="68">
        <f>'Monthly Summary'!CC31</f>
        <v/>
      </c>
      <c r="S31" s="69">
        <f>'Subject-wise Summary'!S30</f>
        <v/>
      </c>
      <c r="T31" s="69">
        <f>'Subject-wise Summary'!T30</f>
        <v/>
      </c>
      <c r="U31" s="70">
        <f>'Subject-wise Summary'!U30</f>
        <v/>
      </c>
      <c r="V31" s="69">
        <f>'Subject-wise Summary'!V30</f>
        <v/>
      </c>
      <c r="W31" s="69">
        <f>'Subject-wise Summary'!W30</f>
        <v/>
      </c>
      <c r="X31" s="70">
        <f>'Subject-wise Summary'!X30</f>
        <v/>
      </c>
      <c r="Y31" s="69">
        <f>'Subject-wise Summary'!Y30</f>
        <v/>
      </c>
      <c r="Z31" s="69">
        <f>'Subject-wise Summary'!Z30</f>
        <v/>
      </c>
      <c r="AA31" s="70">
        <f>'Subject-wise Summary'!AA30</f>
        <v/>
      </c>
      <c r="AB31" s="67">
        <f>'Monthly Summary'!S31</f>
        <v/>
      </c>
      <c r="AC31" s="67">
        <f>'Monthly Summary'!T31</f>
        <v/>
      </c>
      <c r="AD31" s="68">
        <f>'Monthly Summary'!U31</f>
        <v/>
      </c>
      <c r="AE31" s="67">
        <f>'Monthly Summary'!AN31</f>
        <v/>
      </c>
      <c r="AF31" s="67">
        <f>'Monthly Summary'!AO31</f>
        <v/>
      </c>
      <c r="AG31" s="68">
        <f>'Monthly Summary'!AP31</f>
        <v/>
      </c>
      <c r="AH31" s="67">
        <f>'Monthly Summary'!BI31</f>
        <v/>
      </c>
      <c r="AI31" s="67">
        <f>'Monthly Summary'!BJ31</f>
        <v/>
      </c>
      <c r="AJ31" s="68">
        <f>'Monthly Summary'!BK31</f>
        <v/>
      </c>
      <c r="AK31" s="67">
        <f>'Monthly Summary'!CD31</f>
        <v/>
      </c>
      <c r="AL31" s="67">
        <f>'Monthly Summary'!CE31</f>
        <v/>
      </c>
      <c r="AM31" s="68">
        <f>'Monthly Summary'!CF31</f>
        <v/>
      </c>
      <c r="AN31" s="69">
        <f>'Monthly Summary'!CG31</f>
        <v/>
      </c>
      <c r="AO31" s="69">
        <f>'Monthly Summary'!CH31</f>
        <v/>
      </c>
      <c r="AP31" s="70">
        <f>'Monthly Summary'!CI31</f>
        <v/>
      </c>
      <c r="AQ31" s="67">
        <f>'Monthly Summary'!CJ31</f>
        <v/>
      </c>
      <c r="AR31" s="67">
        <f>'Monthly Summary'!CK31</f>
        <v/>
      </c>
      <c r="AS31" s="68">
        <f>'Monthly Summary'!CL31</f>
        <v/>
      </c>
      <c r="AT31" s="67" t="inlineStr">
        <is>
          <t>Batch 1</t>
        </is>
      </c>
    </row>
    <row r="32" ht="14.25" customHeight="1" s="34">
      <c r="A32" s="46" t="n">
        <v>30</v>
      </c>
      <c r="B32" s="46" t="inlineStr">
        <is>
          <t>325106410030</t>
        </is>
      </c>
      <c r="C32" s="46" t="inlineStr">
        <is>
          <t>CHARAN TEJA MUDADLA</t>
        </is>
      </c>
      <c r="D32" s="63">
        <f>'Monthly Summary'!BO32</f>
        <v/>
      </c>
      <c r="E32" s="63">
        <f>'Monthly Summary'!BP32</f>
        <v/>
      </c>
      <c r="F32" s="64">
        <f>'Monthly Summary'!BQ32</f>
        <v/>
      </c>
      <c r="G32" s="63">
        <f>'Monthly Summary'!BR32</f>
        <v/>
      </c>
      <c r="H32" s="63">
        <f>'Monthly Summary'!BS32</f>
        <v/>
      </c>
      <c r="I32" s="64">
        <f>'Monthly Summary'!BT32</f>
        <v/>
      </c>
      <c r="J32" s="63">
        <f>'Monthly Summary'!BU32</f>
        <v/>
      </c>
      <c r="K32" s="63">
        <f>'Monthly Summary'!BV32</f>
        <v/>
      </c>
      <c r="L32" s="64">
        <f>'Monthly Summary'!BW32</f>
        <v/>
      </c>
      <c r="M32" s="63">
        <f>'Monthly Summary'!BX32</f>
        <v/>
      </c>
      <c r="N32" s="67">
        <f>'Monthly Summary'!BY32</f>
        <v/>
      </c>
      <c r="O32" s="68">
        <f>'Monthly Summary'!BZ32</f>
        <v/>
      </c>
      <c r="P32" s="67">
        <f>'Monthly Summary'!CA32</f>
        <v/>
      </c>
      <c r="Q32" s="67">
        <f>'Monthly Summary'!CB32</f>
        <v/>
      </c>
      <c r="R32" s="68">
        <f>'Monthly Summary'!CC32</f>
        <v/>
      </c>
      <c r="S32" s="69">
        <f>'Subject-wise Summary'!S31</f>
        <v/>
      </c>
      <c r="T32" s="69">
        <f>'Subject-wise Summary'!T31</f>
        <v/>
      </c>
      <c r="U32" s="70">
        <f>'Subject-wise Summary'!U31</f>
        <v/>
      </c>
      <c r="V32" s="69">
        <f>'Subject-wise Summary'!V31</f>
        <v/>
      </c>
      <c r="W32" s="69">
        <f>'Subject-wise Summary'!W31</f>
        <v/>
      </c>
      <c r="X32" s="70">
        <f>'Subject-wise Summary'!X31</f>
        <v/>
      </c>
      <c r="Y32" s="69">
        <f>'Subject-wise Summary'!Y31</f>
        <v/>
      </c>
      <c r="Z32" s="69">
        <f>'Subject-wise Summary'!Z31</f>
        <v/>
      </c>
      <c r="AA32" s="70">
        <f>'Subject-wise Summary'!AA31</f>
        <v/>
      </c>
      <c r="AB32" s="67">
        <f>'Monthly Summary'!S32</f>
        <v/>
      </c>
      <c r="AC32" s="67">
        <f>'Monthly Summary'!T32</f>
        <v/>
      </c>
      <c r="AD32" s="68">
        <f>'Monthly Summary'!U32</f>
        <v/>
      </c>
      <c r="AE32" s="67">
        <f>'Monthly Summary'!AN32</f>
        <v/>
      </c>
      <c r="AF32" s="67">
        <f>'Monthly Summary'!AO32</f>
        <v/>
      </c>
      <c r="AG32" s="68">
        <f>'Monthly Summary'!AP32</f>
        <v/>
      </c>
      <c r="AH32" s="67">
        <f>'Monthly Summary'!BI32</f>
        <v/>
      </c>
      <c r="AI32" s="67">
        <f>'Monthly Summary'!BJ32</f>
        <v/>
      </c>
      <c r="AJ32" s="68">
        <f>'Monthly Summary'!BK32</f>
        <v/>
      </c>
      <c r="AK32" s="67">
        <f>'Monthly Summary'!CD32</f>
        <v/>
      </c>
      <c r="AL32" s="67">
        <f>'Monthly Summary'!CE32</f>
        <v/>
      </c>
      <c r="AM32" s="68">
        <f>'Monthly Summary'!CF32</f>
        <v/>
      </c>
      <c r="AN32" s="69">
        <f>'Monthly Summary'!CG32</f>
        <v/>
      </c>
      <c r="AO32" s="69">
        <f>'Monthly Summary'!CH32</f>
        <v/>
      </c>
      <c r="AP32" s="70">
        <f>'Monthly Summary'!CI32</f>
        <v/>
      </c>
      <c r="AQ32" s="67">
        <f>'Monthly Summary'!CJ32</f>
        <v/>
      </c>
      <c r="AR32" s="67">
        <f>'Monthly Summary'!CK32</f>
        <v/>
      </c>
      <c r="AS32" s="68">
        <f>'Monthly Summary'!CL32</f>
        <v/>
      </c>
      <c r="AT32" s="67" t="inlineStr">
        <is>
          <t>Batch 1</t>
        </is>
      </c>
    </row>
    <row r="33" ht="14.25" customHeight="1" s="34">
      <c r="A33" s="46" t="n">
        <v>31</v>
      </c>
      <c r="B33" s="46" t="inlineStr">
        <is>
          <t>325106410031</t>
        </is>
      </c>
      <c r="C33" s="46" t="inlineStr">
        <is>
          <t>LAKSHMI PRATHYUSHA MUDIYAM</t>
        </is>
      </c>
      <c r="D33" s="63">
        <f>'Monthly Summary'!BO33</f>
        <v/>
      </c>
      <c r="E33" s="63">
        <f>'Monthly Summary'!BP33</f>
        <v/>
      </c>
      <c r="F33" s="64">
        <f>'Monthly Summary'!BQ33</f>
        <v/>
      </c>
      <c r="G33" s="63">
        <f>'Monthly Summary'!BR33</f>
        <v/>
      </c>
      <c r="H33" s="63">
        <f>'Monthly Summary'!BS33</f>
        <v/>
      </c>
      <c r="I33" s="64">
        <f>'Monthly Summary'!BT33</f>
        <v/>
      </c>
      <c r="J33" s="63">
        <f>'Monthly Summary'!BU33</f>
        <v/>
      </c>
      <c r="K33" s="63">
        <f>'Monthly Summary'!BV33</f>
        <v/>
      </c>
      <c r="L33" s="64">
        <f>'Monthly Summary'!BW33</f>
        <v/>
      </c>
      <c r="M33" s="63">
        <f>'Monthly Summary'!BX33</f>
        <v/>
      </c>
      <c r="N33" s="67">
        <f>'Monthly Summary'!BY33</f>
        <v/>
      </c>
      <c r="O33" s="68">
        <f>'Monthly Summary'!BZ33</f>
        <v/>
      </c>
      <c r="P33" s="67">
        <f>'Monthly Summary'!CA33</f>
        <v/>
      </c>
      <c r="Q33" s="67">
        <f>'Monthly Summary'!CB33</f>
        <v/>
      </c>
      <c r="R33" s="68">
        <f>'Monthly Summary'!CC33</f>
        <v/>
      </c>
      <c r="S33" s="69">
        <f>'Subject-wise Summary'!S32</f>
        <v/>
      </c>
      <c r="T33" s="69">
        <f>'Subject-wise Summary'!T32</f>
        <v/>
      </c>
      <c r="U33" s="70">
        <f>'Subject-wise Summary'!U32</f>
        <v/>
      </c>
      <c r="V33" s="69">
        <f>'Subject-wise Summary'!V32</f>
        <v/>
      </c>
      <c r="W33" s="69">
        <f>'Subject-wise Summary'!W32</f>
        <v/>
      </c>
      <c r="X33" s="70">
        <f>'Subject-wise Summary'!X32</f>
        <v/>
      </c>
      <c r="Y33" s="69">
        <f>'Subject-wise Summary'!Y32</f>
        <v/>
      </c>
      <c r="Z33" s="69">
        <f>'Subject-wise Summary'!Z32</f>
        <v/>
      </c>
      <c r="AA33" s="70">
        <f>'Subject-wise Summary'!AA32</f>
        <v/>
      </c>
      <c r="AB33" s="67">
        <f>'Monthly Summary'!S33</f>
        <v/>
      </c>
      <c r="AC33" s="67">
        <f>'Monthly Summary'!T33</f>
        <v/>
      </c>
      <c r="AD33" s="68">
        <f>'Monthly Summary'!U33</f>
        <v/>
      </c>
      <c r="AE33" s="67">
        <f>'Monthly Summary'!AN33</f>
        <v/>
      </c>
      <c r="AF33" s="67">
        <f>'Monthly Summary'!AO33</f>
        <v/>
      </c>
      <c r="AG33" s="68">
        <f>'Monthly Summary'!AP33</f>
        <v/>
      </c>
      <c r="AH33" s="67">
        <f>'Monthly Summary'!BI33</f>
        <v/>
      </c>
      <c r="AI33" s="67">
        <f>'Monthly Summary'!BJ33</f>
        <v/>
      </c>
      <c r="AJ33" s="68">
        <f>'Monthly Summary'!BK33</f>
        <v/>
      </c>
      <c r="AK33" s="67">
        <f>'Monthly Summary'!CD33</f>
        <v/>
      </c>
      <c r="AL33" s="67">
        <f>'Monthly Summary'!CE33</f>
        <v/>
      </c>
      <c r="AM33" s="68">
        <f>'Monthly Summary'!CF33</f>
        <v/>
      </c>
      <c r="AN33" s="69">
        <f>'Monthly Summary'!CG33</f>
        <v/>
      </c>
      <c r="AO33" s="69">
        <f>'Monthly Summary'!CH33</f>
        <v/>
      </c>
      <c r="AP33" s="70">
        <f>'Monthly Summary'!CI33</f>
        <v/>
      </c>
      <c r="AQ33" s="67">
        <f>'Monthly Summary'!CJ33</f>
        <v/>
      </c>
      <c r="AR33" s="67">
        <f>'Monthly Summary'!CK33</f>
        <v/>
      </c>
      <c r="AS33" s="68">
        <f>'Monthly Summary'!CL33</f>
        <v/>
      </c>
      <c r="AT33" s="67" t="inlineStr">
        <is>
          <t>Batch 1</t>
        </is>
      </c>
    </row>
    <row r="34" ht="14.25" customHeight="1" s="34">
      <c r="A34" s="46" t="n">
        <v>32</v>
      </c>
      <c r="B34" s="46" t="inlineStr">
        <is>
          <t>325106410032</t>
        </is>
      </c>
      <c r="C34" s="46" t="inlineStr">
        <is>
          <t>LAKSHMI NARASIMHA SATHWIK MUDUNURU</t>
        </is>
      </c>
      <c r="D34" s="63">
        <f>'Monthly Summary'!BO34</f>
        <v/>
      </c>
      <c r="E34" s="63">
        <f>'Monthly Summary'!BP34</f>
        <v/>
      </c>
      <c r="F34" s="64">
        <f>'Monthly Summary'!BQ34</f>
        <v/>
      </c>
      <c r="G34" s="63">
        <f>'Monthly Summary'!BR34</f>
        <v/>
      </c>
      <c r="H34" s="63">
        <f>'Monthly Summary'!BS34</f>
        <v/>
      </c>
      <c r="I34" s="64">
        <f>'Monthly Summary'!BT34</f>
        <v/>
      </c>
      <c r="J34" s="63">
        <f>'Monthly Summary'!BU34</f>
        <v/>
      </c>
      <c r="K34" s="63">
        <f>'Monthly Summary'!BV34</f>
        <v/>
      </c>
      <c r="L34" s="64">
        <f>'Monthly Summary'!BW34</f>
        <v/>
      </c>
      <c r="M34" s="63">
        <f>'Monthly Summary'!BX34</f>
        <v/>
      </c>
      <c r="N34" s="67">
        <f>'Monthly Summary'!BY34</f>
        <v/>
      </c>
      <c r="O34" s="68">
        <f>'Monthly Summary'!BZ34</f>
        <v/>
      </c>
      <c r="P34" s="67">
        <f>'Monthly Summary'!CA34</f>
        <v/>
      </c>
      <c r="Q34" s="67">
        <f>'Monthly Summary'!CB34</f>
        <v/>
      </c>
      <c r="R34" s="68">
        <f>'Monthly Summary'!CC34</f>
        <v/>
      </c>
      <c r="S34" s="69">
        <f>'Subject-wise Summary'!S33</f>
        <v/>
      </c>
      <c r="T34" s="69">
        <f>'Subject-wise Summary'!T33</f>
        <v/>
      </c>
      <c r="U34" s="70">
        <f>'Subject-wise Summary'!U33</f>
        <v/>
      </c>
      <c r="V34" s="69">
        <f>'Subject-wise Summary'!V33</f>
        <v/>
      </c>
      <c r="W34" s="69">
        <f>'Subject-wise Summary'!W33</f>
        <v/>
      </c>
      <c r="X34" s="70">
        <f>'Subject-wise Summary'!X33</f>
        <v/>
      </c>
      <c r="Y34" s="69">
        <f>'Subject-wise Summary'!Y33</f>
        <v/>
      </c>
      <c r="Z34" s="69">
        <f>'Subject-wise Summary'!Z33</f>
        <v/>
      </c>
      <c r="AA34" s="70">
        <f>'Subject-wise Summary'!AA33</f>
        <v/>
      </c>
      <c r="AB34" s="67">
        <f>'Monthly Summary'!S34</f>
        <v/>
      </c>
      <c r="AC34" s="67">
        <f>'Monthly Summary'!T34</f>
        <v/>
      </c>
      <c r="AD34" s="68">
        <f>'Monthly Summary'!U34</f>
        <v/>
      </c>
      <c r="AE34" s="67">
        <f>'Monthly Summary'!AN34</f>
        <v/>
      </c>
      <c r="AF34" s="67">
        <f>'Monthly Summary'!AO34</f>
        <v/>
      </c>
      <c r="AG34" s="68">
        <f>'Monthly Summary'!AP34</f>
        <v/>
      </c>
      <c r="AH34" s="67">
        <f>'Monthly Summary'!BI34</f>
        <v/>
      </c>
      <c r="AI34" s="67">
        <f>'Monthly Summary'!BJ34</f>
        <v/>
      </c>
      <c r="AJ34" s="68">
        <f>'Monthly Summary'!BK34</f>
        <v/>
      </c>
      <c r="AK34" s="67">
        <f>'Monthly Summary'!CD34</f>
        <v/>
      </c>
      <c r="AL34" s="67">
        <f>'Monthly Summary'!CE34</f>
        <v/>
      </c>
      <c r="AM34" s="68">
        <f>'Monthly Summary'!CF34</f>
        <v/>
      </c>
      <c r="AN34" s="69">
        <f>'Monthly Summary'!CG34</f>
        <v/>
      </c>
      <c r="AO34" s="69">
        <f>'Monthly Summary'!CH34</f>
        <v/>
      </c>
      <c r="AP34" s="70">
        <f>'Monthly Summary'!CI34</f>
        <v/>
      </c>
      <c r="AQ34" s="67">
        <f>'Monthly Summary'!CJ34</f>
        <v/>
      </c>
      <c r="AR34" s="67">
        <f>'Monthly Summary'!CK34</f>
        <v/>
      </c>
      <c r="AS34" s="68">
        <f>'Monthly Summary'!CL34</f>
        <v/>
      </c>
      <c r="AT34" s="67" t="inlineStr">
        <is>
          <t>Batch 1</t>
        </is>
      </c>
    </row>
    <row r="35" ht="14.25" customHeight="1" s="34">
      <c r="A35" s="46" t="n">
        <v>33</v>
      </c>
      <c r="B35" s="46" t="inlineStr">
        <is>
          <t>325106410033</t>
        </is>
      </c>
      <c r="C35" s="46" t="inlineStr">
        <is>
          <t>VEERA VENKATA SHALINI DEVI SRI MUMMANA</t>
        </is>
      </c>
      <c r="D35" s="63">
        <f>'Monthly Summary'!BO35</f>
        <v/>
      </c>
      <c r="E35" s="63">
        <f>'Monthly Summary'!BP35</f>
        <v/>
      </c>
      <c r="F35" s="64">
        <f>'Monthly Summary'!BQ35</f>
        <v/>
      </c>
      <c r="G35" s="63">
        <f>'Monthly Summary'!BR35</f>
        <v/>
      </c>
      <c r="H35" s="63">
        <f>'Monthly Summary'!BS35</f>
        <v/>
      </c>
      <c r="I35" s="64">
        <f>'Monthly Summary'!BT35</f>
        <v/>
      </c>
      <c r="J35" s="63">
        <f>'Monthly Summary'!BU35</f>
        <v/>
      </c>
      <c r="K35" s="63">
        <f>'Monthly Summary'!BV35</f>
        <v/>
      </c>
      <c r="L35" s="64">
        <f>'Monthly Summary'!BW35</f>
        <v/>
      </c>
      <c r="M35" s="63">
        <f>'Monthly Summary'!BX35</f>
        <v/>
      </c>
      <c r="N35" s="67">
        <f>'Monthly Summary'!BY35</f>
        <v/>
      </c>
      <c r="O35" s="68">
        <f>'Monthly Summary'!BZ35</f>
        <v/>
      </c>
      <c r="P35" s="67">
        <f>'Monthly Summary'!CA35</f>
        <v/>
      </c>
      <c r="Q35" s="67">
        <f>'Monthly Summary'!CB35</f>
        <v/>
      </c>
      <c r="R35" s="68">
        <f>'Monthly Summary'!CC35</f>
        <v/>
      </c>
      <c r="S35" s="69">
        <f>'Subject-wise Summary'!S34</f>
        <v/>
      </c>
      <c r="T35" s="69">
        <f>'Subject-wise Summary'!T34</f>
        <v/>
      </c>
      <c r="U35" s="70">
        <f>'Subject-wise Summary'!U34</f>
        <v/>
      </c>
      <c r="V35" s="69">
        <f>'Subject-wise Summary'!V34</f>
        <v/>
      </c>
      <c r="W35" s="69">
        <f>'Subject-wise Summary'!W34</f>
        <v/>
      </c>
      <c r="X35" s="70">
        <f>'Subject-wise Summary'!X34</f>
        <v/>
      </c>
      <c r="Y35" s="69">
        <f>'Subject-wise Summary'!Y34</f>
        <v/>
      </c>
      <c r="Z35" s="69">
        <f>'Subject-wise Summary'!Z34</f>
        <v/>
      </c>
      <c r="AA35" s="70">
        <f>'Subject-wise Summary'!AA34</f>
        <v/>
      </c>
      <c r="AB35" s="67">
        <f>'Monthly Summary'!S35</f>
        <v/>
      </c>
      <c r="AC35" s="67">
        <f>'Monthly Summary'!T35</f>
        <v/>
      </c>
      <c r="AD35" s="68">
        <f>'Monthly Summary'!U35</f>
        <v/>
      </c>
      <c r="AE35" s="67">
        <f>'Monthly Summary'!AN35</f>
        <v/>
      </c>
      <c r="AF35" s="67">
        <f>'Monthly Summary'!AO35</f>
        <v/>
      </c>
      <c r="AG35" s="68">
        <f>'Monthly Summary'!AP35</f>
        <v/>
      </c>
      <c r="AH35" s="67">
        <f>'Monthly Summary'!BI35</f>
        <v/>
      </c>
      <c r="AI35" s="67">
        <f>'Monthly Summary'!BJ35</f>
        <v/>
      </c>
      <c r="AJ35" s="68">
        <f>'Monthly Summary'!BK35</f>
        <v/>
      </c>
      <c r="AK35" s="67">
        <f>'Monthly Summary'!CD35</f>
        <v/>
      </c>
      <c r="AL35" s="67">
        <f>'Monthly Summary'!CE35</f>
        <v/>
      </c>
      <c r="AM35" s="68">
        <f>'Monthly Summary'!CF35</f>
        <v/>
      </c>
      <c r="AN35" s="69">
        <f>'Monthly Summary'!CG35</f>
        <v/>
      </c>
      <c r="AO35" s="69">
        <f>'Monthly Summary'!CH35</f>
        <v/>
      </c>
      <c r="AP35" s="70">
        <f>'Monthly Summary'!CI35</f>
        <v/>
      </c>
      <c r="AQ35" s="67">
        <f>'Monthly Summary'!CJ35</f>
        <v/>
      </c>
      <c r="AR35" s="67">
        <f>'Monthly Summary'!CK35</f>
        <v/>
      </c>
      <c r="AS35" s="68">
        <f>'Monthly Summary'!CL35</f>
        <v/>
      </c>
      <c r="AT35" s="67" t="inlineStr">
        <is>
          <t>Batch 1</t>
        </is>
      </c>
    </row>
    <row r="36" ht="14.25" customHeight="1" s="34">
      <c r="A36" s="46" t="n">
        <v>34</v>
      </c>
      <c r="B36" s="46" t="inlineStr">
        <is>
          <t>325106410034</t>
        </is>
      </c>
      <c r="C36" s="46" t="inlineStr">
        <is>
          <t>NAGABHUSHANA KARTHIK BALIVADA</t>
        </is>
      </c>
      <c r="D36" s="63">
        <f>'Monthly Summary'!BO36</f>
        <v/>
      </c>
      <c r="E36" s="63">
        <f>'Monthly Summary'!BP36</f>
        <v/>
      </c>
      <c r="F36" s="64">
        <f>'Monthly Summary'!BQ36</f>
        <v/>
      </c>
      <c r="G36" s="63">
        <f>'Monthly Summary'!BR36</f>
        <v/>
      </c>
      <c r="H36" s="63">
        <f>'Monthly Summary'!BS36</f>
        <v/>
      </c>
      <c r="I36" s="64">
        <f>'Monthly Summary'!BT36</f>
        <v/>
      </c>
      <c r="J36" s="63">
        <f>'Monthly Summary'!BU36</f>
        <v/>
      </c>
      <c r="K36" s="63">
        <f>'Monthly Summary'!BV36</f>
        <v/>
      </c>
      <c r="L36" s="64">
        <f>'Monthly Summary'!BW36</f>
        <v/>
      </c>
      <c r="M36" s="63">
        <f>'Monthly Summary'!BX36</f>
        <v/>
      </c>
      <c r="N36" s="67">
        <f>'Monthly Summary'!BY36</f>
        <v/>
      </c>
      <c r="O36" s="68">
        <f>'Monthly Summary'!BZ36</f>
        <v/>
      </c>
      <c r="P36" s="67">
        <f>'Monthly Summary'!CA36</f>
        <v/>
      </c>
      <c r="Q36" s="67">
        <f>'Monthly Summary'!CB36</f>
        <v/>
      </c>
      <c r="R36" s="68">
        <f>'Monthly Summary'!CC36</f>
        <v/>
      </c>
      <c r="S36" s="69">
        <f>'Subject-wise Summary'!S35</f>
        <v/>
      </c>
      <c r="T36" s="69">
        <f>'Subject-wise Summary'!T35</f>
        <v/>
      </c>
      <c r="U36" s="70">
        <f>'Subject-wise Summary'!U35</f>
        <v/>
      </c>
      <c r="V36" s="69">
        <f>'Subject-wise Summary'!V35</f>
        <v/>
      </c>
      <c r="W36" s="69">
        <f>'Subject-wise Summary'!W35</f>
        <v/>
      </c>
      <c r="X36" s="70">
        <f>'Subject-wise Summary'!X35</f>
        <v/>
      </c>
      <c r="Y36" s="69">
        <f>'Subject-wise Summary'!Y35</f>
        <v/>
      </c>
      <c r="Z36" s="69">
        <f>'Subject-wise Summary'!Z35</f>
        <v/>
      </c>
      <c r="AA36" s="70">
        <f>'Subject-wise Summary'!AA35</f>
        <v/>
      </c>
      <c r="AB36" s="67">
        <f>'Monthly Summary'!S36</f>
        <v/>
      </c>
      <c r="AC36" s="67">
        <f>'Monthly Summary'!T36</f>
        <v/>
      </c>
      <c r="AD36" s="68">
        <f>'Monthly Summary'!U36</f>
        <v/>
      </c>
      <c r="AE36" s="67">
        <f>'Monthly Summary'!AN36</f>
        <v/>
      </c>
      <c r="AF36" s="67">
        <f>'Monthly Summary'!AO36</f>
        <v/>
      </c>
      <c r="AG36" s="68">
        <f>'Monthly Summary'!AP36</f>
        <v/>
      </c>
      <c r="AH36" s="67">
        <f>'Monthly Summary'!BI36</f>
        <v/>
      </c>
      <c r="AI36" s="67">
        <f>'Monthly Summary'!BJ36</f>
        <v/>
      </c>
      <c r="AJ36" s="68">
        <f>'Monthly Summary'!BK36</f>
        <v/>
      </c>
      <c r="AK36" s="67">
        <f>'Monthly Summary'!CD36</f>
        <v/>
      </c>
      <c r="AL36" s="67">
        <f>'Monthly Summary'!CE36</f>
        <v/>
      </c>
      <c r="AM36" s="68">
        <f>'Monthly Summary'!CF36</f>
        <v/>
      </c>
      <c r="AN36" s="69">
        <f>'Monthly Summary'!CG36</f>
        <v/>
      </c>
      <c r="AO36" s="69">
        <f>'Monthly Summary'!CH36</f>
        <v/>
      </c>
      <c r="AP36" s="70">
        <f>'Monthly Summary'!CI36</f>
        <v/>
      </c>
      <c r="AQ36" s="67">
        <f>'Monthly Summary'!CJ36</f>
        <v/>
      </c>
      <c r="AR36" s="67">
        <f>'Monthly Summary'!CK36</f>
        <v/>
      </c>
      <c r="AS36" s="68">
        <f>'Monthly Summary'!CL36</f>
        <v/>
      </c>
      <c r="AT36" s="67" t="inlineStr">
        <is>
          <t>Batch 1</t>
        </is>
      </c>
    </row>
    <row r="37" ht="14.25" customHeight="1" s="34">
      <c r="A37" s="46" t="n">
        <v>35</v>
      </c>
      <c r="B37" s="46" t="inlineStr">
        <is>
          <t>325106410035</t>
        </is>
      </c>
      <c r="C37" s="46" t="inlineStr">
        <is>
          <t>SAI PRASANNA PALLA</t>
        </is>
      </c>
      <c r="D37" s="63">
        <f>'Monthly Summary'!BO37</f>
        <v/>
      </c>
      <c r="E37" s="63">
        <f>'Monthly Summary'!BP37</f>
        <v/>
      </c>
      <c r="F37" s="64">
        <f>'Monthly Summary'!BQ37</f>
        <v/>
      </c>
      <c r="G37" s="63">
        <f>'Monthly Summary'!BR37</f>
        <v/>
      </c>
      <c r="H37" s="63">
        <f>'Monthly Summary'!BS37</f>
        <v/>
      </c>
      <c r="I37" s="64">
        <f>'Monthly Summary'!BT37</f>
        <v/>
      </c>
      <c r="J37" s="63">
        <f>'Monthly Summary'!BU37</f>
        <v/>
      </c>
      <c r="K37" s="63">
        <f>'Monthly Summary'!BV37</f>
        <v/>
      </c>
      <c r="L37" s="64">
        <f>'Monthly Summary'!BW37</f>
        <v/>
      </c>
      <c r="M37" s="63">
        <f>'Monthly Summary'!BX37</f>
        <v/>
      </c>
      <c r="N37" s="67">
        <f>'Monthly Summary'!BY37</f>
        <v/>
      </c>
      <c r="O37" s="68">
        <f>'Monthly Summary'!BZ37</f>
        <v/>
      </c>
      <c r="P37" s="67">
        <f>'Monthly Summary'!CA37</f>
        <v/>
      </c>
      <c r="Q37" s="67">
        <f>'Monthly Summary'!CB37</f>
        <v/>
      </c>
      <c r="R37" s="68">
        <f>'Monthly Summary'!CC37</f>
        <v/>
      </c>
      <c r="S37" s="69">
        <f>'Subject-wise Summary'!S36</f>
        <v/>
      </c>
      <c r="T37" s="69">
        <f>'Subject-wise Summary'!T36</f>
        <v/>
      </c>
      <c r="U37" s="70">
        <f>'Subject-wise Summary'!U36</f>
        <v/>
      </c>
      <c r="V37" s="69">
        <f>'Subject-wise Summary'!V36</f>
        <v/>
      </c>
      <c r="W37" s="69">
        <f>'Subject-wise Summary'!W36</f>
        <v/>
      </c>
      <c r="X37" s="70">
        <f>'Subject-wise Summary'!X36</f>
        <v/>
      </c>
      <c r="Y37" s="69">
        <f>'Subject-wise Summary'!Y36</f>
        <v/>
      </c>
      <c r="Z37" s="69">
        <f>'Subject-wise Summary'!Z36</f>
        <v/>
      </c>
      <c r="AA37" s="70">
        <f>'Subject-wise Summary'!AA36</f>
        <v/>
      </c>
      <c r="AB37" s="67">
        <f>'Monthly Summary'!S37</f>
        <v/>
      </c>
      <c r="AC37" s="67">
        <f>'Monthly Summary'!T37</f>
        <v/>
      </c>
      <c r="AD37" s="68">
        <f>'Monthly Summary'!U37</f>
        <v/>
      </c>
      <c r="AE37" s="67">
        <f>'Monthly Summary'!AN37</f>
        <v/>
      </c>
      <c r="AF37" s="67">
        <f>'Monthly Summary'!AO37</f>
        <v/>
      </c>
      <c r="AG37" s="68">
        <f>'Monthly Summary'!AP37</f>
        <v/>
      </c>
      <c r="AH37" s="67">
        <f>'Monthly Summary'!BI37</f>
        <v/>
      </c>
      <c r="AI37" s="67">
        <f>'Monthly Summary'!BJ37</f>
        <v/>
      </c>
      <c r="AJ37" s="68">
        <f>'Monthly Summary'!BK37</f>
        <v/>
      </c>
      <c r="AK37" s="67">
        <f>'Monthly Summary'!CD37</f>
        <v/>
      </c>
      <c r="AL37" s="67">
        <f>'Monthly Summary'!CE37</f>
        <v/>
      </c>
      <c r="AM37" s="68">
        <f>'Monthly Summary'!CF37</f>
        <v/>
      </c>
      <c r="AN37" s="69">
        <f>'Monthly Summary'!CG37</f>
        <v/>
      </c>
      <c r="AO37" s="69">
        <f>'Monthly Summary'!CH37</f>
        <v/>
      </c>
      <c r="AP37" s="70">
        <f>'Monthly Summary'!CI37</f>
        <v/>
      </c>
      <c r="AQ37" s="67">
        <f>'Monthly Summary'!CJ37</f>
        <v/>
      </c>
      <c r="AR37" s="67">
        <f>'Monthly Summary'!CK37</f>
        <v/>
      </c>
      <c r="AS37" s="68">
        <f>'Monthly Summary'!CL37</f>
        <v/>
      </c>
      <c r="AT37" s="67" t="inlineStr">
        <is>
          <t>Batch 1</t>
        </is>
      </c>
    </row>
    <row r="38" ht="14.25" customHeight="1" s="34">
      <c r="A38" s="46" t="n">
        <v>36</v>
      </c>
      <c r="B38" s="46" t="inlineStr">
        <is>
          <t>325106410036</t>
        </is>
      </c>
      <c r="C38" s="46" t="inlineStr">
        <is>
          <t>OBEDU PALLE</t>
        </is>
      </c>
      <c r="D38" s="63">
        <f>'Monthly Summary'!BO38</f>
        <v/>
      </c>
      <c r="E38" s="63">
        <f>'Monthly Summary'!BP38</f>
        <v/>
      </c>
      <c r="F38" s="64">
        <f>'Monthly Summary'!BQ38</f>
        <v/>
      </c>
      <c r="G38" s="63">
        <f>'Monthly Summary'!BR38</f>
        <v/>
      </c>
      <c r="H38" s="63">
        <f>'Monthly Summary'!BS38</f>
        <v/>
      </c>
      <c r="I38" s="64">
        <f>'Monthly Summary'!BT38</f>
        <v/>
      </c>
      <c r="J38" s="63">
        <f>'Monthly Summary'!BU38</f>
        <v/>
      </c>
      <c r="K38" s="63">
        <f>'Monthly Summary'!BV38</f>
        <v/>
      </c>
      <c r="L38" s="64">
        <f>'Monthly Summary'!BW38</f>
        <v/>
      </c>
      <c r="M38" s="63">
        <f>'Monthly Summary'!BX38</f>
        <v/>
      </c>
      <c r="N38" s="67">
        <f>'Monthly Summary'!BY38</f>
        <v/>
      </c>
      <c r="O38" s="68">
        <f>'Monthly Summary'!BZ38</f>
        <v/>
      </c>
      <c r="P38" s="67">
        <f>'Monthly Summary'!CA38</f>
        <v/>
      </c>
      <c r="Q38" s="67">
        <f>'Monthly Summary'!CB38</f>
        <v/>
      </c>
      <c r="R38" s="68">
        <f>'Monthly Summary'!CC38</f>
        <v/>
      </c>
      <c r="S38" s="69">
        <f>'Subject-wise Summary'!S37</f>
        <v/>
      </c>
      <c r="T38" s="69">
        <f>'Subject-wise Summary'!T37</f>
        <v/>
      </c>
      <c r="U38" s="70">
        <f>'Subject-wise Summary'!U37</f>
        <v/>
      </c>
      <c r="V38" s="69">
        <f>'Subject-wise Summary'!V37</f>
        <v/>
      </c>
      <c r="W38" s="69">
        <f>'Subject-wise Summary'!W37</f>
        <v/>
      </c>
      <c r="X38" s="70">
        <f>'Subject-wise Summary'!X37</f>
        <v/>
      </c>
      <c r="Y38" s="69">
        <f>'Subject-wise Summary'!Y37</f>
        <v/>
      </c>
      <c r="Z38" s="69">
        <f>'Subject-wise Summary'!Z37</f>
        <v/>
      </c>
      <c r="AA38" s="70">
        <f>'Subject-wise Summary'!AA37</f>
        <v/>
      </c>
      <c r="AB38" s="67">
        <f>'Monthly Summary'!S38</f>
        <v/>
      </c>
      <c r="AC38" s="67">
        <f>'Monthly Summary'!T38</f>
        <v/>
      </c>
      <c r="AD38" s="68">
        <f>'Monthly Summary'!U38</f>
        <v/>
      </c>
      <c r="AE38" s="67">
        <f>'Monthly Summary'!AN38</f>
        <v/>
      </c>
      <c r="AF38" s="67">
        <f>'Monthly Summary'!AO38</f>
        <v/>
      </c>
      <c r="AG38" s="68">
        <f>'Monthly Summary'!AP38</f>
        <v/>
      </c>
      <c r="AH38" s="67">
        <f>'Monthly Summary'!BI38</f>
        <v/>
      </c>
      <c r="AI38" s="67">
        <f>'Monthly Summary'!BJ38</f>
        <v/>
      </c>
      <c r="AJ38" s="68">
        <f>'Monthly Summary'!BK38</f>
        <v/>
      </c>
      <c r="AK38" s="67">
        <f>'Monthly Summary'!CD38</f>
        <v/>
      </c>
      <c r="AL38" s="67">
        <f>'Monthly Summary'!CE38</f>
        <v/>
      </c>
      <c r="AM38" s="68">
        <f>'Monthly Summary'!CF38</f>
        <v/>
      </c>
      <c r="AN38" s="69">
        <f>'Monthly Summary'!CG38</f>
        <v/>
      </c>
      <c r="AO38" s="69">
        <f>'Monthly Summary'!CH38</f>
        <v/>
      </c>
      <c r="AP38" s="70">
        <f>'Monthly Summary'!CI38</f>
        <v/>
      </c>
      <c r="AQ38" s="67">
        <f>'Monthly Summary'!CJ38</f>
        <v/>
      </c>
      <c r="AR38" s="67">
        <f>'Monthly Summary'!CK38</f>
        <v/>
      </c>
      <c r="AS38" s="68">
        <f>'Monthly Summary'!CL38</f>
        <v/>
      </c>
      <c r="AT38" s="67" t="inlineStr">
        <is>
          <t>Batch 1</t>
        </is>
      </c>
    </row>
    <row r="39" ht="14.25" customHeight="1" s="34">
      <c r="A39" s="46" t="n">
        <v>37</v>
      </c>
      <c r="B39" s="46" t="inlineStr">
        <is>
          <t>325106410037</t>
        </is>
      </c>
      <c r="C39" s="46" t="inlineStr">
        <is>
          <t>VINAY KUMAR PANCHADI</t>
        </is>
      </c>
      <c r="D39" s="63">
        <f>'Monthly Summary'!BO39</f>
        <v/>
      </c>
      <c r="E39" s="63">
        <f>'Monthly Summary'!BP39</f>
        <v/>
      </c>
      <c r="F39" s="64">
        <f>'Monthly Summary'!BQ39</f>
        <v/>
      </c>
      <c r="G39" s="63">
        <f>'Monthly Summary'!BR39</f>
        <v/>
      </c>
      <c r="H39" s="63">
        <f>'Monthly Summary'!BS39</f>
        <v/>
      </c>
      <c r="I39" s="64">
        <f>'Monthly Summary'!BT39</f>
        <v/>
      </c>
      <c r="J39" s="63">
        <f>'Monthly Summary'!BU39</f>
        <v/>
      </c>
      <c r="K39" s="63">
        <f>'Monthly Summary'!BV39</f>
        <v/>
      </c>
      <c r="L39" s="64">
        <f>'Monthly Summary'!BW39</f>
        <v/>
      </c>
      <c r="M39" s="63">
        <f>'Monthly Summary'!BX39</f>
        <v/>
      </c>
      <c r="N39" s="67">
        <f>'Monthly Summary'!BY39</f>
        <v/>
      </c>
      <c r="O39" s="68">
        <f>'Monthly Summary'!BZ39</f>
        <v/>
      </c>
      <c r="P39" s="67">
        <f>'Monthly Summary'!CA39</f>
        <v/>
      </c>
      <c r="Q39" s="67">
        <f>'Monthly Summary'!CB39</f>
        <v/>
      </c>
      <c r="R39" s="68">
        <f>'Monthly Summary'!CC39</f>
        <v/>
      </c>
      <c r="S39" s="69">
        <f>'Subject-wise Summary'!S38</f>
        <v/>
      </c>
      <c r="T39" s="69">
        <f>'Subject-wise Summary'!T38</f>
        <v/>
      </c>
      <c r="U39" s="70">
        <f>'Subject-wise Summary'!U38</f>
        <v/>
      </c>
      <c r="V39" s="69">
        <f>'Subject-wise Summary'!V38</f>
        <v/>
      </c>
      <c r="W39" s="69">
        <f>'Subject-wise Summary'!W38</f>
        <v/>
      </c>
      <c r="X39" s="70">
        <f>'Subject-wise Summary'!X38</f>
        <v/>
      </c>
      <c r="Y39" s="69">
        <f>'Subject-wise Summary'!Y38</f>
        <v/>
      </c>
      <c r="Z39" s="69">
        <f>'Subject-wise Summary'!Z38</f>
        <v/>
      </c>
      <c r="AA39" s="70">
        <f>'Subject-wise Summary'!AA38</f>
        <v/>
      </c>
      <c r="AB39" s="67">
        <f>'Monthly Summary'!S39</f>
        <v/>
      </c>
      <c r="AC39" s="67">
        <f>'Monthly Summary'!T39</f>
        <v/>
      </c>
      <c r="AD39" s="68">
        <f>'Monthly Summary'!U39</f>
        <v/>
      </c>
      <c r="AE39" s="67">
        <f>'Monthly Summary'!AN39</f>
        <v/>
      </c>
      <c r="AF39" s="67">
        <f>'Monthly Summary'!AO39</f>
        <v/>
      </c>
      <c r="AG39" s="68">
        <f>'Monthly Summary'!AP39</f>
        <v/>
      </c>
      <c r="AH39" s="67">
        <f>'Monthly Summary'!BI39</f>
        <v/>
      </c>
      <c r="AI39" s="67">
        <f>'Monthly Summary'!BJ39</f>
        <v/>
      </c>
      <c r="AJ39" s="68">
        <f>'Monthly Summary'!BK39</f>
        <v/>
      </c>
      <c r="AK39" s="67">
        <f>'Monthly Summary'!CD39</f>
        <v/>
      </c>
      <c r="AL39" s="67">
        <f>'Monthly Summary'!CE39</f>
        <v/>
      </c>
      <c r="AM39" s="68">
        <f>'Monthly Summary'!CF39</f>
        <v/>
      </c>
      <c r="AN39" s="69">
        <f>'Monthly Summary'!CG39</f>
        <v/>
      </c>
      <c r="AO39" s="69">
        <f>'Monthly Summary'!CH39</f>
        <v/>
      </c>
      <c r="AP39" s="70">
        <f>'Monthly Summary'!CI39</f>
        <v/>
      </c>
      <c r="AQ39" s="67">
        <f>'Monthly Summary'!CJ39</f>
        <v/>
      </c>
      <c r="AR39" s="67">
        <f>'Monthly Summary'!CK39</f>
        <v/>
      </c>
      <c r="AS39" s="68">
        <f>'Monthly Summary'!CL39</f>
        <v/>
      </c>
      <c r="AT39" s="67" t="inlineStr">
        <is>
          <t>Batch 1</t>
        </is>
      </c>
    </row>
    <row r="40" ht="14.25" customHeight="1" s="34">
      <c r="A40" s="46" t="n">
        <v>38</v>
      </c>
      <c r="B40" s="46" t="inlineStr">
        <is>
          <t>325106410038</t>
        </is>
      </c>
      <c r="C40" s="46" t="inlineStr">
        <is>
          <t>KARTIKA HEMANTH REDDY POTAMSETTY</t>
        </is>
      </c>
      <c r="D40" s="63">
        <f>'Monthly Summary'!BO40</f>
        <v/>
      </c>
      <c r="E40" s="63">
        <f>'Monthly Summary'!BP40</f>
        <v/>
      </c>
      <c r="F40" s="64">
        <f>'Monthly Summary'!BQ40</f>
        <v/>
      </c>
      <c r="G40" s="63">
        <f>'Monthly Summary'!BR40</f>
        <v/>
      </c>
      <c r="H40" s="63">
        <f>'Monthly Summary'!BS40</f>
        <v/>
      </c>
      <c r="I40" s="64">
        <f>'Monthly Summary'!BT40</f>
        <v/>
      </c>
      <c r="J40" s="63">
        <f>'Monthly Summary'!BU40</f>
        <v/>
      </c>
      <c r="K40" s="63">
        <f>'Monthly Summary'!BV40</f>
        <v/>
      </c>
      <c r="L40" s="64">
        <f>'Monthly Summary'!BW40</f>
        <v/>
      </c>
      <c r="M40" s="63">
        <f>'Monthly Summary'!BX40</f>
        <v/>
      </c>
      <c r="N40" s="67">
        <f>'Monthly Summary'!BY40</f>
        <v/>
      </c>
      <c r="O40" s="68">
        <f>'Monthly Summary'!BZ40</f>
        <v/>
      </c>
      <c r="P40" s="67">
        <f>'Monthly Summary'!CA40</f>
        <v/>
      </c>
      <c r="Q40" s="67">
        <f>'Monthly Summary'!CB40</f>
        <v/>
      </c>
      <c r="R40" s="68">
        <f>'Monthly Summary'!CC40</f>
        <v/>
      </c>
      <c r="S40" s="69">
        <f>'Subject-wise Summary'!S39</f>
        <v/>
      </c>
      <c r="T40" s="69">
        <f>'Subject-wise Summary'!T39</f>
        <v/>
      </c>
      <c r="U40" s="70">
        <f>'Subject-wise Summary'!U39</f>
        <v/>
      </c>
      <c r="V40" s="69">
        <f>'Subject-wise Summary'!V39</f>
        <v/>
      </c>
      <c r="W40" s="69">
        <f>'Subject-wise Summary'!W39</f>
        <v/>
      </c>
      <c r="X40" s="70">
        <f>'Subject-wise Summary'!X39</f>
        <v/>
      </c>
      <c r="Y40" s="69">
        <f>'Subject-wise Summary'!Y39</f>
        <v/>
      </c>
      <c r="Z40" s="69">
        <f>'Subject-wise Summary'!Z39</f>
        <v/>
      </c>
      <c r="AA40" s="70">
        <f>'Subject-wise Summary'!AA39</f>
        <v/>
      </c>
      <c r="AB40" s="67">
        <f>'Monthly Summary'!S40</f>
        <v/>
      </c>
      <c r="AC40" s="67">
        <f>'Monthly Summary'!T40</f>
        <v/>
      </c>
      <c r="AD40" s="68">
        <f>'Monthly Summary'!U40</f>
        <v/>
      </c>
      <c r="AE40" s="67">
        <f>'Monthly Summary'!AN40</f>
        <v/>
      </c>
      <c r="AF40" s="67">
        <f>'Monthly Summary'!AO40</f>
        <v/>
      </c>
      <c r="AG40" s="68">
        <f>'Monthly Summary'!AP40</f>
        <v/>
      </c>
      <c r="AH40" s="67">
        <f>'Monthly Summary'!BI40</f>
        <v/>
      </c>
      <c r="AI40" s="67">
        <f>'Monthly Summary'!BJ40</f>
        <v/>
      </c>
      <c r="AJ40" s="68">
        <f>'Monthly Summary'!BK40</f>
        <v/>
      </c>
      <c r="AK40" s="67">
        <f>'Monthly Summary'!CD40</f>
        <v/>
      </c>
      <c r="AL40" s="67">
        <f>'Monthly Summary'!CE40</f>
        <v/>
      </c>
      <c r="AM40" s="68">
        <f>'Monthly Summary'!CF40</f>
        <v/>
      </c>
      <c r="AN40" s="69">
        <f>'Monthly Summary'!CG40</f>
        <v/>
      </c>
      <c r="AO40" s="69">
        <f>'Monthly Summary'!CH40</f>
        <v/>
      </c>
      <c r="AP40" s="70">
        <f>'Monthly Summary'!CI40</f>
        <v/>
      </c>
      <c r="AQ40" s="67">
        <f>'Monthly Summary'!CJ40</f>
        <v/>
      </c>
      <c r="AR40" s="67">
        <f>'Monthly Summary'!CK40</f>
        <v/>
      </c>
      <c r="AS40" s="68">
        <f>'Monthly Summary'!CL40</f>
        <v/>
      </c>
      <c r="AT40" s="67" t="inlineStr">
        <is>
          <t>Batch 1</t>
        </is>
      </c>
    </row>
    <row r="41" ht="14.25" customHeight="1" s="34">
      <c r="A41" s="46" t="n">
        <v>39</v>
      </c>
      <c r="B41" s="46" t="inlineStr">
        <is>
          <t>325106410039</t>
        </is>
      </c>
      <c r="C41" s="46" t="inlineStr">
        <is>
          <t>PRUDHVI POTUPUREDDI</t>
        </is>
      </c>
      <c r="D41" s="63">
        <f>'Monthly Summary'!BO41</f>
        <v/>
      </c>
      <c r="E41" s="63">
        <f>'Monthly Summary'!BP41</f>
        <v/>
      </c>
      <c r="F41" s="64">
        <f>'Monthly Summary'!BQ41</f>
        <v/>
      </c>
      <c r="G41" s="63">
        <f>'Monthly Summary'!BR41</f>
        <v/>
      </c>
      <c r="H41" s="63">
        <f>'Monthly Summary'!BS41</f>
        <v/>
      </c>
      <c r="I41" s="64">
        <f>'Monthly Summary'!BT41</f>
        <v/>
      </c>
      <c r="J41" s="63">
        <f>'Monthly Summary'!BU41</f>
        <v/>
      </c>
      <c r="K41" s="63">
        <f>'Monthly Summary'!BV41</f>
        <v/>
      </c>
      <c r="L41" s="64">
        <f>'Monthly Summary'!BW41</f>
        <v/>
      </c>
      <c r="M41" s="63">
        <f>'Monthly Summary'!BX41</f>
        <v/>
      </c>
      <c r="N41" s="67">
        <f>'Monthly Summary'!BY41</f>
        <v/>
      </c>
      <c r="O41" s="68">
        <f>'Monthly Summary'!BZ41</f>
        <v/>
      </c>
      <c r="P41" s="67">
        <f>'Monthly Summary'!CA41</f>
        <v/>
      </c>
      <c r="Q41" s="67">
        <f>'Monthly Summary'!CB41</f>
        <v/>
      </c>
      <c r="R41" s="68">
        <f>'Monthly Summary'!CC41</f>
        <v/>
      </c>
      <c r="S41" s="69">
        <f>'Subject-wise Summary'!S40</f>
        <v/>
      </c>
      <c r="T41" s="69">
        <f>'Subject-wise Summary'!T40</f>
        <v/>
      </c>
      <c r="U41" s="70">
        <f>'Subject-wise Summary'!U40</f>
        <v/>
      </c>
      <c r="V41" s="69">
        <f>'Subject-wise Summary'!V40</f>
        <v/>
      </c>
      <c r="W41" s="69">
        <f>'Subject-wise Summary'!W40</f>
        <v/>
      </c>
      <c r="X41" s="70">
        <f>'Subject-wise Summary'!X40</f>
        <v/>
      </c>
      <c r="Y41" s="69">
        <f>'Subject-wise Summary'!Y40</f>
        <v/>
      </c>
      <c r="Z41" s="69">
        <f>'Subject-wise Summary'!Z40</f>
        <v/>
      </c>
      <c r="AA41" s="70">
        <f>'Subject-wise Summary'!AA40</f>
        <v/>
      </c>
      <c r="AB41" s="67">
        <f>'Monthly Summary'!S41</f>
        <v/>
      </c>
      <c r="AC41" s="67">
        <f>'Monthly Summary'!T41</f>
        <v/>
      </c>
      <c r="AD41" s="68">
        <f>'Monthly Summary'!U41</f>
        <v/>
      </c>
      <c r="AE41" s="67">
        <f>'Monthly Summary'!AN41</f>
        <v/>
      </c>
      <c r="AF41" s="67">
        <f>'Monthly Summary'!AO41</f>
        <v/>
      </c>
      <c r="AG41" s="68">
        <f>'Monthly Summary'!AP41</f>
        <v/>
      </c>
      <c r="AH41" s="67">
        <f>'Monthly Summary'!BI41</f>
        <v/>
      </c>
      <c r="AI41" s="67">
        <f>'Monthly Summary'!BJ41</f>
        <v/>
      </c>
      <c r="AJ41" s="68">
        <f>'Monthly Summary'!BK41</f>
        <v/>
      </c>
      <c r="AK41" s="67">
        <f>'Monthly Summary'!CD41</f>
        <v/>
      </c>
      <c r="AL41" s="67">
        <f>'Monthly Summary'!CE41</f>
        <v/>
      </c>
      <c r="AM41" s="68">
        <f>'Monthly Summary'!CF41</f>
        <v/>
      </c>
      <c r="AN41" s="69">
        <f>'Monthly Summary'!CG41</f>
        <v/>
      </c>
      <c r="AO41" s="69">
        <f>'Monthly Summary'!CH41</f>
        <v/>
      </c>
      <c r="AP41" s="70">
        <f>'Monthly Summary'!CI41</f>
        <v/>
      </c>
      <c r="AQ41" s="67">
        <f>'Monthly Summary'!CJ41</f>
        <v/>
      </c>
      <c r="AR41" s="67">
        <f>'Monthly Summary'!CK41</f>
        <v/>
      </c>
      <c r="AS41" s="68">
        <f>'Monthly Summary'!CL41</f>
        <v/>
      </c>
      <c r="AT41" s="67" t="inlineStr">
        <is>
          <t>Batch 1</t>
        </is>
      </c>
    </row>
    <row r="42" ht="14.25" customHeight="1" s="34">
      <c r="A42" s="46" t="n">
        <v>40</v>
      </c>
      <c r="B42" s="46" t="inlineStr">
        <is>
          <t>325106410040</t>
        </is>
      </c>
      <c r="C42" s="46" t="inlineStr">
        <is>
          <t>JAYANTH PRATTIPATI</t>
        </is>
      </c>
      <c r="D42" s="63">
        <f>'Monthly Summary'!BO42</f>
        <v/>
      </c>
      <c r="E42" s="63">
        <f>'Monthly Summary'!BP42</f>
        <v/>
      </c>
      <c r="F42" s="64">
        <f>'Monthly Summary'!BQ42</f>
        <v/>
      </c>
      <c r="G42" s="63">
        <f>'Monthly Summary'!BR42</f>
        <v/>
      </c>
      <c r="H42" s="63">
        <f>'Monthly Summary'!BS42</f>
        <v/>
      </c>
      <c r="I42" s="64">
        <f>'Monthly Summary'!BT42</f>
        <v/>
      </c>
      <c r="J42" s="63">
        <f>'Monthly Summary'!BU42</f>
        <v/>
      </c>
      <c r="K42" s="63">
        <f>'Monthly Summary'!BV42</f>
        <v/>
      </c>
      <c r="L42" s="64">
        <f>'Monthly Summary'!BW42</f>
        <v/>
      </c>
      <c r="M42" s="63">
        <f>'Monthly Summary'!BX42</f>
        <v/>
      </c>
      <c r="N42" s="67">
        <f>'Monthly Summary'!BY42</f>
        <v/>
      </c>
      <c r="O42" s="68">
        <f>'Monthly Summary'!BZ42</f>
        <v/>
      </c>
      <c r="P42" s="67">
        <f>'Monthly Summary'!CA42</f>
        <v/>
      </c>
      <c r="Q42" s="67">
        <f>'Monthly Summary'!CB42</f>
        <v/>
      </c>
      <c r="R42" s="68">
        <f>'Monthly Summary'!CC42</f>
        <v/>
      </c>
      <c r="S42" s="69">
        <f>'Subject-wise Summary'!S41</f>
        <v/>
      </c>
      <c r="T42" s="69">
        <f>'Subject-wise Summary'!T41</f>
        <v/>
      </c>
      <c r="U42" s="70">
        <f>'Subject-wise Summary'!U41</f>
        <v/>
      </c>
      <c r="V42" s="69">
        <f>'Subject-wise Summary'!V41</f>
        <v/>
      </c>
      <c r="W42" s="69">
        <f>'Subject-wise Summary'!W41</f>
        <v/>
      </c>
      <c r="X42" s="70">
        <f>'Subject-wise Summary'!X41</f>
        <v/>
      </c>
      <c r="Y42" s="69">
        <f>'Subject-wise Summary'!Y41</f>
        <v/>
      </c>
      <c r="Z42" s="69">
        <f>'Subject-wise Summary'!Z41</f>
        <v/>
      </c>
      <c r="AA42" s="70">
        <f>'Subject-wise Summary'!AA41</f>
        <v/>
      </c>
      <c r="AB42" s="67">
        <f>'Monthly Summary'!S42</f>
        <v/>
      </c>
      <c r="AC42" s="67">
        <f>'Monthly Summary'!T42</f>
        <v/>
      </c>
      <c r="AD42" s="68">
        <f>'Monthly Summary'!U42</f>
        <v/>
      </c>
      <c r="AE42" s="67">
        <f>'Monthly Summary'!AN42</f>
        <v/>
      </c>
      <c r="AF42" s="67">
        <f>'Monthly Summary'!AO42</f>
        <v/>
      </c>
      <c r="AG42" s="68">
        <f>'Monthly Summary'!AP42</f>
        <v/>
      </c>
      <c r="AH42" s="67">
        <f>'Monthly Summary'!BI42</f>
        <v/>
      </c>
      <c r="AI42" s="67">
        <f>'Monthly Summary'!BJ42</f>
        <v/>
      </c>
      <c r="AJ42" s="68">
        <f>'Monthly Summary'!BK42</f>
        <v/>
      </c>
      <c r="AK42" s="67">
        <f>'Monthly Summary'!CD42</f>
        <v/>
      </c>
      <c r="AL42" s="67">
        <f>'Monthly Summary'!CE42</f>
        <v/>
      </c>
      <c r="AM42" s="68">
        <f>'Monthly Summary'!CF42</f>
        <v/>
      </c>
      <c r="AN42" s="69">
        <f>'Monthly Summary'!CG42</f>
        <v/>
      </c>
      <c r="AO42" s="69">
        <f>'Monthly Summary'!CH42</f>
        <v/>
      </c>
      <c r="AP42" s="70">
        <f>'Monthly Summary'!CI42</f>
        <v/>
      </c>
      <c r="AQ42" s="67">
        <f>'Monthly Summary'!CJ42</f>
        <v/>
      </c>
      <c r="AR42" s="67">
        <f>'Monthly Summary'!CK42</f>
        <v/>
      </c>
      <c r="AS42" s="68">
        <f>'Monthly Summary'!CL42</f>
        <v/>
      </c>
      <c r="AT42" s="67" t="inlineStr">
        <is>
          <t>Batch 1</t>
        </is>
      </c>
    </row>
    <row r="43" ht="14.25" customHeight="1" s="34">
      <c r="A43" s="46" t="n">
        <v>41</v>
      </c>
      <c r="B43" s="46" t="inlineStr">
        <is>
          <t>325106410041</t>
        </is>
      </c>
      <c r="C43" s="46" t="inlineStr">
        <is>
          <t>PAVAN SAI PUVVALA</t>
        </is>
      </c>
      <c r="D43" s="63">
        <f>'Monthly Summary'!BO43</f>
        <v/>
      </c>
      <c r="E43" s="63">
        <f>'Monthly Summary'!BP43</f>
        <v/>
      </c>
      <c r="F43" s="64">
        <f>'Monthly Summary'!BQ43</f>
        <v/>
      </c>
      <c r="G43" s="63">
        <f>'Monthly Summary'!BR43</f>
        <v/>
      </c>
      <c r="H43" s="63">
        <f>'Monthly Summary'!BS43</f>
        <v/>
      </c>
      <c r="I43" s="64">
        <f>'Monthly Summary'!BT43</f>
        <v/>
      </c>
      <c r="J43" s="63">
        <f>'Monthly Summary'!BU43</f>
        <v/>
      </c>
      <c r="K43" s="63">
        <f>'Monthly Summary'!BV43</f>
        <v/>
      </c>
      <c r="L43" s="64">
        <f>'Monthly Summary'!BW43</f>
        <v/>
      </c>
      <c r="M43" s="63">
        <f>'Monthly Summary'!BX43</f>
        <v/>
      </c>
      <c r="N43" s="67">
        <f>'Monthly Summary'!BY43</f>
        <v/>
      </c>
      <c r="O43" s="68">
        <f>'Monthly Summary'!BZ43</f>
        <v/>
      </c>
      <c r="P43" s="67">
        <f>'Monthly Summary'!CA43</f>
        <v/>
      </c>
      <c r="Q43" s="67">
        <f>'Monthly Summary'!CB43</f>
        <v/>
      </c>
      <c r="R43" s="68">
        <f>'Monthly Summary'!CC43</f>
        <v/>
      </c>
      <c r="S43" s="69">
        <f>'Subject-wise Summary'!S42</f>
        <v/>
      </c>
      <c r="T43" s="69">
        <f>'Subject-wise Summary'!T42</f>
        <v/>
      </c>
      <c r="U43" s="70">
        <f>'Subject-wise Summary'!U42</f>
        <v/>
      </c>
      <c r="V43" s="69">
        <f>'Subject-wise Summary'!V42</f>
        <v/>
      </c>
      <c r="W43" s="69">
        <f>'Subject-wise Summary'!W42</f>
        <v/>
      </c>
      <c r="X43" s="70">
        <f>'Subject-wise Summary'!X42</f>
        <v/>
      </c>
      <c r="Y43" s="69">
        <f>'Subject-wise Summary'!Y42</f>
        <v/>
      </c>
      <c r="Z43" s="69">
        <f>'Subject-wise Summary'!Z42</f>
        <v/>
      </c>
      <c r="AA43" s="70">
        <f>'Subject-wise Summary'!AA42</f>
        <v/>
      </c>
      <c r="AB43" s="67">
        <f>'Monthly Summary'!S43</f>
        <v/>
      </c>
      <c r="AC43" s="67">
        <f>'Monthly Summary'!T43</f>
        <v/>
      </c>
      <c r="AD43" s="68">
        <f>'Monthly Summary'!U43</f>
        <v/>
      </c>
      <c r="AE43" s="67">
        <f>'Monthly Summary'!AN43</f>
        <v/>
      </c>
      <c r="AF43" s="67">
        <f>'Monthly Summary'!AO43</f>
        <v/>
      </c>
      <c r="AG43" s="68">
        <f>'Monthly Summary'!AP43</f>
        <v/>
      </c>
      <c r="AH43" s="67">
        <f>'Monthly Summary'!BI43</f>
        <v/>
      </c>
      <c r="AI43" s="67">
        <f>'Monthly Summary'!BJ43</f>
        <v/>
      </c>
      <c r="AJ43" s="68">
        <f>'Monthly Summary'!BK43</f>
        <v/>
      </c>
      <c r="AK43" s="67">
        <f>'Monthly Summary'!CD43</f>
        <v/>
      </c>
      <c r="AL43" s="67">
        <f>'Monthly Summary'!CE43</f>
        <v/>
      </c>
      <c r="AM43" s="68">
        <f>'Monthly Summary'!CF43</f>
        <v/>
      </c>
      <c r="AN43" s="69">
        <f>'Monthly Summary'!CG43</f>
        <v/>
      </c>
      <c r="AO43" s="69">
        <f>'Monthly Summary'!CH43</f>
        <v/>
      </c>
      <c r="AP43" s="70">
        <f>'Monthly Summary'!CI43</f>
        <v/>
      </c>
      <c r="AQ43" s="67">
        <f>'Monthly Summary'!CJ43</f>
        <v/>
      </c>
      <c r="AR43" s="67">
        <f>'Monthly Summary'!CK43</f>
        <v/>
      </c>
      <c r="AS43" s="68">
        <f>'Monthly Summary'!CL43</f>
        <v/>
      </c>
      <c r="AT43" s="67" t="inlineStr">
        <is>
          <t>Batch 1</t>
        </is>
      </c>
    </row>
    <row r="44" ht="14.25" customHeight="1" s="34">
      <c r="A44" s="46" t="n">
        <v>42</v>
      </c>
      <c r="B44" s="46" t="inlineStr">
        <is>
          <t>325106410042</t>
        </is>
      </c>
      <c r="C44" s="46" t="inlineStr">
        <is>
          <t>SHANMUKHA RAO REDDI</t>
        </is>
      </c>
      <c r="D44" s="63">
        <f>'Monthly Summary'!BO44</f>
        <v/>
      </c>
      <c r="E44" s="63">
        <f>'Monthly Summary'!BP44</f>
        <v/>
      </c>
      <c r="F44" s="64">
        <f>'Monthly Summary'!BQ44</f>
        <v/>
      </c>
      <c r="G44" s="63">
        <f>'Monthly Summary'!BR44</f>
        <v/>
      </c>
      <c r="H44" s="63">
        <f>'Monthly Summary'!BS44</f>
        <v/>
      </c>
      <c r="I44" s="64">
        <f>'Monthly Summary'!BT44</f>
        <v/>
      </c>
      <c r="J44" s="63">
        <f>'Monthly Summary'!BU44</f>
        <v/>
      </c>
      <c r="K44" s="63">
        <f>'Monthly Summary'!BV44</f>
        <v/>
      </c>
      <c r="L44" s="64">
        <f>'Monthly Summary'!BW44</f>
        <v/>
      </c>
      <c r="M44" s="63">
        <f>'Monthly Summary'!BX44</f>
        <v/>
      </c>
      <c r="N44" s="67">
        <f>'Monthly Summary'!BY44</f>
        <v/>
      </c>
      <c r="O44" s="68">
        <f>'Monthly Summary'!BZ44</f>
        <v/>
      </c>
      <c r="P44" s="67">
        <f>'Monthly Summary'!CA44</f>
        <v/>
      </c>
      <c r="Q44" s="67">
        <f>'Monthly Summary'!CB44</f>
        <v/>
      </c>
      <c r="R44" s="68">
        <f>'Monthly Summary'!CC44</f>
        <v/>
      </c>
      <c r="S44" s="69">
        <f>'Subject-wise Summary'!S43</f>
        <v/>
      </c>
      <c r="T44" s="69">
        <f>'Subject-wise Summary'!T43</f>
        <v/>
      </c>
      <c r="U44" s="70">
        <f>'Subject-wise Summary'!U43</f>
        <v/>
      </c>
      <c r="V44" s="69">
        <f>'Subject-wise Summary'!V43</f>
        <v/>
      </c>
      <c r="W44" s="69">
        <f>'Subject-wise Summary'!W43</f>
        <v/>
      </c>
      <c r="X44" s="70">
        <f>'Subject-wise Summary'!X43</f>
        <v/>
      </c>
      <c r="Y44" s="69">
        <f>'Subject-wise Summary'!Y43</f>
        <v/>
      </c>
      <c r="Z44" s="69">
        <f>'Subject-wise Summary'!Z43</f>
        <v/>
      </c>
      <c r="AA44" s="70">
        <f>'Subject-wise Summary'!AA43</f>
        <v/>
      </c>
      <c r="AB44" s="67">
        <f>'Monthly Summary'!S44</f>
        <v/>
      </c>
      <c r="AC44" s="67">
        <f>'Monthly Summary'!T44</f>
        <v/>
      </c>
      <c r="AD44" s="68">
        <f>'Monthly Summary'!U44</f>
        <v/>
      </c>
      <c r="AE44" s="67">
        <f>'Monthly Summary'!AN44</f>
        <v/>
      </c>
      <c r="AF44" s="67">
        <f>'Monthly Summary'!AO44</f>
        <v/>
      </c>
      <c r="AG44" s="68">
        <f>'Monthly Summary'!AP44</f>
        <v/>
      </c>
      <c r="AH44" s="67">
        <f>'Monthly Summary'!BI44</f>
        <v/>
      </c>
      <c r="AI44" s="67">
        <f>'Monthly Summary'!BJ44</f>
        <v/>
      </c>
      <c r="AJ44" s="68">
        <f>'Monthly Summary'!BK44</f>
        <v/>
      </c>
      <c r="AK44" s="67">
        <f>'Monthly Summary'!CD44</f>
        <v/>
      </c>
      <c r="AL44" s="67">
        <f>'Monthly Summary'!CE44</f>
        <v/>
      </c>
      <c r="AM44" s="68">
        <f>'Monthly Summary'!CF44</f>
        <v/>
      </c>
      <c r="AN44" s="69">
        <f>'Monthly Summary'!CG44</f>
        <v/>
      </c>
      <c r="AO44" s="69">
        <f>'Monthly Summary'!CH44</f>
        <v/>
      </c>
      <c r="AP44" s="70">
        <f>'Monthly Summary'!CI44</f>
        <v/>
      </c>
      <c r="AQ44" s="67">
        <f>'Monthly Summary'!CJ44</f>
        <v/>
      </c>
      <c r="AR44" s="67">
        <f>'Monthly Summary'!CK44</f>
        <v/>
      </c>
      <c r="AS44" s="68">
        <f>'Monthly Summary'!CL44</f>
        <v/>
      </c>
      <c r="AT44" s="67" t="inlineStr">
        <is>
          <t>Batch 2</t>
        </is>
      </c>
    </row>
    <row r="45" ht="14.25" customHeight="1" s="34">
      <c r="A45" s="46" t="n">
        <v>43</v>
      </c>
      <c r="B45" s="46" t="inlineStr">
        <is>
          <t>325106410043</t>
        </is>
      </c>
      <c r="C45" s="46" t="inlineStr">
        <is>
          <t>YASWANTH DURGA PRAVEEN REVADI</t>
        </is>
      </c>
      <c r="D45" s="63">
        <f>'Monthly Summary'!BO45</f>
        <v/>
      </c>
      <c r="E45" s="63">
        <f>'Monthly Summary'!BP45</f>
        <v/>
      </c>
      <c r="F45" s="64">
        <f>'Monthly Summary'!BQ45</f>
        <v/>
      </c>
      <c r="G45" s="63">
        <f>'Monthly Summary'!BR45</f>
        <v/>
      </c>
      <c r="H45" s="63">
        <f>'Monthly Summary'!BS45</f>
        <v/>
      </c>
      <c r="I45" s="64">
        <f>'Monthly Summary'!BT45</f>
        <v/>
      </c>
      <c r="J45" s="63">
        <f>'Monthly Summary'!BU45</f>
        <v/>
      </c>
      <c r="K45" s="63">
        <f>'Monthly Summary'!BV45</f>
        <v/>
      </c>
      <c r="L45" s="64">
        <f>'Monthly Summary'!BW45</f>
        <v/>
      </c>
      <c r="M45" s="63">
        <f>'Monthly Summary'!BX45</f>
        <v/>
      </c>
      <c r="N45" s="67">
        <f>'Monthly Summary'!BY45</f>
        <v/>
      </c>
      <c r="O45" s="68">
        <f>'Monthly Summary'!BZ45</f>
        <v/>
      </c>
      <c r="P45" s="67">
        <f>'Monthly Summary'!CA45</f>
        <v/>
      </c>
      <c r="Q45" s="67">
        <f>'Monthly Summary'!CB45</f>
        <v/>
      </c>
      <c r="R45" s="68">
        <f>'Monthly Summary'!CC45</f>
        <v/>
      </c>
      <c r="S45" s="69">
        <f>'Subject-wise Summary'!S44</f>
        <v/>
      </c>
      <c r="T45" s="69">
        <f>'Subject-wise Summary'!T44</f>
        <v/>
      </c>
      <c r="U45" s="70">
        <f>'Subject-wise Summary'!U44</f>
        <v/>
      </c>
      <c r="V45" s="69">
        <f>'Subject-wise Summary'!V44</f>
        <v/>
      </c>
      <c r="W45" s="69">
        <f>'Subject-wise Summary'!W44</f>
        <v/>
      </c>
      <c r="X45" s="70">
        <f>'Subject-wise Summary'!X44</f>
        <v/>
      </c>
      <c r="Y45" s="69">
        <f>'Subject-wise Summary'!Y44</f>
        <v/>
      </c>
      <c r="Z45" s="69">
        <f>'Subject-wise Summary'!Z44</f>
        <v/>
      </c>
      <c r="AA45" s="70">
        <f>'Subject-wise Summary'!AA44</f>
        <v/>
      </c>
      <c r="AB45" s="67">
        <f>'Monthly Summary'!S45</f>
        <v/>
      </c>
      <c r="AC45" s="67">
        <f>'Monthly Summary'!T45</f>
        <v/>
      </c>
      <c r="AD45" s="68">
        <f>'Monthly Summary'!U45</f>
        <v/>
      </c>
      <c r="AE45" s="67">
        <f>'Monthly Summary'!AN45</f>
        <v/>
      </c>
      <c r="AF45" s="67">
        <f>'Monthly Summary'!AO45</f>
        <v/>
      </c>
      <c r="AG45" s="68">
        <f>'Monthly Summary'!AP45</f>
        <v/>
      </c>
      <c r="AH45" s="67">
        <f>'Monthly Summary'!BI45</f>
        <v/>
      </c>
      <c r="AI45" s="67">
        <f>'Monthly Summary'!BJ45</f>
        <v/>
      </c>
      <c r="AJ45" s="68">
        <f>'Monthly Summary'!BK45</f>
        <v/>
      </c>
      <c r="AK45" s="67">
        <f>'Monthly Summary'!CD45</f>
        <v/>
      </c>
      <c r="AL45" s="67">
        <f>'Monthly Summary'!CE45</f>
        <v/>
      </c>
      <c r="AM45" s="68">
        <f>'Monthly Summary'!CF45</f>
        <v/>
      </c>
      <c r="AN45" s="69">
        <f>'Monthly Summary'!CG45</f>
        <v/>
      </c>
      <c r="AO45" s="69">
        <f>'Monthly Summary'!CH45</f>
        <v/>
      </c>
      <c r="AP45" s="70">
        <f>'Monthly Summary'!CI45</f>
        <v/>
      </c>
      <c r="AQ45" s="67">
        <f>'Monthly Summary'!CJ45</f>
        <v/>
      </c>
      <c r="AR45" s="67">
        <f>'Monthly Summary'!CK45</f>
        <v/>
      </c>
      <c r="AS45" s="68">
        <f>'Monthly Summary'!CL45</f>
        <v/>
      </c>
      <c r="AT45" s="67" t="inlineStr">
        <is>
          <t>Batch 2</t>
        </is>
      </c>
    </row>
    <row r="46" ht="14.25" customHeight="1" s="34">
      <c r="A46" s="46" t="n">
        <v>44</v>
      </c>
      <c r="B46" s="46" t="inlineStr">
        <is>
          <t>325106410044</t>
        </is>
      </c>
      <c r="C46" s="46" t="inlineStr">
        <is>
          <t>TANUSREE ROUTHU</t>
        </is>
      </c>
      <c r="D46" s="63">
        <f>'Monthly Summary'!BO46</f>
        <v/>
      </c>
      <c r="E46" s="63">
        <f>'Monthly Summary'!BP46</f>
        <v/>
      </c>
      <c r="F46" s="64">
        <f>'Monthly Summary'!BQ46</f>
        <v/>
      </c>
      <c r="G46" s="63">
        <f>'Monthly Summary'!BR46</f>
        <v/>
      </c>
      <c r="H46" s="63">
        <f>'Monthly Summary'!BS46</f>
        <v/>
      </c>
      <c r="I46" s="64">
        <f>'Monthly Summary'!BT46</f>
        <v/>
      </c>
      <c r="J46" s="63">
        <f>'Monthly Summary'!BU46</f>
        <v/>
      </c>
      <c r="K46" s="63">
        <f>'Monthly Summary'!BV46</f>
        <v/>
      </c>
      <c r="L46" s="64">
        <f>'Monthly Summary'!BW46</f>
        <v/>
      </c>
      <c r="M46" s="63">
        <f>'Monthly Summary'!BX46</f>
        <v/>
      </c>
      <c r="N46" s="67">
        <f>'Monthly Summary'!BY46</f>
        <v/>
      </c>
      <c r="O46" s="68">
        <f>'Monthly Summary'!BZ46</f>
        <v/>
      </c>
      <c r="P46" s="67">
        <f>'Monthly Summary'!CA46</f>
        <v/>
      </c>
      <c r="Q46" s="67">
        <f>'Monthly Summary'!CB46</f>
        <v/>
      </c>
      <c r="R46" s="68">
        <f>'Monthly Summary'!CC46</f>
        <v/>
      </c>
      <c r="S46" s="69">
        <f>'Subject-wise Summary'!S45</f>
        <v/>
      </c>
      <c r="T46" s="69">
        <f>'Subject-wise Summary'!T45</f>
        <v/>
      </c>
      <c r="U46" s="70">
        <f>'Subject-wise Summary'!U45</f>
        <v/>
      </c>
      <c r="V46" s="69">
        <f>'Subject-wise Summary'!V45</f>
        <v/>
      </c>
      <c r="W46" s="69">
        <f>'Subject-wise Summary'!W45</f>
        <v/>
      </c>
      <c r="X46" s="70">
        <f>'Subject-wise Summary'!X45</f>
        <v/>
      </c>
      <c r="Y46" s="69">
        <f>'Subject-wise Summary'!Y45</f>
        <v/>
      </c>
      <c r="Z46" s="69">
        <f>'Subject-wise Summary'!Z45</f>
        <v/>
      </c>
      <c r="AA46" s="70">
        <f>'Subject-wise Summary'!AA45</f>
        <v/>
      </c>
      <c r="AB46" s="67">
        <f>'Monthly Summary'!S46</f>
        <v/>
      </c>
      <c r="AC46" s="67">
        <f>'Monthly Summary'!T46</f>
        <v/>
      </c>
      <c r="AD46" s="68">
        <f>'Monthly Summary'!U46</f>
        <v/>
      </c>
      <c r="AE46" s="67">
        <f>'Monthly Summary'!AN46</f>
        <v/>
      </c>
      <c r="AF46" s="67">
        <f>'Monthly Summary'!AO46</f>
        <v/>
      </c>
      <c r="AG46" s="68">
        <f>'Monthly Summary'!AP46</f>
        <v/>
      </c>
      <c r="AH46" s="67">
        <f>'Monthly Summary'!BI46</f>
        <v/>
      </c>
      <c r="AI46" s="67">
        <f>'Monthly Summary'!BJ46</f>
        <v/>
      </c>
      <c r="AJ46" s="68">
        <f>'Monthly Summary'!BK46</f>
        <v/>
      </c>
      <c r="AK46" s="67">
        <f>'Monthly Summary'!CD46</f>
        <v/>
      </c>
      <c r="AL46" s="67">
        <f>'Monthly Summary'!CE46</f>
        <v/>
      </c>
      <c r="AM46" s="68">
        <f>'Monthly Summary'!CF46</f>
        <v/>
      </c>
      <c r="AN46" s="69">
        <f>'Monthly Summary'!CG46</f>
        <v/>
      </c>
      <c r="AO46" s="69">
        <f>'Monthly Summary'!CH46</f>
        <v/>
      </c>
      <c r="AP46" s="70">
        <f>'Monthly Summary'!CI46</f>
        <v/>
      </c>
      <c r="AQ46" s="67">
        <f>'Monthly Summary'!CJ46</f>
        <v/>
      </c>
      <c r="AR46" s="67">
        <f>'Monthly Summary'!CK46</f>
        <v/>
      </c>
      <c r="AS46" s="68">
        <f>'Monthly Summary'!CL46</f>
        <v/>
      </c>
      <c r="AT46" s="67" t="inlineStr">
        <is>
          <t>Batch 2</t>
        </is>
      </c>
    </row>
    <row r="47" ht="14.25" customHeight="1" s="34">
      <c r="A47" s="46" t="n">
        <v>45</v>
      </c>
      <c r="B47" s="46" t="inlineStr">
        <is>
          <t>325106410045</t>
        </is>
      </c>
      <c r="C47" s="46" t="inlineStr">
        <is>
          <t>MOHANA LASYA SABBAVARAPU</t>
        </is>
      </c>
      <c r="D47" s="63">
        <f>'Monthly Summary'!BO47</f>
        <v/>
      </c>
      <c r="E47" s="63">
        <f>'Monthly Summary'!BP47</f>
        <v/>
      </c>
      <c r="F47" s="64">
        <f>'Monthly Summary'!BQ47</f>
        <v/>
      </c>
      <c r="G47" s="63">
        <f>'Monthly Summary'!BR47</f>
        <v/>
      </c>
      <c r="H47" s="63">
        <f>'Monthly Summary'!BS47</f>
        <v/>
      </c>
      <c r="I47" s="64">
        <f>'Monthly Summary'!BT47</f>
        <v/>
      </c>
      <c r="J47" s="63">
        <f>'Monthly Summary'!BU47</f>
        <v/>
      </c>
      <c r="K47" s="63">
        <f>'Monthly Summary'!BV47</f>
        <v/>
      </c>
      <c r="L47" s="64">
        <f>'Monthly Summary'!BW47</f>
        <v/>
      </c>
      <c r="M47" s="63">
        <f>'Monthly Summary'!BX47</f>
        <v/>
      </c>
      <c r="N47" s="67">
        <f>'Monthly Summary'!BY47</f>
        <v/>
      </c>
      <c r="O47" s="68">
        <f>'Monthly Summary'!BZ47</f>
        <v/>
      </c>
      <c r="P47" s="67">
        <f>'Monthly Summary'!CA47</f>
        <v/>
      </c>
      <c r="Q47" s="67">
        <f>'Monthly Summary'!CB47</f>
        <v/>
      </c>
      <c r="R47" s="68">
        <f>'Monthly Summary'!CC47</f>
        <v/>
      </c>
      <c r="S47" s="69">
        <f>'Subject-wise Summary'!S46</f>
        <v/>
      </c>
      <c r="T47" s="69">
        <f>'Subject-wise Summary'!T46</f>
        <v/>
      </c>
      <c r="U47" s="70">
        <f>'Subject-wise Summary'!U46</f>
        <v/>
      </c>
      <c r="V47" s="69">
        <f>'Subject-wise Summary'!V46</f>
        <v/>
      </c>
      <c r="W47" s="69">
        <f>'Subject-wise Summary'!W46</f>
        <v/>
      </c>
      <c r="X47" s="70">
        <f>'Subject-wise Summary'!X46</f>
        <v/>
      </c>
      <c r="Y47" s="69">
        <f>'Subject-wise Summary'!Y46</f>
        <v/>
      </c>
      <c r="Z47" s="69">
        <f>'Subject-wise Summary'!Z46</f>
        <v/>
      </c>
      <c r="AA47" s="70">
        <f>'Subject-wise Summary'!AA46</f>
        <v/>
      </c>
      <c r="AB47" s="67">
        <f>'Monthly Summary'!S47</f>
        <v/>
      </c>
      <c r="AC47" s="67">
        <f>'Monthly Summary'!T47</f>
        <v/>
      </c>
      <c r="AD47" s="68">
        <f>'Monthly Summary'!U47</f>
        <v/>
      </c>
      <c r="AE47" s="67">
        <f>'Monthly Summary'!AN47</f>
        <v/>
      </c>
      <c r="AF47" s="67">
        <f>'Monthly Summary'!AO47</f>
        <v/>
      </c>
      <c r="AG47" s="68">
        <f>'Monthly Summary'!AP47</f>
        <v/>
      </c>
      <c r="AH47" s="67">
        <f>'Monthly Summary'!BI47</f>
        <v/>
      </c>
      <c r="AI47" s="67">
        <f>'Monthly Summary'!BJ47</f>
        <v/>
      </c>
      <c r="AJ47" s="68">
        <f>'Monthly Summary'!BK47</f>
        <v/>
      </c>
      <c r="AK47" s="67">
        <f>'Monthly Summary'!CD47</f>
        <v/>
      </c>
      <c r="AL47" s="67">
        <f>'Monthly Summary'!CE47</f>
        <v/>
      </c>
      <c r="AM47" s="68">
        <f>'Monthly Summary'!CF47</f>
        <v/>
      </c>
      <c r="AN47" s="69">
        <f>'Monthly Summary'!CG47</f>
        <v/>
      </c>
      <c r="AO47" s="69">
        <f>'Monthly Summary'!CH47</f>
        <v/>
      </c>
      <c r="AP47" s="70">
        <f>'Monthly Summary'!CI47</f>
        <v/>
      </c>
      <c r="AQ47" s="67">
        <f>'Monthly Summary'!CJ47</f>
        <v/>
      </c>
      <c r="AR47" s="67">
        <f>'Monthly Summary'!CK47</f>
        <v/>
      </c>
      <c r="AS47" s="68">
        <f>'Monthly Summary'!CL47</f>
        <v/>
      </c>
      <c r="AT47" s="67" t="inlineStr">
        <is>
          <t>Batch 2</t>
        </is>
      </c>
    </row>
    <row r="48" ht="14.25" customHeight="1" s="34">
      <c r="A48" s="46" t="n">
        <v>46</v>
      </c>
      <c r="B48" s="46" t="inlineStr">
        <is>
          <t>325106410046</t>
        </is>
      </c>
      <c r="C48" s="46" t="inlineStr">
        <is>
          <t>RONY JOEL</t>
        </is>
      </c>
      <c r="D48" s="63">
        <f>'Monthly Summary'!BO48</f>
        <v/>
      </c>
      <c r="E48" s="63">
        <f>'Monthly Summary'!BP48</f>
        <v/>
      </c>
      <c r="F48" s="64">
        <f>'Monthly Summary'!BQ48</f>
        <v/>
      </c>
      <c r="G48" s="63">
        <f>'Monthly Summary'!BR48</f>
        <v/>
      </c>
      <c r="H48" s="63">
        <f>'Monthly Summary'!BS48</f>
        <v/>
      </c>
      <c r="I48" s="64">
        <f>'Monthly Summary'!BT48</f>
        <v/>
      </c>
      <c r="J48" s="63">
        <f>'Monthly Summary'!BU48</f>
        <v/>
      </c>
      <c r="K48" s="63">
        <f>'Monthly Summary'!BV48</f>
        <v/>
      </c>
      <c r="L48" s="64">
        <f>'Monthly Summary'!BW48</f>
        <v/>
      </c>
      <c r="M48" s="63">
        <f>'Monthly Summary'!BX48</f>
        <v/>
      </c>
      <c r="N48" s="67">
        <f>'Monthly Summary'!BY48</f>
        <v/>
      </c>
      <c r="O48" s="68">
        <f>'Monthly Summary'!BZ48</f>
        <v/>
      </c>
      <c r="P48" s="67">
        <f>'Monthly Summary'!CA48</f>
        <v/>
      </c>
      <c r="Q48" s="67">
        <f>'Monthly Summary'!CB48</f>
        <v/>
      </c>
      <c r="R48" s="68">
        <f>'Monthly Summary'!CC48</f>
        <v/>
      </c>
      <c r="S48" s="69">
        <f>'Subject-wise Summary'!S47</f>
        <v/>
      </c>
      <c r="T48" s="69">
        <f>'Subject-wise Summary'!T47</f>
        <v/>
      </c>
      <c r="U48" s="70">
        <f>'Subject-wise Summary'!U47</f>
        <v/>
      </c>
      <c r="V48" s="69">
        <f>'Subject-wise Summary'!V47</f>
        <v/>
      </c>
      <c r="W48" s="69">
        <f>'Subject-wise Summary'!W47</f>
        <v/>
      </c>
      <c r="X48" s="70">
        <f>'Subject-wise Summary'!X47</f>
        <v/>
      </c>
      <c r="Y48" s="69">
        <f>'Subject-wise Summary'!Y47</f>
        <v/>
      </c>
      <c r="Z48" s="69">
        <f>'Subject-wise Summary'!Z47</f>
        <v/>
      </c>
      <c r="AA48" s="70">
        <f>'Subject-wise Summary'!AA47</f>
        <v/>
      </c>
      <c r="AB48" s="67">
        <f>'Monthly Summary'!S48</f>
        <v/>
      </c>
      <c r="AC48" s="67">
        <f>'Monthly Summary'!T48</f>
        <v/>
      </c>
      <c r="AD48" s="68">
        <f>'Monthly Summary'!U48</f>
        <v/>
      </c>
      <c r="AE48" s="67">
        <f>'Monthly Summary'!AN48</f>
        <v/>
      </c>
      <c r="AF48" s="67">
        <f>'Monthly Summary'!AO48</f>
        <v/>
      </c>
      <c r="AG48" s="68">
        <f>'Monthly Summary'!AP48</f>
        <v/>
      </c>
      <c r="AH48" s="67">
        <f>'Monthly Summary'!BI48</f>
        <v/>
      </c>
      <c r="AI48" s="67">
        <f>'Monthly Summary'!BJ48</f>
        <v/>
      </c>
      <c r="AJ48" s="68">
        <f>'Monthly Summary'!BK48</f>
        <v/>
      </c>
      <c r="AK48" s="67">
        <f>'Monthly Summary'!CD48</f>
        <v/>
      </c>
      <c r="AL48" s="67">
        <f>'Monthly Summary'!CE48</f>
        <v/>
      </c>
      <c r="AM48" s="68">
        <f>'Monthly Summary'!CF48</f>
        <v/>
      </c>
      <c r="AN48" s="69">
        <f>'Monthly Summary'!CG48</f>
        <v/>
      </c>
      <c r="AO48" s="69">
        <f>'Monthly Summary'!CH48</f>
        <v/>
      </c>
      <c r="AP48" s="70">
        <f>'Monthly Summary'!CI48</f>
        <v/>
      </c>
      <c r="AQ48" s="67">
        <f>'Monthly Summary'!CJ48</f>
        <v/>
      </c>
      <c r="AR48" s="67">
        <f>'Monthly Summary'!CK48</f>
        <v/>
      </c>
      <c r="AS48" s="68">
        <f>'Monthly Summary'!CL48</f>
        <v/>
      </c>
      <c r="AT48" s="67" t="inlineStr">
        <is>
          <t>Batch 2</t>
        </is>
      </c>
    </row>
    <row r="49" ht="14.25" customHeight="1" s="34">
      <c r="A49" s="46" t="n">
        <v>47</v>
      </c>
      <c r="B49" s="46" t="inlineStr">
        <is>
          <t>325106410047</t>
        </is>
      </c>
      <c r="C49" s="46" t="inlineStr">
        <is>
          <t>NAGA HASINI SAYIMPU</t>
        </is>
      </c>
      <c r="D49" s="63">
        <f>'Monthly Summary'!BO49</f>
        <v/>
      </c>
      <c r="E49" s="63">
        <f>'Monthly Summary'!BP49</f>
        <v/>
      </c>
      <c r="F49" s="64">
        <f>'Monthly Summary'!BQ49</f>
        <v/>
      </c>
      <c r="G49" s="63">
        <f>'Monthly Summary'!BR49</f>
        <v/>
      </c>
      <c r="H49" s="63">
        <f>'Monthly Summary'!BS49</f>
        <v/>
      </c>
      <c r="I49" s="64">
        <f>'Monthly Summary'!BT49</f>
        <v/>
      </c>
      <c r="J49" s="63">
        <f>'Monthly Summary'!BU49</f>
        <v/>
      </c>
      <c r="K49" s="63">
        <f>'Monthly Summary'!BV49</f>
        <v/>
      </c>
      <c r="L49" s="64">
        <f>'Monthly Summary'!BW49</f>
        <v/>
      </c>
      <c r="M49" s="63">
        <f>'Monthly Summary'!BX49</f>
        <v/>
      </c>
      <c r="N49" s="67">
        <f>'Monthly Summary'!BY49</f>
        <v/>
      </c>
      <c r="O49" s="68">
        <f>'Monthly Summary'!BZ49</f>
        <v/>
      </c>
      <c r="P49" s="67">
        <f>'Monthly Summary'!CA49</f>
        <v/>
      </c>
      <c r="Q49" s="67">
        <f>'Monthly Summary'!CB49</f>
        <v/>
      </c>
      <c r="R49" s="68">
        <f>'Monthly Summary'!CC49</f>
        <v/>
      </c>
      <c r="S49" s="69">
        <f>'Subject-wise Summary'!S48</f>
        <v/>
      </c>
      <c r="T49" s="69">
        <f>'Subject-wise Summary'!T48</f>
        <v/>
      </c>
      <c r="U49" s="70">
        <f>'Subject-wise Summary'!U48</f>
        <v/>
      </c>
      <c r="V49" s="69">
        <f>'Subject-wise Summary'!V48</f>
        <v/>
      </c>
      <c r="W49" s="69">
        <f>'Subject-wise Summary'!W48</f>
        <v/>
      </c>
      <c r="X49" s="70">
        <f>'Subject-wise Summary'!X48</f>
        <v/>
      </c>
      <c r="Y49" s="69">
        <f>'Subject-wise Summary'!Y48</f>
        <v/>
      </c>
      <c r="Z49" s="69">
        <f>'Subject-wise Summary'!Z48</f>
        <v/>
      </c>
      <c r="AA49" s="70">
        <f>'Subject-wise Summary'!AA48</f>
        <v/>
      </c>
      <c r="AB49" s="67">
        <f>'Monthly Summary'!S49</f>
        <v/>
      </c>
      <c r="AC49" s="67">
        <f>'Monthly Summary'!T49</f>
        <v/>
      </c>
      <c r="AD49" s="68">
        <f>'Monthly Summary'!U49</f>
        <v/>
      </c>
      <c r="AE49" s="67">
        <f>'Monthly Summary'!AN49</f>
        <v/>
      </c>
      <c r="AF49" s="67">
        <f>'Monthly Summary'!AO49</f>
        <v/>
      </c>
      <c r="AG49" s="68">
        <f>'Monthly Summary'!AP49</f>
        <v/>
      </c>
      <c r="AH49" s="67">
        <f>'Monthly Summary'!BI49</f>
        <v/>
      </c>
      <c r="AI49" s="67">
        <f>'Monthly Summary'!BJ49</f>
        <v/>
      </c>
      <c r="AJ49" s="68">
        <f>'Monthly Summary'!BK49</f>
        <v/>
      </c>
      <c r="AK49" s="67">
        <f>'Monthly Summary'!CD49</f>
        <v/>
      </c>
      <c r="AL49" s="67">
        <f>'Monthly Summary'!CE49</f>
        <v/>
      </c>
      <c r="AM49" s="68">
        <f>'Monthly Summary'!CF49</f>
        <v/>
      </c>
      <c r="AN49" s="69">
        <f>'Monthly Summary'!CG49</f>
        <v/>
      </c>
      <c r="AO49" s="69">
        <f>'Monthly Summary'!CH49</f>
        <v/>
      </c>
      <c r="AP49" s="70">
        <f>'Monthly Summary'!CI49</f>
        <v/>
      </c>
      <c r="AQ49" s="67">
        <f>'Monthly Summary'!CJ49</f>
        <v/>
      </c>
      <c r="AR49" s="67">
        <f>'Monthly Summary'!CK49</f>
        <v/>
      </c>
      <c r="AS49" s="68">
        <f>'Monthly Summary'!CL49</f>
        <v/>
      </c>
      <c r="AT49" s="67" t="inlineStr">
        <is>
          <t>Batch 2</t>
        </is>
      </c>
    </row>
    <row r="50" ht="14.25" customHeight="1" s="34">
      <c r="A50" s="46" t="n">
        <v>48</v>
      </c>
      <c r="B50" s="46" t="inlineStr">
        <is>
          <t>325106410048</t>
        </is>
      </c>
      <c r="C50" s="46" t="inlineStr">
        <is>
          <t>SHEHNAAZ BEGUM SHAIK</t>
        </is>
      </c>
      <c r="D50" s="63">
        <f>'Monthly Summary'!BO50</f>
        <v/>
      </c>
      <c r="E50" s="63">
        <f>'Monthly Summary'!BP50</f>
        <v/>
      </c>
      <c r="F50" s="64">
        <f>'Monthly Summary'!BQ50</f>
        <v/>
      </c>
      <c r="G50" s="63">
        <f>'Monthly Summary'!BR50</f>
        <v/>
      </c>
      <c r="H50" s="63">
        <f>'Monthly Summary'!BS50</f>
        <v/>
      </c>
      <c r="I50" s="64">
        <f>'Monthly Summary'!BT50</f>
        <v/>
      </c>
      <c r="J50" s="63">
        <f>'Monthly Summary'!BU50</f>
        <v/>
      </c>
      <c r="K50" s="63">
        <f>'Monthly Summary'!BV50</f>
        <v/>
      </c>
      <c r="L50" s="64">
        <f>'Monthly Summary'!BW50</f>
        <v/>
      </c>
      <c r="M50" s="63">
        <f>'Monthly Summary'!BX50</f>
        <v/>
      </c>
      <c r="N50" s="67">
        <f>'Monthly Summary'!BY50</f>
        <v/>
      </c>
      <c r="O50" s="68">
        <f>'Monthly Summary'!BZ50</f>
        <v/>
      </c>
      <c r="P50" s="67">
        <f>'Monthly Summary'!CA50</f>
        <v/>
      </c>
      <c r="Q50" s="67">
        <f>'Monthly Summary'!CB50</f>
        <v/>
      </c>
      <c r="R50" s="68">
        <f>'Monthly Summary'!CC50</f>
        <v/>
      </c>
      <c r="S50" s="69">
        <f>'Subject-wise Summary'!S49</f>
        <v/>
      </c>
      <c r="T50" s="69">
        <f>'Subject-wise Summary'!T49</f>
        <v/>
      </c>
      <c r="U50" s="70">
        <f>'Subject-wise Summary'!U49</f>
        <v/>
      </c>
      <c r="V50" s="69">
        <f>'Subject-wise Summary'!V49</f>
        <v/>
      </c>
      <c r="W50" s="69">
        <f>'Subject-wise Summary'!W49</f>
        <v/>
      </c>
      <c r="X50" s="70">
        <f>'Subject-wise Summary'!X49</f>
        <v/>
      </c>
      <c r="Y50" s="69">
        <f>'Subject-wise Summary'!Y49</f>
        <v/>
      </c>
      <c r="Z50" s="69">
        <f>'Subject-wise Summary'!Z49</f>
        <v/>
      </c>
      <c r="AA50" s="70">
        <f>'Subject-wise Summary'!AA49</f>
        <v/>
      </c>
      <c r="AB50" s="67">
        <f>'Monthly Summary'!S50</f>
        <v/>
      </c>
      <c r="AC50" s="67">
        <f>'Monthly Summary'!T50</f>
        <v/>
      </c>
      <c r="AD50" s="68">
        <f>'Monthly Summary'!U50</f>
        <v/>
      </c>
      <c r="AE50" s="67">
        <f>'Monthly Summary'!AN50</f>
        <v/>
      </c>
      <c r="AF50" s="67">
        <f>'Monthly Summary'!AO50</f>
        <v/>
      </c>
      <c r="AG50" s="68">
        <f>'Monthly Summary'!AP50</f>
        <v/>
      </c>
      <c r="AH50" s="67">
        <f>'Monthly Summary'!BI50</f>
        <v/>
      </c>
      <c r="AI50" s="67">
        <f>'Monthly Summary'!BJ50</f>
        <v/>
      </c>
      <c r="AJ50" s="68">
        <f>'Monthly Summary'!BK50</f>
        <v/>
      </c>
      <c r="AK50" s="67">
        <f>'Monthly Summary'!CD50</f>
        <v/>
      </c>
      <c r="AL50" s="67">
        <f>'Monthly Summary'!CE50</f>
        <v/>
      </c>
      <c r="AM50" s="68">
        <f>'Monthly Summary'!CF50</f>
        <v/>
      </c>
      <c r="AN50" s="69">
        <f>'Monthly Summary'!CG50</f>
        <v/>
      </c>
      <c r="AO50" s="69">
        <f>'Monthly Summary'!CH50</f>
        <v/>
      </c>
      <c r="AP50" s="70">
        <f>'Monthly Summary'!CI50</f>
        <v/>
      </c>
      <c r="AQ50" s="67">
        <f>'Monthly Summary'!CJ50</f>
        <v/>
      </c>
      <c r="AR50" s="67">
        <f>'Monthly Summary'!CK50</f>
        <v/>
      </c>
      <c r="AS50" s="68">
        <f>'Monthly Summary'!CL50</f>
        <v/>
      </c>
      <c r="AT50" s="67" t="inlineStr">
        <is>
          <t>Batch 2</t>
        </is>
      </c>
    </row>
    <row r="51" ht="14.25" customHeight="1" s="34">
      <c r="A51" s="46" t="n">
        <v>49</v>
      </c>
      <c r="B51" s="46" t="inlineStr">
        <is>
          <t>325106410049</t>
        </is>
      </c>
      <c r="C51" s="46" t="inlineStr">
        <is>
          <t>SONALI SIMHADRI</t>
        </is>
      </c>
      <c r="D51" s="63">
        <f>'Monthly Summary'!BO51</f>
        <v/>
      </c>
      <c r="E51" s="63">
        <f>'Monthly Summary'!BP51</f>
        <v/>
      </c>
      <c r="F51" s="64">
        <f>'Monthly Summary'!BQ51</f>
        <v/>
      </c>
      <c r="G51" s="63">
        <f>'Monthly Summary'!BR51</f>
        <v/>
      </c>
      <c r="H51" s="63">
        <f>'Monthly Summary'!BS51</f>
        <v/>
      </c>
      <c r="I51" s="64">
        <f>'Monthly Summary'!BT51</f>
        <v/>
      </c>
      <c r="J51" s="63">
        <f>'Monthly Summary'!BU51</f>
        <v/>
      </c>
      <c r="K51" s="63">
        <f>'Monthly Summary'!BV51</f>
        <v/>
      </c>
      <c r="L51" s="64">
        <f>'Monthly Summary'!BW51</f>
        <v/>
      </c>
      <c r="M51" s="63">
        <f>'Monthly Summary'!BX51</f>
        <v/>
      </c>
      <c r="N51" s="67">
        <f>'Monthly Summary'!BY51</f>
        <v/>
      </c>
      <c r="O51" s="68">
        <f>'Monthly Summary'!BZ51</f>
        <v/>
      </c>
      <c r="P51" s="67">
        <f>'Monthly Summary'!CA51</f>
        <v/>
      </c>
      <c r="Q51" s="67">
        <f>'Monthly Summary'!CB51</f>
        <v/>
      </c>
      <c r="R51" s="68">
        <f>'Monthly Summary'!CC51</f>
        <v/>
      </c>
      <c r="S51" s="69">
        <f>'Subject-wise Summary'!S50</f>
        <v/>
      </c>
      <c r="T51" s="69">
        <f>'Subject-wise Summary'!T50</f>
        <v/>
      </c>
      <c r="U51" s="70">
        <f>'Subject-wise Summary'!U50</f>
        <v/>
      </c>
      <c r="V51" s="69">
        <f>'Subject-wise Summary'!V50</f>
        <v/>
      </c>
      <c r="W51" s="69">
        <f>'Subject-wise Summary'!W50</f>
        <v/>
      </c>
      <c r="X51" s="70">
        <f>'Subject-wise Summary'!X50</f>
        <v/>
      </c>
      <c r="Y51" s="69">
        <f>'Subject-wise Summary'!Y50</f>
        <v/>
      </c>
      <c r="Z51" s="69">
        <f>'Subject-wise Summary'!Z50</f>
        <v/>
      </c>
      <c r="AA51" s="70">
        <f>'Subject-wise Summary'!AA50</f>
        <v/>
      </c>
      <c r="AB51" s="67">
        <f>'Monthly Summary'!S51</f>
        <v/>
      </c>
      <c r="AC51" s="67">
        <f>'Monthly Summary'!T51</f>
        <v/>
      </c>
      <c r="AD51" s="68">
        <f>'Monthly Summary'!U51</f>
        <v/>
      </c>
      <c r="AE51" s="67">
        <f>'Monthly Summary'!AN51</f>
        <v/>
      </c>
      <c r="AF51" s="67">
        <f>'Monthly Summary'!AO51</f>
        <v/>
      </c>
      <c r="AG51" s="68">
        <f>'Monthly Summary'!AP51</f>
        <v/>
      </c>
      <c r="AH51" s="67">
        <f>'Monthly Summary'!BI51</f>
        <v/>
      </c>
      <c r="AI51" s="67">
        <f>'Monthly Summary'!BJ51</f>
        <v/>
      </c>
      <c r="AJ51" s="68">
        <f>'Monthly Summary'!BK51</f>
        <v/>
      </c>
      <c r="AK51" s="67">
        <f>'Monthly Summary'!CD51</f>
        <v/>
      </c>
      <c r="AL51" s="67">
        <f>'Monthly Summary'!CE51</f>
        <v/>
      </c>
      <c r="AM51" s="68">
        <f>'Monthly Summary'!CF51</f>
        <v/>
      </c>
      <c r="AN51" s="69">
        <f>'Monthly Summary'!CG51</f>
        <v/>
      </c>
      <c r="AO51" s="69">
        <f>'Monthly Summary'!CH51</f>
        <v/>
      </c>
      <c r="AP51" s="70">
        <f>'Monthly Summary'!CI51</f>
        <v/>
      </c>
      <c r="AQ51" s="67">
        <f>'Monthly Summary'!CJ51</f>
        <v/>
      </c>
      <c r="AR51" s="67">
        <f>'Monthly Summary'!CK51</f>
        <v/>
      </c>
      <c r="AS51" s="68">
        <f>'Monthly Summary'!CL51</f>
        <v/>
      </c>
      <c r="AT51" s="67" t="inlineStr">
        <is>
          <t>Batch 2</t>
        </is>
      </c>
    </row>
    <row r="52" ht="14.25" customHeight="1" s="34">
      <c r="A52" s="46" t="n">
        <v>50</v>
      </c>
      <c r="B52" s="46" t="inlineStr">
        <is>
          <t>325106410050</t>
        </is>
      </c>
      <c r="C52" s="46" t="inlineStr">
        <is>
          <t>MOHAN TEJA TALUPULA</t>
        </is>
      </c>
      <c r="D52" s="63">
        <f>'Monthly Summary'!BO52</f>
        <v/>
      </c>
      <c r="E52" s="63">
        <f>'Monthly Summary'!BP52</f>
        <v/>
      </c>
      <c r="F52" s="64">
        <f>'Monthly Summary'!BQ52</f>
        <v/>
      </c>
      <c r="G52" s="63">
        <f>'Monthly Summary'!BR52</f>
        <v/>
      </c>
      <c r="H52" s="63">
        <f>'Monthly Summary'!BS52</f>
        <v/>
      </c>
      <c r="I52" s="64">
        <f>'Monthly Summary'!BT52</f>
        <v/>
      </c>
      <c r="J52" s="63">
        <f>'Monthly Summary'!BU52</f>
        <v/>
      </c>
      <c r="K52" s="63">
        <f>'Monthly Summary'!BV52</f>
        <v/>
      </c>
      <c r="L52" s="64">
        <f>'Monthly Summary'!BW52</f>
        <v/>
      </c>
      <c r="M52" s="63">
        <f>'Monthly Summary'!BX52</f>
        <v/>
      </c>
      <c r="N52" s="67">
        <f>'Monthly Summary'!BY52</f>
        <v/>
      </c>
      <c r="O52" s="68">
        <f>'Monthly Summary'!BZ52</f>
        <v/>
      </c>
      <c r="P52" s="67">
        <f>'Monthly Summary'!CA52</f>
        <v/>
      </c>
      <c r="Q52" s="67">
        <f>'Monthly Summary'!CB52</f>
        <v/>
      </c>
      <c r="R52" s="68">
        <f>'Monthly Summary'!CC52</f>
        <v/>
      </c>
      <c r="S52" s="69">
        <f>'Subject-wise Summary'!S51</f>
        <v/>
      </c>
      <c r="T52" s="69">
        <f>'Subject-wise Summary'!T51</f>
        <v/>
      </c>
      <c r="U52" s="70">
        <f>'Subject-wise Summary'!U51</f>
        <v/>
      </c>
      <c r="V52" s="69">
        <f>'Subject-wise Summary'!V51</f>
        <v/>
      </c>
      <c r="W52" s="69">
        <f>'Subject-wise Summary'!W51</f>
        <v/>
      </c>
      <c r="X52" s="70">
        <f>'Subject-wise Summary'!X51</f>
        <v/>
      </c>
      <c r="Y52" s="69">
        <f>'Subject-wise Summary'!Y51</f>
        <v/>
      </c>
      <c r="Z52" s="69">
        <f>'Subject-wise Summary'!Z51</f>
        <v/>
      </c>
      <c r="AA52" s="70">
        <f>'Subject-wise Summary'!AA51</f>
        <v/>
      </c>
      <c r="AB52" s="67">
        <f>'Monthly Summary'!S52</f>
        <v/>
      </c>
      <c r="AC52" s="67">
        <f>'Monthly Summary'!T52</f>
        <v/>
      </c>
      <c r="AD52" s="68">
        <f>'Monthly Summary'!U52</f>
        <v/>
      </c>
      <c r="AE52" s="67">
        <f>'Monthly Summary'!AN52</f>
        <v/>
      </c>
      <c r="AF52" s="67">
        <f>'Monthly Summary'!AO52</f>
        <v/>
      </c>
      <c r="AG52" s="68">
        <f>'Monthly Summary'!AP52</f>
        <v/>
      </c>
      <c r="AH52" s="67">
        <f>'Monthly Summary'!BI52</f>
        <v/>
      </c>
      <c r="AI52" s="67">
        <f>'Monthly Summary'!BJ52</f>
        <v/>
      </c>
      <c r="AJ52" s="68">
        <f>'Monthly Summary'!BK52</f>
        <v/>
      </c>
      <c r="AK52" s="67">
        <f>'Monthly Summary'!CD52</f>
        <v/>
      </c>
      <c r="AL52" s="67">
        <f>'Monthly Summary'!CE52</f>
        <v/>
      </c>
      <c r="AM52" s="68">
        <f>'Monthly Summary'!CF52</f>
        <v/>
      </c>
      <c r="AN52" s="69">
        <f>'Monthly Summary'!CG52</f>
        <v/>
      </c>
      <c r="AO52" s="69">
        <f>'Monthly Summary'!CH52</f>
        <v/>
      </c>
      <c r="AP52" s="70">
        <f>'Monthly Summary'!CI52</f>
        <v/>
      </c>
      <c r="AQ52" s="67">
        <f>'Monthly Summary'!CJ52</f>
        <v/>
      </c>
      <c r="AR52" s="67">
        <f>'Monthly Summary'!CK52</f>
        <v/>
      </c>
      <c r="AS52" s="68">
        <f>'Monthly Summary'!CL52</f>
        <v/>
      </c>
      <c r="AT52" s="67" t="inlineStr">
        <is>
          <t>Batch 2</t>
        </is>
      </c>
    </row>
    <row r="53" ht="14.25" customHeight="1" s="34">
      <c r="A53" s="46" t="n">
        <v>51</v>
      </c>
      <c r="B53" s="46" t="inlineStr">
        <is>
          <t>325106410051</t>
        </is>
      </c>
      <c r="C53" s="46" t="inlineStr">
        <is>
          <t>VINEETHKUMAR THENNETI</t>
        </is>
      </c>
      <c r="D53" s="63">
        <f>'Monthly Summary'!BO53</f>
        <v/>
      </c>
      <c r="E53" s="63">
        <f>'Monthly Summary'!BP53</f>
        <v/>
      </c>
      <c r="F53" s="64">
        <f>'Monthly Summary'!BQ53</f>
        <v/>
      </c>
      <c r="G53" s="63">
        <f>'Monthly Summary'!BR53</f>
        <v/>
      </c>
      <c r="H53" s="63">
        <f>'Monthly Summary'!BS53</f>
        <v/>
      </c>
      <c r="I53" s="64">
        <f>'Monthly Summary'!BT53</f>
        <v/>
      </c>
      <c r="J53" s="63">
        <f>'Monthly Summary'!BU53</f>
        <v/>
      </c>
      <c r="K53" s="63">
        <f>'Monthly Summary'!BV53</f>
        <v/>
      </c>
      <c r="L53" s="64">
        <f>'Monthly Summary'!BW53</f>
        <v/>
      </c>
      <c r="M53" s="63">
        <f>'Monthly Summary'!BX53</f>
        <v/>
      </c>
      <c r="N53" s="67">
        <f>'Monthly Summary'!BY53</f>
        <v/>
      </c>
      <c r="O53" s="68">
        <f>'Monthly Summary'!BZ53</f>
        <v/>
      </c>
      <c r="P53" s="67">
        <f>'Monthly Summary'!CA53</f>
        <v/>
      </c>
      <c r="Q53" s="67">
        <f>'Monthly Summary'!CB53</f>
        <v/>
      </c>
      <c r="R53" s="68">
        <f>'Monthly Summary'!CC53</f>
        <v/>
      </c>
      <c r="S53" s="69">
        <f>'Subject-wise Summary'!S52</f>
        <v/>
      </c>
      <c r="T53" s="69">
        <f>'Subject-wise Summary'!T52</f>
        <v/>
      </c>
      <c r="U53" s="70">
        <f>'Subject-wise Summary'!U52</f>
        <v/>
      </c>
      <c r="V53" s="69">
        <f>'Subject-wise Summary'!V52</f>
        <v/>
      </c>
      <c r="W53" s="69">
        <f>'Subject-wise Summary'!W52</f>
        <v/>
      </c>
      <c r="X53" s="70">
        <f>'Subject-wise Summary'!X52</f>
        <v/>
      </c>
      <c r="Y53" s="69">
        <f>'Subject-wise Summary'!Y52</f>
        <v/>
      </c>
      <c r="Z53" s="69">
        <f>'Subject-wise Summary'!Z52</f>
        <v/>
      </c>
      <c r="AA53" s="70">
        <f>'Subject-wise Summary'!AA52</f>
        <v/>
      </c>
      <c r="AB53" s="67">
        <f>'Monthly Summary'!S53</f>
        <v/>
      </c>
      <c r="AC53" s="67">
        <f>'Monthly Summary'!T53</f>
        <v/>
      </c>
      <c r="AD53" s="68">
        <f>'Monthly Summary'!U53</f>
        <v/>
      </c>
      <c r="AE53" s="67">
        <f>'Monthly Summary'!AN53</f>
        <v/>
      </c>
      <c r="AF53" s="67">
        <f>'Monthly Summary'!AO53</f>
        <v/>
      </c>
      <c r="AG53" s="68">
        <f>'Monthly Summary'!AP53</f>
        <v/>
      </c>
      <c r="AH53" s="67">
        <f>'Monthly Summary'!BI53</f>
        <v/>
      </c>
      <c r="AI53" s="67">
        <f>'Monthly Summary'!BJ53</f>
        <v/>
      </c>
      <c r="AJ53" s="68">
        <f>'Monthly Summary'!BK53</f>
        <v/>
      </c>
      <c r="AK53" s="67">
        <f>'Monthly Summary'!CD53</f>
        <v/>
      </c>
      <c r="AL53" s="67">
        <f>'Monthly Summary'!CE53</f>
        <v/>
      </c>
      <c r="AM53" s="68">
        <f>'Monthly Summary'!CF53</f>
        <v/>
      </c>
      <c r="AN53" s="69">
        <f>'Monthly Summary'!CG53</f>
        <v/>
      </c>
      <c r="AO53" s="69">
        <f>'Monthly Summary'!CH53</f>
        <v/>
      </c>
      <c r="AP53" s="70">
        <f>'Monthly Summary'!CI53</f>
        <v/>
      </c>
      <c r="AQ53" s="67">
        <f>'Monthly Summary'!CJ53</f>
        <v/>
      </c>
      <c r="AR53" s="67">
        <f>'Monthly Summary'!CK53</f>
        <v/>
      </c>
      <c r="AS53" s="68">
        <f>'Monthly Summary'!CL53</f>
        <v/>
      </c>
      <c r="AT53" s="67" t="inlineStr">
        <is>
          <t>Batch 2</t>
        </is>
      </c>
    </row>
    <row r="54" ht="14.25" customHeight="1" s="34">
      <c r="A54" s="46" t="n">
        <v>52</v>
      </c>
      <c r="B54" s="46" t="inlineStr">
        <is>
          <t>325106410052</t>
        </is>
      </c>
      <c r="C54" s="46" t="inlineStr">
        <is>
          <t>GAYATRI TIPPANA</t>
        </is>
      </c>
      <c r="D54" s="63">
        <f>'Monthly Summary'!BO54</f>
        <v/>
      </c>
      <c r="E54" s="63">
        <f>'Monthly Summary'!BP54</f>
        <v/>
      </c>
      <c r="F54" s="64">
        <f>'Monthly Summary'!BQ54</f>
        <v/>
      </c>
      <c r="G54" s="63">
        <f>'Monthly Summary'!BR54</f>
        <v/>
      </c>
      <c r="H54" s="63">
        <f>'Monthly Summary'!BS54</f>
        <v/>
      </c>
      <c r="I54" s="64">
        <f>'Monthly Summary'!BT54</f>
        <v/>
      </c>
      <c r="J54" s="63">
        <f>'Monthly Summary'!BU54</f>
        <v/>
      </c>
      <c r="K54" s="63">
        <f>'Monthly Summary'!BV54</f>
        <v/>
      </c>
      <c r="L54" s="64">
        <f>'Monthly Summary'!BW54</f>
        <v/>
      </c>
      <c r="M54" s="63">
        <f>'Monthly Summary'!BX54</f>
        <v/>
      </c>
      <c r="N54" s="67">
        <f>'Monthly Summary'!BY54</f>
        <v/>
      </c>
      <c r="O54" s="68">
        <f>'Monthly Summary'!BZ54</f>
        <v/>
      </c>
      <c r="P54" s="67">
        <f>'Monthly Summary'!CA54</f>
        <v/>
      </c>
      <c r="Q54" s="67">
        <f>'Monthly Summary'!CB54</f>
        <v/>
      </c>
      <c r="R54" s="68">
        <f>'Monthly Summary'!CC54</f>
        <v/>
      </c>
      <c r="S54" s="69">
        <f>'Subject-wise Summary'!S53</f>
        <v/>
      </c>
      <c r="T54" s="69">
        <f>'Subject-wise Summary'!T53</f>
        <v/>
      </c>
      <c r="U54" s="70">
        <f>'Subject-wise Summary'!U53</f>
        <v/>
      </c>
      <c r="V54" s="69">
        <f>'Subject-wise Summary'!V53</f>
        <v/>
      </c>
      <c r="W54" s="69">
        <f>'Subject-wise Summary'!W53</f>
        <v/>
      </c>
      <c r="X54" s="70">
        <f>'Subject-wise Summary'!X53</f>
        <v/>
      </c>
      <c r="Y54" s="69">
        <f>'Subject-wise Summary'!Y53</f>
        <v/>
      </c>
      <c r="Z54" s="69">
        <f>'Subject-wise Summary'!Z53</f>
        <v/>
      </c>
      <c r="AA54" s="70">
        <f>'Subject-wise Summary'!AA53</f>
        <v/>
      </c>
      <c r="AB54" s="67">
        <f>'Monthly Summary'!S54</f>
        <v/>
      </c>
      <c r="AC54" s="67">
        <f>'Monthly Summary'!T54</f>
        <v/>
      </c>
      <c r="AD54" s="68">
        <f>'Monthly Summary'!U54</f>
        <v/>
      </c>
      <c r="AE54" s="67">
        <f>'Monthly Summary'!AN54</f>
        <v/>
      </c>
      <c r="AF54" s="67">
        <f>'Monthly Summary'!AO54</f>
        <v/>
      </c>
      <c r="AG54" s="68">
        <f>'Monthly Summary'!AP54</f>
        <v/>
      </c>
      <c r="AH54" s="67">
        <f>'Monthly Summary'!BI54</f>
        <v/>
      </c>
      <c r="AI54" s="67">
        <f>'Monthly Summary'!BJ54</f>
        <v/>
      </c>
      <c r="AJ54" s="68">
        <f>'Monthly Summary'!BK54</f>
        <v/>
      </c>
      <c r="AK54" s="67">
        <f>'Monthly Summary'!CD54</f>
        <v/>
      </c>
      <c r="AL54" s="67">
        <f>'Monthly Summary'!CE54</f>
        <v/>
      </c>
      <c r="AM54" s="68">
        <f>'Monthly Summary'!CF54</f>
        <v/>
      </c>
      <c r="AN54" s="69">
        <f>'Monthly Summary'!CG54</f>
        <v/>
      </c>
      <c r="AO54" s="69">
        <f>'Monthly Summary'!CH54</f>
        <v/>
      </c>
      <c r="AP54" s="70">
        <f>'Monthly Summary'!CI54</f>
        <v/>
      </c>
      <c r="AQ54" s="67">
        <f>'Monthly Summary'!CJ54</f>
        <v/>
      </c>
      <c r="AR54" s="67">
        <f>'Monthly Summary'!CK54</f>
        <v/>
      </c>
      <c r="AS54" s="68">
        <f>'Monthly Summary'!CL54</f>
        <v/>
      </c>
      <c r="AT54" s="67" t="inlineStr">
        <is>
          <t>Batch 2</t>
        </is>
      </c>
    </row>
    <row r="55" ht="14.25" customHeight="1" s="34">
      <c r="A55" s="46" t="n">
        <v>53</v>
      </c>
      <c r="B55" s="46" t="inlineStr">
        <is>
          <t>325106410053</t>
        </is>
      </c>
      <c r="C55" s="46" t="inlineStr">
        <is>
          <t>SURYA VENKATA SRINIVAS TIRANDI</t>
        </is>
      </c>
      <c r="D55" s="63">
        <f>'Monthly Summary'!BO55</f>
        <v/>
      </c>
      <c r="E55" s="63">
        <f>'Monthly Summary'!BP55</f>
        <v/>
      </c>
      <c r="F55" s="64">
        <f>'Monthly Summary'!BQ55</f>
        <v/>
      </c>
      <c r="G55" s="63">
        <f>'Monthly Summary'!BR55</f>
        <v/>
      </c>
      <c r="H55" s="63">
        <f>'Monthly Summary'!BS55</f>
        <v/>
      </c>
      <c r="I55" s="64">
        <f>'Monthly Summary'!BT55</f>
        <v/>
      </c>
      <c r="J55" s="63">
        <f>'Monthly Summary'!BU55</f>
        <v/>
      </c>
      <c r="K55" s="63">
        <f>'Monthly Summary'!BV55</f>
        <v/>
      </c>
      <c r="L55" s="64">
        <f>'Monthly Summary'!BW55</f>
        <v/>
      </c>
      <c r="M55" s="63">
        <f>'Monthly Summary'!BX55</f>
        <v/>
      </c>
      <c r="N55" s="67">
        <f>'Monthly Summary'!BY55</f>
        <v/>
      </c>
      <c r="O55" s="68">
        <f>'Monthly Summary'!BZ55</f>
        <v/>
      </c>
      <c r="P55" s="67">
        <f>'Monthly Summary'!CA55</f>
        <v/>
      </c>
      <c r="Q55" s="67">
        <f>'Monthly Summary'!CB55</f>
        <v/>
      </c>
      <c r="R55" s="68">
        <f>'Monthly Summary'!CC55</f>
        <v/>
      </c>
      <c r="S55" s="69">
        <f>'Subject-wise Summary'!S54</f>
        <v/>
      </c>
      <c r="T55" s="69">
        <f>'Subject-wise Summary'!T54</f>
        <v/>
      </c>
      <c r="U55" s="70">
        <f>'Subject-wise Summary'!U54</f>
        <v/>
      </c>
      <c r="V55" s="69">
        <f>'Subject-wise Summary'!V54</f>
        <v/>
      </c>
      <c r="W55" s="69">
        <f>'Subject-wise Summary'!W54</f>
        <v/>
      </c>
      <c r="X55" s="70">
        <f>'Subject-wise Summary'!X54</f>
        <v/>
      </c>
      <c r="Y55" s="69">
        <f>'Subject-wise Summary'!Y54</f>
        <v/>
      </c>
      <c r="Z55" s="69">
        <f>'Subject-wise Summary'!Z54</f>
        <v/>
      </c>
      <c r="AA55" s="70">
        <f>'Subject-wise Summary'!AA54</f>
        <v/>
      </c>
      <c r="AB55" s="67">
        <f>'Monthly Summary'!S55</f>
        <v/>
      </c>
      <c r="AC55" s="67">
        <f>'Monthly Summary'!T55</f>
        <v/>
      </c>
      <c r="AD55" s="68">
        <f>'Monthly Summary'!U55</f>
        <v/>
      </c>
      <c r="AE55" s="67">
        <f>'Monthly Summary'!AN55</f>
        <v/>
      </c>
      <c r="AF55" s="67">
        <f>'Monthly Summary'!AO55</f>
        <v/>
      </c>
      <c r="AG55" s="68">
        <f>'Monthly Summary'!AP55</f>
        <v/>
      </c>
      <c r="AH55" s="67">
        <f>'Monthly Summary'!BI55</f>
        <v/>
      </c>
      <c r="AI55" s="67">
        <f>'Monthly Summary'!BJ55</f>
        <v/>
      </c>
      <c r="AJ55" s="68">
        <f>'Monthly Summary'!BK55</f>
        <v/>
      </c>
      <c r="AK55" s="67">
        <f>'Monthly Summary'!CD55</f>
        <v/>
      </c>
      <c r="AL55" s="67">
        <f>'Monthly Summary'!CE55</f>
        <v/>
      </c>
      <c r="AM55" s="68">
        <f>'Monthly Summary'!CF55</f>
        <v/>
      </c>
      <c r="AN55" s="69">
        <f>'Monthly Summary'!CG55</f>
        <v/>
      </c>
      <c r="AO55" s="69">
        <f>'Monthly Summary'!CH55</f>
        <v/>
      </c>
      <c r="AP55" s="70">
        <f>'Monthly Summary'!CI55</f>
        <v/>
      </c>
      <c r="AQ55" s="67">
        <f>'Monthly Summary'!CJ55</f>
        <v/>
      </c>
      <c r="AR55" s="67">
        <f>'Monthly Summary'!CK55</f>
        <v/>
      </c>
      <c r="AS55" s="68">
        <f>'Monthly Summary'!CL55</f>
        <v/>
      </c>
      <c r="AT55" s="67" t="inlineStr">
        <is>
          <t>Batch 2</t>
        </is>
      </c>
    </row>
    <row r="56" ht="14.25" customHeight="1" s="34">
      <c r="A56" s="46" t="n">
        <v>54</v>
      </c>
      <c r="B56" s="46" t="inlineStr">
        <is>
          <t>325106410054</t>
        </is>
      </c>
      <c r="C56" s="46" t="inlineStr">
        <is>
          <t>PRANAVI V</t>
        </is>
      </c>
      <c r="D56" s="63">
        <f>'Monthly Summary'!BO56</f>
        <v/>
      </c>
      <c r="E56" s="63">
        <f>'Monthly Summary'!BP56</f>
        <v/>
      </c>
      <c r="F56" s="64">
        <f>'Monthly Summary'!BQ56</f>
        <v/>
      </c>
      <c r="G56" s="63">
        <f>'Monthly Summary'!BR56</f>
        <v/>
      </c>
      <c r="H56" s="63">
        <f>'Monthly Summary'!BS56</f>
        <v/>
      </c>
      <c r="I56" s="64">
        <f>'Monthly Summary'!BT56</f>
        <v/>
      </c>
      <c r="J56" s="63">
        <f>'Monthly Summary'!BU56</f>
        <v/>
      </c>
      <c r="K56" s="63">
        <f>'Monthly Summary'!BV56</f>
        <v/>
      </c>
      <c r="L56" s="64">
        <f>'Monthly Summary'!BW56</f>
        <v/>
      </c>
      <c r="M56" s="63">
        <f>'Monthly Summary'!BX56</f>
        <v/>
      </c>
      <c r="N56" s="67">
        <f>'Monthly Summary'!BY56</f>
        <v/>
      </c>
      <c r="O56" s="68">
        <f>'Monthly Summary'!BZ56</f>
        <v/>
      </c>
      <c r="P56" s="67">
        <f>'Monthly Summary'!CA56</f>
        <v/>
      </c>
      <c r="Q56" s="67">
        <f>'Monthly Summary'!CB56</f>
        <v/>
      </c>
      <c r="R56" s="68">
        <f>'Monthly Summary'!CC56</f>
        <v/>
      </c>
      <c r="S56" s="69">
        <f>'Subject-wise Summary'!S55</f>
        <v/>
      </c>
      <c r="T56" s="69">
        <f>'Subject-wise Summary'!T55</f>
        <v/>
      </c>
      <c r="U56" s="70">
        <f>'Subject-wise Summary'!U55</f>
        <v/>
      </c>
      <c r="V56" s="69">
        <f>'Subject-wise Summary'!V55</f>
        <v/>
      </c>
      <c r="W56" s="69">
        <f>'Subject-wise Summary'!W55</f>
        <v/>
      </c>
      <c r="X56" s="70">
        <f>'Subject-wise Summary'!X55</f>
        <v/>
      </c>
      <c r="Y56" s="69">
        <f>'Subject-wise Summary'!Y55</f>
        <v/>
      </c>
      <c r="Z56" s="69">
        <f>'Subject-wise Summary'!Z55</f>
        <v/>
      </c>
      <c r="AA56" s="70">
        <f>'Subject-wise Summary'!AA55</f>
        <v/>
      </c>
      <c r="AB56" s="67">
        <f>'Monthly Summary'!S56</f>
        <v/>
      </c>
      <c r="AC56" s="67">
        <f>'Monthly Summary'!T56</f>
        <v/>
      </c>
      <c r="AD56" s="68">
        <f>'Monthly Summary'!U56</f>
        <v/>
      </c>
      <c r="AE56" s="67">
        <f>'Monthly Summary'!AN56</f>
        <v/>
      </c>
      <c r="AF56" s="67">
        <f>'Monthly Summary'!AO56</f>
        <v/>
      </c>
      <c r="AG56" s="68">
        <f>'Monthly Summary'!AP56</f>
        <v/>
      </c>
      <c r="AH56" s="67">
        <f>'Monthly Summary'!BI56</f>
        <v/>
      </c>
      <c r="AI56" s="67">
        <f>'Monthly Summary'!BJ56</f>
        <v/>
      </c>
      <c r="AJ56" s="68">
        <f>'Monthly Summary'!BK56</f>
        <v/>
      </c>
      <c r="AK56" s="67">
        <f>'Monthly Summary'!CD56</f>
        <v/>
      </c>
      <c r="AL56" s="67">
        <f>'Monthly Summary'!CE56</f>
        <v/>
      </c>
      <c r="AM56" s="68">
        <f>'Monthly Summary'!CF56</f>
        <v/>
      </c>
      <c r="AN56" s="69">
        <f>'Monthly Summary'!CG56</f>
        <v/>
      </c>
      <c r="AO56" s="69">
        <f>'Monthly Summary'!CH56</f>
        <v/>
      </c>
      <c r="AP56" s="70">
        <f>'Monthly Summary'!CI56</f>
        <v/>
      </c>
      <c r="AQ56" s="67">
        <f>'Monthly Summary'!CJ56</f>
        <v/>
      </c>
      <c r="AR56" s="67">
        <f>'Monthly Summary'!CK56</f>
        <v/>
      </c>
      <c r="AS56" s="68">
        <f>'Monthly Summary'!CL56</f>
        <v/>
      </c>
      <c r="AT56" s="67" t="inlineStr">
        <is>
          <t>Batch 2</t>
        </is>
      </c>
    </row>
    <row r="57" ht="14.25" customHeight="1" s="34">
      <c r="A57" s="46" t="n">
        <v>55</v>
      </c>
      <c r="B57" s="46" t="inlineStr">
        <is>
          <t>325106410055</t>
        </is>
      </c>
      <c r="C57" s="46" t="inlineStr">
        <is>
          <t>JAYANTH RAM ACHYUTH VALLABASETTI</t>
        </is>
      </c>
      <c r="D57" s="63">
        <f>'Monthly Summary'!BO57</f>
        <v/>
      </c>
      <c r="E57" s="63">
        <f>'Monthly Summary'!BP57</f>
        <v/>
      </c>
      <c r="F57" s="64">
        <f>'Monthly Summary'!BQ57</f>
        <v/>
      </c>
      <c r="G57" s="63">
        <f>'Monthly Summary'!BR57</f>
        <v/>
      </c>
      <c r="H57" s="63">
        <f>'Monthly Summary'!BS57</f>
        <v/>
      </c>
      <c r="I57" s="64">
        <f>'Monthly Summary'!BT57</f>
        <v/>
      </c>
      <c r="J57" s="63">
        <f>'Monthly Summary'!BU57</f>
        <v/>
      </c>
      <c r="K57" s="63">
        <f>'Monthly Summary'!BV57</f>
        <v/>
      </c>
      <c r="L57" s="64">
        <f>'Monthly Summary'!BW57</f>
        <v/>
      </c>
      <c r="M57" s="63">
        <f>'Monthly Summary'!BX57</f>
        <v/>
      </c>
      <c r="N57" s="67">
        <f>'Monthly Summary'!BY57</f>
        <v/>
      </c>
      <c r="O57" s="68">
        <f>'Monthly Summary'!BZ57</f>
        <v/>
      </c>
      <c r="P57" s="67">
        <f>'Monthly Summary'!CA57</f>
        <v/>
      </c>
      <c r="Q57" s="67">
        <f>'Monthly Summary'!CB57</f>
        <v/>
      </c>
      <c r="R57" s="68">
        <f>'Monthly Summary'!CC57</f>
        <v/>
      </c>
      <c r="S57" s="69">
        <f>'Subject-wise Summary'!S56</f>
        <v/>
      </c>
      <c r="T57" s="69">
        <f>'Subject-wise Summary'!T56</f>
        <v/>
      </c>
      <c r="U57" s="70">
        <f>'Subject-wise Summary'!U56</f>
        <v/>
      </c>
      <c r="V57" s="69">
        <f>'Subject-wise Summary'!V56</f>
        <v/>
      </c>
      <c r="W57" s="69">
        <f>'Subject-wise Summary'!W56</f>
        <v/>
      </c>
      <c r="X57" s="70">
        <f>'Subject-wise Summary'!X56</f>
        <v/>
      </c>
      <c r="Y57" s="69">
        <f>'Subject-wise Summary'!Y56</f>
        <v/>
      </c>
      <c r="Z57" s="69">
        <f>'Subject-wise Summary'!Z56</f>
        <v/>
      </c>
      <c r="AA57" s="70">
        <f>'Subject-wise Summary'!AA56</f>
        <v/>
      </c>
      <c r="AB57" s="67">
        <f>'Monthly Summary'!S57</f>
        <v/>
      </c>
      <c r="AC57" s="67">
        <f>'Monthly Summary'!T57</f>
        <v/>
      </c>
      <c r="AD57" s="68">
        <f>'Monthly Summary'!U57</f>
        <v/>
      </c>
      <c r="AE57" s="67">
        <f>'Monthly Summary'!AN57</f>
        <v/>
      </c>
      <c r="AF57" s="67">
        <f>'Monthly Summary'!AO57</f>
        <v/>
      </c>
      <c r="AG57" s="68">
        <f>'Monthly Summary'!AP57</f>
        <v/>
      </c>
      <c r="AH57" s="67">
        <f>'Monthly Summary'!BI57</f>
        <v/>
      </c>
      <c r="AI57" s="67">
        <f>'Monthly Summary'!BJ57</f>
        <v/>
      </c>
      <c r="AJ57" s="68">
        <f>'Monthly Summary'!BK57</f>
        <v/>
      </c>
      <c r="AK57" s="67">
        <f>'Monthly Summary'!CD57</f>
        <v/>
      </c>
      <c r="AL57" s="67">
        <f>'Monthly Summary'!CE57</f>
        <v/>
      </c>
      <c r="AM57" s="68">
        <f>'Monthly Summary'!CF57</f>
        <v/>
      </c>
      <c r="AN57" s="69">
        <f>'Monthly Summary'!CG57</f>
        <v/>
      </c>
      <c r="AO57" s="69">
        <f>'Monthly Summary'!CH57</f>
        <v/>
      </c>
      <c r="AP57" s="70">
        <f>'Monthly Summary'!CI57</f>
        <v/>
      </c>
      <c r="AQ57" s="67">
        <f>'Monthly Summary'!CJ57</f>
        <v/>
      </c>
      <c r="AR57" s="67">
        <f>'Monthly Summary'!CK57</f>
        <v/>
      </c>
      <c r="AS57" s="68">
        <f>'Monthly Summary'!CL57</f>
        <v/>
      </c>
      <c r="AT57" s="67" t="inlineStr">
        <is>
          <t>Batch 2</t>
        </is>
      </c>
    </row>
    <row r="58" ht="14.25" customHeight="1" s="34">
      <c r="A58" s="46" t="n">
        <v>56</v>
      </c>
      <c r="B58" s="46" t="inlineStr">
        <is>
          <t>325106410056</t>
        </is>
      </c>
      <c r="C58" s="46" t="inlineStr">
        <is>
          <t>RAKESH VANIMINA</t>
        </is>
      </c>
      <c r="D58" s="63">
        <f>'Monthly Summary'!BO58</f>
        <v/>
      </c>
      <c r="E58" s="63">
        <f>'Monthly Summary'!BP58</f>
        <v/>
      </c>
      <c r="F58" s="64">
        <f>'Monthly Summary'!BQ58</f>
        <v/>
      </c>
      <c r="G58" s="63">
        <f>'Monthly Summary'!BR58</f>
        <v/>
      </c>
      <c r="H58" s="63">
        <f>'Monthly Summary'!BS58</f>
        <v/>
      </c>
      <c r="I58" s="64">
        <f>'Monthly Summary'!BT58</f>
        <v/>
      </c>
      <c r="J58" s="63">
        <f>'Monthly Summary'!BU58</f>
        <v/>
      </c>
      <c r="K58" s="63">
        <f>'Monthly Summary'!BV58</f>
        <v/>
      </c>
      <c r="L58" s="64">
        <f>'Monthly Summary'!BW58</f>
        <v/>
      </c>
      <c r="M58" s="63">
        <f>'Monthly Summary'!BX58</f>
        <v/>
      </c>
      <c r="N58" s="67">
        <f>'Monthly Summary'!BY58</f>
        <v/>
      </c>
      <c r="O58" s="68">
        <f>'Monthly Summary'!BZ58</f>
        <v/>
      </c>
      <c r="P58" s="67">
        <f>'Monthly Summary'!CA58</f>
        <v/>
      </c>
      <c r="Q58" s="67">
        <f>'Monthly Summary'!CB58</f>
        <v/>
      </c>
      <c r="R58" s="68">
        <f>'Monthly Summary'!CC58</f>
        <v/>
      </c>
      <c r="S58" s="69">
        <f>'Subject-wise Summary'!S57</f>
        <v/>
      </c>
      <c r="T58" s="69">
        <f>'Subject-wise Summary'!T57</f>
        <v/>
      </c>
      <c r="U58" s="70">
        <f>'Subject-wise Summary'!U57</f>
        <v/>
      </c>
      <c r="V58" s="69">
        <f>'Subject-wise Summary'!V57</f>
        <v/>
      </c>
      <c r="W58" s="69">
        <f>'Subject-wise Summary'!W57</f>
        <v/>
      </c>
      <c r="X58" s="70">
        <f>'Subject-wise Summary'!X57</f>
        <v/>
      </c>
      <c r="Y58" s="69">
        <f>'Subject-wise Summary'!Y57</f>
        <v/>
      </c>
      <c r="Z58" s="69">
        <f>'Subject-wise Summary'!Z57</f>
        <v/>
      </c>
      <c r="AA58" s="70">
        <f>'Subject-wise Summary'!AA57</f>
        <v/>
      </c>
      <c r="AB58" s="67">
        <f>'Monthly Summary'!S58</f>
        <v/>
      </c>
      <c r="AC58" s="67">
        <f>'Monthly Summary'!T58</f>
        <v/>
      </c>
      <c r="AD58" s="68">
        <f>'Monthly Summary'!U58</f>
        <v/>
      </c>
      <c r="AE58" s="67">
        <f>'Monthly Summary'!AN58</f>
        <v/>
      </c>
      <c r="AF58" s="67">
        <f>'Monthly Summary'!AO58</f>
        <v/>
      </c>
      <c r="AG58" s="68">
        <f>'Monthly Summary'!AP58</f>
        <v/>
      </c>
      <c r="AH58" s="67">
        <f>'Monthly Summary'!BI58</f>
        <v/>
      </c>
      <c r="AI58" s="67">
        <f>'Monthly Summary'!BJ58</f>
        <v/>
      </c>
      <c r="AJ58" s="68">
        <f>'Monthly Summary'!BK58</f>
        <v/>
      </c>
      <c r="AK58" s="67">
        <f>'Monthly Summary'!CD58</f>
        <v/>
      </c>
      <c r="AL58" s="67">
        <f>'Monthly Summary'!CE58</f>
        <v/>
      </c>
      <c r="AM58" s="68">
        <f>'Monthly Summary'!CF58</f>
        <v/>
      </c>
      <c r="AN58" s="69">
        <f>'Monthly Summary'!CG58</f>
        <v/>
      </c>
      <c r="AO58" s="69">
        <f>'Monthly Summary'!CH58</f>
        <v/>
      </c>
      <c r="AP58" s="70">
        <f>'Monthly Summary'!CI58</f>
        <v/>
      </c>
      <c r="AQ58" s="67">
        <f>'Monthly Summary'!CJ58</f>
        <v/>
      </c>
      <c r="AR58" s="67">
        <f>'Monthly Summary'!CK58</f>
        <v/>
      </c>
      <c r="AS58" s="68">
        <f>'Monthly Summary'!CL58</f>
        <v/>
      </c>
      <c r="AT58" s="67" t="inlineStr">
        <is>
          <t>Batch 2</t>
        </is>
      </c>
    </row>
    <row r="59" ht="14.25" customHeight="1" s="34">
      <c r="A59" s="46" t="n">
        <v>57</v>
      </c>
      <c r="B59" s="46" t="inlineStr">
        <is>
          <t>325106410057</t>
        </is>
      </c>
      <c r="C59" s="46" t="inlineStr">
        <is>
          <t>YASWANTH MANIKANTA VATTIPROLU</t>
        </is>
      </c>
      <c r="D59" s="63">
        <f>'Monthly Summary'!BO59</f>
        <v/>
      </c>
      <c r="E59" s="63">
        <f>'Monthly Summary'!BP59</f>
        <v/>
      </c>
      <c r="F59" s="64">
        <f>'Monthly Summary'!BQ59</f>
        <v/>
      </c>
      <c r="G59" s="63">
        <f>'Monthly Summary'!BR59</f>
        <v/>
      </c>
      <c r="H59" s="63">
        <f>'Monthly Summary'!BS59</f>
        <v/>
      </c>
      <c r="I59" s="64">
        <f>'Monthly Summary'!BT59</f>
        <v/>
      </c>
      <c r="J59" s="63">
        <f>'Monthly Summary'!BU59</f>
        <v/>
      </c>
      <c r="K59" s="63">
        <f>'Monthly Summary'!BV59</f>
        <v/>
      </c>
      <c r="L59" s="64">
        <f>'Monthly Summary'!BW59</f>
        <v/>
      </c>
      <c r="M59" s="63">
        <f>'Monthly Summary'!BX59</f>
        <v/>
      </c>
      <c r="N59" s="67">
        <f>'Monthly Summary'!BY59</f>
        <v/>
      </c>
      <c r="O59" s="68">
        <f>'Monthly Summary'!BZ59</f>
        <v/>
      </c>
      <c r="P59" s="67">
        <f>'Monthly Summary'!CA59</f>
        <v/>
      </c>
      <c r="Q59" s="67">
        <f>'Monthly Summary'!CB59</f>
        <v/>
      </c>
      <c r="R59" s="68">
        <f>'Monthly Summary'!CC59</f>
        <v/>
      </c>
      <c r="S59" s="69">
        <f>'Subject-wise Summary'!S58</f>
        <v/>
      </c>
      <c r="T59" s="69">
        <f>'Subject-wise Summary'!T58</f>
        <v/>
      </c>
      <c r="U59" s="70">
        <f>'Subject-wise Summary'!U58</f>
        <v/>
      </c>
      <c r="V59" s="69">
        <f>'Subject-wise Summary'!V58</f>
        <v/>
      </c>
      <c r="W59" s="69">
        <f>'Subject-wise Summary'!W58</f>
        <v/>
      </c>
      <c r="X59" s="70">
        <f>'Subject-wise Summary'!X58</f>
        <v/>
      </c>
      <c r="Y59" s="69">
        <f>'Subject-wise Summary'!Y58</f>
        <v/>
      </c>
      <c r="Z59" s="69">
        <f>'Subject-wise Summary'!Z58</f>
        <v/>
      </c>
      <c r="AA59" s="70">
        <f>'Subject-wise Summary'!AA58</f>
        <v/>
      </c>
      <c r="AB59" s="67">
        <f>'Monthly Summary'!S59</f>
        <v/>
      </c>
      <c r="AC59" s="67">
        <f>'Monthly Summary'!T59</f>
        <v/>
      </c>
      <c r="AD59" s="68">
        <f>'Monthly Summary'!U59</f>
        <v/>
      </c>
      <c r="AE59" s="67">
        <f>'Monthly Summary'!AN59</f>
        <v/>
      </c>
      <c r="AF59" s="67">
        <f>'Monthly Summary'!AO59</f>
        <v/>
      </c>
      <c r="AG59" s="68">
        <f>'Monthly Summary'!AP59</f>
        <v/>
      </c>
      <c r="AH59" s="67">
        <f>'Monthly Summary'!BI59</f>
        <v/>
      </c>
      <c r="AI59" s="67">
        <f>'Monthly Summary'!BJ59</f>
        <v/>
      </c>
      <c r="AJ59" s="68">
        <f>'Monthly Summary'!BK59</f>
        <v/>
      </c>
      <c r="AK59" s="67">
        <f>'Monthly Summary'!CD59</f>
        <v/>
      </c>
      <c r="AL59" s="67">
        <f>'Monthly Summary'!CE59</f>
        <v/>
      </c>
      <c r="AM59" s="68">
        <f>'Monthly Summary'!CF59</f>
        <v/>
      </c>
      <c r="AN59" s="69">
        <f>'Monthly Summary'!CG59</f>
        <v/>
      </c>
      <c r="AO59" s="69">
        <f>'Monthly Summary'!CH59</f>
        <v/>
      </c>
      <c r="AP59" s="70">
        <f>'Monthly Summary'!CI59</f>
        <v/>
      </c>
      <c r="AQ59" s="67">
        <f>'Monthly Summary'!CJ59</f>
        <v/>
      </c>
      <c r="AR59" s="67">
        <f>'Monthly Summary'!CK59</f>
        <v/>
      </c>
      <c r="AS59" s="68">
        <f>'Monthly Summary'!CL59</f>
        <v/>
      </c>
      <c r="AT59" s="67" t="inlineStr">
        <is>
          <t>Batch 2</t>
        </is>
      </c>
    </row>
    <row r="60" ht="14.25" customHeight="1" s="34">
      <c r="A60" s="46" t="n">
        <v>58</v>
      </c>
      <c r="B60" s="46" t="inlineStr">
        <is>
          <t>325106410058</t>
        </is>
      </c>
      <c r="C60" s="46" t="inlineStr">
        <is>
          <t>VEDA VARSHIT GOKAVARAPU</t>
        </is>
      </c>
      <c r="D60" s="63">
        <f>'Monthly Summary'!BO60</f>
        <v/>
      </c>
      <c r="E60" s="63">
        <f>'Monthly Summary'!BP60</f>
        <v/>
      </c>
      <c r="F60" s="64">
        <f>'Monthly Summary'!BQ60</f>
        <v/>
      </c>
      <c r="G60" s="63">
        <f>'Monthly Summary'!BR60</f>
        <v/>
      </c>
      <c r="H60" s="63">
        <f>'Monthly Summary'!BS60</f>
        <v/>
      </c>
      <c r="I60" s="64">
        <f>'Monthly Summary'!BT60</f>
        <v/>
      </c>
      <c r="J60" s="63">
        <f>'Monthly Summary'!BU60</f>
        <v/>
      </c>
      <c r="K60" s="63">
        <f>'Monthly Summary'!BV60</f>
        <v/>
      </c>
      <c r="L60" s="64">
        <f>'Monthly Summary'!BW60</f>
        <v/>
      </c>
      <c r="M60" s="63">
        <f>'Monthly Summary'!BX60</f>
        <v/>
      </c>
      <c r="N60" s="67">
        <f>'Monthly Summary'!BY60</f>
        <v/>
      </c>
      <c r="O60" s="68">
        <f>'Monthly Summary'!BZ60</f>
        <v/>
      </c>
      <c r="P60" s="67">
        <f>'Monthly Summary'!CA60</f>
        <v/>
      </c>
      <c r="Q60" s="67">
        <f>'Monthly Summary'!CB60</f>
        <v/>
      </c>
      <c r="R60" s="68">
        <f>'Monthly Summary'!CC60</f>
        <v/>
      </c>
      <c r="S60" s="69">
        <f>'Subject-wise Summary'!S59</f>
        <v/>
      </c>
      <c r="T60" s="69">
        <f>'Subject-wise Summary'!T59</f>
        <v/>
      </c>
      <c r="U60" s="70">
        <f>'Subject-wise Summary'!U59</f>
        <v/>
      </c>
      <c r="V60" s="69">
        <f>'Subject-wise Summary'!V59</f>
        <v/>
      </c>
      <c r="W60" s="69">
        <f>'Subject-wise Summary'!W59</f>
        <v/>
      </c>
      <c r="X60" s="70">
        <f>'Subject-wise Summary'!X59</f>
        <v/>
      </c>
      <c r="Y60" s="69">
        <f>'Subject-wise Summary'!Y59</f>
        <v/>
      </c>
      <c r="Z60" s="69">
        <f>'Subject-wise Summary'!Z59</f>
        <v/>
      </c>
      <c r="AA60" s="70">
        <f>'Subject-wise Summary'!AA59</f>
        <v/>
      </c>
      <c r="AB60" s="67">
        <f>'Monthly Summary'!S60</f>
        <v/>
      </c>
      <c r="AC60" s="67">
        <f>'Monthly Summary'!T60</f>
        <v/>
      </c>
      <c r="AD60" s="68">
        <f>'Monthly Summary'!U60</f>
        <v/>
      </c>
      <c r="AE60" s="67">
        <f>'Monthly Summary'!AN60</f>
        <v/>
      </c>
      <c r="AF60" s="67">
        <f>'Monthly Summary'!AO60</f>
        <v/>
      </c>
      <c r="AG60" s="68">
        <f>'Monthly Summary'!AP60</f>
        <v/>
      </c>
      <c r="AH60" s="67">
        <f>'Monthly Summary'!BI60</f>
        <v/>
      </c>
      <c r="AI60" s="67">
        <f>'Monthly Summary'!BJ60</f>
        <v/>
      </c>
      <c r="AJ60" s="68">
        <f>'Monthly Summary'!BK60</f>
        <v/>
      </c>
      <c r="AK60" s="67">
        <f>'Monthly Summary'!CD60</f>
        <v/>
      </c>
      <c r="AL60" s="67">
        <f>'Monthly Summary'!CE60</f>
        <v/>
      </c>
      <c r="AM60" s="68">
        <f>'Monthly Summary'!CF60</f>
        <v/>
      </c>
      <c r="AN60" s="69">
        <f>'Monthly Summary'!CG60</f>
        <v/>
      </c>
      <c r="AO60" s="69">
        <f>'Monthly Summary'!CH60</f>
        <v/>
      </c>
      <c r="AP60" s="70">
        <f>'Monthly Summary'!CI60</f>
        <v/>
      </c>
      <c r="AQ60" s="67">
        <f>'Monthly Summary'!CJ60</f>
        <v/>
      </c>
      <c r="AR60" s="67">
        <f>'Monthly Summary'!CK60</f>
        <v/>
      </c>
      <c r="AS60" s="68">
        <f>'Monthly Summary'!CL60</f>
        <v/>
      </c>
      <c r="AT60" s="67" t="inlineStr">
        <is>
          <t>Batch 2</t>
        </is>
      </c>
    </row>
    <row r="61" ht="14.25" customHeight="1" s="34">
      <c r="A61" s="46" t="n">
        <v>59</v>
      </c>
      <c r="B61" s="46" t="inlineStr">
        <is>
          <t>325106410059</t>
        </is>
      </c>
      <c r="C61" s="46" t="inlineStr">
        <is>
          <t>SAI KEERTHANA VEMURI</t>
        </is>
      </c>
      <c r="D61" s="63">
        <f>'Monthly Summary'!BO61</f>
        <v/>
      </c>
      <c r="E61" s="63">
        <f>'Monthly Summary'!BP61</f>
        <v/>
      </c>
      <c r="F61" s="64">
        <f>'Monthly Summary'!BQ61</f>
        <v/>
      </c>
      <c r="G61" s="63">
        <f>'Monthly Summary'!BR61</f>
        <v/>
      </c>
      <c r="H61" s="63">
        <f>'Monthly Summary'!BS61</f>
        <v/>
      </c>
      <c r="I61" s="64">
        <f>'Monthly Summary'!BT61</f>
        <v/>
      </c>
      <c r="J61" s="63">
        <f>'Monthly Summary'!BU61</f>
        <v/>
      </c>
      <c r="K61" s="63">
        <f>'Monthly Summary'!BV61</f>
        <v/>
      </c>
      <c r="L61" s="64">
        <f>'Monthly Summary'!BW61</f>
        <v/>
      </c>
      <c r="M61" s="63">
        <f>'Monthly Summary'!BX61</f>
        <v/>
      </c>
      <c r="N61" s="67">
        <f>'Monthly Summary'!BY61</f>
        <v/>
      </c>
      <c r="O61" s="68">
        <f>'Monthly Summary'!BZ61</f>
        <v/>
      </c>
      <c r="P61" s="67">
        <f>'Monthly Summary'!CA61</f>
        <v/>
      </c>
      <c r="Q61" s="67">
        <f>'Monthly Summary'!CB61</f>
        <v/>
      </c>
      <c r="R61" s="68">
        <f>'Monthly Summary'!CC61</f>
        <v/>
      </c>
      <c r="S61" s="69">
        <f>'Subject-wise Summary'!S60</f>
        <v/>
      </c>
      <c r="T61" s="69">
        <f>'Subject-wise Summary'!T60</f>
        <v/>
      </c>
      <c r="U61" s="70">
        <f>'Subject-wise Summary'!U60</f>
        <v/>
      </c>
      <c r="V61" s="69">
        <f>'Subject-wise Summary'!V60</f>
        <v/>
      </c>
      <c r="W61" s="69">
        <f>'Subject-wise Summary'!W60</f>
        <v/>
      </c>
      <c r="X61" s="70">
        <f>'Subject-wise Summary'!X60</f>
        <v/>
      </c>
      <c r="Y61" s="69">
        <f>'Subject-wise Summary'!Y60</f>
        <v/>
      </c>
      <c r="Z61" s="69">
        <f>'Subject-wise Summary'!Z60</f>
        <v/>
      </c>
      <c r="AA61" s="70">
        <f>'Subject-wise Summary'!AA60</f>
        <v/>
      </c>
      <c r="AB61" s="67">
        <f>'Monthly Summary'!S61</f>
        <v/>
      </c>
      <c r="AC61" s="67">
        <f>'Monthly Summary'!T61</f>
        <v/>
      </c>
      <c r="AD61" s="68">
        <f>'Monthly Summary'!U61</f>
        <v/>
      </c>
      <c r="AE61" s="67">
        <f>'Monthly Summary'!AN61</f>
        <v/>
      </c>
      <c r="AF61" s="67">
        <f>'Monthly Summary'!AO61</f>
        <v/>
      </c>
      <c r="AG61" s="68">
        <f>'Monthly Summary'!AP61</f>
        <v/>
      </c>
      <c r="AH61" s="67">
        <f>'Monthly Summary'!BI61</f>
        <v/>
      </c>
      <c r="AI61" s="67">
        <f>'Monthly Summary'!BJ61</f>
        <v/>
      </c>
      <c r="AJ61" s="68">
        <f>'Monthly Summary'!BK61</f>
        <v/>
      </c>
      <c r="AK61" s="67">
        <f>'Monthly Summary'!CD61</f>
        <v/>
      </c>
      <c r="AL61" s="67">
        <f>'Monthly Summary'!CE61</f>
        <v/>
      </c>
      <c r="AM61" s="68">
        <f>'Monthly Summary'!CF61</f>
        <v/>
      </c>
      <c r="AN61" s="69">
        <f>'Monthly Summary'!CG61</f>
        <v/>
      </c>
      <c r="AO61" s="69">
        <f>'Monthly Summary'!CH61</f>
        <v/>
      </c>
      <c r="AP61" s="70">
        <f>'Monthly Summary'!CI61</f>
        <v/>
      </c>
      <c r="AQ61" s="67">
        <f>'Monthly Summary'!CJ61</f>
        <v/>
      </c>
      <c r="AR61" s="67">
        <f>'Monthly Summary'!CK61</f>
        <v/>
      </c>
      <c r="AS61" s="68">
        <f>'Monthly Summary'!CL61</f>
        <v/>
      </c>
      <c r="AT61" s="67" t="inlineStr">
        <is>
          <t>Batch 2</t>
        </is>
      </c>
    </row>
    <row r="62" ht="14.25" customHeight="1" s="34">
      <c r="A62" s="46" t="n">
        <v>60</v>
      </c>
      <c r="B62" s="46" t="inlineStr">
        <is>
          <t>325106410060</t>
        </is>
      </c>
      <c r="C62" s="46" t="inlineStr">
        <is>
          <t>MANJULA VENGALA</t>
        </is>
      </c>
      <c r="D62" s="63">
        <f>'Monthly Summary'!BO62</f>
        <v/>
      </c>
      <c r="E62" s="63">
        <f>'Monthly Summary'!BP62</f>
        <v/>
      </c>
      <c r="F62" s="64">
        <f>'Monthly Summary'!BQ62</f>
        <v/>
      </c>
      <c r="G62" s="63">
        <f>'Monthly Summary'!BR62</f>
        <v/>
      </c>
      <c r="H62" s="63">
        <f>'Monthly Summary'!BS62</f>
        <v/>
      </c>
      <c r="I62" s="64">
        <f>'Monthly Summary'!BT62</f>
        <v/>
      </c>
      <c r="J62" s="63">
        <f>'Monthly Summary'!BU62</f>
        <v/>
      </c>
      <c r="K62" s="63">
        <f>'Monthly Summary'!BV62</f>
        <v/>
      </c>
      <c r="L62" s="64">
        <f>'Monthly Summary'!BW62</f>
        <v/>
      </c>
      <c r="M62" s="63">
        <f>'Monthly Summary'!BX62</f>
        <v/>
      </c>
      <c r="N62" s="67">
        <f>'Monthly Summary'!BY62</f>
        <v/>
      </c>
      <c r="O62" s="68">
        <f>'Monthly Summary'!BZ62</f>
        <v/>
      </c>
      <c r="P62" s="67">
        <f>'Monthly Summary'!CA62</f>
        <v/>
      </c>
      <c r="Q62" s="67">
        <f>'Monthly Summary'!CB62</f>
        <v/>
      </c>
      <c r="R62" s="68">
        <f>'Monthly Summary'!CC62</f>
        <v/>
      </c>
      <c r="S62" s="69">
        <f>'Subject-wise Summary'!S61</f>
        <v/>
      </c>
      <c r="T62" s="69">
        <f>'Subject-wise Summary'!T61</f>
        <v/>
      </c>
      <c r="U62" s="70">
        <f>'Subject-wise Summary'!U61</f>
        <v/>
      </c>
      <c r="V62" s="69">
        <f>'Subject-wise Summary'!V61</f>
        <v/>
      </c>
      <c r="W62" s="69">
        <f>'Subject-wise Summary'!W61</f>
        <v/>
      </c>
      <c r="X62" s="70">
        <f>'Subject-wise Summary'!X61</f>
        <v/>
      </c>
      <c r="Y62" s="69">
        <f>'Subject-wise Summary'!Y61</f>
        <v/>
      </c>
      <c r="Z62" s="69">
        <f>'Subject-wise Summary'!Z61</f>
        <v/>
      </c>
      <c r="AA62" s="70">
        <f>'Subject-wise Summary'!AA61</f>
        <v/>
      </c>
      <c r="AB62" s="67">
        <f>'Monthly Summary'!S62</f>
        <v/>
      </c>
      <c r="AC62" s="67">
        <f>'Monthly Summary'!T62</f>
        <v/>
      </c>
      <c r="AD62" s="68">
        <f>'Monthly Summary'!U62</f>
        <v/>
      </c>
      <c r="AE62" s="67">
        <f>'Monthly Summary'!AN62</f>
        <v/>
      </c>
      <c r="AF62" s="67">
        <f>'Monthly Summary'!AO62</f>
        <v/>
      </c>
      <c r="AG62" s="68">
        <f>'Monthly Summary'!AP62</f>
        <v/>
      </c>
      <c r="AH62" s="67">
        <f>'Monthly Summary'!BI62</f>
        <v/>
      </c>
      <c r="AI62" s="67">
        <f>'Monthly Summary'!BJ62</f>
        <v/>
      </c>
      <c r="AJ62" s="68">
        <f>'Monthly Summary'!BK62</f>
        <v/>
      </c>
      <c r="AK62" s="67">
        <f>'Monthly Summary'!CD62</f>
        <v/>
      </c>
      <c r="AL62" s="67">
        <f>'Monthly Summary'!CE62</f>
        <v/>
      </c>
      <c r="AM62" s="68">
        <f>'Monthly Summary'!CF62</f>
        <v/>
      </c>
      <c r="AN62" s="69">
        <f>'Monthly Summary'!CG62</f>
        <v/>
      </c>
      <c r="AO62" s="69">
        <f>'Monthly Summary'!CH62</f>
        <v/>
      </c>
      <c r="AP62" s="70">
        <f>'Monthly Summary'!CI62</f>
        <v/>
      </c>
      <c r="AQ62" s="67">
        <f>'Monthly Summary'!CJ62</f>
        <v/>
      </c>
      <c r="AR62" s="67">
        <f>'Monthly Summary'!CK62</f>
        <v/>
      </c>
      <c r="AS62" s="68">
        <f>'Monthly Summary'!CL62</f>
        <v/>
      </c>
      <c r="AT62" s="67" t="inlineStr">
        <is>
          <t>Batch 2</t>
        </is>
      </c>
    </row>
    <row r="63" ht="14.25" customHeight="1" s="34">
      <c r="A63" s="46" t="n">
        <v>61</v>
      </c>
      <c r="B63" s="46" t="inlineStr">
        <is>
          <t>325106410061</t>
        </is>
      </c>
      <c r="C63" s="46" t="inlineStr">
        <is>
          <t>GOKUL SAI YANNAMANENI</t>
        </is>
      </c>
      <c r="D63" s="63">
        <f>'Monthly Summary'!BO63</f>
        <v/>
      </c>
      <c r="E63" s="63">
        <f>'Monthly Summary'!BP63</f>
        <v/>
      </c>
      <c r="F63" s="64">
        <f>'Monthly Summary'!BQ63</f>
        <v/>
      </c>
      <c r="G63" s="63">
        <f>'Monthly Summary'!BR63</f>
        <v/>
      </c>
      <c r="H63" s="63">
        <f>'Monthly Summary'!BS63</f>
        <v/>
      </c>
      <c r="I63" s="64">
        <f>'Monthly Summary'!BT63</f>
        <v/>
      </c>
      <c r="J63" s="63">
        <f>'Monthly Summary'!BU63</f>
        <v/>
      </c>
      <c r="K63" s="63">
        <f>'Monthly Summary'!BV63</f>
        <v/>
      </c>
      <c r="L63" s="64">
        <f>'Monthly Summary'!BW63</f>
        <v/>
      </c>
      <c r="M63" s="63">
        <f>'Monthly Summary'!BX63</f>
        <v/>
      </c>
      <c r="N63" s="67">
        <f>'Monthly Summary'!BY63</f>
        <v/>
      </c>
      <c r="O63" s="68">
        <f>'Monthly Summary'!BZ63</f>
        <v/>
      </c>
      <c r="P63" s="67">
        <f>'Monthly Summary'!CA63</f>
        <v/>
      </c>
      <c r="Q63" s="67">
        <f>'Monthly Summary'!CB63</f>
        <v/>
      </c>
      <c r="R63" s="68">
        <f>'Monthly Summary'!CC63</f>
        <v/>
      </c>
      <c r="S63" s="69">
        <f>'Subject-wise Summary'!S62</f>
        <v/>
      </c>
      <c r="T63" s="69">
        <f>'Subject-wise Summary'!T62</f>
        <v/>
      </c>
      <c r="U63" s="70">
        <f>'Subject-wise Summary'!U62</f>
        <v/>
      </c>
      <c r="V63" s="69">
        <f>'Subject-wise Summary'!V62</f>
        <v/>
      </c>
      <c r="W63" s="69">
        <f>'Subject-wise Summary'!W62</f>
        <v/>
      </c>
      <c r="X63" s="70">
        <f>'Subject-wise Summary'!X62</f>
        <v/>
      </c>
      <c r="Y63" s="69">
        <f>'Subject-wise Summary'!Y62</f>
        <v/>
      </c>
      <c r="Z63" s="69">
        <f>'Subject-wise Summary'!Z62</f>
        <v/>
      </c>
      <c r="AA63" s="70">
        <f>'Subject-wise Summary'!AA62</f>
        <v/>
      </c>
      <c r="AB63" s="67">
        <f>'Monthly Summary'!S63</f>
        <v/>
      </c>
      <c r="AC63" s="67">
        <f>'Monthly Summary'!T63</f>
        <v/>
      </c>
      <c r="AD63" s="68">
        <f>'Monthly Summary'!U63</f>
        <v/>
      </c>
      <c r="AE63" s="67">
        <f>'Monthly Summary'!AN63</f>
        <v/>
      </c>
      <c r="AF63" s="67">
        <f>'Monthly Summary'!AO63</f>
        <v/>
      </c>
      <c r="AG63" s="68">
        <f>'Monthly Summary'!AP63</f>
        <v/>
      </c>
      <c r="AH63" s="67">
        <f>'Monthly Summary'!BI63</f>
        <v/>
      </c>
      <c r="AI63" s="67">
        <f>'Monthly Summary'!BJ63</f>
        <v/>
      </c>
      <c r="AJ63" s="68">
        <f>'Monthly Summary'!BK63</f>
        <v/>
      </c>
      <c r="AK63" s="67">
        <f>'Monthly Summary'!CD63</f>
        <v/>
      </c>
      <c r="AL63" s="67">
        <f>'Monthly Summary'!CE63</f>
        <v/>
      </c>
      <c r="AM63" s="68">
        <f>'Monthly Summary'!CF63</f>
        <v/>
      </c>
      <c r="AN63" s="69">
        <f>'Monthly Summary'!CG63</f>
        <v/>
      </c>
      <c r="AO63" s="69">
        <f>'Monthly Summary'!CH63</f>
        <v/>
      </c>
      <c r="AP63" s="70">
        <f>'Monthly Summary'!CI63</f>
        <v/>
      </c>
      <c r="AQ63" s="67">
        <f>'Monthly Summary'!CJ63</f>
        <v/>
      </c>
      <c r="AR63" s="67">
        <f>'Monthly Summary'!CK63</f>
        <v/>
      </c>
      <c r="AS63" s="68">
        <f>'Monthly Summary'!CL63</f>
        <v/>
      </c>
      <c r="AT63" s="67" t="inlineStr">
        <is>
          <t>Batch 2</t>
        </is>
      </c>
    </row>
    <row r="64" ht="14.25" customHeight="1" s="34">
      <c r="A64" s="46" t="n">
        <v>62</v>
      </c>
      <c r="B64" s="46" t="inlineStr">
        <is>
          <t>325106410062</t>
        </is>
      </c>
      <c r="C64" s="46" t="inlineStr">
        <is>
          <t>SRI AKSHITH YELLAI</t>
        </is>
      </c>
      <c r="D64" s="63">
        <f>'Monthly Summary'!BO64</f>
        <v/>
      </c>
      <c r="E64" s="63">
        <f>'Monthly Summary'!BP64</f>
        <v/>
      </c>
      <c r="F64" s="64">
        <f>'Monthly Summary'!BQ64</f>
        <v/>
      </c>
      <c r="G64" s="63">
        <f>'Monthly Summary'!BR64</f>
        <v/>
      </c>
      <c r="H64" s="63">
        <f>'Monthly Summary'!BS64</f>
        <v/>
      </c>
      <c r="I64" s="64">
        <f>'Monthly Summary'!BT64</f>
        <v/>
      </c>
      <c r="J64" s="63">
        <f>'Monthly Summary'!BU64</f>
        <v/>
      </c>
      <c r="K64" s="63">
        <f>'Monthly Summary'!BV64</f>
        <v/>
      </c>
      <c r="L64" s="64">
        <f>'Monthly Summary'!BW64</f>
        <v/>
      </c>
      <c r="M64" s="63">
        <f>'Monthly Summary'!BX64</f>
        <v/>
      </c>
      <c r="N64" s="67">
        <f>'Monthly Summary'!BY64</f>
        <v/>
      </c>
      <c r="O64" s="68">
        <f>'Monthly Summary'!BZ64</f>
        <v/>
      </c>
      <c r="P64" s="67">
        <f>'Monthly Summary'!CA64</f>
        <v/>
      </c>
      <c r="Q64" s="67">
        <f>'Monthly Summary'!CB64</f>
        <v/>
      </c>
      <c r="R64" s="68">
        <f>'Monthly Summary'!CC64</f>
        <v/>
      </c>
      <c r="S64" s="69">
        <f>'Subject-wise Summary'!S63</f>
        <v/>
      </c>
      <c r="T64" s="69">
        <f>'Subject-wise Summary'!T63</f>
        <v/>
      </c>
      <c r="U64" s="70">
        <f>'Subject-wise Summary'!U63</f>
        <v/>
      </c>
      <c r="V64" s="69">
        <f>'Subject-wise Summary'!V63</f>
        <v/>
      </c>
      <c r="W64" s="69">
        <f>'Subject-wise Summary'!W63</f>
        <v/>
      </c>
      <c r="X64" s="70">
        <f>'Subject-wise Summary'!X63</f>
        <v/>
      </c>
      <c r="Y64" s="69">
        <f>'Subject-wise Summary'!Y63</f>
        <v/>
      </c>
      <c r="Z64" s="69">
        <f>'Subject-wise Summary'!Z63</f>
        <v/>
      </c>
      <c r="AA64" s="70">
        <f>'Subject-wise Summary'!AA63</f>
        <v/>
      </c>
      <c r="AB64" s="67">
        <f>'Monthly Summary'!S64</f>
        <v/>
      </c>
      <c r="AC64" s="67">
        <f>'Monthly Summary'!T64</f>
        <v/>
      </c>
      <c r="AD64" s="68">
        <f>'Monthly Summary'!U64</f>
        <v/>
      </c>
      <c r="AE64" s="67">
        <f>'Monthly Summary'!AN64</f>
        <v/>
      </c>
      <c r="AF64" s="67">
        <f>'Monthly Summary'!AO64</f>
        <v/>
      </c>
      <c r="AG64" s="68">
        <f>'Monthly Summary'!AP64</f>
        <v/>
      </c>
      <c r="AH64" s="67">
        <f>'Monthly Summary'!BI64</f>
        <v/>
      </c>
      <c r="AI64" s="67">
        <f>'Monthly Summary'!BJ64</f>
        <v/>
      </c>
      <c r="AJ64" s="68">
        <f>'Monthly Summary'!BK64</f>
        <v/>
      </c>
      <c r="AK64" s="67">
        <f>'Monthly Summary'!CD64</f>
        <v/>
      </c>
      <c r="AL64" s="67">
        <f>'Monthly Summary'!CE64</f>
        <v/>
      </c>
      <c r="AM64" s="68">
        <f>'Monthly Summary'!CF64</f>
        <v/>
      </c>
      <c r="AN64" s="69">
        <f>'Monthly Summary'!CG64</f>
        <v/>
      </c>
      <c r="AO64" s="69">
        <f>'Monthly Summary'!CH64</f>
        <v/>
      </c>
      <c r="AP64" s="70">
        <f>'Monthly Summary'!CI64</f>
        <v/>
      </c>
      <c r="AQ64" s="67">
        <f>'Monthly Summary'!CJ64</f>
        <v/>
      </c>
      <c r="AR64" s="67">
        <f>'Monthly Summary'!CK64</f>
        <v/>
      </c>
      <c r="AS64" s="68">
        <f>'Monthly Summary'!CL64</f>
        <v/>
      </c>
      <c r="AT64" s="67" t="inlineStr">
        <is>
          <t>Batch 2</t>
        </is>
      </c>
    </row>
    <row r="65" ht="14.25" customHeight="1" s="34">
      <c r="A65" s="46" t="n">
        <v>63</v>
      </c>
      <c r="B65" s="46" t="inlineStr">
        <is>
          <t>325106410063</t>
        </is>
      </c>
      <c r="C65" s="46" t="inlineStr">
        <is>
          <t>VARSHA</t>
        </is>
      </c>
      <c r="D65" s="63">
        <f>'Monthly Summary'!BO65</f>
        <v/>
      </c>
      <c r="E65" s="63">
        <f>'Monthly Summary'!BP65</f>
        <v/>
      </c>
      <c r="F65" s="64">
        <f>'Monthly Summary'!BQ65</f>
        <v/>
      </c>
      <c r="G65" s="63">
        <f>'Monthly Summary'!BR65</f>
        <v/>
      </c>
      <c r="H65" s="63">
        <f>'Monthly Summary'!BS65</f>
        <v/>
      </c>
      <c r="I65" s="64">
        <f>'Monthly Summary'!BT65</f>
        <v/>
      </c>
      <c r="J65" s="63">
        <f>'Monthly Summary'!BU65</f>
        <v/>
      </c>
      <c r="K65" s="63">
        <f>'Monthly Summary'!BV65</f>
        <v/>
      </c>
      <c r="L65" s="64">
        <f>'Monthly Summary'!BW65</f>
        <v/>
      </c>
      <c r="M65" s="63">
        <f>'Monthly Summary'!BX65</f>
        <v/>
      </c>
      <c r="N65" s="67">
        <f>'Monthly Summary'!BY65</f>
        <v/>
      </c>
      <c r="O65" s="68">
        <f>'Monthly Summary'!BZ65</f>
        <v/>
      </c>
      <c r="P65" s="67">
        <f>'Monthly Summary'!CA65</f>
        <v/>
      </c>
      <c r="Q65" s="67">
        <f>'Monthly Summary'!CB65</f>
        <v/>
      </c>
      <c r="R65" s="68">
        <f>'Monthly Summary'!CC65</f>
        <v/>
      </c>
      <c r="S65" s="69">
        <f>'Subject-wise Summary'!S64</f>
        <v/>
      </c>
      <c r="T65" s="69">
        <f>'Subject-wise Summary'!T64</f>
        <v/>
      </c>
      <c r="U65" s="70">
        <f>'Subject-wise Summary'!U64</f>
        <v/>
      </c>
      <c r="V65" s="69">
        <f>'Subject-wise Summary'!V64</f>
        <v/>
      </c>
      <c r="W65" s="69">
        <f>'Subject-wise Summary'!W64</f>
        <v/>
      </c>
      <c r="X65" s="70">
        <f>'Subject-wise Summary'!X64</f>
        <v/>
      </c>
      <c r="Y65" s="69">
        <f>'Subject-wise Summary'!Y64</f>
        <v/>
      </c>
      <c r="Z65" s="69">
        <f>'Subject-wise Summary'!Z64</f>
        <v/>
      </c>
      <c r="AA65" s="70">
        <f>'Subject-wise Summary'!AA64</f>
        <v/>
      </c>
      <c r="AB65" s="67">
        <f>'Monthly Summary'!S65</f>
        <v/>
      </c>
      <c r="AC65" s="67">
        <f>'Monthly Summary'!T65</f>
        <v/>
      </c>
      <c r="AD65" s="68">
        <f>'Monthly Summary'!U65</f>
        <v/>
      </c>
      <c r="AE65" s="67">
        <f>'Monthly Summary'!AN65</f>
        <v/>
      </c>
      <c r="AF65" s="67">
        <f>'Monthly Summary'!AO65</f>
        <v/>
      </c>
      <c r="AG65" s="68">
        <f>'Monthly Summary'!AP65</f>
        <v/>
      </c>
      <c r="AH65" s="67">
        <f>'Monthly Summary'!BI65</f>
        <v/>
      </c>
      <c r="AI65" s="67">
        <f>'Monthly Summary'!BJ65</f>
        <v/>
      </c>
      <c r="AJ65" s="68">
        <f>'Monthly Summary'!BK65</f>
        <v/>
      </c>
      <c r="AK65" s="67">
        <f>'Monthly Summary'!CD65</f>
        <v/>
      </c>
      <c r="AL65" s="67">
        <f>'Monthly Summary'!CE65</f>
        <v/>
      </c>
      <c r="AM65" s="68">
        <f>'Monthly Summary'!CF65</f>
        <v/>
      </c>
      <c r="AN65" s="69">
        <f>'Monthly Summary'!CG65</f>
        <v/>
      </c>
      <c r="AO65" s="69">
        <f>'Monthly Summary'!CH65</f>
        <v/>
      </c>
      <c r="AP65" s="70">
        <f>'Monthly Summary'!CI65</f>
        <v/>
      </c>
      <c r="AQ65" s="67">
        <f>'Monthly Summary'!CJ65</f>
        <v/>
      </c>
      <c r="AR65" s="67">
        <f>'Monthly Summary'!CK65</f>
        <v/>
      </c>
      <c r="AS65" s="68">
        <f>'Monthly Summary'!CL65</f>
        <v/>
      </c>
      <c r="AT65" s="67" t="inlineStr">
        <is>
          <t>Batch 2</t>
        </is>
      </c>
    </row>
    <row r="66" ht="14.25" customHeight="1" s="34">
      <c r="A66" s="46" t="n">
        <v>64</v>
      </c>
      <c r="B66" s="46" t="inlineStr">
        <is>
          <t>325106410064</t>
        </is>
      </c>
      <c r="C66" s="46" t="inlineStr">
        <is>
          <t>KARTHIKEYA KOLANUKUDURU</t>
        </is>
      </c>
      <c r="D66" s="63">
        <f>'Monthly Summary'!BO66</f>
        <v/>
      </c>
      <c r="E66" s="63">
        <f>'Monthly Summary'!BP66</f>
        <v/>
      </c>
      <c r="F66" s="64">
        <f>'Monthly Summary'!BQ66</f>
        <v/>
      </c>
      <c r="G66" s="63">
        <f>'Monthly Summary'!BR66</f>
        <v/>
      </c>
      <c r="H66" s="63">
        <f>'Monthly Summary'!BS66</f>
        <v/>
      </c>
      <c r="I66" s="64">
        <f>'Monthly Summary'!BT66</f>
        <v/>
      </c>
      <c r="J66" s="63">
        <f>'Monthly Summary'!BU66</f>
        <v/>
      </c>
      <c r="K66" s="63">
        <f>'Monthly Summary'!BV66</f>
        <v/>
      </c>
      <c r="L66" s="64">
        <f>'Monthly Summary'!BW66</f>
        <v/>
      </c>
      <c r="M66" s="63">
        <f>'Monthly Summary'!BX66</f>
        <v/>
      </c>
      <c r="N66" s="67">
        <f>'Monthly Summary'!BY66</f>
        <v/>
      </c>
      <c r="O66" s="68">
        <f>'Monthly Summary'!BZ66</f>
        <v/>
      </c>
      <c r="P66" s="67">
        <f>'Monthly Summary'!CA66</f>
        <v/>
      </c>
      <c r="Q66" s="67">
        <f>'Monthly Summary'!CB66</f>
        <v/>
      </c>
      <c r="R66" s="68">
        <f>'Monthly Summary'!CC66</f>
        <v/>
      </c>
      <c r="S66" s="69">
        <f>'Subject-wise Summary'!S65</f>
        <v/>
      </c>
      <c r="T66" s="69">
        <f>'Subject-wise Summary'!T65</f>
        <v/>
      </c>
      <c r="U66" s="70">
        <f>'Subject-wise Summary'!U65</f>
        <v/>
      </c>
      <c r="V66" s="69">
        <f>'Subject-wise Summary'!V65</f>
        <v/>
      </c>
      <c r="W66" s="69">
        <f>'Subject-wise Summary'!W65</f>
        <v/>
      </c>
      <c r="X66" s="70">
        <f>'Subject-wise Summary'!X65</f>
        <v/>
      </c>
      <c r="Y66" s="69">
        <f>'Subject-wise Summary'!Y65</f>
        <v/>
      </c>
      <c r="Z66" s="69">
        <f>'Subject-wise Summary'!Z65</f>
        <v/>
      </c>
      <c r="AA66" s="70">
        <f>'Subject-wise Summary'!AA65</f>
        <v/>
      </c>
      <c r="AB66" s="67">
        <f>'Monthly Summary'!S66</f>
        <v/>
      </c>
      <c r="AC66" s="67">
        <f>'Monthly Summary'!T66</f>
        <v/>
      </c>
      <c r="AD66" s="68">
        <f>'Monthly Summary'!U66</f>
        <v/>
      </c>
      <c r="AE66" s="67">
        <f>'Monthly Summary'!AN66</f>
        <v/>
      </c>
      <c r="AF66" s="67">
        <f>'Monthly Summary'!AO66</f>
        <v/>
      </c>
      <c r="AG66" s="68">
        <f>'Monthly Summary'!AP66</f>
        <v/>
      </c>
      <c r="AH66" s="67">
        <f>'Monthly Summary'!BI66</f>
        <v/>
      </c>
      <c r="AI66" s="67">
        <f>'Monthly Summary'!BJ66</f>
        <v/>
      </c>
      <c r="AJ66" s="68">
        <f>'Monthly Summary'!BK66</f>
        <v/>
      </c>
      <c r="AK66" s="67">
        <f>'Monthly Summary'!CD66</f>
        <v/>
      </c>
      <c r="AL66" s="67">
        <f>'Monthly Summary'!CE66</f>
        <v/>
      </c>
      <c r="AM66" s="68">
        <f>'Monthly Summary'!CF66</f>
        <v/>
      </c>
      <c r="AN66" s="69">
        <f>'Monthly Summary'!CG66</f>
        <v/>
      </c>
      <c r="AO66" s="69">
        <f>'Monthly Summary'!CH66</f>
        <v/>
      </c>
      <c r="AP66" s="70">
        <f>'Monthly Summary'!CI66</f>
        <v/>
      </c>
      <c r="AQ66" s="67">
        <f>'Monthly Summary'!CJ66</f>
        <v/>
      </c>
      <c r="AR66" s="67">
        <f>'Monthly Summary'!CK66</f>
        <v/>
      </c>
      <c r="AS66" s="68">
        <f>'Monthly Summary'!CL66</f>
        <v/>
      </c>
      <c r="AT66" s="67" t="inlineStr">
        <is>
          <t>Batch 2</t>
        </is>
      </c>
    </row>
    <row r="67" ht="14.25" customHeight="1" s="34">
      <c r="A67" s="46" t="n">
        <v>65</v>
      </c>
      <c r="B67" s="46" t="inlineStr">
        <is>
          <t>325106410065</t>
        </is>
      </c>
      <c r="C67" s="46" t="inlineStr">
        <is>
          <t>IBRAHIM SAHR KABBA</t>
        </is>
      </c>
      <c r="D67" s="63">
        <f>'Monthly Summary'!BO67</f>
        <v/>
      </c>
      <c r="E67" s="63">
        <f>'Monthly Summary'!BP67</f>
        <v/>
      </c>
      <c r="F67" s="64">
        <f>'Monthly Summary'!BQ67</f>
        <v/>
      </c>
      <c r="G67" s="63">
        <f>'Monthly Summary'!BR67</f>
        <v/>
      </c>
      <c r="H67" s="63">
        <f>'Monthly Summary'!BS67</f>
        <v/>
      </c>
      <c r="I67" s="64">
        <f>'Monthly Summary'!BT67</f>
        <v/>
      </c>
      <c r="J67" s="63">
        <f>'Monthly Summary'!BU67</f>
        <v/>
      </c>
      <c r="K67" s="63">
        <f>'Monthly Summary'!BV67</f>
        <v/>
      </c>
      <c r="L67" s="64">
        <f>'Monthly Summary'!BW67</f>
        <v/>
      </c>
      <c r="M67" s="63">
        <f>'Monthly Summary'!BX67</f>
        <v/>
      </c>
      <c r="N67" s="67">
        <f>'Monthly Summary'!BY67</f>
        <v/>
      </c>
      <c r="O67" s="68">
        <f>'Monthly Summary'!BZ67</f>
        <v/>
      </c>
      <c r="P67" s="67">
        <f>'Monthly Summary'!CA67</f>
        <v/>
      </c>
      <c r="Q67" s="67">
        <f>'Monthly Summary'!CB67</f>
        <v/>
      </c>
      <c r="R67" s="68">
        <f>'Monthly Summary'!CC67</f>
        <v/>
      </c>
      <c r="S67" s="69">
        <f>'Subject-wise Summary'!S66</f>
        <v/>
      </c>
      <c r="T67" s="69">
        <f>'Subject-wise Summary'!T66</f>
        <v/>
      </c>
      <c r="U67" s="70">
        <f>'Subject-wise Summary'!U66</f>
        <v/>
      </c>
      <c r="V67" s="69">
        <f>'Subject-wise Summary'!V66</f>
        <v/>
      </c>
      <c r="W67" s="69">
        <f>'Subject-wise Summary'!W66</f>
        <v/>
      </c>
      <c r="X67" s="70">
        <f>'Subject-wise Summary'!X66</f>
        <v/>
      </c>
      <c r="Y67" s="69">
        <f>'Subject-wise Summary'!Y66</f>
        <v/>
      </c>
      <c r="Z67" s="69">
        <f>'Subject-wise Summary'!Z66</f>
        <v/>
      </c>
      <c r="AA67" s="70">
        <f>'Subject-wise Summary'!AA66</f>
        <v/>
      </c>
      <c r="AB67" s="67">
        <f>'Monthly Summary'!S67</f>
        <v/>
      </c>
      <c r="AC67" s="67">
        <f>'Monthly Summary'!T67</f>
        <v/>
      </c>
      <c r="AD67" s="68">
        <f>'Monthly Summary'!U67</f>
        <v/>
      </c>
      <c r="AE67" s="67">
        <f>'Monthly Summary'!AN67</f>
        <v/>
      </c>
      <c r="AF67" s="67">
        <f>'Monthly Summary'!AO67</f>
        <v/>
      </c>
      <c r="AG67" s="68">
        <f>'Monthly Summary'!AP67</f>
        <v/>
      </c>
      <c r="AH67" s="67">
        <f>'Monthly Summary'!BI67</f>
        <v/>
      </c>
      <c r="AI67" s="67">
        <f>'Monthly Summary'!BJ67</f>
        <v/>
      </c>
      <c r="AJ67" s="68">
        <f>'Monthly Summary'!BK67</f>
        <v/>
      </c>
      <c r="AK67" s="67">
        <f>'Monthly Summary'!CD67</f>
        <v/>
      </c>
      <c r="AL67" s="67">
        <f>'Monthly Summary'!CE67</f>
        <v/>
      </c>
      <c r="AM67" s="68">
        <f>'Monthly Summary'!CF67</f>
        <v/>
      </c>
      <c r="AN67" s="69">
        <f>'Monthly Summary'!CG67</f>
        <v/>
      </c>
      <c r="AO67" s="69">
        <f>'Monthly Summary'!CH67</f>
        <v/>
      </c>
      <c r="AP67" s="70">
        <f>'Monthly Summary'!CI67</f>
        <v/>
      </c>
      <c r="AQ67" s="67">
        <f>'Monthly Summary'!CJ67</f>
        <v/>
      </c>
      <c r="AR67" s="67">
        <f>'Monthly Summary'!CK67</f>
        <v/>
      </c>
      <c r="AS67" s="68">
        <f>'Monthly Summary'!CL67</f>
        <v/>
      </c>
      <c r="AT67" s="67" t="inlineStr">
        <is>
          <t>Batch 2</t>
        </is>
      </c>
    </row>
    <row r="68" ht="14.25" customHeight="1" s="34">
      <c r="A68" s="46" t="n">
        <v>66</v>
      </c>
      <c r="B68" s="46" t="inlineStr">
        <is>
          <t>325106410066</t>
        </is>
      </c>
      <c r="C68" s="46" t="inlineStr">
        <is>
          <t>ABDISAMIC YASIN ABDIRAHMAN</t>
        </is>
      </c>
      <c r="D68" s="63">
        <f>'Monthly Summary'!BO68</f>
        <v/>
      </c>
      <c r="E68" s="63">
        <f>'Monthly Summary'!BP68</f>
        <v/>
      </c>
      <c r="F68" s="64">
        <f>'Monthly Summary'!BQ68</f>
        <v/>
      </c>
      <c r="G68" s="63">
        <f>'Monthly Summary'!BR68</f>
        <v/>
      </c>
      <c r="H68" s="63">
        <f>'Monthly Summary'!BS68</f>
        <v/>
      </c>
      <c r="I68" s="64">
        <f>'Monthly Summary'!BT68</f>
        <v/>
      </c>
      <c r="J68" s="63">
        <f>'Monthly Summary'!BU68</f>
        <v/>
      </c>
      <c r="K68" s="63">
        <f>'Monthly Summary'!BV68</f>
        <v/>
      </c>
      <c r="L68" s="64">
        <f>'Monthly Summary'!BW68</f>
        <v/>
      </c>
      <c r="M68" s="63">
        <f>'Monthly Summary'!BX68</f>
        <v/>
      </c>
      <c r="N68" s="67">
        <f>'Monthly Summary'!BY68</f>
        <v/>
      </c>
      <c r="O68" s="68">
        <f>'Monthly Summary'!BZ68</f>
        <v/>
      </c>
      <c r="P68" s="67">
        <f>'Monthly Summary'!CA68</f>
        <v/>
      </c>
      <c r="Q68" s="67">
        <f>'Monthly Summary'!CB68</f>
        <v/>
      </c>
      <c r="R68" s="68">
        <f>'Monthly Summary'!CC68</f>
        <v/>
      </c>
      <c r="S68" s="69">
        <f>'Subject-wise Summary'!S67</f>
        <v/>
      </c>
      <c r="T68" s="69">
        <f>'Subject-wise Summary'!T67</f>
        <v/>
      </c>
      <c r="U68" s="70">
        <f>'Subject-wise Summary'!U67</f>
        <v/>
      </c>
      <c r="V68" s="69">
        <f>'Subject-wise Summary'!V67</f>
        <v/>
      </c>
      <c r="W68" s="69">
        <f>'Subject-wise Summary'!W67</f>
        <v/>
      </c>
      <c r="X68" s="70">
        <f>'Subject-wise Summary'!X67</f>
        <v/>
      </c>
      <c r="Y68" s="69">
        <f>'Subject-wise Summary'!Y67</f>
        <v/>
      </c>
      <c r="Z68" s="69">
        <f>'Subject-wise Summary'!Z67</f>
        <v/>
      </c>
      <c r="AA68" s="70">
        <f>'Subject-wise Summary'!AA67</f>
        <v/>
      </c>
      <c r="AB68" s="67">
        <f>'Monthly Summary'!S68</f>
        <v/>
      </c>
      <c r="AC68" s="67">
        <f>'Monthly Summary'!T68</f>
        <v/>
      </c>
      <c r="AD68" s="68">
        <f>'Monthly Summary'!U68</f>
        <v/>
      </c>
      <c r="AE68" s="67">
        <f>'Monthly Summary'!AN68</f>
        <v/>
      </c>
      <c r="AF68" s="67">
        <f>'Monthly Summary'!AO68</f>
        <v/>
      </c>
      <c r="AG68" s="68">
        <f>'Monthly Summary'!AP68</f>
        <v/>
      </c>
      <c r="AH68" s="67">
        <f>'Monthly Summary'!BI68</f>
        <v/>
      </c>
      <c r="AI68" s="67">
        <f>'Monthly Summary'!BJ68</f>
        <v/>
      </c>
      <c r="AJ68" s="68">
        <f>'Monthly Summary'!BK68</f>
        <v/>
      </c>
      <c r="AK68" s="67">
        <f>'Monthly Summary'!CD68</f>
        <v/>
      </c>
      <c r="AL68" s="67">
        <f>'Monthly Summary'!CE68</f>
        <v/>
      </c>
      <c r="AM68" s="68">
        <f>'Monthly Summary'!CF68</f>
        <v/>
      </c>
      <c r="AN68" s="69">
        <f>'Monthly Summary'!CG68</f>
        <v/>
      </c>
      <c r="AO68" s="69">
        <f>'Monthly Summary'!CH68</f>
        <v/>
      </c>
      <c r="AP68" s="70">
        <f>'Monthly Summary'!CI68</f>
        <v/>
      </c>
      <c r="AQ68" s="67">
        <f>'Monthly Summary'!CJ68</f>
        <v/>
      </c>
      <c r="AR68" s="67">
        <f>'Monthly Summary'!CK68</f>
        <v/>
      </c>
      <c r="AS68" s="68">
        <f>'Monthly Summary'!CL68</f>
        <v/>
      </c>
      <c r="AT68" s="67" t="inlineStr">
        <is>
          <t>Batch 2</t>
        </is>
      </c>
    </row>
    <row r="69" ht="14.25" customHeight="1" s="34">
      <c r="A69" s="46" t="n">
        <v>67</v>
      </c>
      <c r="B69" s="46" t="inlineStr">
        <is>
          <t>325106410067</t>
        </is>
      </c>
      <c r="C69" s="46" t="inlineStr">
        <is>
          <t>AHMED ABDHULAHI</t>
        </is>
      </c>
      <c r="D69" s="63">
        <f>'Monthly Summary'!BO69</f>
        <v/>
      </c>
      <c r="E69" s="63">
        <f>'Monthly Summary'!BP69</f>
        <v/>
      </c>
      <c r="F69" s="64">
        <f>'Monthly Summary'!BQ69</f>
        <v/>
      </c>
      <c r="G69" s="63">
        <f>'Monthly Summary'!BR69</f>
        <v/>
      </c>
      <c r="H69" s="63">
        <f>'Monthly Summary'!BS69</f>
        <v/>
      </c>
      <c r="I69" s="64">
        <f>'Monthly Summary'!BT69</f>
        <v/>
      </c>
      <c r="J69" s="63">
        <f>'Monthly Summary'!BU69</f>
        <v/>
      </c>
      <c r="K69" s="63">
        <f>'Monthly Summary'!BV69</f>
        <v/>
      </c>
      <c r="L69" s="64">
        <f>'Monthly Summary'!BW69</f>
        <v/>
      </c>
      <c r="M69" s="63">
        <f>'Monthly Summary'!BX69</f>
        <v/>
      </c>
      <c r="N69" s="67">
        <f>'Monthly Summary'!BY69</f>
        <v/>
      </c>
      <c r="O69" s="68">
        <f>'Monthly Summary'!BZ69</f>
        <v/>
      </c>
      <c r="P69" s="67">
        <f>'Monthly Summary'!CA69</f>
        <v/>
      </c>
      <c r="Q69" s="67">
        <f>'Monthly Summary'!CB69</f>
        <v/>
      </c>
      <c r="R69" s="68">
        <f>'Monthly Summary'!CC69</f>
        <v/>
      </c>
      <c r="S69" s="69">
        <f>'Subject-wise Summary'!S68</f>
        <v/>
      </c>
      <c r="T69" s="69">
        <f>'Subject-wise Summary'!T68</f>
        <v/>
      </c>
      <c r="U69" s="70">
        <f>'Subject-wise Summary'!U68</f>
        <v/>
      </c>
      <c r="V69" s="69">
        <f>'Subject-wise Summary'!V68</f>
        <v/>
      </c>
      <c r="W69" s="69">
        <f>'Subject-wise Summary'!W68</f>
        <v/>
      </c>
      <c r="X69" s="70">
        <f>'Subject-wise Summary'!X68</f>
        <v/>
      </c>
      <c r="Y69" s="69">
        <f>'Subject-wise Summary'!Y68</f>
        <v/>
      </c>
      <c r="Z69" s="69">
        <f>'Subject-wise Summary'!Z68</f>
        <v/>
      </c>
      <c r="AA69" s="70">
        <f>'Subject-wise Summary'!AA68</f>
        <v/>
      </c>
      <c r="AB69" s="67">
        <f>'Monthly Summary'!S69</f>
        <v/>
      </c>
      <c r="AC69" s="67">
        <f>'Monthly Summary'!T69</f>
        <v/>
      </c>
      <c r="AD69" s="68">
        <f>'Monthly Summary'!U69</f>
        <v/>
      </c>
      <c r="AE69" s="67">
        <f>'Monthly Summary'!AN69</f>
        <v/>
      </c>
      <c r="AF69" s="67">
        <f>'Monthly Summary'!AO69</f>
        <v/>
      </c>
      <c r="AG69" s="68">
        <f>'Monthly Summary'!AP69</f>
        <v/>
      </c>
      <c r="AH69" s="67">
        <f>'Monthly Summary'!BI69</f>
        <v/>
      </c>
      <c r="AI69" s="67">
        <f>'Monthly Summary'!BJ69</f>
        <v/>
      </c>
      <c r="AJ69" s="68">
        <f>'Monthly Summary'!BK69</f>
        <v/>
      </c>
      <c r="AK69" s="67">
        <f>'Monthly Summary'!CD69</f>
        <v/>
      </c>
      <c r="AL69" s="67">
        <f>'Monthly Summary'!CE69</f>
        <v/>
      </c>
      <c r="AM69" s="68">
        <f>'Monthly Summary'!CF69</f>
        <v/>
      </c>
      <c r="AN69" s="69">
        <f>'Monthly Summary'!CG69</f>
        <v/>
      </c>
      <c r="AO69" s="69">
        <f>'Monthly Summary'!CH69</f>
        <v/>
      </c>
      <c r="AP69" s="70">
        <f>'Monthly Summary'!CI69</f>
        <v/>
      </c>
      <c r="AQ69" s="67">
        <f>'Monthly Summary'!CJ69</f>
        <v/>
      </c>
      <c r="AR69" s="67">
        <f>'Monthly Summary'!CK69</f>
        <v/>
      </c>
      <c r="AS69" s="68">
        <f>'Monthly Summary'!CL69</f>
        <v/>
      </c>
      <c r="AT69" s="67" t="inlineStr">
        <is>
          <t>Batch 2</t>
        </is>
      </c>
    </row>
    <row r="70" ht="14.25" customHeight="1" s="34">
      <c r="A70" s="46" t="n">
        <v>68</v>
      </c>
      <c r="B70" s="46" t="inlineStr">
        <is>
          <t>325106410068</t>
        </is>
      </c>
      <c r="C70" s="46" t="inlineStr">
        <is>
          <t>ABDULAZIZ AL-MASLAMI</t>
        </is>
      </c>
      <c r="D70" s="63">
        <f>'Monthly Summary'!BO70</f>
        <v/>
      </c>
      <c r="E70" s="63">
        <f>'Monthly Summary'!BP70</f>
        <v/>
      </c>
      <c r="F70" s="64">
        <f>'Monthly Summary'!BQ70</f>
        <v/>
      </c>
      <c r="G70" s="63">
        <f>'Monthly Summary'!BR70</f>
        <v/>
      </c>
      <c r="H70" s="63">
        <f>'Monthly Summary'!BS70</f>
        <v/>
      </c>
      <c r="I70" s="64">
        <f>'Monthly Summary'!BT70</f>
        <v/>
      </c>
      <c r="J70" s="63">
        <f>'Monthly Summary'!BU70</f>
        <v/>
      </c>
      <c r="K70" s="63">
        <f>'Monthly Summary'!BV70</f>
        <v/>
      </c>
      <c r="L70" s="64">
        <f>'Monthly Summary'!BW70</f>
        <v/>
      </c>
      <c r="M70" s="63">
        <f>'Monthly Summary'!BX70</f>
        <v/>
      </c>
      <c r="N70" s="67">
        <f>'Monthly Summary'!BY70</f>
        <v/>
      </c>
      <c r="O70" s="68">
        <f>'Monthly Summary'!BZ70</f>
        <v/>
      </c>
      <c r="P70" s="67">
        <f>'Monthly Summary'!CA70</f>
        <v/>
      </c>
      <c r="Q70" s="67">
        <f>'Monthly Summary'!CB70</f>
        <v/>
      </c>
      <c r="R70" s="68">
        <f>'Monthly Summary'!CC70</f>
        <v/>
      </c>
      <c r="S70" s="69">
        <f>'Subject-wise Summary'!S69</f>
        <v/>
      </c>
      <c r="T70" s="69">
        <f>'Subject-wise Summary'!T69</f>
        <v/>
      </c>
      <c r="U70" s="70">
        <f>'Subject-wise Summary'!U69</f>
        <v/>
      </c>
      <c r="V70" s="69">
        <f>'Subject-wise Summary'!V69</f>
        <v/>
      </c>
      <c r="W70" s="69">
        <f>'Subject-wise Summary'!W69</f>
        <v/>
      </c>
      <c r="X70" s="70">
        <f>'Subject-wise Summary'!X69</f>
        <v/>
      </c>
      <c r="Y70" s="69">
        <f>'Subject-wise Summary'!Y69</f>
        <v/>
      </c>
      <c r="Z70" s="69">
        <f>'Subject-wise Summary'!Z69</f>
        <v/>
      </c>
      <c r="AA70" s="70">
        <f>'Subject-wise Summary'!AA69</f>
        <v/>
      </c>
      <c r="AB70" s="67">
        <f>'Monthly Summary'!S70</f>
        <v/>
      </c>
      <c r="AC70" s="67">
        <f>'Monthly Summary'!T70</f>
        <v/>
      </c>
      <c r="AD70" s="68">
        <f>'Monthly Summary'!U70</f>
        <v/>
      </c>
      <c r="AE70" s="67">
        <f>'Monthly Summary'!AN70</f>
        <v/>
      </c>
      <c r="AF70" s="67">
        <f>'Monthly Summary'!AO70</f>
        <v/>
      </c>
      <c r="AG70" s="68">
        <f>'Monthly Summary'!AP70</f>
        <v/>
      </c>
      <c r="AH70" s="67">
        <f>'Monthly Summary'!BI70</f>
        <v/>
      </c>
      <c r="AI70" s="67">
        <f>'Monthly Summary'!BJ70</f>
        <v/>
      </c>
      <c r="AJ70" s="68">
        <f>'Monthly Summary'!BK70</f>
        <v/>
      </c>
      <c r="AK70" s="67">
        <f>'Monthly Summary'!CD70</f>
        <v/>
      </c>
      <c r="AL70" s="67">
        <f>'Monthly Summary'!CE70</f>
        <v/>
      </c>
      <c r="AM70" s="68">
        <f>'Monthly Summary'!CF70</f>
        <v/>
      </c>
      <c r="AN70" s="69">
        <f>'Monthly Summary'!CG70</f>
        <v/>
      </c>
      <c r="AO70" s="69">
        <f>'Monthly Summary'!CH70</f>
        <v/>
      </c>
      <c r="AP70" s="70">
        <f>'Monthly Summary'!CI70</f>
        <v/>
      </c>
      <c r="AQ70" s="67">
        <f>'Monthly Summary'!CJ70</f>
        <v/>
      </c>
      <c r="AR70" s="67">
        <f>'Monthly Summary'!CK70</f>
        <v/>
      </c>
      <c r="AS70" s="68">
        <f>'Monthly Summary'!CL70</f>
        <v/>
      </c>
      <c r="AT70" s="67" t="inlineStr">
        <is>
          <t>Batch 2</t>
        </is>
      </c>
    </row>
    <row r="71" ht="14.25" customHeight="1" s="34">
      <c r="A71" s="46" t="n">
        <v>69</v>
      </c>
      <c r="B71" s="46" t="inlineStr">
        <is>
          <t>325106410069</t>
        </is>
      </c>
      <c r="C71" s="46" t="inlineStr">
        <is>
          <t>ABDULRAHMAN HAGEB</t>
        </is>
      </c>
      <c r="D71" s="63">
        <f>'Monthly Summary'!BO71</f>
        <v/>
      </c>
      <c r="E71" s="63">
        <f>'Monthly Summary'!BP71</f>
        <v/>
      </c>
      <c r="F71" s="64">
        <f>'Monthly Summary'!BQ71</f>
        <v/>
      </c>
      <c r="G71" s="63">
        <f>'Monthly Summary'!BR71</f>
        <v/>
      </c>
      <c r="H71" s="63">
        <f>'Monthly Summary'!BS71</f>
        <v/>
      </c>
      <c r="I71" s="64">
        <f>'Monthly Summary'!BT71</f>
        <v/>
      </c>
      <c r="J71" s="63">
        <f>'Monthly Summary'!BU71</f>
        <v/>
      </c>
      <c r="K71" s="63">
        <f>'Monthly Summary'!BV71</f>
        <v/>
      </c>
      <c r="L71" s="64">
        <f>'Monthly Summary'!BW71</f>
        <v/>
      </c>
      <c r="M71" s="63">
        <f>'Monthly Summary'!BX71</f>
        <v/>
      </c>
      <c r="N71" s="67">
        <f>'Monthly Summary'!BY71</f>
        <v/>
      </c>
      <c r="O71" s="68">
        <f>'Monthly Summary'!BZ71</f>
        <v/>
      </c>
      <c r="P71" s="67">
        <f>'Monthly Summary'!CA71</f>
        <v/>
      </c>
      <c r="Q71" s="67">
        <f>'Monthly Summary'!CB71</f>
        <v/>
      </c>
      <c r="R71" s="68">
        <f>'Monthly Summary'!CC71</f>
        <v/>
      </c>
      <c r="S71" s="69">
        <f>'Subject-wise Summary'!S70</f>
        <v/>
      </c>
      <c r="T71" s="69">
        <f>'Subject-wise Summary'!T70</f>
        <v/>
      </c>
      <c r="U71" s="70">
        <f>'Subject-wise Summary'!U70</f>
        <v/>
      </c>
      <c r="V71" s="69">
        <f>'Subject-wise Summary'!V70</f>
        <v/>
      </c>
      <c r="W71" s="69">
        <f>'Subject-wise Summary'!W70</f>
        <v/>
      </c>
      <c r="X71" s="70">
        <f>'Subject-wise Summary'!X70</f>
        <v/>
      </c>
      <c r="Y71" s="69">
        <f>'Subject-wise Summary'!Y70</f>
        <v/>
      </c>
      <c r="Z71" s="69">
        <f>'Subject-wise Summary'!Z70</f>
        <v/>
      </c>
      <c r="AA71" s="70">
        <f>'Subject-wise Summary'!AA70</f>
        <v/>
      </c>
      <c r="AB71" s="67">
        <f>'Monthly Summary'!S71</f>
        <v/>
      </c>
      <c r="AC71" s="67">
        <f>'Monthly Summary'!T71</f>
        <v/>
      </c>
      <c r="AD71" s="68">
        <f>'Monthly Summary'!U71</f>
        <v/>
      </c>
      <c r="AE71" s="67">
        <f>'Monthly Summary'!AN71</f>
        <v/>
      </c>
      <c r="AF71" s="67">
        <f>'Monthly Summary'!AO71</f>
        <v/>
      </c>
      <c r="AG71" s="68">
        <f>'Monthly Summary'!AP71</f>
        <v/>
      </c>
      <c r="AH71" s="67">
        <f>'Monthly Summary'!BI71</f>
        <v/>
      </c>
      <c r="AI71" s="67">
        <f>'Monthly Summary'!BJ71</f>
        <v/>
      </c>
      <c r="AJ71" s="68">
        <f>'Monthly Summary'!BK71</f>
        <v/>
      </c>
      <c r="AK71" s="67">
        <f>'Monthly Summary'!CD71</f>
        <v/>
      </c>
      <c r="AL71" s="67">
        <f>'Monthly Summary'!CE71</f>
        <v/>
      </c>
      <c r="AM71" s="68">
        <f>'Monthly Summary'!CF71</f>
        <v/>
      </c>
      <c r="AN71" s="69">
        <f>'Monthly Summary'!CG71</f>
        <v/>
      </c>
      <c r="AO71" s="69">
        <f>'Monthly Summary'!CH71</f>
        <v/>
      </c>
      <c r="AP71" s="70">
        <f>'Monthly Summary'!CI71</f>
        <v/>
      </c>
      <c r="AQ71" s="67">
        <f>'Monthly Summary'!CJ71</f>
        <v/>
      </c>
      <c r="AR71" s="67">
        <f>'Monthly Summary'!CK71</f>
        <v/>
      </c>
      <c r="AS71" s="68">
        <f>'Monthly Summary'!CL71</f>
        <v/>
      </c>
      <c r="AT71" s="67" t="inlineStr">
        <is>
          <t>Batch 2</t>
        </is>
      </c>
    </row>
    <row r="72" ht="14.25" customHeight="1" s="34">
      <c r="A72" s="46" t="n">
        <v>70</v>
      </c>
      <c r="B72" s="46" t="inlineStr">
        <is>
          <t>325106410070</t>
        </is>
      </c>
      <c r="C72" s="46" t="inlineStr">
        <is>
          <t>ABUBAKAR SAMINU</t>
        </is>
      </c>
      <c r="D72" s="63">
        <f>'Monthly Summary'!BO72</f>
        <v/>
      </c>
      <c r="E72" s="63">
        <f>'Monthly Summary'!BP72</f>
        <v/>
      </c>
      <c r="F72" s="64">
        <f>'Monthly Summary'!BQ72</f>
        <v/>
      </c>
      <c r="G72" s="63">
        <f>'Monthly Summary'!BR72</f>
        <v/>
      </c>
      <c r="H72" s="63">
        <f>'Monthly Summary'!BS72</f>
        <v/>
      </c>
      <c r="I72" s="64">
        <f>'Monthly Summary'!BT72</f>
        <v/>
      </c>
      <c r="J72" s="63">
        <f>'Monthly Summary'!BU72</f>
        <v/>
      </c>
      <c r="K72" s="63">
        <f>'Monthly Summary'!BV72</f>
        <v/>
      </c>
      <c r="L72" s="64">
        <f>'Monthly Summary'!BW72</f>
        <v/>
      </c>
      <c r="M72" s="63">
        <f>'Monthly Summary'!BX72</f>
        <v/>
      </c>
      <c r="N72" s="67">
        <f>'Monthly Summary'!BY72</f>
        <v/>
      </c>
      <c r="O72" s="68">
        <f>'Monthly Summary'!BZ72</f>
        <v/>
      </c>
      <c r="P72" s="67">
        <f>'Monthly Summary'!CA72</f>
        <v/>
      </c>
      <c r="Q72" s="67">
        <f>'Monthly Summary'!CB72</f>
        <v/>
      </c>
      <c r="R72" s="68">
        <f>'Monthly Summary'!CC72</f>
        <v/>
      </c>
      <c r="S72" s="69">
        <f>'Subject-wise Summary'!S71</f>
        <v/>
      </c>
      <c r="T72" s="69">
        <f>'Subject-wise Summary'!T71</f>
        <v/>
      </c>
      <c r="U72" s="70">
        <f>'Subject-wise Summary'!U71</f>
        <v/>
      </c>
      <c r="V72" s="69">
        <f>'Subject-wise Summary'!V71</f>
        <v/>
      </c>
      <c r="W72" s="69">
        <f>'Subject-wise Summary'!W71</f>
        <v/>
      </c>
      <c r="X72" s="70">
        <f>'Subject-wise Summary'!X71</f>
        <v/>
      </c>
      <c r="Y72" s="69">
        <f>'Subject-wise Summary'!Y71</f>
        <v/>
      </c>
      <c r="Z72" s="69">
        <f>'Subject-wise Summary'!Z71</f>
        <v/>
      </c>
      <c r="AA72" s="70">
        <f>'Subject-wise Summary'!AA71</f>
        <v/>
      </c>
      <c r="AB72" s="67">
        <f>'Monthly Summary'!S72</f>
        <v/>
      </c>
      <c r="AC72" s="67">
        <f>'Monthly Summary'!T72</f>
        <v/>
      </c>
      <c r="AD72" s="68">
        <f>'Monthly Summary'!U72</f>
        <v/>
      </c>
      <c r="AE72" s="67">
        <f>'Monthly Summary'!AN72</f>
        <v/>
      </c>
      <c r="AF72" s="67">
        <f>'Monthly Summary'!AO72</f>
        <v/>
      </c>
      <c r="AG72" s="68">
        <f>'Monthly Summary'!AP72</f>
        <v/>
      </c>
      <c r="AH72" s="67">
        <f>'Monthly Summary'!BI72</f>
        <v/>
      </c>
      <c r="AI72" s="67">
        <f>'Monthly Summary'!BJ72</f>
        <v/>
      </c>
      <c r="AJ72" s="68">
        <f>'Monthly Summary'!BK72</f>
        <v/>
      </c>
      <c r="AK72" s="67">
        <f>'Monthly Summary'!CD72</f>
        <v/>
      </c>
      <c r="AL72" s="67">
        <f>'Monthly Summary'!CE72</f>
        <v/>
      </c>
      <c r="AM72" s="68">
        <f>'Monthly Summary'!CF72</f>
        <v/>
      </c>
      <c r="AN72" s="69">
        <f>'Monthly Summary'!CG72</f>
        <v/>
      </c>
      <c r="AO72" s="69">
        <f>'Monthly Summary'!CH72</f>
        <v/>
      </c>
      <c r="AP72" s="70">
        <f>'Monthly Summary'!CI72</f>
        <v/>
      </c>
      <c r="AQ72" s="67">
        <f>'Monthly Summary'!CJ72</f>
        <v/>
      </c>
      <c r="AR72" s="67">
        <f>'Monthly Summary'!CK72</f>
        <v/>
      </c>
      <c r="AS72" s="68">
        <f>'Monthly Summary'!CL72</f>
        <v/>
      </c>
      <c r="AT72" s="67" t="inlineStr">
        <is>
          <t>Batch 2</t>
        </is>
      </c>
    </row>
    <row r="73" ht="14.25" customHeight="1" s="34">
      <c r="A73" s="46" t="n">
        <v>71</v>
      </c>
      <c r="B73" s="46" t="inlineStr">
        <is>
          <t>325106410071</t>
        </is>
      </c>
      <c r="C73" s="46" t="inlineStr">
        <is>
          <t>ANGIRA CHOWDHURY</t>
        </is>
      </c>
      <c r="D73" s="63">
        <f>'Monthly Summary'!BO73</f>
        <v/>
      </c>
      <c r="E73" s="63">
        <f>'Monthly Summary'!BP73</f>
        <v/>
      </c>
      <c r="F73" s="64">
        <f>'Monthly Summary'!BQ73</f>
        <v/>
      </c>
      <c r="G73" s="63">
        <f>'Monthly Summary'!BR73</f>
        <v/>
      </c>
      <c r="H73" s="63">
        <f>'Monthly Summary'!BS73</f>
        <v/>
      </c>
      <c r="I73" s="64">
        <f>'Monthly Summary'!BT73</f>
        <v/>
      </c>
      <c r="J73" s="63">
        <f>'Monthly Summary'!BU73</f>
        <v/>
      </c>
      <c r="K73" s="63">
        <f>'Monthly Summary'!BV73</f>
        <v/>
      </c>
      <c r="L73" s="64">
        <f>'Monthly Summary'!BW73</f>
        <v/>
      </c>
      <c r="M73" s="63">
        <f>'Monthly Summary'!BX73</f>
        <v/>
      </c>
      <c r="N73" s="67">
        <f>'Monthly Summary'!BY73</f>
        <v/>
      </c>
      <c r="O73" s="68">
        <f>'Monthly Summary'!BZ73</f>
        <v/>
      </c>
      <c r="P73" s="67">
        <f>'Monthly Summary'!CA73</f>
        <v/>
      </c>
      <c r="Q73" s="67">
        <f>'Monthly Summary'!CB73</f>
        <v/>
      </c>
      <c r="R73" s="68">
        <f>'Monthly Summary'!CC73</f>
        <v/>
      </c>
      <c r="S73" s="69">
        <f>'Subject-wise Summary'!S72</f>
        <v/>
      </c>
      <c r="T73" s="69">
        <f>'Subject-wise Summary'!T72</f>
        <v/>
      </c>
      <c r="U73" s="70">
        <f>'Subject-wise Summary'!U72</f>
        <v/>
      </c>
      <c r="V73" s="69">
        <f>'Subject-wise Summary'!V72</f>
        <v/>
      </c>
      <c r="W73" s="69">
        <f>'Subject-wise Summary'!W72</f>
        <v/>
      </c>
      <c r="X73" s="70">
        <f>'Subject-wise Summary'!X72</f>
        <v/>
      </c>
      <c r="Y73" s="69">
        <f>'Subject-wise Summary'!Y72</f>
        <v/>
      </c>
      <c r="Z73" s="69">
        <f>'Subject-wise Summary'!Z72</f>
        <v/>
      </c>
      <c r="AA73" s="70">
        <f>'Subject-wise Summary'!AA72</f>
        <v/>
      </c>
      <c r="AB73" s="67">
        <f>'Monthly Summary'!S73</f>
        <v/>
      </c>
      <c r="AC73" s="67">
        <f>'Monthly Summary'!T73</f>
        <v/>
      </c>
      <c r="AD73" s="68">
        <f>'Monthly Summary'!U73</f>
        <v/>
      </c>
      <c r="AE73" s="67">
        <f>'Monthly Summary'!AN73</f>
        <v/>
      </c>
      <c r="AF73" s="67">
        <f>'Monthly Summary'!AO73</f>
        <v/>
      </c>
      <c r="AG73" s="68">
        <f>'Monthly Summary'!AP73</f>
        <v/>
      </c>
      <c r="AH73" s="67">
        <f>'Monthly Summary'!BI73</f>
        <v/>
      </c>
      <c r="AI73" s="67">
        <f>'Monthly Summary'!BJ73</f>
        <v/>
      </c>
      <c r="AJ73" s="68">
        <f>'Monthly Summary'!BK73</f>
        <v/>
      </c>
      <c r="AK73" s="67">
        <f>'Monthly Summary'!CD73</f>
        <v/>
      </c>
      <c r="AL73" s="67">
        <f>'Monthly Summary'!CE73</f>
        <v/>
      </c>
      <c r="AM73" s="68">
        <f>'Monthly Summary'!CF73</f>
        <v/>
      </c>
      <c r="AN73" s="69">
        <f>'Monthly Summary'!CG73</f>
        <v/>
      </c>
      <c r="AO73" s="69">
        <f>'Monthly Summary'!CH73</f>
        <v/>
      </c>
      <c r="AP73" s="70">
        <f>'Monthly Summary'!CI73</f>
        <v/>
      </c>
      <c r="AQ73" s="67">
        <f>'Monthly Summary'!CJ73</f>
        <v/>
      </c>
      <c r="AR73" s="67">
        <f>'Monthly Summary'!CK73</f>
        <v/>
      </c>
      <c r="AS73" s="68">
        <f>'Monthly Summary'!CL73</f>
        <v/>
      </c>
      <c r="AT73" s="67" t="inlineStr">
        <is>
          <t>Batch 2</t>
        </is>
      </c>
    </row>
    <row r="74" ht="14.25" customHeight="1" s="34">
      <c r="A74" s="46" t="n">
        <v>72</v>
      </c>
      <c r="B74" s="46" t="inlineStr">
        <is>
          <t>325106410072</t>
        </is>
      </c>
      <c r="C74" s="46" t="inlineStr">
        <is>
          <t>ANIRBAN SAHA ARGHO</t>
        </is>
      </c>
      <c r="D74" s="63">
        <f>'Monthly Summary'!BO74</f>
        <v/>
      </c>
      <c r="E74" s="63">
        <f>'Monthly Summary'!BP74</f>
        <v/>
      </c>
      <c r="F74" s="64">
        <f>'Monthly Summary'!BQ74</f>
        <v/>
      </c>
      <c r="G74" s="63">
        <f>'Monthly Summary'!BR74</f>
        <v/>
      </c>
      <c r="H74" s="63">
        <f>'Monthly Summary'!BS74</f>
        <v/>
      </c>
      <c r="I74" s="64">
        <f>'Monthly Summary'!BT74</f>
        <v/>
      </c>
      <c r="J74" s="63">
        <f>'Monthly Summary'!BU74</f>
        <v/>
      </c>
      <c r="K74" s="63">
        <f>'Monthly Summary'!BV74</f>
        <v/>
      </c>
      <c r="L74" s="64">
        <f>'Monthly Summary'!BW74</f>
        <v/>
      </c>
      <c r="M74" s="63">
        <f>'Monthly Summary'!BX74</f>
        <v/>
      </c>
      <c r="N74" s="67">
        <f>'Monthly Summary'!BY74</f>
        <v/>
      </c>
      <c r="O74" s="68">
        <f>'Monthly Summary'!BZ74</f>
        <v/>
      </c>
      <c r="P74" s="67">
        <f>'Monthly Summary'!CA74</f>
        <v/>
      </c>
      <c r="Q74" s="67">
        <f>'Monthly Summary'!CB74</f>
        <v/>
      </c>
      <c r="R74" s="68">
        <f>'Monthly Summary'!CC74</f>
        <v/>
      </c>
      <c r="S74" s="69">
        <f>'Subject-wise Summary'!S73</f>
        <v/>
      </c>
      <c r="T74" s="69">
        <f>'Subject-wise Summary'!T73</f>
        <v/>
      </c>
      <c r="U74" s="70">
        <f>'Subject-wise Summary'!U73</f>
        <v/>
      </c>
      <c r="V74" s="69">
        <f>'Subject-wise Summary'!V73</f>
        <v/>
      </c>
      <c r="W74" s="69">
        <f>'Subject-wise Summary'!W73</f>
        <v/>
      </c>
      <c r="X74" s="70">
        <f>'Subject-wise Summary'!X73</f>
        <v/>
      </c>
      <c r="Y74" s="69">
        <f>'Subject-wise Summary'!Y73</f>
        <v/>
      </c>
      <c r="Z74" s="69">
        <f>'Subject-wise Summary'!Z73</f>
        <v/>
      </c>
      <c r="AA74" s="70">
        <f>'Subject-wise Summary'!AA73</f>
        <v/>
      </c>
      <c r="AB74" s="67">
        <f>'Monthly Summary'!S74</f>
        <v/>
      </c>
      <c r="AC74" s="67">
        <f>'Monthly Summary'!T74</f>
        <v/>
      </c>
      <c r="AD74" s="68">
        <f>'Monthly Summary'!U74</f>
        <v/>
      </c>
      <c r="AE74" s="67">
        <f>'Monthly Summary'!AN74</f>
        <v/>
      </c>
      <c r="AF74" s="67">
        <f>'Monthly Summary'!AO74</f>
        <v/>
      </c>
      <c r="AG74" s="68">
        <f>'Monthly Summary'!AP74</f>
        <v/>
      </c>
      <c r="AH74" s="67">
        <f>'Monthly Summary'!BI74</f>
        <v/>
      </c>
      <c r="AI74" s="67">
        <f>'Monthly Summary'!BJ74</f>
        <v/>
      </c>
      <c r="AJ74" s="68">
        <f>'Monthly Summary'!BK74</f>
        <v/>
      </c>
      <c r="AK74" s="67">
        <f>'Monthly Summary'!CD74</f>
        <v/>
      </c>
      <c r="AL74" s="67">
        <f>'Monthly Summary'!CE74</f>
        <v/>
      </c>
      <c r="AM74" s="68">
        <f>'Monthly Summary'!CF74</f>
        <v/>
      </c>
      <c r="AN74" s="69">
        <f>'Monthly Summary'!CG74</f>
        <v/>
      </c>
      <c r="AO74" s="69">
        <f>'Monthly Summary'!CH74</f>
        <v/>
      </c>
      <c r="AP74" s="70">
        <f>'Monthly Summary'!CI74</f>
        <v/>
      </c>
      <c r="AQ74" s="67">
        <f>'Monthly Summary'!CJ74</f>
        <v/>
      </c>
      <c r="AR74" s="67">
        <f>'Monthly Summary'!CK74</f>
        <v/>
      </c>
      <c r="AS74" s="68">
        <f>'Monthly Summary'!CL74</f>
        <v/>
      </c>
      <c r="AT74" s="67" t="inlineStr">
        <is>
          <t>Batch 2</t>
        </is>
      </c>
    </row>
    <row r="75" ht="14.25" customHeight="1" s="34">
      <c r="A75" s="46" t="n">
        <v>73</v>
      </c>
      <c r="B75" s="46" t="inlineStr">
        <is>
          <t>325106410073</t>
        </is>
      </c>
      <c r="C75" s="46" t="inlineStr">
        <is>
          <t>SAMUEL ANTWI MALIK</t>
        </is>
      </c>
      <c r="D75" s="63">
        <f>'Monthly Summary'!BO75</f>
        <v/>
      </c>
      <c r="E75" s="63">
        <f>'Monthly Summary'!BP75</f>
        <v/>
      </c>
      <c r="F75" s="64">
        <f>'Monthly Summary'!BQ75</f>
        <v/>
      </c>
      <c r="G75" s="63">
        <f>'Monthly Summary'!BR75</f>
        <v/>
      </c>
      <c r="H75" s="63">
        <f>'Monthly Summary'!BS75</f>
        <v/>
      </c>
      <c r="I75" s="64">
        <f>'Monthly Summary'!BT75</f>
        <v/>
      </c>
      <c r="J75" s="63">
        <f>'Monthly Summary'!BU75</f>
        <v/>
      </c>
      <c r="K75" s="63">
        <f>'Monthly Summary'!BV75</f>
        <v/>
      </c>
      <c r="L75" s="64">
        <f>'Monthly Summary'!BW75</f>
        <v/>
      </c>
      <c r="M75" s="63">
        <f>'Monthly Summary'!BX75</f>
        <v/>
      </c>
      <c r="N75" s="67">
        <f>'Monthly Summary'!BY75</f>
        <v/>
      </c>
      <c r="O75" s="68">
        <f>'Monthly Summary'!BZ75</f>
        <v/>
      </c>
      <c r="P75" s="67">
        <f>'Monthly Summary'!CA75</f>
        <v/>
      </c>
      <c r="Q75" s="67">
        <f>'Monthly Summary'!CB75</f>
        <v/>
      </c>
      <c r="R75" s="68">
        <f>'Monthly Summary'!CC75</f>
        <v/>
      </c>
      <c r="S75" s="69">
        <f>'Subject-wise Summary'!S74</f>
        <v/>
      </c>
      <c r="T75" s="69">
        <f>'Subject-wise Summary'!T74</f>
        <v/>
      </c>
      <c r="U75" s="70">
        <f>'Subject-wise Summary'!U74</f>
        <v/>
      </c>
      <c r="V75" s="69">
        <f>'Subject-wise Summary'!V74</f>
        <v/>
      </c>
      <c r="W75" s="69">
        <f>'Subject-wise Summary'!W74</f>
        <v/>
      </c>
      <c r="X75" s="70">
        <f>'Subject-wise Summary'!X74</f>
        <v/>
      </c>
      <c r="Y75" s="69">
        <f>'Subject-wise Summary'!Y74</f>
        <v/>
      </c>
      <c r="Z75" s="69">
        <f>'Subject-wise Summary'!Z74</f>
        <v/>
      </c>
      <c r="AA75" s="70">
        <f>'Subject-wise Summary'!AA74</f>
        <v/>
      </c>
      <c r="AB75" s="67">
        <f>'Monthly Summary'!S75</f>
        <v/>
      </c>
      <c r="AC75" s="67">
        <f>'Monthly Summary'!T75</f>
        <v/>
      </c>
      <c r="AD75" s="68">
        <f>'Monthly Summary'!U75</f>
        <v/>
      </c>
      <c r="AE75" s="67">
        <f>'Monthly Summary'!AN75</f>
        <v/>
      </c>
      <c r="AF75" s="67">
        <f>'Monthly Summary'!AO75</f>
        <v/>
      </c>
      <c r="AG75" s="68">
        <f>'Monthly Summary'!AP75</f>
        <v/>
      </c>
      <c r="AH75" s="67">
        <f>'Monthly Summary'!BI75</f>
        <v/>
      </c>
      <c r="AI75" s="67">
        <f>'Monthly Summary'!BJ75</f>
        <v/>
      </c>
      <c r="AJ75" s="68">
        <f>'Monthly Summary'!BK75</f>
        <v/>
      </c>
      <c r="AK75" s="67">
        <f>'Monthly Summary'!CD75</f>
        <v/>
      </c>
      <c r="AL75" s="67">
        <f>'Monthly Summary'!CE75</f>
        <v/>
      </c>
      <c r="AM75" s="68">
        <f>'Monthly Summary'!CF75</f>
        <v/>
      </c>
      <c r="AN75" s="69">
        <f>'Monthly Summary'!CG75</f>
        <v/>
      </c>
      <c r="AO75" s="69">
        <f>'Monthly Summary'!CH75</f>
        <v/>
      </c>
      <c r="AP75" s="70">
        <f>'Monthly Summary'!CI75</f>
        <v/>
      </c>
      <c r="AQ75" s="67">
        <f>'Monthly Summary'!CJ75</f>
        <v/>
      </c>
      <c r="AR75" s="67">
        <f>'Monthly Summary'!CK75</f>
        <v/>
      </c>
      <c r="AS75" s="68">
        <f>'Monthly Summary'!CL75</f>
        <v/>
      </c>
      <c r="AT75" s="67" t="inlineStr">
        <is>
          <t>Batch 2</t>
        </is>
      </c>
    </row>
    <row r="76" ht="14.25" customHeight="1" s="34">
      <c r="A76" s="46" t="n">
        <v>74</v>
      </c>
      <c r="B76" s="46" t="inlineStr">
        <is>
          <t>325106410074</t>
        </is>
      </c>
      <c r="C76" s="46" t="inlineStr">
        <is>
          <t>AOULADI AHAMADA</t>
        </is>
      </c>
      <c r="D76" s="63">
        <f>'Monthly Summary'!BO76</f>
        <v/>
      </c>
      <c r="E76" s="63">
        <f>'Monthly Summary'!BP76</f>
        <v/>
      </c>
      <c r="F76" s="64">
        <f>'Monthly Summary'!BQ76</f>
        <v/>
      </c>
      <c r="G76" s="63">
        <f>'Monthly Summary'!BR76</f>
        <v/>
      </c>
      <c r="H76" s="63">
        <f>'Monthly Summary'!BS76</f>
        <v/>
      </c>
      <c r="I76" s="64">
        <f>'Monthly Summary'!BT76</f>
        <v/>
      </c>
      <c r="J76" s="63">
        <f>'Monthly Summary'!BU76</f>
        <v/>
      </c>
      <c r="K76" s="63">
        <f>'Monthly Summary'!BV76</f>
        <v/>
      </c>
      <c r="L76" s="64">
        <f>'Monthly Summary'!BW76</f>
        <v/>
      </c>
      <c r="M76" s="63">
        <f>'Monthly Summary'!BX76</f>
        <v/>
      </c>
      <c r="N76" s="67">
        <f>'Monthly Summary'!BY76</f>
        <v/>
      </c>
      <c r="O76" s="68">
        <f>'Monthly Summary'!BZ76</f>
        <v/>
      </c>
      <c r="P76" s="67">
        <f>'Monthly Summary'!CA76</f>
        <v/>
      </c>
      <c r="Q76" s="67">
        <f>'Monthly Summary'!CB76</f>
        <v/>
      </c>
      <c r="R76" s="68">
        <f>'Monthly Summary'!CC76</f>
        <v/>
      </c>
      <c r="S76" s="69">
        <f>'Subject-wise Summary'!S75</f>
        <v/>
      </c>
      <c r="T76" s="69">
        <f>'Subject-wise Summary'!T75</f>
        <v/>
      </c>
      <c r="U76" s="70">
        <f>'Subject-wise Summary'!U75</f>
        <v/>
      </c>
      <c r="V76" s="69">
        <f>'Subject-wise Summary'!V75</f>
        <v/>
      </c>
      <c r="W76" s="69">
        <f>'Subject-wise Summary'!W75</f>
        <v/>
      </c>
      <c r="X76" s="70">
        <f>'Subject-wise Summary'!X75</f>
        <v/>
      </c>
      <c r="Y76" s="69">
        <f>'Subject-wise Summary'!Y75</f>
        <v/>
      </c>
      <c r="Z76" s="69">
        <f>'Subject-wise Summary'!Z75</f>
        <v/>
      </c>
      <c r="AA76" s="70">
        <f>'Subject-wise Summary'!AA75</f>
        <v/>
      </c>
      <c r="AB76" s="67">
        <f>'Monthly Summary'!S76</f>
        <v/>
      </c>
      <c r="AC76" s="67">
        <f>'Monthly Summary'!T76</f>
        <v/>
      </c>
      <c r="AD76" s="68">
        <f>'Monthly Summary'!U76</f>
        <v/>
      </c>
      <c r="AE76" s="67">
        <f>'Monthly Summary'!AN76</f>
        <v/>
      </c>
      <c r="AF76" s="67">
        <f>'Monthly Summary'!AO76</f>
        <v/>
      </c>
      <c r="AG76" s="68">
        <f>'Monthly Summary'!AP76</f>
        <v/>
      </c>
      <c r="AH76" s="67">
        <f>'Monthly Summary'!BI76</f>
        <v/>
      </c>
      <c r="AI76" s="67">
        <f>'Monthly Summary'!BJ76</f>
        <v/>
      </c>
      <c r="AJ76" s="68">
        <f>'Monthly Summary'!BK76</f>
        <v/>
      </c>
      <c r="AK76" s="67">
        <f>'Monthly Summary'!CD76</f>
        <v/>
      </c>
      <c r="AL76" s="67">
        <f>'Monthly Summary'!CE76</f>
        <v/>
      </c>
      <c r="AM76" s="68">
        <f>'Monthly Summary'!CF76</f>
        <v/>
      </c>
      <c r="AN76" s="69">
        <f>'Monthly Summary'!CG76</f>
        <v/>
      </c>
      <c r="AO76" s="69">
        <f>'Monthly Summary'!CH76</f>
        <v/>
      </c>
      <c r="AP76" s="70">
        <f>'Monthly Summary'!CI76</f>
        <v/>
      </c>
      <c r="AQ76" s="67">
        <f>'Monthly Summary'!CJ76</f>
        <v/>
      </c>
      <c r="AR76" s="67">
        <f>'Monthly Summary'!CK76</f>
        <v/>
      </c>
      <c r="AS76" s="68">
        <f>'Monthly Summary'!CL76</f>
        <v/>
      </c>
      <c r="AT76" s="67" t="inlineStr">
        <is>
          <t>Batch 2</t>
        </is>
      </c>
    </row>
    <row r="77" ht="14.25" customHeight="1" s="34">
      <c r="A77" s="46" t="n">
        <v>75</v>
      </c>
      <c r="B77" s="46" t="inlineStr">
        <is>
          <t>325106410075</t>
        </is>
      </c>
      <c r="C77" s="46" t="inlineStr">
        <is>
          <t>ARIYA DEY ARPI</t>
        </is>
      </c>
      <c r="D77" s="63">
        <f>'Monthly Summary'!BO77</f>
        <v/>
      </c>
      <c r="E77" s="63">
        <f>'Monthly Summary'!BP77</f>
        <v/>
      </c>
      <c r="F77" s="64">
        <f>'Monthly Summary'!BQ77</f>
        <v/>
      </c>
      <c r="G77" s="63">
        <f>'Monthly Summary'!BR77</f>
        <v/>
      </c>
      <c r="H77" s="63">
        <f>'Monthly Summary'!BS77</f>
        <v/>
      </c>
      <c r="I77" s="64">
        <f>'Monthly Summary'!BT77</f>
        <v/>
      </c>
      <c r="J77" s="63">
        <f>'Monthly Summary'!BU77</f>
        <v/>
      </c>
      <c r="K77" s="63">
        <f>'Monthly Summary'!BV77</f>
        <v/>
      </c>
      <c r="L77" s="64">
        <f>'Monthly Summary'!BW77</f>
        <v/>
      </c>
      <c r="M77" s="63">
        <f>'Monthly Summary'!BX77</f>
        <v/>
      </c>
      <c r="N77" s="67">
        <f>'Monthly Summary'!BY77</f>
        <v/>
      </c>
      <c r="O77" s="68">
        <f>'Monthly Summary'!BZ77</f>
        <v/>
      </c>
      <c r="P77" s="67">
        <f>'Monthly Summary'!CA77</f>
        <v/>
      </c>
      <c r="Q77" s="67">
        <f>'Monthly Summary'!CB77</f>
        <v/>
      </c>
      <c r="R77" s="68">
        <f>'Monthly Summary'!CC77</f>
        <v/>
      </c>
      <c r="S77" s="69">
        <f>'Subject-wise Summary'!S76</f>
        <v/>
      </c>
      <c r="T77" s="69">
        <f>'Subject-wise Summary'!T76</f>
        <v/>
      </c>
      <c r="U77" s="70">
        <f>'Subject-wise Summary'!U76</f>
        <v/>
      </c>
      <c r="V77" s="69">
        <f>'Subject-wise Summary'!V76</f>
        <v/>
      </c>
      <c r="W77" s="69">
        <f>'Subject-wise Summary'!W76</f>
        <v/>
      </c>
      <c r="X77" s="70">
        <f>'Subject-wise Summary'!X76</f>
        <v/>
      </c>
      <c r="Y77" s="69">
        <f>'Subject-wise Summary'!Y76</f>
        <v/>
      </c>
      <c r="Z77" s="69">
        <f>'Subject-wise Summary'!Z76</f>
        <v/>
      </c>
      <c r="AA77" s="70">
        <f>'Subject-wise Summary'!AA76</f>
        <v/>
      </c>
      <c r="AB77" s="67">
        <f>'Monthly Summary'!S77</f>
        <v/>
      </c>
      <c r="AC77" s="67">
        <f>'Monthly Summary'!T77</f>
        <v/>
      </c>
      <c r="AD77" s="68">
        <f>'Monthly Summary'!U77</f>
        <v/>
      </c>
      <c r="AE77" s="67">
        <f>'Monthly Summary'!AN77</f>
        <v/>
      </c>
      <c r="AF77" s="67">
        <f>'Monthly Summary'!AO77</f>
        <v/>
      </c>
      <c r="AG77" s="68">
        <f>'Monthly Summary'!AP77</f>
        <v/>
      </c>
      <c r="AH77" s="67">
        <f>'Monthly Summary'!BI77</f>
        <v/>
      </c>
      <c r="AI77" s="67">
        <f>'Monthly Summary'!BJ77</f>
        <v/>
      </c>
      <c r="AJ77" s="68">
        <f>'Monthly Summary'!BK77</f>
        <v/>
      </c>
      <c r="AK77" s="67">
        <f>'Monthly Summary'!CD77</f>
        <v/>
      </c>
      <c r="AL77" s="67">
        <f>'Monthly Summary'!CE77</f>
        <v/>
      </c>
      <c r="AM77" s="68">
        <f>'Monthly Summary'!CF77</f>
        <v/>
      </c>
      <c r="AN77" s="69">
        <f>'Monthly Summary'!CG77</f>
        <v/>
      </c>
      <c r="AO77" s="69">
        <f>'Monthly Summary'!CH77</f>
        <v/>
      </c>
      <c r="AP77" s="70">
        <f>'Monthly Summary'!CI77</f>
        <v/>
      </c>
      <c r="AQ77" s="67">
        <f>'Monthly Summary'!CJ77</f>
        <v/>
      </c>
      <c r="AR77" s="67">
        <f>'Monthly Summary'!CK77</f>
        <v/>
      </c>
      <c r="AS77" s="68">
        <f>'Monthly Summary'!CL77</f>
        <v/>
      </c>
      <c r="AT77" s="67" t="inlineStr">
        <is>
          <t>Batch 2</t>
        </is>
      </c>
    </row>
    <row r="78" ht="14.25" customHeight="1" s="34">
      <c r="A78" s="46" t="n">
        <v>76</v>
      </c>
      <c r="B78" s="46" t="inlineStr">
        <is>
          <t>325106410076</t>
        </is>
      </c>
      <c r="C78" s="46" t="inlineStr">
        <is>
          <t>ASEEL ABDELRHMAN MOHAMEDAHMED MOHAMEDKHAIR</t>
        </is>
      </c>
      <c r="D78" s="63">
        <f>'Monthly Summary'!BO78</f>
        <v/>
      </c>
      <c r="E78" s="63">
        <f>'Monthly Summary'!BP78</f>
        <v/>
      </c>
      <c r="F78" s="64">
        <f>'Monthly Summary'!BQ78</f>
        <v/>
      </c>
      <c r="G78" s="63">
        <f>'Monthly Summary'!BR78</f>
        <v/>
      </c>
      <c r="H78" s="63">
        <f>'Monthly Summary'!BS78</f>
        <v/>
      </c>
      <c r="I78" s="64">
        <f>'Monthly Summary'!BT78</f>
        <v/>
      </c>
      <c r="J78" s="63">
        <f>'Monthly Summary'!BU78</f>
        <v/>
      </c>
      <c r="K78" s="63">
        <f>'Monthly Summary'!BV78</f>
        <v/>
      </c>
      <c r="L78" s="64">
        <f>'Monthly Summary'!BW78</f>
        <v/>
      </c>
      <c r="M78" s="63">
        <f>'Monthly Summary'!BX78</f>
        <v/>
      </c>
      <c r="N78" s="67">
        <f>'Monthly Summary'!BY78</f>
        <v/>
      </c>
      <c r="O78" s="68">
        <f>'Monthly Summary'!BZ78</f>
        <v/>
      </c>
      <c r="P78" s="67">
        <f>'Monthly Summary'!CA78</f>
        <v/>
      </c>
      <c r="Q78" s="67">
        <f>'Monthly Summary'!CB78</f>
        <v/>
      </c>
      <c r="R78" s="68">
        <f>'Monthly Summary'!CC78</f>
        <v/>
      </c>
      <c r="S78" s="69">
        <f>'Subject-wise Summary'!S77</f>
        <v/>
      </c>
      <c r="T78" s="69">
        <f>'Subject-wise Summary'!T77</f>
        <v/>
      </c>
      <c r="U78" s="70">
        <f>'Subject-wise Summary'!U77</f>
        <v/>
      </c>
      <c r="V78" s="69">
        <f>'Subject-wise Summary'!V77</f>
        <v/>
      </c>
      <c r="W78" s="69">
        <f>'Subject-wise Summary'!W77</f>
        <v/>
      </c>
      <c r="X78" s="70">
        <f>'Subject-wise Summary'!X77</f>
        <v/>
      </c>
      <c r="Y78" s="69">
        <f>'Subject-wise Summary'!Y77</f>
        <v/>
      </c>
      <c r="Z78" s="69">
        <f>'Subject-wise Summary'!Z77</f>
        <v/>
      </c>
      <c r="AA78" s="70">
        <f>'Subject-wise Summary'!AA77</f>
        <v/>
      </c>
      <c r="AB78" s="67">
        <f>'Monthly Summary'!S78</f>
        <v/>
      </c>
      <c r="AC78" s="67">
        <f>'Monthly Summary'!T78</f>
        <v/>
      </c>
      <c r="AD78" s="68">
        <f>'Monthly Summary'!U78</f>
        <v/>
      </c>
      <c r="AE78" s="67">
        <f>'Monthly Summary'!AN78</f>
        <v/>
      </c>
      <c r="AF78" s="67">
        <f>'Monthly Summary'!AO78</f>
        <v/>
      </c>
      <c r="AG78" s="68">
        <f>'Monthly Summary'!AP78</f>
        <v/>
      </c>
      <c r="AH78" s="67">
        <f>'Monthly Summary'!BI78</f>
        <v/>
      </c>
      <c r="AI78" s="67">
        <f>'Monthly Summary'!BJ78</f>
        <v/>
      </c>
      <c r="AJ78" s="68">
        <f>'Monthly Summary'!BK78</f>
        <v/>
      </c>
      <c r="AK78" s="67">
        <f>'Monthly Summary'!CD78</f>
        <v/>
      </c>
      <c r="AL78" s="67">
        <f>'Monthly Summary'!CE78</f>
        <v/>
      </c>
      <c r="AM78" s="68">
        <f>'Monthly Summary'!CF78</f>
        <v/>
      </c>
      <c r="AN78" s="69">
        <f>'Monthly Summary'!CG78</f>
        <v/>
      </c>
      <c r="AO78" s="69">
        <f>'Monthly Summary'!CH78</f>
        <v/>
      </c>
      <c r="AP78" s="70">
        <f>'Monthly Summary'!CI78</f>
        <v/>
      </c>
      <c r="AQ78" s="67">
        <f>'Monthly Summary'!CJ78</f>
        <v/>
      </c>
      <c r="AR78" s="67">
        <f>'Monthly Summary'!CK78</f>
        <v/>
      </c>
      <c r="AS78" s="68">
        <f>'Monthly Summary'!CL78</f>
        <v/>
      </c>
      <c r="AT78" s="67" t="inlineStr">
        <is>
          <t>Batch 2</t>
        </is>
      </c>
    </row>
    <row r="79" ht="14.25" customHeight="1" s="34">
      <c r="A79" s="46" t="n">
        <v>77</v>
      </c>
      <c r="B79" s="46" t="inlineStr">
        <is>
          <t>325106410077</t>
        </is>
      </c>
      <c r="C79" s="46" t="inlineStr">
        <is>
          <t>BASMALA ELWALEED ISMAIL ABDALLA</t>
        </is>
      </c>
      <c r="D79" s="63">
        <f>'Monthly Summary'!BO79</f>
        <v/>
      </c>
      <c r="E79" s="63">
        <f>'Monthly Summary'!BP79</f>
        <v/>
      </c>
      <c r="F79" s="64">
        <f>'Monthly Summary'!BQ79</f>
        <v/>
      </c>
      <c r="G79" s="63">
        <f>'Monthly Summary'!BR79</f>
        <v/>
      </c>
      <c r="H79" s="63">
        <f>'Monthly Summary'!BS79</f>
        <v/>
      </c>
      <c r="I79" s="64">
        <f>'Monthly Summary'!BT79</f>
        <v/>
      </c>
      <c r="J79" s="63">
        <f>'Monthly Summary'!BU79</f>
        <v/>
      </c>
      <c r="K79" s="63">
        <f>'Monthly Summary'!BV79</f>
        <v/>
      </c>
      <c r="L79" s="64">
        <f>'Monthly Summary'!BW79</f>
        <v/>
      </c>
      <c r="M79" s="63">
        <f>'Monthly Summary'!BX79</f>
        <v/>
      </c>
      <c r="N79" s="67">
        <f>'Monthly Summary'!BY79</f>
        <v/>
      </c>
      <c r="O79" s="68">
        <f>'Monthly Summary'!BZ79</f>
        <v/>
      </c>
      <c r="P79" s="67">
        <f>'Monthly Summary'!CA79</f>
        <v/>
      </c>
      <c r="Q79" s="67">
        <f>'Monthly Summary'!CB79</f>
        <v/>
      </c>
      <c r="R79" s="68">
        <f>'Monthly Summary'!CC79</f>
        <v/>
      </c>
      <c r="S79" s="69">
        <f>'Subject-wise Summary'!S78</f>
        <v/>
      </c>
      <c r="T79" s="69">
        <f>'Subject-wise Summary'!T78</f>
        <v/>
      </c>
      <c r="U79" s="70">
        <f>'Subject-wise Summary'!U78</f>
        <v/>
      </c>
      <c r="V79" s="69">
        <f>'Subject-wise Summary'!V78</f>
        <v/>
      </c>
      <c r="W79" s="69">
        <f>'Subject-wise Summary'!W78</f>
        <v/>
      </c>
      <c r="X79" s="70">
        <f>'Subject-wise Summary'!X78</f>
        <v/>
      </c>
      <c r="Y79" s="69">
        <f>'Subject-wise Summary'!Y78</f>
        <v/>
      </c>
      <c r="Z79" s="69">
        <f>'Subject-wise Summary'!Z78</f>
        <v/>
      </c>
      <c r="AA79" s="70">
        <f>'Subject-wise Summary'!AA78</f>
        <v/>
      </c>
      <c r="AB79" s="67">
        <f>'Monthly Summary'!S79</f>
        <v/>
      </c>
      <c r="AC79" s="67">
        <f>'Monthly Summary'!T79</f>
        <v/>
      </c>
      <c r="AD79" s="68">
        <f>'Monthly Summary'!U79</f>
        <v/>
      </c>
      <c r="AE79" s="67">
        <f>'Monthly Summary'!AN79</f>
        <v/>
      </c>
      <c r="AF79" s="67">
        <f>'Monthly Summary'!AO79</f>
        <v/>
      </c>
      <c r="AG79" s="68">
        <f>'Monthly Summary'!AP79</f>
        <v/>
      </c>
      <c r="AH79" s="67">
        <f>'Monthly Summary'!BI79</f>
        <v/>
      </c>
      <c r="AI79" s="67">
        <f>'Monthly Summary'!BJ79</f>
        <v/>
      </c>
      <c r="AJ79" s="68">
        <f>'Monthly Summary'!BK79</f>
        <v/>
      </c>
      <c r="AK79" s="67">
        <f>'Monthly Summary'!CD79</f>
        <v/>
      </c>
      <c r="AL79" s="67">
        <f>'Monthly Summary'!CE79</f>
        <v/>
      </c>
      <c r="AM79" s="68">
        <f>'Monthly Summary'!CF79</f>
        <v/>
      </c>
      <c r="AN79" s="69">
        <f>'Monthly Summary'!CG79</f>
        <v/>
      </c>
      <c r="AO79" s="69">
        <f>'Monthly Summary'!CH79</f>
        <v/>
      </c>
      <c r="AP79" s="70">
        <f>'Monthly Summary'!CI79</f>
        <v/>
      </c>
      <c r="AQ79" s="67">
        <f>'Monthly Summary'!CJ79</f>
        <v/>
      </c>
      <c r="AR79" s="67">
        <f>'Monthly Summary'!CK79</f>
        <v/>
      </c>
      <c r="AS79" s="68">
        <f>'Monthly Summary'!CL79</f>
        <v/>
      </c>
      <c r="AT79" s="67" t="inlineStr">
        <is>
          <t>Batch 2</t>
        </is>
      </c>
    </row>
    <row r="80" ht="14.25" customHeight="1" s="34">
      <c r="A80" s="46" t="n">
        <v>78</v>
      </c>
      <c r="B80" s="46" t="inlineStr">
        <is>
          <t>325106410078</t>
        </is>
      </c>
      <c r="C80" s="46" t="inlineStr">
        <is>
          <t>BISHARUP CHANDRA BISHWAS</t>
        </is>
      </c>
      <c r="D80" s="63">
        <f>'Monthly Summary'!BO80</f>
        <v/>
      </c>
      <c r="E80" s="63">
        <f>'Monthly Summary'!BP80</f>
        <v/>
      </c>
      <c r="F80" s="64">
        <f>'Monthly Summary'!BQ80</f>
        <v/>
      </c>
      <c r="G80" s="63">
        <f>'Monthly Summary'!BR80</f>
        <v/>
      </c>
      <c r="H80" s="63">
        <f>'Monthly Summary'!BS80</f>
        <v/>
      </c>
      <c r="I80" s="64">
        <f>'Monthly Summary'!BT80</f>
        <v/>
      </c>
      <c r="J80" s="63">
        <f>'Monthly Summary'!BU80</f>
        <v/>
      </c>
      <c r="K80" s="63">
        <f>'Monthly Summary'!BV80</f>
        <v/>
      </c>
      <c r="L80" s="64">
        <f>'Monthly Summary'!BW80</f>
        <v/>
      </c>
      <c r="M80" s="63">
        <f>'Monthly Summary'!BX80</f>
        <v/>
      </c>
      <c r="N80" s="67">
        <f>'Monthly Summary'!BY80</f>
        <v/>
      </c>
      <c r="O80" s="68">
        <f>'Monthly Summary'!BZ80</f>
        <v/>
      </c>
      <c r="P80" s="67">
        <f>'Monthly Summary'!CA80</f>
        <v/>
      </c>
      <c r="Q80" s="67">
        <f>'Monthly Summary'!CB80</f>
        <v/>
      </c>
      <c r="R80" s="68">
        <f>'Monthly Summary'!CC80</f>
        <v/>
      </c>
      <c r="S80" s="69">
        <f>'Subject-wise Summary'!S79</f>
        <v/>
      </c>
      <c r="T80" s="69">
        <f>'Subject-wise Summary'!T79</f>
        <v/>
      </c>
      <c r="U80" s="70">
        <f>'Subject-wise Summary'!U79</f>
        <v/>
      </c>
      <c r="V80" s="69">
        <f>'Subject-wise Summary'!V79</f>
        <v/>
      </c>
      <c r="W80" s="69">
        <f>'Subject-wise Summary'!W79</f>
        <v/>
      </c>
      <c r="X80" s="70">
        <f>'Subject-wise Summary'!X79</f>
        <v/>
      </c>
      <c r="Y80" s="69">
        <f>'Subject-wise Summary'!Y79</f>
        <v/>
      </c>
      <c r="Z80" s="69">
        <f>'Subject-wise Summary'!Z79</f>
        <v/>
      </c>
      <c r="AA80" s="70">
        <f>'Subject-wise Summary'!AA79</f>
        <v/>
      </c>
      <c r="AB80" s="67">
        <f>'Monthly Summary'!S80</f>
        <v/>
      </c>
      <c r="AC80" s="67">
        <f>'Monthly Summary'!T80</f>
        <v/>
      </c>
      <c r="AD80" s="68">
        <f>'Monthly Summary'!U80</f>
        <v/>
      </c>
      <c r="AE80" s="67">
        <f>'Monthly Summary'!AN80</f>
        <v/>
      </c>
      <c r="AF80" s="67">
        <f>'Monthly Summary'!AO80</f>
        <v/>
      </c>
      <c r="AG80" s="68">
        <f>'Monthly Summary'!AP80</f>
        <v/>
      </c>
      <c r="AH80" s="67">
        <f>'Monthly Summary'!BI80</f>
        <v/>
      </c>
      <c r="AI80" s="67">
        <f>'Monthly Summary'!BJ80</f>
        <v/>
      </c>
      <c r="AJ80" s="68">
        <f>'Monthly Summary'!BK80</f>
        <v/>
      </c>
      <c r="AK80" s="67">
        <f>'Monthly Summary'!CD80</f>
        <v/>
      </c>
      <c r="AL80" s="67">
        <f>'Monthly Summary'!CE80</f>
        <v/>
      </c>
      <c r="AM80" s="68">
        <f>'Monthly Summary'!CF80</f>
        <v/>
      </c>
      <c r="AN80" s="69">
        <f>'Monthly Summary'!CG80</f>
        <v/>
      </c>
      <c r="AO80" s="69">
        <f>'Monthly Summary'!CH80</f>
        <v/>
      </c>
      <c r="AP80" s="70">
        <f>'Monthly Summary'!CI80</f>
        <v/>
      </c>
      <c r="AQ80" s="67">
        <f>'Monthly Summary'!CJ80</f>
        <v/>
      </c>
      <c r="AR80" s="67">
        <f>'Monthly Summary'!CK80</f>
        <v/>
      </c>
      <c r="AS80" s="68">
        <f>'Monthly Summary'!CL80</f>
        <v/>
      </c>
      <c r="AT80" s="67" t="inlineStr">
        <is>
          <t>Batch 2</t>
        </is>
      </c>
    </row>
    <row r="81" ht="14.25" customHeight="1" s="34">
      <c r="A81" s="46" t="n">
        <v>79</v>
      </c>
      <c r="B81" s="46" t="inlineStr">
        <is>
          <t>325106410079</t>
        </is>
      </c>
      <c r="C81" s="46" t="inlineStr">
        <is>
          <t>DADJA ELIE APOLLINAIRE TCHANDAO</t>
        </is>
      </c>
      <c r="D81" s="63">
        <f>'Monthly Summary'!BO81</f>
        <v/>
      </c>
      <c r="E81" s="63">
        <f>'Monthly Summary'!BP81</f>
        <v/>
      </c>
      <c r="F81" s="64">
        <f>'Monthly Summary'!BQ81</f>
        <v/>
      </c>
      <c r="G81" s="63">
        <f>'Monthly Summary'!BR81</f>
        <v/>
      </c>
      <c r="H81" s="63">
        <f>'Monthly Summary'!BS81</f>
        <v/>
      </c>
      <c r="I81" s="64">
        <f>'Monthly Summary'!BT81</f>
        <v/>
      </c>
      <c r="J81" s="63">
        <f>'Monthly Summary'!BU81</f>
        <v/>
      </c>
      <c r="K81" s="63">
        <f>'Monthly Summary'!BV81</f>
        <v/>
      </c>
      <c r="L81" s="64">
        <f>'Monthly Summary'!BW81</f>
        <v/>
      </c>
      <c r="M81" s="63">
        <f>'Monthly Summary'!BX81</f>
        <v/>
      </c>
      <c r="N81" s="67">
        <f>'Monthly Summary'!BY81</f>
        <v/>
      </c>
      <c r="O81" s="68">
        <f>'Monthly Summary'!BZ81</f>
        <v/>
      </c>
      <c r="P81" s="67">
        <f>'Monthly Summary'!CA81</f>
        <v/>
      </c>
      <c r="Q81" s="67">
        <f>'Monthly Summary'!CB81</f>
        <v/>
      </c>
      <c r="R81" s="68">
        <f>'Monthly Summary'!CC81</f>
        <v/>
      </c>
      <c r="S81" s="69">
        <f>'Subject-wise Summary'!S80</f>
        <v/>
      </c>
      <c r="T81" s="69">
        <f>'Subject-wise Summary'!T80</f>
        <v/>
      </c>
      <c r="U81" s="70">
        <f>'Subject-wise Summary'!U80</f>
        <v/>
      </c>
      <c r="V81" s="69">
        <f>'Subject-wise Summary'!V80</f>
        <v/>
      </c>
      <c r="W81" s="69">
        <f>'Subject-wise Summary'!W80</f>
        <v/>
      </c>
      <c r="X81" s="70">
        <f>'Subject-wise Summary'!X80</f>
        <v/>
      </c>
      <c r="Y81" s="69">
        <f>'Subject-wise Summary'!Y80</f>
        <v/>
      </c>
      <c r="Z81" s="69">
        <f>'Subject-wise Summary'!Z80</f>
        <v/>
      </c>
      <c r="AA81" s="70">
        <f>'Subject-wise Summary'!AA80</f>
        <v/>
      </c>
      <c r="AB81" s="67">
        <f>'Monthly Summary'!S81</f>
        <v/>
      </c>
      <c r="AC81" s="67">
        <f>'Monthly Summary'!T81</f>
        <v/>
      </c>
      <c r="AD81" s="68">
        <f>'Monthly Summary'!U81</f>
        <v/>
      </c>
      <c r="AE81" s="67">
        <f>'Monthly Summary'!AN81</f>
        <v/>
      </c>
      <c r="AF81" s="67">
        <f>'Monthly Summary'!AO81</f>
        <v/>
      </c>
      <c r="AG81" s="68">
        <f>'Monthly Summary'!AP81</f>
        <v/>
      </c>
      <c r="AH81" s="67">
        <f>'Monthly Summary'!BI81</f>
        <v/>
      </c>
      <c r="AI81" s="67">
        <f>'Monthly Summary'!BJ81</f>
        <v/>
      </c>
      <c r="AJ81" s="68">
        <f>'Monthly Summary'!BK81</f>
        <v/>
      </c>
      <c r="AK81" s="67">
        <f>'Monthly Summary'!CD81</f>
        <v/>
      </c>
      <c r="AL81" s="67">
        <f>'Monthly Summary'!CE81</f>
        <v/>
      </c>
      <c r="AM81" s="68">
        <f>'Monthly Summary'!CF81</f>
        <v/>
      </c>
      <c r="AN81" s="69">
        <f>'Monthly Summary'!CG81</f>
        <v/>
      </c>
      <c r="AO81" s="69">
        <f>'Monthly Summary'!CH81</f>
        <v/>
      </c>
      <c r="AP81" s="70">
        <f>'Monthly Summary'!CI81</f>
        <v/>
      </c>
      <c r="AQ81" s="67">
        <f>'Monthly Summary'!CJ81</f>
        <v/>
      </c>
      <c r="AR81" s="67">
        <f>'Monthly Summary'!CK81</f>
        <v/>
      </c>
      <c r="AS81" s="68">
        <f>'Monthly Summary'!CL81</f>
        <v/>
      </c>
      <c r="AT81" s="67" t="inlineStr">
        <is>
          <t>Batch 2</t>
        </is>
      </c>
    </row>
    <row r="82" ht="14.25" customHeight="1" s="34">
      <c r="A82" s="46" t="n">
        <v>80</v>
      </c>
      <c r="B82" s="46" t="inlineStr">
        <is>
          <t>325106410080</t>
        </is>
      </c>
      <c r="C82" s="46" t="inlineStr">
        <is>
          <t>DIBYA JYOTI ROY</t>
        </is>
      </c>
      <c r="D82" s="63">
        <f>'Monthly Summary'!BO82</f>
        <v/>
      </c>
      <c r="E82" s="63">
        <f>'Monthly Summary'!BP82</f>
        <v/>
      </c>
      <c r="F82" s="64">
        <f>'Monthly Summary'!BQ82</f>
        <v/>
      </c>
      <c r="G82" s="63">
        <f>'Monthly Summary'!BR82</f>
        <v/>
      </c>
      <c r="H82" s="63">
        <f>'Monthly Summary'!BS82</f>
        <v/>
      </c>
      <c r="I82" s="64">
        <f>'Monthly Summary'!BT82</f>
        <v/>
      </c>
      <c r="J82" s="63">
        <f>'Monthly Summary'!BU82</f>
        <v/>
      </c>
      <c r="K82" s="63">
        <f>'Monthly Summary'!BV82</f>
        <v/>
      </c>
      <c r="L82" s="64">
        <f>'Monthly Summary'!BW82</f>
        <v/>
      </c>
      <c r="M82" s="63">
        <f>'Monthly Summary'!BX82</f>
        <v/>
      </c>
      <c r="N82" s="67">
        <f>'Monthly Summary'!BY82</f>
        <v/>
      </c>
      <c r="O82" s="68">
        <f>'Monthly Summary'!BZ82</f>
        <v/>
      </c>
      <c r="P82" s="67">
        <f>'Monthly Summary'!CA82</f>
        <v/>
      </c>
      <c r="Q82" s="67">
        <f>'Monthly Summary'!CB82</f>
        <v/>
      </c>
      <c r="R82" s="68">
        <f>'Monthly Summary'!CC82</f>
        <v/>
      </c>
      <c r="S82" s="69">
        <f>'Subject-wise Summary'!S81</f>
        <v/>
      </c>
      <c r="T82" s="69">
        <f>'Subject-wise Summary'!T81</f>
        <v/>
      </c>
      <c r="U82" s="70">
        <f>'Subject-wise Summary'!U81</f>
        <v/>
      </c>
      <c r="V82" s="69">
        <f>'Subject-wise Summary'!V81</f>
        <v/>
      </c>
      <c r="W82" s="69">
        <f>'Subject-wise Summary'!W81</f>
        <v/>
      </c>
      <c r="X82" s="70">
        <f>'Subject-wise Summary'!X81</f>
        <v/>
      </c>
      <c r="Y82" s="69">
        <f>'Subject-wise Summary'!Y81</f>
        <v/>
      </c>
      <c r="Z82" s="69">
        <f>'Subject-wise Summary'!Z81</f>
        <v/>
      </c>
      <c r="AA82" s="70">
        <f>'Subject-wise Summary'!AA81</f>
        <v/>
      </c>
      <c r="AB82" s="67">
        <f>'Monthly Summary'!S82</f>
        <v/>
      </c>
      <c r="AC82" s="67">
        <f>'Monthly Summary'!T82</f>
        <v/>
      </c>
      <c r="AD82" s="68">
        <f>'Monthly Summary'!U82</f>
        <v/>
      </c>
      <c r="AE82" s="67">
        <f>'Monthly Summary'!AN82</f>
        <v/>
      </c>
      <c r="AF82" s="67">
        <f>'Monthly Summary'!AO82</f>
        <v/>
      </c>
      <c r="AG82" s="68">
        <f>'Monthly Summary'!AP82</f>
        <v/>
      </c>
      <c r="AH82" s="67">
        <f>'Monthly Summary'!BI82</f>
        <v/>
      </c>
      <c r="AI82" s="67">
        <f>'Monthly Summary'!BJ82</f>
        <v/>
      </c>
      <c r="AJ82" s="68">
        <f>'Monthly Summary'!BK82</f>
        <v/>
      </c>
      <c r="AK82" s="67">
        <f>'Monthly Summary'!CD82</f>
        <v/>
      </c>
      <c r="AL82" s="67">
        <f>'Monthly Summary'!CE82</f>
        <v/>
      </c>
      <c r="AM82" s="68">
        <f>'Monthly Summary'!CF82</f>
        <v/>
      </c>
      <c r="AN82" s="69">
        <f>'Monthly Summary'!CG82</f>
        <v/>
      </c>
      <c r="AO82" s="69">
        <f>'Monthly Summary'!CH82</f>
        <v/>
      </c>
      <c r="AP82" s="70">
        <f>'Monthly Summary'!CI82</f>
        <v/>
      </c>
      <c r="AQ82" s="67">
        <f>'Monthly Summary'!CJ82</f>
        <v/>
      </c>
      <c r="AR82" s="67">
        <f>'Monthly Summary'!CK82</f>
        <v/>
      </c>
      <c r="AS82" s="68">
        <f>'Monthly Summary'!CL82</f>
        <v/>
      </c>
      <c r="AT82" s="67" t="inlineStr">
        <is>
          <t>Batch 2</t>
        </is>
      </c>
    </row>
    <row r="83" ht="14.25" customHeight="1" s="34">
      <c r="A83" s="46" t="n">
        <v>81</v>
      </c>
      <c r="B83" s="46" t="inlineStr">
        <is>
          <t>325106410081</t>
        </is>
      </c>
      <c r="C83" s="46" t="inlineStr">
        <is>
          <t>GRACE TRYPHENE DJE</t>
        </is>
      </c>
      <c r="D83" s="63">
        <f>'Monthly Summary'!BO83</f>
        <v/>
      </c>
      <c r="E83" s="63">
        <f>'Monthly Summary'!BP83</f>
        <v/>
      </c>
      <c r="F83" s="64">
        <f>'Monthly Summary'!BQ83</f>
        <v/>
      </c>
      <c r="G83" s="63">
        <f>'Monthly Summary'!BR83</f>
        <v/>
      </c>
      <c r="H83" s="63">
        <f>'Monthly Summary'!BS83</f>
        <v/>
      </c>
      <c r="I83" s="64">
        <f>'Monthly Summary'!BT83</f>
        <v/>
      </c>
      <c r="J83" s="63">
        <f>'Monthly Summary'!BU83</f>
        <v/>
      </c>
      <c r="K83" s="63">
        <f>'Monthly Summary'!BV83</f>
        <v/>
      </c>
      <c r="L83" s="64">
        <f>'Monthly Summary'!BW83</f>
        <v/>
      </c>
      <c r="M83" s="63">
        <f>'Monthly Summary'!BX83</f>
        <v/>
      </c>
      <c r="N83" s="67">
        <f>'Monthly Summary'!BY83</f>
        <v/>
      </c>
      <c r="O83" s="68">
        <f>'Monthly Summary'!BZ83</f>
        <v/>
      </c>
      <c r="P83" s="67">
        <f>'Monthly Summary'!CA83</f>
        <v/>
      </c>
      <c r="Q83" s="67">
        <f>'Monthly Summary'!CB83</f>
        <v/>
      </c>
      <c r="R83" s="68">
        <f>'Monthly Summary'!CC83</f>
        <v/>
      </c>
      <c r="S83" s="69">
        <f>'Subject-wise Summary'!S82</f>
        <v/>
      </c>
      <c r="T83" s="69">
        <f>'Subject-wise Summary'!T82</f>
        <v/>
      </c>
      <c r="U83" s="70">
        <f>'Subject-wise Summary'!U82</f>
        <v/>
      </c>
      <c r="V83" s="69">
        <f>'Subject-wise Summary'!V82</f>
        <v/>
      </c>
      <c r="W83" s="69">
        <f>'Subject-wise Summary'!W82</f>
        <v/>
      </c>
      <c r="X83" s="70">
        <f>'Subject-wise Summary'!X82</f>
        <v/>
      </c>
      <c r="Y83" s="69">
        <f>'Subject-wise Summary'!Y82</f>
        <v/>
      </c>
      <c r="Z83" s="69">
        <f>'Subject-wise Summary'!Z82</f>
        <v/>
      </c>
      <c r="AA83" s="70">
        <f>'Subject-wise Summary'!AA82</f>
        <v/>
      </c>
      <c r="AB83" s="67">
        <f>'Monthly Summary'!S83</f>
        <v/>
      </c>
      <c r="AC83" s="67">
        <f>'Monthly Summary'!T83</f>
        <v/>
      </c>
      <c r="AD83" s="68">
        <f>'Monthly Summary'!U83</f>
        <v/>
      </c>
      <c r="AE83" s="67">
        <f>'Monthly Summary'!AN83</f>
        <v/>
      </c>
      <c r="AF83" s="67">
        <f>'Monthly Summary'!AO83</f>
        <v/>
      </c>
      <c r="AG83" s="68">
        <f>'Monthly Summary'!AP83</f>
        <v/>
      </c>
      <c r="AH83" s="67">
        <f>'Monthly Summary'!BI83</f>
        <v/>
      </c>
      <c r="AI83" s="67">
        <f>'Monthly Summary'!BJ83</f>
        <v/>
      </c>
      <c r="AJ83" s="68">
        <f>'Monthly Summary'!BK83</f>
        <v/>
      </c>
      <c r="AK83" s="67">
        <f>'Monthly Summary'!CD83</f>
        <v/>
      </c>
      <c r="AL83" s="67">
        <f>'Monthly Summary'!CE83</f>
        <v/>
      </c>
      <c r="AM83" s="68">
        <f>'Monthly Summary'!CF83</f>
        <v/>
      </c>
      <c r="AN83" s="69">
        <f>'Monthly Summary'!CG83</f>
        <v/>
      </c>
      <c r="AO83" s="69">
        <f>'Monthly Summary'!CH83</f>
        <v/>
      </c>
      <c r="AP83" s="70">
        <f>'Monthly Summary'!CI83</f>
        <v/>
      </c>
      <c r="AQ83" s="67">
        <f>'Monthly Summary'!CJ83</f>
        <v/>
      </c>
      <c r="AR83" s="67">
        <f>'Monthly Summary'!CK83</f>
        <v/>
      </c>
      <c r="AS83" s="68">
        <f>'Monthly Summary'!CL83</f>
        <v/>
      </c>
      <c r="AT83" s="67" t="inlineStr">
        <is>
          <t>Batch 2</t>
        </is>
      </c>
    </row>
    <row r="84" ht="14.25" customHeight="1" s="34">
      <c r="A84" s="46" t="n">
        <v>82</v>
      </c>
      <c r="B84" s="46" t="inlineStr">
        <is>
          <t>325106410082</t>
        </is>
      </c>
      <c r="C84" s="46" t="inlineStr">
        <is>
          <t>EBRIMA WARCH</t>
        </is>
      </c>
      <c r="D84" s="63">
        <f>'Monthly Summary'!BO84</f>
        <v/>
      </c>
      <c r="E84" s="63">
        <f>'Monthly Summary'!BP84</f>
        <v/>
      </c>
      <c r="F84" s="64">
        <f>'Monthly Summary'!BQ84</f>
        <v/>
      </c>
      <c r="G84" s="63">
        <f>'Monthly Summary'!BR84</f>
        <v/>
      </c>
      <c r="H84" s="63">
        <f>'Monthly Summary'!BS84</f>
        <v/>
      </c>
      <c r="I84" s="64">
        <f>'Monthly Summary'!BT84</f>
        <v/>
      </c>
      <c r="J84" s="63">
        <f>'Monthly Summary'!BU84</f>
        <v/>
      </c>
      <c r="K84" s="63">
        <f>'Monthly Summary'!BV84</f>
        <v/>
      </c>
      <c r="L84" s="64">
        <f>'Monthly Summary'!BW84</f>
        <v/>
      </c>
      <c r="M84" s="63">
        <f>'Monthly Summary'!BX84</f>
        <v/>
      </c>
      <c r="N84" s="67">
        <f>'Monthly Summary'!BY84</f>
        <v/>
      </c>
      <c r="O84" s="68">
        <f>'Monthly Summary'!BZ84</f>
        <v/>
      </c>
      <c r="P84" s="67">
        <f>'Monthly Summary'!CA84</f>
        <v/>
      </c>
      <c r="Q84" s="67">
        <f>'Monthly Summary'!CB84</f>
        <v/>
      </c>
      <c r="R84" s="68">
        <f>'Monthly Summary'!CC84</f>
        <v/>
      </c>
      <c r="S84" s="69">
        <f>'Subject-wise Summary'!S83</f>
        <v/>
      </c>
      <c r="T84" s="69">
        <f>'Subject-wise Summary'!T83</f>
        <v/>
      </c>
      <c r="U84" s="70">
        <f>'Subject-wise Summary'!U83</f>
        <v/>
      </c>
      <c r="V84" s="69">
        <f>'Subject-wise Summary'!V83</f>
        <v/>
      </c>
      <c r="W84" s="69">
        <f>'Subject-wise Summary'!W83</f>
        <v/>
      </c>
      <c r="X84" s="70">
        <f>'Subject-wise Summary'!X83</f>
        <v/>
      </c>
      <c r="Y84" s="69">
        <f>'Subject-wise Summary'!Y83</f>
        <v/>
      </c>
      <c r="Z84" s="69">
        <f>'Subject-wise Summary'!Z83</f>
        <v/>
      </c>
      <c r="AA84" s="70">
        <f>'Subject-wise Summary'!AA83</f>
        <v/>
      </c>
      <c r="AB84" s="67">
        <f>'Monthly Summary'!S84</f>
        <v/>
      </c>
      <c r="AC84" s="67">
        <f>'Monthly Summary'!T84</f>
        <v/>
      </c>
      <c r="AD84" s="68">
        <f>'Monthly Summary'!U84</f>
        <v/>
      </c>
      <c r="AE84" s="67">
        <f>'Monthly Summary'!AN84</f>
        <v/>
      </c>
      <c r="AF84" s="67">
        <f>'Monthly Summary'!AO84</f>
        <v/>
      </c>
      <c r="AG84" s="68">
        <f>'Monthly Summary'!AP84</f>
        <v/>
      </c>
      <c r="AH84" s="67">
        <f>'Monthly Summary'!BI84</f>
        <v/>
      </c>
      <c r="AI84" s="67">
        <f>'Monthly Summary'!BJ84</f>
        <v/>
      </c>
      <c r="AJ84" s="68">
        <f>'Monthly Summary'!BK84</f>
        <v/>
      </c>
      <c r="AK84" s="67">
        <f>'Monthly Summary'!CD84</f>
        <v/>
      </c>
      <c r="AL84" s="67">
        <f>'Monthly Summary'!CE84</f>
        <v/>
      </c>
      <c r="AM84" s="68">
        <f>'Monthly Summary'!CF84</f>
        <v/>
      </c>
      <c r="AN84" s="69">
        <f>'Monthly Summary'!CG84</f>
        <v/>
      </c>
      <c r="AO84" s="69">
        <f>'Monthly Summary'!CH84</f>
        <v/>
      </c>
      <c r="AP84" s="70">
        <f>'Monthly Summary'!CI84</f>
        <v/>
      </c>
      <c r="AQ84" s="67">
        <f>'Monthly Summary'!CJ84</f>
        <v/>
      </c>
      <c r="AR84" s="67">
        <f>'Monthly Summary'!CK84</f>
        <v/>
      </c>
      <c r="AS84" s="68">
        <f>'Monthly Summary'!CL84</f>
        <v/>
      </c>
      <c r="AT84" s="67" t="inlineStr">
        <is>
          <t>Batch 2</t>
        </is>
      </c>
    </row>
    <row r="85" ht="14.25" customHeight="1" s="34">
      <c r="A85" s="46" t="n">
        <v>83</v>
      </c>
      <c r="B85" s="46" t="inlineStr">
        <is>
          <t>325106410083</t>
        </is>
      </c>
      <c r="C85" s="46" t="inlineStr">
        <is>
          <t>HAILEYESUS BITEW</t>
        </is>
      </c>
      <c r="D85" s="63">
        <f>'Monthly Summary'!BO85</f>
        <v/>
      </c>
      <c r="E85" s="63">
        <f>'Monthly Summary'!BP85</f>
        <v/>
      </c>
      <c r="F85" s="64">
        <f>'Monthly Summary'!BQ85</f>
        <v/>
      </c>
      <c r="G85" s="63">
        <f>'Monthly Summary'!BR85</f>
        <v/>
      </c>
      <c r="H85" s="63">
        <f>'Monthly Summary'!BS85</f>
        <v/>
      </c>
      <c r="I85" s="64">
        <f>'Monthly Summary'!BT85</f>
        <v/>
      </c>
      <c r="J85" s="63">
        <f>'Monthly Summary'!BU85</f>
        <v/>
      </c>
      <c r="K85" s="63">
        <f>'Monthly Summary'!BV85</f>
        <v/>
      </c>
      <c r="L85" s="64">
        <f>'Monthly Summary'!BW85</f>
        <v/>
      </c>
      <c r="M85" s="63">
        <f>'Monthly Summary'!BX85</f>
        <v/>
      </c>
      <c r="N85" s="67">
        <f>'Monthly Summary'!BY85</f>
        <v/>
      </c>
      <c r="O85" s="68">
        <f>'Monthly Summary'!BZ85</f>
        <v/>
      </c>
      <c r="P85" s="67">
        <f>'Monthly Summary'!CA85</f>
        <v/>
      </c>
      <c r="Q85" s="67">
        <f>'Monthly Summary'!CB85</f>
        <v/>
      </c>
      <c r="R85" s="68">
        <f>'Monthly Summary'!CC85</f>
        <v/>
      </c>
      <c r="S85" s="69">
        <f>'Subject-wise Summary'!S84</f>
        <v/>
      </c>
      <c r="T85" s="69">
        <f>'Subject-wise Summary'!T84</f>
        <v/>
      </c>
      <c r="U85" s="70">
        <f>'Subject-wise Summary'!U84</f>
        <v/>
      </c>
      <c r="V85" s="69">
        <f>'Subject-wise Summary'!V84</f>
        <v/>
      </c>
      <c r="W85" s="69">
        <f>'Subject-wise Summary'!W84</f>
        <v/>
      </c>
      <c r="X85" s="70">
        <f>'Subject-wise Summary'!X84</f>
        <v/>
      </c>
      <c r="Y85" s="69">
        <f>'Subject-wise Summary'!Y84</f>
        <v/>
      </c>
      <c r="Z85" s="69">
        <f>'Subject-wise Summary'!Z84</f>
        <v/>
      </c>
      <c r="AA85" s="70">
        <f>'Subject-wise Summary'!AA84</f>
        <v/>
      </c>
      <c r="AB85" s="67">
        <f>'Monthly Summary'!S85</f>
        <v/>
      </c>
      <c r="AC85" s="67">
        <f>'Monthly Summary'!T85</f>
        <v/>
      </c>
      <c r="AD85" s="68">
        <f>'Monthly Summary'!U85</f>
        <v/>
      </c>
      <c r="AE85" s="67">
        <f>'Monthly Summary'!AN85</f>
        <v/>
      </c>
      <c r="AF85" s="67">
        <f>'Monthly Summary'!AO85</f>
        <v/>
      </c>
      <c r="AG85" s="68">
        <f>'Monthly Summary'!AP85</f>
        <v/>
      </c>
      <c r="AH85" s="67">
        <f>'Monthly Summary'!BI85</f>
        <v/>
      </c>
      <c r="AI85" s="67">
        <f>'Monthly Summary'!BJ85</f>
        <v/>
      </c>
      <c r="AJ85" s="68">
        <f>'Monthly Summary'!BK85</f>
        <v/>
      </c>
      <c r="AK85" s="67">
        <f>'Monthly Summary'!CD85</f>
        <v/>
      </c>
      <c r="AL85" s="67">
        <f>'Monthly Summary'!CE85</f>
        <v/>
      </c>
      <c r="AM85" s="68">
        <f>'Monthly Summary'!CF85</f>
        <v/>
      </c>
      <c r="AN85" s="69">
        <f>'Monthly Summary'!CG85</f>
        <v/>
      </c>
      <c r="AO85" s="69">
        <f>'Monthly Summary'!CH85</f>
        <v/>
      </c>
      <c r="AP85" s="70">
        <f>'Monthly Summary'!CI85</f>
        <v/>
      </c>
      <c r="AQ85" s="67">
        <f>'Monthly Summary'!CJ85</f>
        <v/>
      </c>
      <c r="AR85" s="67">
        <f>'Monthly Summary'!CK85</f>
        <v/>
      </c>
      <c r="AS85" s="68">
        <f>'Monthly Summary'!CL85</f>
        <v/>
      </c>
      <c r="AT85" s="67" t="inlineStr">
        <is>
          <t>Batch 3</t>
        </is>
      </c>
    </row>
    <row r="86" ht="14.25" customHeight="1" s="34">
      <c r="A86" s="46" t="n">
        <v>84</v>
      </c>
      <c r="B86" s="46" t="inlineStr">
        <is>
          <t>325106410084</t>
        </is>
      </c>
      <c r="C86" s="46" t="inlineStr">
        <is>
          <t>HOR SONCHANDEVIN</t>
        </is>
      </c>
      <c r="D86" s="63">
        <f>'Monthly Summary'!BO86</f>
        <v/>
      </c>
      <c r="E86" s="63">
        <f>'Monthly Summary'!BP86</f>
        <v/>
      </c>
      <c r="F86" s="64">
        <f>'Monthly Summary'!BQ86</f>
        <v/>
      </c>
      <c r="G86" s="63">
        <f>'Monthly Summary'!BR86</f>
        <v/>
      </c>
      <c r="H86" s="63">
        <f>'Monthly Summary'!BS86</f>
        <v/>
      </c>
      <c r="I86" s="64">
        <f>'Monthly Summary'!BT86</f>
        <v/>
      </c>
      <c r="J86" s="63">
        <f>'Monthly Summary'!BU86</f>
        <v/>
      </c>
      <c r="K86" s="63">
        <f>'Monthly Summary'!BV86</f>
        <v/>
      </c>
      <c r="L86" s="64">
        <f>'Monthly Summary'!BW86</f>
        <v/>
      </c>
      <c r="M86" s="63">
        <f>'Monthly Summary'!BX86</f>
        <v/>
      </c>
      <c r="N86" s="67">
        <f>'Monthly Summary'!BY86</f>
        <v/>
      </c>
      <c r="O86" s="68">
        <f>'Monthly Summary'!BZ86</f>
        <v/>
      </c>
      <c r="P86" s="67">
        <f>'Monthly Summary'!CA86</f>
        <v/>
      </c>
      <c r="Q86" s="67">
        <f>'Monthly Summary'!CB86</f>
        <v/>
      </c>
      <c r="R86" s="68">
        <f>'Monthly Summary'!CC86</f>
        <v/>
      </c>
      <c r="S86" s="69">
        <f>'Subject-wise Summary'!S85</f>
        <v/>
      </c>
      <c r="T86" s="69">
        <f>'Subject-wise Summary'!T85</f>
        <v/>
      </c>
      <c r="U86" s="70">
        <f>'Subject-wise Summary'!U85</f>
        <v/>
      </c>
      <c r="V86" s="69">
        <f>'Subject-wise Summary'!V85</f>
        <v/>
      </c>
      <c r="W86" s="69">
        <f>'Subject-wise Summary'!W85</f>
        <v/>
      </c>
      <c r="X86" s="70">
        <f>'Subject-wise Summary'!X85</f>
        <v/>
      </c>
      <c r="Y86" s="69">
        <f>'Subject-wise Summary'!Y85</f>
        <v/>
      </c>
      <c r="Z86" s="69">
        <f>'Subject-wise Summary'!Z85</f>
        <v/>
      </c>
      <c r="AA86" s="70">
        <f>'Subject-wise Summary'!AA85</f>
        <v/>
      </c>
      <c r="AB86" s="67">
        <f>'Monthly Summary'!S86</f>
        <v/>
      </c>
      <c r="AC86" s="67">
        <f>'Monthly Summary'!T86</f>
        <v/>
      </c>
      <c r="AD86" s="68">
        <f>'Monthly Summary'!U86</f>
        <v/>
      </c>
      <c r="AE86" s="67">
        <f>'Monthly Summary'!AN86</f>
        <v/>
      </c>
      <c r="AF86" s="67">
        <f>'Monthly Summary'!AO86</f>
        <v/>
      </c>
      <c r="AG86" s="68">
        <f>'Monthly Summary'!AP86</f>
        <v/>
      </c>
      <c r="AH86" s="67">
        <f>'Monthly Summary'!BI86</f>
        <v/>
      </c>
      <c r="AI86" s="67">
        <f>'Monthly Summary'!BJ86</f>
        <v/>
      </c>
      <c r="AJ86" s="68">
        <f>'Monthly Summary'!BK86</f>
        <v/>
      </c>
      <c r="AK86" s="67">
        <f>'Monthly Summary'!CD86</f>
        <v/>
      </c>
      <c r="AL86" s="67">
        <f>'Monthly Summary'!CE86</f>
        <v/>
      </c>
      <c r="AM86" s="68">
        <f>'Monthly Summary'!CF86</f>
        <v/>
      </c>
      <c r="AN86" s="69">
        <f>'Monthly Summary'!CG86</f>
        <v/>
      </c>
      <c r="AO86" s="69">
        <f>'Monthly Summary'!CH86</f>
        <v/>
      </c>
      <c r="AP86" s="70">
        <f>'Monthly Summary'!CI86</f>
        <v/>
      </c>
      <c r="AQ86" s="67">
        <f>'Monthly Summary'!CJ86</f>
        <v/>
      </c>
      <c r="AR86" s="67">
        <f>'Monthly Summary'!CK86</f>
        <v/>
      </c>
      <c r="AS86" s="68">
        <f>'Monthly Summary'!CL86</f>
        <v/>
      </c>
      <c r="AT86" s="67" t="inlineStr">
        <is>
          <t>Batch 3</t>
        </is>
      </c>
    </row>
    <row r="87" ht="14.25" customHeight="1" s="34">
      <c r="A87" s="46" t="n">
        <v>85</v>
      </c>
      <c r="B87" s="46" t="inlineStr">
        <is>
          <t>325106410085</t>
        </is>
      </c>
      <c r="C87" s="46" t="inlineStr">
        <is>
          <t>JOVAN PONUEL BISWAS</t>
        </is>
      </c>
      <c r="D87" s="63">
        <f>'Monthly Summary'!BO87</f>
        <v/>
      </c>
      <c r="E87" s="63">
        <f>'Monthly Summary'!BP87</f>
        <v/>
      </c>
      <c r="F87" s="64">
        <f>'Monthly Summary'!BQ87</f>
        <v/>
      </c>
      <c r="G87" s="63">
        <f>'Monthly Summary'!BR87</f>
        <v/>
      </c>
      <c r="H87" s="63">
        <f>'Monthly Summary'!BS87</f>
        <v/>
      </c>
      <c r="I87" s="64">
        <f>'Monthly Summary'!BT87</f>
        <v/>
      </c>
      <c r="J87" s="63">
        <f>'Monthly Summary'!BU87</f>
        <v/>
      </c>
      <c r="K87" s="63">
        <f>'Monthly Summary'!BV87</f>
        <v/>
      </c>
      <c r="L87" s="64">
        <f>'Monthly Summary'!BW87</f>
        <v/>
      </c>
      <c r="M87" s="63">
        <f>'Monthly Summary'!BX87</f>
        <v/>
      </c>
      <c r="N87" s="67">
        <f>'Monthly Summary'!BY87</f>
        <v/>
      </c>
      <c r="O87" s="68">
        <f>'Monthly Summary'!BZ87</f>
        <v/>
      </c>
      <c r="P87" s="67">
        <f>'Monthly Summary'!CA87</f>
        <v/>
      </c>
      <c r="Q87" s="67">
        <f>'Monthly Summary'!CB87</f>
        <v/>
      </c>
      <c r="R87" s="68">
        <f>'Monthly Summary'!CC87</f>
        <v/>
      </c>
      <c r="S87" s="69">
        <f>'Subject-wise Summary'!S86</f>
        <v/>
      </c>
      <c r="T87" s="69">
        <f>'Subject-wise Summary'!T86</f>
        <v/>
      </c>
      <c r="U87" s="70">
        <f>'Subject-wise Summary'!U86</f>
        <v/>
      </c>
      <c r="V87" s="69">
        <f>'Subject-wise Summary'!V86</f>
        <v/>
      </c>
      <c r="W87" s="69">
        <f>'Subject-wise Summary'!W86</f>
        <v/>
      </c>
      <c r="X87" s="70">
        <f>'Subject-wise Summary'!X86</f>
        <v/>
      </c>
      <c r="Y87" s="69">
        <f>'Subject-wise Summary'!Y86</f>
        <v/>
      </c>
      <c r="Z87" s="69">
        <f>'Subject-wise Summary'!Z86</f>
        <v/>
      </c>
      <c r="AA87" s="70">
        <f>'Subject-wise Summary'!AA86</f>
        <v/>
      </c>
      <c r="AB87" s="67">
        <f>'Monthly Summary'!S87</f>
        <v/>
      </c>
      <c r="AC87" s="67">
        <f>'Monthly Summary'!T87</f>
        <v/>
      </c>
      <c r="AD87" s="68">
        <f>'Monthly Summary'!U87</f>
        <v/>
      </c>
      <c r="AE87" s="67">
        <f>'Monthly Summary'!AN87</f>
        <v/>
      </c>
      <c r="AF87" s="67">
        <f>'Monthly Summary'!AO87</f>
        <v/>
      </c>
      <c r="AG87" s="68">
        <f>'Monthly Summary'!AP87</f>
        <v/>
      </c>
      <c r="AH87" s="67">
        <f>'Monthly Summary'!BI87</f>
        <v/>
      </c>
      <c r="AI87" s="67">
        <f>'Monthly Summary'!BJ87</f>
        <v/>
      </c>
      <c r="AJ87" s="68">
        <f>'Monthly Summary'!BK87</f>
        <v/>
      </c>
      <c r="AK87" s="67">
        <f>'Monthly Summary'!CD87</f>
        <v/>
      </c>
      <c r="AL87" s="67">
        <f>'Monthly Summary'!CE87</f>
        <v/>
      </c>
      <c r="AM87" s="68">
        <f>'Monthly Summary'!CF87</f>
        <v/>
      </c>
      <c r="AN87" s="69">
        <f>'Monthly Summary'!CG87</f>
        <v/>
      </c>
      <c r="AO87" s="69">
        <f>'Monthly Summary'!CH87</f>
        <v/>
      </c>
      <c r="AP87" s="70">
        <f>'Monthly Summary'!CI87</f>
        <v/>
      </c>
      <c r="AQ87" s="67">
        <f>'Monthly Summary'!CJ87</f>
        <v/>
      </c>
      <c r="AR87" s="67">
        <f>'Monthly Summary'!CK87</f>
        <v/>
      </c>
      <c r="AS87" s="68">
        <f>'Monthly Summary'!CL87</f>
        <v/>
      </c>
      <c r="AT87" s="67" t="inlineStr">
        <is>
          <t>Batch 3</t>
        </is>
      </c>
    </row>
    <row r="88" ht="14.25" customHeight="1" s="34">
      <c r="A88" s="46" t="n">
        <v>86</v>
      </c>
      <c r="B88" s="46" t="inlineStr">
        <is>
          <t>325106410086</t>
        </is>
      </c>
      <c r="C88" s="46" t="inlineStr">
        <is>
          <t>KONATE MARIAM DJAMILA</t>
        </is>
      </c>
      <c r="D88" s="63">
        <f>'Monthly Summary'!BO88</f>
        <v/>
      </c>
      <c r="E88" s="63">
        <f>'Monthly Summary'!BP88</f>
        <v/>
      </c>
      <c r="F88" s="64">
        <f>'Monthly Summary'!BQ88</f>
        <v/>
      </c>
      <c r="G88" s="63">
        <f>'Monthly Summary'!BR88</f>
        <v/>
      </c>
      <c r="H88" s="63">
        <f>'Monthly Summary'!BS88</f>
        <v/>
      </c>
      <c r="I88" s="64">
        <f>'Monthly Summary'!BT88</f>
        <v/>
      </c>
      <c r="J88" s="63">
        <f>'Monthly Summary'!BU88</f>
        <v/>
      </c>
      <c r="K88" s="63">
        <f>'Monthly Summary'!BV88</f>
        <v/>
      </c>
      <c r="L88" s="64">
        <f>'Monthly Summary'!BW88</f>
        <v/>
      </c>
      <c r="M88" s="63">
        <f>'Monthly Summary'!BX88</f>
        <v/>
      </c>
      <c r="N88" s="67">
        <f>'Monthly Summary'!BY88</f>
        <v/>
      </c>
      <c r="O88" s="68">
        <f>'Monthly Summary'!BZ88</f>
        <v/>
      </c>
      <c r="P88" s="67">
        <f>'Monthly Summary'!CA88</f>
        <v/>
      </c>
      <c r="Q88" s="67">
        <f>'Monthly Summary'!CB88</f>
        <v/>
      </c>
      <c r="R88" s="68">
        <f>'Monthly Summary'!CC88</f>
        <v/>
      </c>
      <c r="S88" s="69">
        <f>'Subject-wise Summary'!S87</f>
        <v/>
      </c>
      <c r="T88" s="69">
        <f>'Subject-wise Summary'!T87</f>
        <v/>
      </c>
      <c r="U88" s="70">
        <f>'Subject-wise Summary'!U87</f>
        <v/>
      </c>
      <c r="V88" s="69">
        <f>'Subject-wise Summary'!V87</f>
        <v/>
      </c>
      <c r="W88" s="69">
        <f>'Subject-wise Summary'!W87</f>
        <v/>
      </c>
      <c r="X88" s="70">
        <f>'Subject-wise Summary'!X87</f>
        <v/>
      </c>
      <c r="Y88" s="69">
        <f>'Subject-wise Summary'!Y87</f>
        <v/>
      </c>
      <c r="Z88" s="69">
        <f>'Subject-wise Summary'!Z87</f>
        <v/>
      </c>
      <c r="AA88" s="70">
        <f>'Subject-wise Summary'!AA87</f>
        <v/>
      </c>
      <c r="AB88" s="67">
        <f>'Monthly Summary'!S88</f>
        <v/>
      </c>
      <c r="AC88" s="67">
        <f>'Monthly Summary'!T88</f>
        <v/>
      </c>
      <c r="AD88" s="68">
        <f>'Monthly Summary'!U88</f>
        <v/>
      </c>
      <c r="AE88" s="67">
        <f>'Monthly Summary'!AN88</f>
        <v/>
      </c>
      <c r="AF88" s="67">
        <f>'Monthly Summary'!AO88</f>
        <v/>
      </c>
      <c r="AG88" s="68">
        <f>'Monthly Summary'!AP88</f>
        <v/>
      </c>
      <c r="AH88" s="67">
        <f>'Monthly Summary'!BI88</f>
        <v/>
      </c>
      <c r="AI88" s="67">
        <f>'Monthly Summary'!BJ88</f>
        <v/>
      </c>
      <c r="AJ88" s="68">
        <f>'Monthly Summary'!BK88</f>
        <v/>
      </c>
      <c r="AK88" s="67">
        <f>'Monthly Summary'!CD88</f>
        <v/>
      </c>
      <c r="AL88" s="67">
        <f>'Monthly Summary'!CE88</f>
        <v/>
      </c>
      <c r="AM88" s="68">
        <f>'Monthly Summary'!CF88</f>
        <v/>
      </c>
      <c r="AN88" s="69">
        <f>'Monthly Summary'!CG88</f>
        <v/>
      </c>
      <c r="AO88" s="69">
        <f>'Monthly Summary'!CH88</f>
        <v/>
      </c>
      <c r="AP88" s="70">
        <f>'Monthly Summary'!CI88</f>
        <v/>
      </c>
      <c r="AQ88" s="67">
        <f>'Monthly Summary'!CJ88</f>
        <v/>
      </c>
      <c r="AR88" s="67">
        <f>'Monthly Summary'!CK88</f>
        <v/>
      </c>
      <c r="AS88" s="68">
        <f>'Monthly Summary'!CL88</f>
        <v/>
      </c>
      <c r="AT88" s="67" t="inlineStr">
        <is>
          <t>Batch 3</t>
        </is>
      </c>
    </row>
    <row r="89" ht="14.25" customHeight="1" s="34">
      <c r="A89" s="46" t="n">
        <v>87</v>
      </c>
      <c r="B89" s="46" t="inlineStr">
        <is>
          <t>325106410087</t>
        </is>
      </c>
      <c r="C89" s="46" t="inlineStr">
        <is>
          <t>LINDOKUHLE FRANCE DLAMINI</t>
        </is>
      </c>
      <c r="D89" s="63">
        <f>'Monthly Summary'!BO89</f>
        <v/>
      </c>
      <c r="E89" s="63">
        <f>'Monthly Summary'!BP89</f>
        <v/>
      </c>
      <c r="F89" s="64">
        <f>'Monthly Summary'!BQ89</f>
        <v/>
      </c>
      <c r="G89" s="63">
        <f>'Monthly Summary'!BR89</f>
        <v/>
      </c>
      <c r="H89" s="63">
        <f>'Monthly Summary'!BS89</f>
        <v/>
      </c>
      <c r="I89" s="64">
        <f>'Monthly Summary'!BT89</f>
        <v/>
      </c>
      <c r="J89" s="63">
        <f>'Monthly Summary'!BU89</f>
        <v/>
      </c>
      <c r="K89" s="63">
        <f>'Monthly Summary'!BV89</f>
        <v/>
      </c>
      <c r="L89" s="64">
        <f>'Monthly Summary'!BW89</f>
        <v/>
      </c>
      <c r="M89" s="63">
        <f>'Monthly Summary'!BX89</f>
        <v/>
      </c>
      <c r="N89" s="67">
        <f>'Monthly Summary'!BY89</f>
        <v/>
      </c>
      <c r="O89" s="68">
        <f>'Monthly Summary'!BZ89</f>
        <v/>
      </c>
      <c r="P89" s="67">
        <f>'Monthly Summary'!CA89</f>
        <v/>
      </c>
      <c r="Q89" s="67">
        <f>'Monthly Summary'!CB89</f>
        <v/>
      </c>
      <c r="R89" s="68">
        <f>'Monthly Summary'!CC89</f>
        <v/>
      </c>
      <c r="S89" s="69">
        <f>'Subject-wise Summary'!S88</f>
        <v/>
      </c>
      <c r="T89" s="69">
        <f>'Subject-wise Summary'!T88</f>
        <v/>
      </c>
      <c r="U89" s="70">
        <f>'Subject-wise Summary'!U88</f>
        <v/>
      </c>
      <c r="V89" s="69">
        <f>'Subject-wise Summary'!V88</f>
        <v/>
      </c>
      <c r="W89" s="69">
        <f>'Subject-wise Summary'!W88</f>
        <v/>
      </c>
      <c r="X89" s="70">
        <f>'Subject-wise Summary'!X88</f>
        <v/>
      </c>
      <c r="Y89" s="69">
        <f>'Subject-wise Summary'!Y88</f>
        <v/>
      </c>
      <c r="Z89" s="69">
        <f>'Subject-wise Summary'!Z88</f>
        <v/>
      </c>
      <c r="AA89" s="70">
        <f>'Subject-wise Summary'!AA88</f>
        <v/>
      </c>
      <c r="AB89" s="67">
        <f>'Monthly Summary'!S89</f>
        <v/>
      </c>
      <c r="AC89" s="67">
        <f>'Monthly Summary'!T89</f>
        <v/>
      </c>
      <c r="AD89" s="68">
        <f>'Monthly Summary'!U89</f>
        <v/>
      </c>
      <c r="AE89" s="67">
        <f>'Monthly Summary'!AN89</f>
        <v/>
      </c>
      <c r="AF89" s="67">
        <f>'Monthly Summary'!AO89</f>
        <v/>
      </c>
      <c r="AG89" s="68">
        <f>'Monthly Summary'!AP89</f>
        <v/>
      </c>
      <c r="AH89" s="67">
        <f>'Monthly Summary'!BI89</f>
        <v/>
      </c>
      <c r="AI89" s="67">
        <f>'Monthly Summary'!BJ89</f>
        <v/>
      </c>
      <c r="AJ89" s="68">
        <f>'Monthly Summary'!BK89</f>
        <v/>
      </c>
      <c r="AK89" s="67">
        <f>'Monthly Summary'!CD89</f>
        <v/>
      </c>
      <c r="AL89" s="67">
        <f>'Monthly Summary'!CE89</f>
        <v/>
      </c>
      <c r="AM89" s="68">
        <f>'Monthly Summary'!CF89</f>
        <v/>
      </c>
      <c r="AN89" s="69">
        <f>'Monthly Summary'!CG89</f>
        <v/>
      </c>
      <c r="AO89" s="69">
        <f>'Monthly Summary'!CH89</f>
        <v/>
      </c>
      <c r="AP89" s="70">
        <f>'Monthly Summary'!CI89</f>
        <v/>
      </c>
      <c r="AQ89" s="67">
        <f>'Monthly Summary'!CJ89</f>
        <v/>
      </c>
      <c r="AR89" s="67">
        <f>'Monthly Summary'!CK89</f>
        <v/>
      </c>
      <c r="AS89" s="68">
        <f>'Monthly Summary'!CL89</f>
        <v/>
      </c>
      <c r="AT89" s="67" t="inlineStr">
        <is>
          <t>Batch 3</t>
        </is>
      </c>
    </row>
    <row r="90" ht="14.25" customHeight="1" s="34">
      <c r="A90" s="46" t="n">
        <v>88</v>
      </c>
      <c r="B90" s="46" t="inlineStr">
        <is>
          <t>325106410088</t>
        </is>
      </c>
      <c r="C90" s="46" t="inlineStr">
        <is>
          <t>------</t>
        </is>
      </c>
      <c r="D90" s="63">
        <f>'Monthly Summary'!BO90</f>
        <v/>
      </c>
      <c r="E90" s="63">
        <f>'Monthly Summary'!BP90</f>
        <v/>
      </c>
      <c r="F90" s="64">
        <f>'Monthly Summary'!BQ90</f>
        <v/>
      </c>
      <c r="G90" s="63">
        <f>'Monthly Summary'!BR90</f>
        <v/>
      </c>
      <c r="H90" s="63">
        <f>'Monthly Summary'!BS90</f>
        <v/>
      </c>
      <c r="I90" s="64">
        <f>'Monthly Summary'!BT90</f>
        <v/>
      </c>
      <c r="J90" s="63">
        <f>'Monthly Summary'!BU90</f>
        <v/>
      </c>
      <c r="K90" s="63">
        <f>'Monthly Summary'!BV90</f>
        <v/>
      </c>
      <c r="L90" s="64">
        <f>'Monthly Summary'!BW90</f>
        <v/>
      </c>
      <c r="M90" s="63">
        <f>'Monthly Summary'!BX90</f>
        <v/>
      </c>
      <c r="N90" s="67">
        <f>'Monthly Summary'!BY90</f>
        <v/>
      </c>
      <c r="O90" s="68">
        <f>'Monthly Summary'!BZ90</f>
        <v/>
      </c>
      <c r="P90" s="67">
        <f>'Monthly Summary'!CA90</f>
        <v/>
      </c>
      <c r="Q90" s="67">
        <f>'Monthly Summary'!CB90</f>
        <v/>
      </c>
      <c r="R90" s="68">
        <f>'Monthly Summary'!CC90</f>
        <v/>
      </c>
      <c r="S90" s="69">
        <f>'Subject-wise Summary'!S89</f>
        <v/>
      </c>
      <c r="T90" s="69">
        <f>'Subject-wise Summary'!T89</f>
        <v/>
      </c>
      <c r="U90" s="70">
        <f>'Subject-wise Summary'!U89</f>
        <v/>
      </c>
      <c r="V90" s="69">
        <f>'Subject-wise Summary'!V89</f>
        <v/>
      </c>
      <c r="W90" s="69">
        <f>'Subject-wise Summary'!W89</f>
        <v/>
      </c>
      <c r="X90" s="70">
        <f>'Subject-wise Summary'!X89</f>
        <v/>
      </c>
      <c r="Y90" s="69">
        <f>'Subject-wise Summary'!Y89</f>
        <v/>
      </c>
      <c r="Z90" s="69">
        <f>'Subject-wise Summary'!Z89</f>
        <v/>
      </c>
      <c r="AA90" s="70">
        <f>'Subject-wise Summary'!AA89</f>
        <v/>
      </c>
      <c r="AB90" s="67">
        <f>'Monthly Summary'!S90</f>
        <v/>
      </c>
      <c r="AC90" s="67">
        <f>'Monthly Summary'!T90</f>
        <v/>
      </c>
      <c r="AD90" s="68">
        <f>'Monthly Summary'!U90</f>
        <v/>
      </c>
      <c r="AE90" s="67">
        <f>'Monthly Summary'!AN90</f>
        <v/>
      </c>
      <c r="AF90" s="67">
        <f>'Monthly Summary'!AO90</f>
        <v/>
      </c>
      <c r="AG90" s="68">
        <f>'Monthly Summary'!AP90</f>
        <v/>
      </c>
      <c r="AH90" s="67">
        <f>'Monthly Summary'!BI90</f>
        <v/>
      </c>
      <c r="AI90" s="67">
        <f>'Monthly Summary'!BJ90</f>
        <v/>
      </c>
      <c r="AJ90" s="68">
        <f>'Monthly Summary'!BK90</f>
        <v/>
      </c>
      <c r="AK90" s="67">
        <f>'Monthly Summary'!CD90</f>
        <v/>
      </c>
      <c r="AL90" s="67">
        <f>'Monthly Summary'!CE90</f>
        <v/>
      </c>
      <c r="AM90" s="68">
        <f>'Monthly Summary'!CF90</f>
        <v/>
      </c>
      <c r="AN90" s="69">
        <f>'Monthly Summary'!CG90</f>
        <v/>
      </c>
      <c r="AO90" s="69">
        <f>'Monthly Summary'!CH90</f>
        <v/>
      </c>
      <c r="AP90" s="70">
        <f>'Monthly Summary'!CI90</f>
        <v/>
      </c>
      <c r="AQ90" s="67">
        <f>'Monthly Summary'!CJ90</f>
        <v/>
      </c>
      <c r="AR90" s="67">
        <f>'Monthly Summary'!CK90</f>
        <v/>
      </c>
      <c r="AS90" s="68">
        <f>'Monthly Summary'!CL90</f>
        <v/>
      </c>
      <c r="AT90" s="67" t="inlineStr">
        <is>
          <t>Batch 3</t>
        </is>
      </c>
    </row>
    <row r="91" ht="14.25" customHeight="1" s="34">
      <c r="A91" s="46" t="n">
        <v>89</v>
      </c>
      <c r="B91" s="46" t="inlineStr">
        <is>
          <t>325106410089</t>
        </is>
      </c>
      <c r="C91" s="46" t="inlineStr">
        <is>
          <t>MARSON DOS SANTOS</t>
        </is>
      </c>
      <c r="D91" s="63">
        <f>'Monthly Summary'!BO91</f>
        <v/>
      </c>
      <c r="E91" s="63">
        <f>'Monthly Summary'!BP91</f>
        <v/>
      </c>
      <c r="F91" s="64">
        <f>'Monthly Summary'!BQ91</f>
        <v/>
      </c>
      <c r="G91" s="63">
        <f>'Monthly Summary'!BR91</f>
        <v/>
      </c>
      <c r="H91" s="63">
        <f>'Monthly Summary'!BS91</f>
        <v/>
      </c>
      <c r="I91" s="64">
        <f>'Monthly Summary'!BT91</f>
        <v/>
      </c>
      <c r="J91" s="63">
        <f>'Monthly Summary'!BU91</f>
        <v/>
      </c>
      <c r="K91" s="63">
        <f>'Monthly Summary'!BV91</f>
        <v/>
      </c>
      <c r="L91" s="64">
        <f>'Monthly Summary'!BW91</f>
        <v/>
      </c>
      <c r="M91" s="63">
        <f>'Monthly Summary'!BX91</f>
        <v/>
      </c>
      <c r="N91" s="67">
        <f>'Monthly Summary'!BY91</f>
        <v/>
      </c>
      <c r="O91" s="68">
        <f>'Monthly Summary'!BZ91</f>
        <v/>
      </c>
      <c r="P91" s="67">
        <f>'Monthly Summary'!CA91</f>
        <v/>
      </c>
      <c r="Q91" s="67">
        <f>'Monthly Summary'!CB91</f>
        <v/>
      </c>
      <c r="R91" s="68">
        <f>'Monthly Summary'!CC91</f>
        <v/>
      </c>
      <c r="S91" s="69">
        <f>'Subject-wise Summary'!S90</f>
        <v/>
      </c>
      <c r="T91" s="69">
        <f>'Subject-wise Summary'!T90</f>
        <v/>
      </c>
      <c r="U91" s="70">
        <f>'Subject-wise Summary'!U90</f>
        <v/>
      </c>
      <c r="V91" s="69">
        <f>'Subject-wise Summary'!V90</f>
        <v/>
      </c>
      <c r="W91" s="69">
        <f>'Subject-wise Summary'!W90</f>
        <v/>
      </c>
      <c r="X91" s="70">
        <f>'Subject-wise Summary'!X90</f>
        <v/>
      </c>
      <c r="Y91" s="69">
        <f>'Subject-wise Summary'!Y90</f>
        <v/>
      </c>
      <c r="Z91" s="69">
        <f>'Subject-wise Summary'!Z90</f>
        <v/>
      </c>
      <c r="AA91" s="70">
        <f>'Subject-wise Summary'!AA90</f>
        <v/>
      </c>
      <c r="AB91" s="67">
        <f>'Monthly Summary'!S91</f>
        <v/>
      </c>
      <c r="AC91" s="67">
        <f>'Monthly Summary'!T91</f>
        <v/>
      </c>
      <c r="AD91" s="68">
        <f>'Monthly Summary'!U91</f>
        <v/>
      </c>
      <c r="AE91" s="67">
        <f>'Monthly Summary'!AN91</f>
        <v/>
      </c>
      <c r="AF91" s="67">
        <f>'Monthly Summary'!AO91</f>
        <v/>
      </c>
      <c r="AG91" s="68">
        <f>'Monthly Summary'!AP91</f>
        <v/>
      </c>
      <c r="AH91" s="67">
        <f>'Monthly Summary'!BI91</f>
        <v/>
      </c>
      <c r="AI91" s="67">
        <f>'Monthly Summary'!BJ91</f>
        <v/>
      </c>
      <c r="AJ91" s="68">
        <f>'Monthly Summary'!BK91</f>
        <v/>
      </c>
      <c r="AK91" s="67">
        <f>'Monthly Summary'!CD91</f>
        <v/>
      </c>
      <c r="AL91" s="67">
        <f>'Monthly Summary'!CE91</f>
        <v/>
      </c>
      <c r="AM91" s="68">
        <f>'Monthly Summary'!CF91</f>
        <v/>
      </c>
      <c r="AN91" s="69">
        <f>'Monthly Summary'!CG91</f>
        <v/>
      </c>
      <c r="AO91" s="69">
        <f>'Monthly Summary'!CH91</f>
        <v/>
      </c>
      <c r="AP91" s="70">
        <f>'Monthly Summary'!CI91</f>
        <v/>
      </c>
      <c r="AQ91" s="67">
        <f>'Monthly Summary'!CJ91</f>
        <v/>
      </c>
      <c r="AR91" s="67">
        <f>'Monthly Summary'!CK91</f>
        <v/>
      </c>
      <c r="AS91" s="68">
        <f>'Monthly Summary'!CL91</f>
        <v/>
      </c>
      <c r="AT91" s="67" t="inlineStr">
        <is>
          <t>Batch 3</t>
        </is>
      </c>
    </row>
    <row r="92" ht="14.25" customHeight="1" s="34">
      <c r="A92" s="46" t="n">
        <v>90</v>
      </c>
      <c r="B92" s="46" t="inlineStr">
        <is>
          <t>325106410090</t>
        </is>
      </c>
      <c r="C92" s="46" t="inlineStr">
        <is>
          <t>MIKIAS GURMESA</t>
        </is>
      </c>
      <c r="D92" s="63">
        <f>'Monthly Summary'!BO92</f>
        <v/>
      </c>
      <c r="E92" s="63">
        <f>'Monthly Summary'!BP92</f>
        <v/>
      </c>
      <c r="F92" s="64">
        <f>'Monthly Summary'!BQ92</f>
        <v/>
      </c>
      <c r="G92" s="63">
        <f>'Monthly Summary'!BR92</f>
        <v/>
      </c>
      <c r="H92" s="63">
        <f>'Monthly Summary'!BS92</f>
        <v/>
      </c>
      <c r="I92" s="64">
        <f>'Monthly Summary'!BT92</f>
        <v/>
      </c>
      <c r="J92" s="63">
        <f>'Monthly Summary'!BU92</f>
        <v/>
      </c>
      <c r="K92" s="63">
        <f>'Monthly Summary'!BV92</f>
        <v/>
      </c>
      <c r="L92" s="64">
        <f>'Monthly Summary'!BW92</f>
        <v/>
      </c>
      <c r="M92" s="63">
        <f>'Monthly Summary'!BX92</f>
        <v/>
      </c>
      <c r="N92" s="67">
        <f>'Monthly Summary'!BY92</f>
        <v/>
      </c>
      <c r="O92" s="68">
        <f>'Monthly Summary'!BZ92</f>
        <v/>
      </c>
      <c r="P92" s="67">
        <f>'Monthly Summary'!CA92</f>
        <v/>
      </c>
      <c r="Q92" s="67">
        <f>'Monthly Summary'!CB92</f>
        <v/>
      </c>
      <c r="R92" s="68">
        <f>'Monthly Summary'!CC92</f>
        <v/>
      </c>
      <c r="S92" s="69">
        <f>'Subject-wise Summary'!S91</f>
        <v/>
      </c>
      <c r="T92" s="69">
        <f>'Subject-wise Summary'!T91</f>
        <v/>
      </c>
      <c r="U92" s="70">
        <f>'Subject-wise Summary'!U91</f>
        <v/>
      </c>
      <c r="V92" s="69">
        <f>'Subject-wise Summary'!V91</f>
        <v/>
      </c>
      <c r="W92" s="69">
        <f>'Subject-wise Summary'!W91</f>
        <v/>
      </c>
      <c r="X92" s="70">
        <f>'Subject-wise Summary'!X91</f>
        <v/>
      </c>
      <c r="Y92" s="69">
        <f>'Subject-wise Summary'!Y91</f>
        <v/>
      </c>
      <c r="Z92" s="69">
        <f>'Subject-wise Summary'!Z91</f>
        <v/>
      </c>
      <c r="AA92" s="70">
        <f>'Subject-wise Summary'!AA91</f>
        <v/>
      </c>
      <c r="AB92" s="67">
        <f>'Monthly Summary'!S92</f>
        <v/>
      </c>
      <c r="AC92" s="67">
        <f>'Monthly Summary'!T92</f>
        <v/>
      </c>
      <c r="AD92" s="68">
        <f>'Monthly Summary'!U92</f>
        <v/>
      </c>
      <c r="AE92" s="67">
        <f>'Monthly Summary'!AN92</f>
        <v/>
      </c>
      <c r="AF92" s="67">
        <f>'Monthly Summary'!AO92</f>
        <v/>
      </c>
      <c r="AG92" s="68">
        <f>'Monthly Summary'!AP92</f>
        <v/>
      </c>
      <c r="AH92" s="67">
        <f>'Monthly Summary'!BI92</f>
        <v/>
      </c>
      <c r="AI92" s="67">
        <f>'Monthly Summary'!BJ92</f>
        <v/>
      </c>
      <c r="AJ92" s="68">
        <f>'Monthly Summary'!BK92</f>
        <v/>
      </c>
      <c r="AK92" s="67">
        <f>'Monthly Summary'!CD92</f>
        <v/>
      </c>
      <c r="AL92" s="67">
        <f>'Monthly Summary'!CE92</f>
        <v/>
      </c>
      <c r="AM92" s="68">
        <f>'Monthly Summary'!CF92</f>
        <v/>
      </c>
      <c r="AN92" s="69">
        <f>'Monthly Summary'!CG92</f>
        <v/>
      </c>
      <c r="AO92" s="69">
        <f>'Monthly Summary'!CH92</f>
        <v/>
      </c>
      <c r="AP92" s="70">
        <f>'Monthly Summary'!CI92</f>
        <v/>
      </c>
      <c r="AQ92" s="67">
        <f>'Monthly Summary'!CJ92</f>
        <v/>
      </c>
      <c r="AR92" s="67">
        <f>'Monthly Summary'!CK92</f>
        <v/>
      </c>
      <c r="AS92" s="68">
        <f>'Monthly Summary'!CL92</f>
        <v/>
      </c>
      <c r="AT92" s="67" t="inlineStr">
        <is>
          <t>Batch 3</t>
        </is>
      </c>
    </row>
    <row r="93" ht="14.25" customHeight="1" s="34">
      <c r="A93" s="46" t="n">
        <v>91</v>
      </c>
      <c r="B93" s="46" t="inlineStr">
        <is>
          <t>325106410091</t>
        </is>
      </c>
      <c r="C93" s="46" t="inlineStr">
        <is>
          <t>MOHAMMAD MUGAHED AHMED ABDO AL-MAHDALI</t>
        </is>
      </c>
      <c r="D93" s="63">
        <f>'Monthly Summary'!BO93</f>
        <v/>
      </c>
      <c r="E93" s="63">
        <f>'Monthly Summary'!BP93</f>
        <v/>
      </c>
      <c r="F93" s="64">
        <f>'Monthly Summary'!BQ93</f>
        <v/>
      </c>
      <c r="G93" s="63">
        <f>'Monthly Summary'!BR93</f>
        <v/>
      </c>
      <c r="H93" s="63">
        <f>'Monthly Summary'!BS93</f>
        <v/>
      </c>
      <c r="I93" s="64">
        <f>'Monthly Summary'!BT93</f>
        <v/>
      </c>
      <c r="J93" s="63">
        <f>'Monthly Summary'!BU93</f>
        <v/>
      </c>
      <c r="K93" s="63">
        <f>'Monthly Summary'!BV93</f>
        <v/>
      </c>
      <c r="L93" s="64">
        <f>'Monthly Summary'!BW93</f>
        <v/>
      </c>
      <c r="M93" s="63">
        <f>'Monthly Summary'!BX93</f>
        <v/>
      </c>
      <c r="N93" s="67">
        <f>'Monthly Summary'!BY93</f>
        <v/>
      </c>
      <c r="O93" s="68">
        <f>'Monthly Summary'!BZ93</f>
        <v/>
      </c>
      <c r="P93" s="67">
        <f>'Monthly Summary'!CA93</f>
        <v/>
      </c>
      <c r="Q93" s="67">
        <f>'Monthly Summary'!CB93</f>
        <v/>
      </c>
      <c r="R93" s="68">
        <f>'Monthly Summary'!CC93</f>
        <v/>
      </c>
      <c r="S93" s="69">
        <f>'Subject-wise Summary'!S92</f>
        <v/>
      </c>
      <c r="T93" s="69">
        <f>'Subject-wise Summary'!T92</f>
        <v/>
      </c>
      <c r="U93" s="70">
        <f>'Subject-wise Summary'!U92</f>
        <v/>
      </c>
      <c r="V93" s="69">
        <f>'Subject-wise Summary'!V92</f>
        <v/>
      </c>
      <c r="W93" s="69">
        <f>'Subject-wise Summary'!W92</f>
        <v/>
      </c>
      <c r="X93" s="70">
        <f>'Subject-wise Summary'!X92</f>
        <v/>
      </c>
      <c r="Y93" s="69">
        <f>'Subject-wise Summary'!Y92</f>
        <v/>
      </c>
      <c r="Z93" s="69">
        <f>'Subject-wise Summary'!Z92</f>
        <v/>
      </c>
      <c r="AA93" s="70">
        <f>'Subject-wise Summary'!AA92</f>
        <v/>
      </c>
      <c r="AB93" s="67">
        <f>'Monthly Summary'!S93</f>
        <v/>
      </c>
      <c r="AC93" s="67">
        <f>'Monthly Summary'!T93</f>
        <v/>
      </c>
      <c r="AD93" s="68">
        <f>'Monthly Summary'!U93</f>
        <v/>
      </c>
      <c r="AE93" s="67">
        <f>'Monthly Summary'!AN93</f>
        <v/>
      </c>
      <c r="AF93" s="67">
        <f>'Monthly Summary'!AO93</f>
        <v/>
      </c>
      <c r="AG93" s="68">
        <f>'Monthly Summary'!AP93</f>
        <v/>
      </c>
      <c r="AH93" s="67">
        <f>'Monthly Summary'!BI93</f>
        <v/>
      </c>
      <c r="AI93" s="67">
        <f>'Monthly Summary'!BJ93</f>
        <v/>
      </c>
      <c r="AJ93" s="68">
        <f>'Monthly Summary'!BK93</f>
        <v/>
      </c>
      <c r="AK93" s="67">
        <f>'Monthly Summary'!CD93</f>
        <v/>
      </c>
      <c r="AL93" s="67">
        <f>'Monthly Summary'!CE93</f>
        <v/>
      </c>
      <c r="AM93" s="68">
        <f>'Monthly Summary'!CF93</f>
        <v/>
      </c>
      <c r="AN93" s="69">
        <f>'Monthly Summary'!CG93</f>
        <v/>
      </c>
      <c r="AO93" s="69">
        <f>'Monthly Summary'!CH93</f>
        <v/>
      </c>
      <c r="AP93" s="70">
        <f>'Monthly Summary'!CI93</f>
        <v/>
      </c>
      <c r="AQ93" s="67">
        <f>'Monthly Summary'!CJ93</f>
        <v/>
      </c>
      <c r="AR93" s="67">
        <f>'Monthly Summary'!CK93</f>
        <v/>
      </c>
      <c r="AS93" s="68">
        <f>'Monthly Summary'!CL93</f>
        <v/>
      </c>
      <c r="AT93" s="67" t="inlineStr">
        <is>
          <t>Batch 3</t>
        </is>
      </c>
    </row>
    <row r="94" ht="14.25" customHeight="1" s="34">
      <c r="A94" s="46" t="n">
        <v>92</v>
      </c>
      <c r="B94" s="46" t="inlineStr">
        <is>
          <t>325106410092</t>
        </is>
      </c>
      <c r="C94" s="46" t="inlineStr">
        <is>
          <t>MUGDHO CHOWDHURY</t>
        </is>
      </c>
      <c r="D94" s="63">
        <f>'Monthly Summary'!BO94</f>
        <v/>
      </c>
      <c r="E94" s="63">
        <f>'Monthly Summary'!BP94</f>
        <v/>
      </c>
      <c r="F94" s="64">
        <f>'Monthly Summary'!BQ94</f>
        <v/>
      </c>
      <c r="G94" s="63">
        <f>'Monthly Summary'!BR94</f>
        <v/>
      </c>
      <c r="H94" s="63">
        <f>'Monthly Summary'!BS94</f>
        <v/>
      </c>
      <c r="I94" s="64">
        <f>'Monthly Summary'!BT94</f>
        <v/>
      </c>
      <c r="J94" s="63">
        <f>'Monthly Summary'!BU94</f>
        <v/>
      </c>
      <c r="K94" s="63">
        <f>'Monthly Summary'!BV94</f>
        <v/>
      </c>
      <c r="L94" s="64">
        <f>'Monthly Summary'!BW94</f>
        <v/>
      </c>
      <c r="M94" s="63">
        <f>'Monthly Summary'!BX94</f>
        <v/>
      </c>
      <c r="N94" s="67">
        <f>'Monthly Summary'!BY94</f>
        <v/>
      </c>
      <c r="O94" s="68">
        <f>'Monthly Summary'!BZ94</f>
        <v/>
      </c>
      <c r="P94" s="67">
        <f>'Monthly Summary'!CA94</f>
        <v/>
      </c>
      <c r="Q94" s="67">
        <f>'Monthly Summary'!CB94</f>
        <v/>
      </c>
      <c r="R94" s="68">
        <f>'Monthly Summary'!CC94</f>
        <v/>
      </c>
      <c r="S94" s="69">
        <f>'Subject-wise Summary'!S93</f>
        <v/>
      </c>
      <c r="T94" s="69">
        <f>'Subject-wise Summary'!T93</f>
        <v/>
      </c>
      <c r="U94" s="70">
        <f>'Subject-wise Summary'!U93</f>
        <v/>
      </c>
      <c r="V94" s="69">
        <f>'Subject-wise Summary'!V93</f>
        <v/>
      </c>
      <c r="W94" s="69">
        <f>'Subject-wise Summary'!W93</f>
        <v/>
      </c>
      <c r="X94" s="70">
        <f>'Subject-wise Summary'!X93</f>
        <v/>
      </c>
      <c r="Y94" s="69">
        <f>'Subject-wise Summary'!Y93</f>
        <v/>
      </c>
      <c r="Z94" s="69">
        <f>'Subject-wise Summary'!Z93</f>
        <v/>
      </c>
      <c r="AA94" s="70">
        <f>'Subject-wise Summary'!AA93</f>
        <v/>
      </c>
      <c r="AB94" s="67">
        <f>'Monthly Summary'!S94</f>
        <v/>
      </c>
      <c r="AC94" s="67">
        <f>'Monthly Summary'!T94</f>
        <v/>
      </c>
      <c r="AD94" s="68">
        <f>'Monthly Summary'!U94</f>
        <v/>
      </c>
      <c r="AE94" s="67">
        <f>'Monthly Summary'!AN94</f>
        <v/>
      </c>
      <c r="AF94" s="67">
        <f>'Monthly Summary'!AO94</f>
        <v/>
      </c>
      <c r="AG94" s="68">
        <f>'Monthly Summary'!AP94</f>
        <v/>
      </c>
      <c r="AH94" s="67">
        <f>'Monthly Summary'!BI94</f>
        <v/>
      </c>
      <c r="AI94" s="67">
        <f>'Monthly Summary'!BJ94</f>
        <v/>
      </c>
      <c r="AJ94" s="68">
        <f>'Monthly Summary'!BK94</f>
        <v/>
      </c>
      <c r="AK94" s="67">
        <f>'Monthly Summary'!CD94</f>
        <v/>
      </c>
      <c r="AL94" s="67">
        <f>'Monthly Summary'!CE94</f>
        <v/>
      </c>
      <c r="AM94" s="68">
        <f>'Monthly Summary'!CF94</f>
        <v/>
      </c>
      <c r="AN94" s="69">
        <f>'Monthly Summary'!CG94</f>
        <v/>
      </c>
      <c r="AO94" s="69">
        <f>'Monthly Summary'!CH94</f>
        <v/>
      </c>
      <c r="AP94" s="70">
        <f>'Monthly Summary'!CI94</f>
        <v/>
      </c>
      <c r="AQ94" s="67">
        <f>'Monthly Summary'!CJ94</f>
        <v/>
      </c>
      <c r="AR94" s="67">
        <f>'Monthly Summary'!CK94</f>
        <v/>
      </c>
      <c r="AS94" s="68">
        <f>'Monthly Summary'!CL94</f>
        <v/>
      </c>
      <c r="AT94" s="67" t="inlineStr">
        <is>
          <t>Batch 3</t>
        </is>
      </c>
    </row>
    <row r="95" ht="14.25" customHeight="1" s="34">
      <c r="A95" s="46" t="n">
        <v>93</v>
      </c>
      <c r="B95" s="46" t="inlineStr">
        <is>
          <t>325106410093</t>
        </is>
      </c>
      <c r="C95" s="46" t="inlineStr">
        <is>
          <t>-------</t>
        </is>
      </c>
      <c r="D95" s="63">
        <f>'Monthly Summary'!BO95</f>
        <v/>
      </c>
      <c r="E95" s="63">
        <f>'Monthly Summary'!BP95</f>
        <v/>
      </c>
      <c r="F95" s="64">
        <f>'Monthly Summary'!BQ95</f>
        <v/>
      </c>
      <c r="G95" s="63">
        <f>'Monthly Summary'!BR95</f>
        <v/>
      </c>
      <c r="H95" s="63">
        <f>'Monthly Summary'!BS95</f>
        <v/>
      </c>
      <c r="I95" s="64">
        <f>'Monthly Summary'!BT95</f>
        <v/>
      </c>
      <c r="J95" s="63">
        <f>'Monthly Summary'!BU95</f>
        <v/>
      </c>
      <c r="K95" s="63">
        <f>'Monthly Summary'!BV95</f>
        <v/>
      </c>
      <c r="L95" s="64">
        <f>'Monthly Summary'!BW95</f>
        <v/>
      </c>
      <c r="M95" s="63">
        <f>'Monthly Summary'!BX95</f>
        <v/>
      </c>
      <c r="N95" s="67">
        <f>'Monthly Summary'!BY95</f>
        <v/>
      </c>
      <c r="O95" s="68">
        <f>'Monthly Summary'!BZ95</f>
        <v/>
      </c>
      <c r="P95" s="67">
        <f>'Monthly Summary'!CA95</f>
        <v/>
      </c>
      <c r="Q95" s="67">
        <f>'Monthly Summary'!CB95</f>
        <v/>
      </c>
      <c r="R95" s="68">
        <f>'Monthly Summary'!CC95</f>
        <v/>
      </c>
      <c r="S95" s="69">
        <f>'Subject-wise Summary'!S94</f>
        <v/>
      </c>
      <c r="T95" s="69">
        <f>'Subject-wise Summary'!T94</f>
        <v/>
      </c>
      <c r="U95" s="70">
        <f>'Subject-wise Summary'!U94</f>
        <v/>
      </c>
      <c r="V95" s="69">
        <f>'Subject-wise Summary'!V94</f>
        <v/>
      </c>
      <c r="W95" s="69">
        <f>'Subject-wise Summary'!W94</f>
        <v/>
      </c>
      <c r="X95" s="70">
        <f>'Subject-wise Summary'!X94</f>
        <v/>
      </c>
      <c r="Y95" s="69">
        <f>'Subject-wise Summary'!Y94</f>
        <v/>
      </c>
      <c r="Z95" s="69">
        <f>'Subject-wise Summary'!Z94</f>
        <v/>
      </c>
      <c r="AA95" s="70">
        <f>'Subject-wise Summary'!AA94</f>
        <v/>
      </c>
      <c r="AB95" s="67">
        <f>'Monthly Summary'!S95</f>
        <v/>
      </c>
      <c r="AC95" s="67">
        <f>'Monthly Summary'!T95</f>
        <v/>
      </c>
      <c r="AD95" s="68">
        <f>'Monthly Summary'!U95</f>
        <v/>
      </c>
      <c r="AE95" s="67">
        <f>'Monthly Summary'!AN95</f>
        <v/>
      </c>
      <c r="AF95" s="67">
        <f>'Monthly Summary'!AO95</f>
        <v/>
      </c>
      <c r="AG95" s="68">
        <f>'Monthly Summary'!AP95</f>
        <v/>
      </c>
      <c r="AH95" s="67">
        <f>'Monthly Summary'!BI95</f>
        <v/>
      </c>
      <c r="AI95" s="67">
        <f>'Monthly Summary'!BJ95</f>
        <v/>
      </c>
      <c r="AJ95" s="68">
        <f>'Monthly Summary'!BK95</f>
        <v/>
      </c>
      <c r="AK95" s="67">
        <f>'Monthly Summary'!CD95</f>
        <v/>
      </c>
      <c r="AL95" s="67">
        <f>'Monthly Summary'!CE95</f>
        <v/>
      </c>
      <c r="AM95" s="68">
        <f>'Monthly Summary'!CF95</f>
        <v/>
      </c>
      <c r="AN95" s="69">
        <f>'Monthly Summary'!CG95</f>
        <v/>
      </c>
      <c r="AO95" s="69">
        <f>'Monthly Summary'!CH95</f>
        <v/>
      </c>
      <c r="AP95" s="70">
        <f>'Monthly Summary'!CI95</f>
        <v/>
      </c>
      <c r="AQ95" s="67">
        <f>'Monthly Summary'!CJ95</f>
        <v/>
      </c>
      <c r="AR95" s="67">
        <f>'Monthly Summary'!CK95</f>
        <v/>
      </c>
      <c r="AS95" s="68">
        <f>'Monthly Summary'!CL95</f>
        <v/>
      </c>
      <c r="AT95" s="67" t="inlineStr">
        <is>
          <t>Batch 3</t>
        </is>
      </c>
    </row>
    <row r="96" ht="14.25" customHeight="1" s="34">
      <c r="A96" s="46" t="n">
        <v>94</v>
      </c>
      <c r="B96" s="46" t="inlineStr">
        <is>
          <t>325106410094</t>
        </is>
      </c>
      <c r="C96" s="46" t="inlineStr">
        <is>
          <t>NAHOM SEMAW</t>
        </is>
      </c>
      <c r="D96" s="63">
        <f>'Monthly Summary'!BO96</f>
        <v/>
      </c>
      <c r="E96" s="63">
        <f>'Monthly Summary'!BP96</f>
        <v/>
      </c>
      <c r="F96" s="64">
        <f>'Monthly Summary'!BQ96</f>
        <v/>
      </c>
      <c r="G96" s="63">
        <f>'Monthly Summary'!BR96</f>
        <v/>
      </c>
      <c r="H96" s="63">
        <f>'Monthly Summary'!BS96</f>
        <v/>
      </c>
      <c r="I96" s="64">
        <f>'Monthly Summary'!BT96</f>
        <v/>
      </c>
      <c r="J96" s="63">
        <f>'Monthly Summary'!BU96</f>
        <v/>
      </c>
      <c r="K96" s="63">
        <f>'Monthly Summary'!BV96</f>
        <v/>
      </c>
      <c r="L96" s="64">
        <f>'Monthly Summary'!BW96</f>
        <v/>
      </c>
      <c r="M96" s="63">
        <f>'Monthly Summary'!BX96</f>
        <v/>
      </c>
      <c r="N96" s="67">
        <f>'Monthly Summary'!BY96</f>
        <v/>
      </c>
      <c r="O96" s="68">
        <f>'Monthly Summary'!BZ96</f>
        <v/>
      </c>
      <c r="P96" s="67">
        <f>'Monthly Summary'!CA96</f>
        <v/>
      </c>
      <c r="Q96" s="67">
        <f>'Monthly Summary'!CB96</f>
        <v/>
      </c>
      <c r="R96" s="68">
        <f>'Monthly Summary'!CC96</f>
        <v/>
      </c>
      <c r="S96" s="69">
        <f>'Subject-wise Summary'!S95</f>
        <v/>
      </c>
      <c r="T96" s="69">
        <f>'Subject-wise Summary'!T95</f>
        <v/>
      </c>
      <c r="U96" s="70">
        <f>'Subject-wise Summary'!U95</f>
        <v/>
      </c>
      <c r="V96" s="69">
        <f>'Subject-wise Summary'!V95</f>
        <v/>
      </c>
      <c r="W96" s="69">
        <f>'Subject-wise Summary'!W95</f>
        <v/>
      </c>
      <c r="X96" s="70">
        <f>'Subject-wise Summary'!X95</f>
        <v/>
      </c>
      <c r="Y96" s="69">
        <f>'Subject-wise Summary'!Y95</f>
        <v/>
      </c>
      <c r="Z96" s="69">
        <f>'Subject-wise Summary'!Z95</f>
        <v/>
      </c>
      <c r="AA96" s="70">
        <f>'Subject-wise Summary'!AA95</f>
        <v/>
      </c>
      <c r="AB96" s="67">
        <f>'Monthly Summary'!S96</f>
        <v/>
      </c>
      <c r="AC96" s="67">
        <f>'Monthly Summary'!T96</f>
        <v/>
      </c>
      <c r="AD96" s="68">
        <f>'Monthly Summary'!U96</f>
        <v/>
      </c>
      <c r="AE96" s="67">
        <f>'Monthly Summary'!AN96</f>
        <v/>
      </c>
      <c r="AF96" s="67">
        <f>'Monthly Summary'!AO96</f>
        <v/>
      </c>
      <c r="AG96" s="68">
        <f>'Monthly Summary'!AP96</f>
        <v/>
      </c>
      <c r="AH96" s="67">
        <f>'Monthly Summary'!BI96</f>
        <v/>
      </c>
      <c r="AI96" s="67">
        <f>'Monthly Summary'!BJ96</f>
        <v/>
      </c>
      <c r="AJ96" s="68">
        <f>'Monthly Summary'!BK96</f>
        <v/>
      </c>
      <c r="AK96" s="67">
        <f>'Monthly Summary'!CD96</f>
        <v/>
      </c>
      <c r="AL96" s="67">
        <f>'Monthly Summary'!CE96</f>
        <v/>
      </c>
      <c r="AM96" s="68">
        <f>'Monthly Summary'!CF96</f>
        <v/>
      </c>
      <c r="AN96" s="69">
        <f>'Monthly Summary'!CG96</f>
        <v/>
      </c>
      <c r="AO96" s="69">
        <f>'Monthly Summary'!CH96</f>
        <v/>
      </c>
      <c r="AP96" s="70">
        <f>'Monthly Summary'!CI96</f>
        <v/>
      </c>
      <c r="AQ96" s="67">
        <f>'Monthly Summary'!CJ96</f>
        <v/>
      </c>
      <c r="AR96" s="67">
        <f>'Monthly Summary'!CK96</f>
        <v/>
      </c>
      <c r="AS96" s="68">
        <f>'Monthly Summary'!CL96</f>
        <v/>
      </c>
      <c r="AT96" s="67" t="inlineStr">
        <is>
          <t>Batch 3</t>
        </is>
      </c>
    </row>
    <row r="97" ht="14.25" customHeight="1" s="34">
      <c r="A97" s="46" t="n">
        <v>95</v>
      </c>
      <c r="B97" s="46" t="inlineStr">
        <is>
          <t>325106410095</t>
        </is>
      </c>
      <c r="C97" s="46" t="inlineStr">
        <is>
          <t>NGELEPETE NGELEPETE</t>
        </is>
      </c>
      <c r="D97" s="63">
        <f>'Monthly Summary'!BO97</f>
        <v/>
      </c>
      <c r="E97" s="63">
        <f>'Monthly Summary'!BP97</f>
        <v/>
      </c>
      <c r="F97" s="64">
        <f>'Monthly Summary'!BQ97</f>
        <v/>
      </c>
      <c r="G97" s="63">
        <f>'Monthly Summary'!BR97</f>
        <v/>
      </c>
      <c r="H97" s="63">
        <f>'Monthly Summary'!BS97</f>
        <v/>
      </c>
      <c r="I97" s="64">
        <f>'Monthly Summary'!BT97</f>
        <v/>
      </c>
      <c r="J97" s="63">
        <f>'Monthly Summary'!BU97</f>
        <v/>
      </c>
      <c r="K97" s="63">
        <f>'Monthly Summary'!BV97</f>
        <v/>
      </c>
      <c r="L97" s="64">
        <f>'Monthly Summary'!BW97</f>
        <v/>
      </c>
      <c r="M97" s="63">
        <f>'Monthly Summary'!BX97</f>
        <v/>
      </c>
      <c r="N97" s="67">
        <f>'Monthly Summary'!BY97</f>
        <v/>
      </c>
      <c r="O97" s="68">
        <f>'Monthly Summary'!BZ97</f>
        <v/>
      </c>
      <c r="P97" s="67">
        <f>'Monthly Summary'!CA97</f>
        <v/>
      </c>
      <c r="Q97" s="67">
        <f>'Monthly Summary'!CB97</f>
        <v/>
      </c>
      <c r="R97" s="68">
        <f>'Monthly Summary'!CC97</f>
        <v/>
      </c>
      <c r="S97" s="69">
        <f>'Subject-wise Summary'!S96</f>
        <v/>
      </c>
      <c r="T97" s="69">
        <f>'Subject-wise Summary'!T96</f>
        <v/>
      </c>
      <c r="U97" s="70">
        <f>'Subject-wise Summary'!U96</f>
        <v/>
      </c>
      <c r="V97" s="69">
        <f>'Subject-wise Summary'!V96</f>
        <v/>
      </c>
      <c r="W97" s="69">
        <f>'Subject-wise Summary'!W96</f>
        <v/>
      </c>
      <c r="X97" s="70">
        <f>'Subject-wise Summary'!X96</f>
        <v/>
      </c>
      <c r="Y97" s="69">
        <f>'Subject-wise Summary'!Y96</f>
        <v/>
      </c>
      <c r="Z97" s="69">
        <f>'Subject-wise Summary'!Z96</f>
        <v/>
      </c>
      <c r="AA97" s="70">
        <f>'Subject-wise Summary'!AA96</f>
        <v/>
      </c>
      <c r="AB97" s="67">
        <f>'Monthly Summary'!S97</f>
        <v/>
      </c>
      <c r="AC97" s="67">
        <f>'Monthly Summary'!T97</f>
        <v/>
      </c>
      <c r="AD97" s="68">
        <f>'Monthly Summary'!U97</f>
        <v/>
      </c>
      <c r="AE97" s="67">
        <f>'Monthly Summary'!AN97</f>
        <v/>
      </c>
      <c r="AF97" s="67">
        <f>'Monthly Summary'!AO97</f>
        <v/>
      </c>
      <c r="AG97" s="68">
        <f>'Monthly Summary'!AP97</f>
        <v/>
      </c>
      <c r="AH97" s="67">
        <f>'Monthly Summary'!BI97</f>
        <v/>
      </c>
      <c r="AI97" s="67">
        <f>'Monthly Summary'!BJ97</f>
        <v/>
      </c>
      <c r="AJ97" s="68">
        <f>'Monthly Summary'!BK97</f>
        <v/>
      </c>
      <c r="AK97" s="67">
        <f>'Monthly Summary'!CD97</f>
        <v/>
      </c>
      <c r="AL97" s="67">
        <f>'Monthly Summary'!CE97</f>
        <v/>
      </c>
      <c r="AM97" s="68">
        <f>'Monthly Summary'!CF97</f>
        <v/>
      </c>
      <c r="AN97" s="69">
        <f>'Monthly Summary'!CG97</f>
        <v/>
      </c>
      <c r="AO97" s="69">
        <f>'Monthly Summary'!CH97</f>
        <v/>
      </c>
      <c r="AP97" s="70">
        <f>'Monthly Summary'!CI97</f>
        <v/>
      </c>
      <c r="AQ97" s="67">
        <f>'Monthly Summary'!CJ97</f>
        <v/>
      </c>
      <c r="AR97" s="67">
        <f>'Monthly Summary'!CK97</f>
        <v/>
      </c>
      <c r="AS97" s="68">
        <f>'Monthly Summary'!CL97</f>
        <v/>
      </c>
      <c r="AT97" s="67" t="inlineStr">
        <is>
          <t>Batch 3</t>
        </is>
      </c>
    </row>
    <row r="98" ht="14.25" customHeight="1" s="34">
      <c r="A98" s="46" t="n">
        <v>96</v>
      </c>
      <c r="B98" s="46" t="inlineStr">
        <is>
          <t>325106410096</t>
        </is>
      </c>
      <c r="C98" s="46" t="inlineStr">
        <is>
          <t>NILMONI CHOWDHURY</t>
        </is>
      </c>
      <c r="D98" s="63">
        <f>'Monthly Summary'!BO98</f>
        <v/>
      </c>
      <c r="E98" s="63">
        <f>'Monthly Summary'!BP98</f>
        <v/>
      </c>
      <c r="F98" s="64">
        <f>'Monthly Summary'!BQ98</f>
        <v/>
      </c>
      <c r="G98" s="63">
        <f>'Monthly Summary'!BR98</f>
        <v/>
      </c>
      <c r="H98" s="63">
        <f>'Monthly Summary'!BS98</f>
        <v/>
      </c>
      <c r="I98" s="64">
        <f>'Monthly Summary'!BT98</f>
        <v/>
      </c>
      <c r="J98" s="63">
        <f>'Monthly Summary'!BU98</f>
        <v/>
      </c>
      <c r="K98" s="63">
        <f>'Monthly Summary'!BV98</f>
        <v/>
      </c>
      <c r="L98" s="64">
        <f>'Monthly Summary'!BW98</f>
        <v/>
      </c>
      <c r="M98" s="63">
        <f>'Monthly Summary'!BX98</f>
        <v/>
      </c>
      <c r="N98" s="67">
        <f>'Monthly Summary'!BY98</f>
        <v/>
      </c>
      <c r="O98" s="68">
        <f>'Monthly Summary'!BZ98</f>
        <v/>
      </c>
      <c r="P98" s="67">
        <f>'Monthly Summary'!CA98</f>
        <v/>
      </c>
      <c r="Q98" s="67">
        <f>'Monthly Summary'!CB98</f>
        <v/>
      </c>
      <c r="R98" s="68">
        <f>'Monthly Summary'!CC98</f>
        <v/>
      </c>
      <c r="S98" s="69">
        <f>'Subject-wise Summary'!S97</f>
        <v/>
      </c>
      <c r="T98" s="69">
        <f>'Subject-wise Summary'!T97</f>
        <v/>
      </c>
      <c r="U98" s="70">
        <f>'Subject-wise Summary'!U97</f>
        <v/>
      </c>
      <c r="V98" s="69">
        <f>'Subject-wise Summary'!V97</f>
        <v/>
      </c>
      <c r="W98" s="69">
        <f>'Subject-wise Summary'!W97</f>
        <v/>
      </c>
      <c r="X98" s="70">
        <f>'Subject-wise Summary'!X97</f>
        <v/>
      </c>
      <c r="Y98" s="69">
        <f>'Subject-wise Summary'!Y97</f>
        <v/>
      </c>
      <c r="Z98" s="69">
        <f>'Subject-wise Summary'!Z97</f>
        <v/>
      </c>
      <c r="AA98" s="70">
        <f>'Subject-wise Summary'!AA97</f>
        <v/>
      </c>
      <c r="AB98" s="67">
        <f>'Monthly Summary'!S98</f>
        <v/>
      </c>
      <c r="AC98" s="67">
        <f>'Monthly Summary'!T98</f>
        <v/>
      </c>
      <c r="AD98" s="68">
        <f>'Monthly Summary'!U98</f>
        <v/>
      </c>
      <c r="AE98" s="67">
        <f>'Monthly Summary'!AN98</f>
        <v/>
      </c>
      <c r="AF98" s="67">
        <f>'Monthly Summary'!AO98</f>
        <v/>
      </c>
      <c r="AG98" s="68">
        <f>'Monthly Summary'!AP98</f>
        <v/>
      </c>
      <c r="AH98" s="67">
        <f>'Monthly Summary'!BI98</f>
        <v/>
      </c>
      <c r="AI98" s="67">
        <f>'Monthly Summary'!BJ98</f>
        <v/>
      </c>
      <c r="AJ98" s="68">
        <f>'Monthly Summary'!BK98</f>
        <v/>
      </c>
      <c r="AK98" s="67">
        <f>'Monthly Summary'!CD98</f>
        <v/>
      </c>
      <c r="AL98" s="67">
        <f>'Monthly Summary'!CE98</f>
        <v/>
      </c>
      <c r="AM98" s="68">
        <f>'Monthly Summary'!CF98</f>
        <v/>
      </c>
      <c r="AN98" s="69">
        <f>'Monthly Summary'!CG98</f>
        <v/>
      </c>
      <c r="AO98" s="69">
        <f>'Monthly Summary'!CH98</f>
        <v/>
      </c>
      <c r="AP98" s="70">
        <f>'Monthly Summary'!CI98</f>
        <v/>
      </c>
      <c r="AQ98" s="67">
        <f>'Monthly Summary'!CJ98</f>
        <v/>
      </c>
      <c r="AR98" s="67">
        <f>'Monthly Summary'!CK98</f>
        <v/>
      </c>
      <c r="AS98" s="68">
        <f>'Monthly Summary'!CL98</f>
        <v/>
      </c>
      <c r="AT98" s="67" t="inlineStr">
        <is>
          <t>Batch 3</t>
        </is>
      </c>
    </row>
    <row r="99" ht="14.25" customHeight="1" s="34">
      <c r="A99" s="46" t="n">
        <v>97</v>
      </c>
      <c r="B99" s="46" t="inlineStr">
        <is>
          <t>325106410097</t>
        </is>
      </c>
      <c r="C99" s="46" t="inlineStr">
        <is>
          <t>NOB PANHATHIROT</t>
        </is>
      </c>
      <c r="D99" s="63">
        <f>'Monthly Summary'!BO99</f>
        <v/>
      </c>
      <c r="E99" s="63">
        <f>'Monthly Summary'!BP99</f>
        <v/>
      </c>
      <c r="F99" s="64">
        <f>'Monthly Summary'!BQ99</f>
        <v/>
      </c>
      <c r="G99" s="63">
        <f>'Monthly Summary'!BR99</f>
        <v/>
      </c>
      <c r="H99" s="63">
        <f>'Monthly Summary'!BS99</f>
        <v/>
      </c>
      <c r="I99" s="64">
        <f>'Monthly Summary'!BT99</f>
        <v/>
      </c>
      <c r="J99" s="63">
        <f>'Monthly Summary'!BU99</f>
        <v/>
      </c>
      <c r="K99" s="63">
        <f>'Monthly Summary'!BV99</f>
        <v/>
      </c>
      <c r="L99" s="64">
        <f>'Monthly Summary'!BW99</f>
        <v/>
      </c>
      <c r="M99" s="63">
        <f>'Monthly Summary'!BX99</f>
        <v/>
      </c>
      <c r="N99" s="67">
        <f>'Monthly Summary'!BY99</f>
        <v/>
      </c>
      <c r="O99" s="68">
        <f>'Monthly Summary'!BZ99</f>
        <v/>
      </c>
      <c r="P99" s="67">
        <f>'Monthly Summary'!CA99</f>
        <v/>
      </c>
      <c r="Q99" s="67">
        <f>'Monthly Summary'!CB99</f>
        <v/>
      </c>
      <c r="R99" s="68">
        <f>'Monthly Summary'!CC99</f>
        <v/>
      </c>
      <c r="S99" s="69">
        <f>'Subject-wise Summary'!S98</f>
        <v/>
      </c>
      <c r="T99" s="69">
        <f>'Subject-wise Summary'!T98</f>
        <v/>
      </c>
      <c r="U99" s="70">
        <f>'Subject-wise Summary'!U98</f>
        <v/>
      </c>
      <c r="V99" s="69">
        <f>'Subject-wise Summary'!V98</f>
        <v/>
      </c>
      <c r="W99" s="69">
        <f>'Subject-wise Summary'!W98</f>
        <v/>
      </c>
      <c r="X99" s="70">
        <f>'Subject-wise Summary'!X98</f>
        <v/>
      </c>
      <c r="Y99" s="69">
        <f>'Subject-wise Summary'!Y98</f>
        <v/>
      </c>
      <c r="Z99" s="69">
        <f>'Subject-wise Summary'!Z98</f>
        <v/>
      </c>
      <c r="AA99" s="70">
        <f>'Subject-wise Summary'!AA98</f>
        <v/>
      </c>
      <c r="AB99" s="67">
        <f>'Monthly Summary'!S99</f>
        <v/>
      </c>
      <c r="AC99" s="67">
        <f>'Monthly Summary'!T99</f>
        <v/>
      </c>
      <c r="AD99" s="68">
        <f>'Monthly Summary'!U99</f>
        <v/>
      </c>
      <c r="AE99" s="67">
        <f>'Monthly Summary'!AN99</f>
        <v/>
      </c>
      <c r="AF99" s="67">
        <f>'Monthly Summary'!AO99</f>
        <v/>
      </c>
      <c r="AG99" s="68">
        <f>'Monthly Summary'!AP99</f>
        <v/>
      </c>
      <c r="AH99" s="67">
        <f>'Monthly Summary'!BI99</f>
        <v/>
      </c>
      <c r="AI99" s="67">
        <f>'Monthly Summary'!BJ99</f>
        <v/>
      </c>
      <c r="AJ99" s="68">
        <f>'Monthly Summary'!BK99</f>
        <v/>
      </c>
      <c r="AK99" s="67">
        <f>'Monthly Summary'!CD99</f>
        <v/>
      </c>
      <c r="AL99" s="67">
        <f>'Monthly Summary'!CE99</f>
        <v/>
      </c>
      <c r="AM99" s="68">
        <f>'Monthly Summary'!CF99</f>
        <v/>
      </c>
      <c r="AN99" s="69">
        <f>'Monthly Summary'!CG99</f>
        <v/>
      </c>
      <c r="AO99" s="69">
        <f>'Monthly Summary'!CH99</f>
        <v/>
      </c>
      <c r="AP99" s="70">
        <f>'Monthly Summary'!CI99</f>
        <v/>
      </c>
      <c r="AQ99" s="67">
        <f>'Monthly Summary'!CJ99</f>
        <v/>
      </c>
      <c r="AR99" s="67">
        <f>'Monthly Summary'!CK99</f>
        <v/>
      </c>
      <c r="AS99" s="68">
        <f>'Monthly Summary'!CL99</f>
        <v/>
      </c>
      <c r="AT99" s="67" t="inlineStr">
        <is>
          <t>Batch 3</t>
        </is>
      </c>
    </row>
    <row r="100" ht="14.25" customHeight="1" s="34">
      <c r="A100" s="46" t="n">
        <v>98</v>
      </c>
      <c r="B100" s="46" t="inlineStr">
        <is>
          <t>325106410098</t>
        </is>
      </c>
      <c r="C100" s="46" t="inlineStr">
        <is>
          <t>OMAR TAMOU EL HABIB ANFANE</t>
        </is>
      </c>
      <c r="D100" s="63">
        <f>'Monthly Summary'!BO100</f>
        <v/>
      </c>
      <c r="E100" s="63">
        <f>'Monthly Summary'!BP100</f>
        <v/>
      </c>
      <c r="F100" s="64">
        <f>'Monthly Summary'!BQ100</f>
        <v/>
      </c>
      <c r="G100" s="63">
        <f>'Monthly Summary'!BR100</f>
        <v/>
      </c>
      <c r="H100" s="63">
        <f>'Monthly Summary'!BS100</f>
        <v/>
      </c>
      <c r="I100" s="64">
        <f>'Monthly Summary'!BT100</f>
        <v/>
      </c>
      <c r="J100" s="63">
        <f>'Monthly Summary'!BU100</f>
        <v/>
      </c>
      <c r="K100" s="63">
        <f>'Monthly Summary'!BV100</f>
        <v/>
      </c>
      <c r="L100" s="64">
        <f>'Monthly Summary'!BW100</f>
        <v/>
      </c>
      <c r="M100" s="63">
        <f>'Monthly Summary'!BX100</f>
        <v/>
      </c>
      <c r="N100" s="67">
        <f>'Monthly Summary'!BY100</f>
        <v/>
      </c>
      <c r="O100" s="68">
        <f>'Monthly Summary'!BZ100</f>
        <v/>
      </c>
      <c r="P100" s="67">
        <f>'Monthly Summary'!CA100</f>
        <v/>
      </c>
      <c r="Q100" s="67">
        <f>'Monthly Summary'!CB100</f>
        <v/>
      </c>
      <c r="R100" s="68">
        <f>'Monthly Summary'!CC100</f>
        <v/>
      </c>
      <c r="S100" s="69">
        <f>'Subject-wise Summary'!S99</f>
        <v/>
      </c>
      <c r="T100" s="69">
        <f>'Subject-wise Summary'!T99</f>
        <v/>
      </c>
      <c r="U100" s="70">
        <f>'Subject-wise Summary'!U99</f>
        <v/>
      </c>
      <c r="V100" s="69">
        <f>'Subject-wise Summary'!V99</f>
        <v/>
      </c>
      <c r="W100" s="69">
        <f>'Subject-wise Summary'!W99</f>
        <v/>
      </c>
      <c r="X100" s="70">
        <f>'Subject-wise Summary'!X99</f>
        <v/>
      </c>
      <c r="Y100" s="69">
        <f>'Subject-wise Summary'!Y99</f>
        <v/>
      </c>
      <c r="Z100" s="69">
        <f>'Subject-wise Summary'!Z99</f>
        <v/>
      </c>
      <c r="AA100" s="70">
        <f>'Subject-wise Summary'!AA99</f>
        <v/>
      </c>
      <c r="AB100" s="67">
        <f>'Monthly Summary'!S100</f>
        <v/>
      </c>
      <c r="AC100" s="67">
        <f>'Monthly Summary'!T100</f>
        <v/>
      </c>
      <c r="AD100" s="68">
        <f>'Monthly Summary'!U100</f>
        <v/>
      </c>
      <c r="AE100" s="67">
        <f>'Monthly Summary'!AN100</f>
        <v/>
      </c>
      <c r="AF100" s="67">
        <f>'Monthly Summary'!AO100</f>
        <v/>
      </c>
      <c r="AG100" s="68">
        <f>'Monthly Summary'!AP100</f>
        <v/>
      </c>
      <c r="AH100" s="67">
        <f>'Monthly Summary'!BI100</f>
        <v/>
      </c>
      <c r="AI100" s="67">
        <f>'Monthly Summary'!BJ100</f>
        <v/>
      </c>
      <c r="AJ100" s="68">
        <f>'Monthly Summary'!BK100</f>
        <v/>
      </c>
      <c r="AK100" s="67">
        <f>'Monthly Summary'!CD100</f>
        <v/>
      </c>
      <c r="AL100" s="67">
        <f>'Monthly Summary'!CE100</f>
        <v/>
      </c>
      <c r="AM100" s="68">
        <f>'Monthly Summary'!CF100</f>
        <v/>
      </c>
      <c r="AN100" s="69">
        <f>'Monthly Summary'!CG100</f>
        <v/>
      </c>
      <c r="AO100" s="69">
        <f>'Monthly Summary'!CH100</f>
        <v/>
      </c>
      <c r="AP100" s="70">
        <f>'Monthly Summary'!CI100</f>
        <v/>
      </c>
      <c r="AQ100" s="67">
        <f>'Monthly Summary'!CJ100</f>
        <v/>
      </c>
      <c r="AR100" s="67">
        <f>'Monthly Summary'!CK100</f>
        <v/>
      </c>
      <c r="AS100" s="68">
        <f>'Monthly Summary'!CL100</f>
        <v/>
      </c>
      <c r="AT100" s="67" t="inlineStr">
        <is>
          <t>Batch 3</t>
        </is>
      </c>
    </row>
    <row r="101" ht="14.25" customHeight="1" s="34">
      <c r="A101" s="46" t="n">
        <v>99</v>
      </c>
      <c r="B101" s="46" t="inlineStr">
        <is>
          <t>325106410099</t>
        </is>
      </c>
      <c r="C101" s="46" t="inlineStr">
        <is>
          <t>OSCAR MANSIAMINA JUNIOR</t>
        </is>
      </c>
      <c r="D101" s="63">
        <f>'Monthly Summary'!BO101</f>
        <v/>
      </c>
      <c r="E101" s="63">
        <f>'Monthly Summary'!BP101</f>
        <v/>
      </c>
      <c r="F101" s="64">
        <f>'Monthly Summary'!BQ101</f>
        <v/>
      </c>
      <c r="G101" s="63">
        <f>'Monthly Summary'!BR101</f>
        <v/>
      </c>
      <c r="H101" s="63">
        <f>'Monthly Summary'!BS101</f>
        <v/>
      </c>
      <c r="I101" s="64">
        <f>'Monthly Summary'!BT101</f>
        <v/>
      </c>
      <c r="J101" s="63">
        <f>'Monthly Summary'!BU101</f>
        <v/>
      </c>
      <c r="K101" s="63">
        <f>'Monthly Summary'!BV101</f>
        <v/>
      </c>
      <c r="L101" s="64">
        <f>'Monthly Summary'!BW101</f>
        <v/>
      </c>
      <c r="M101" s="63">
        <f>'Monthly Summary'!BX101</f>
        <v/>
      </c>
      <c r="N101" s="67">
        <f>'Monthly Summary'!BY101</f>
        <v/>
      </c>
      <c r="O101" s="68">
        <f>'Monthly Summary'!BZ101</f>
        <v/>
      </c>
      <c r="P101" s="67">
        <f>'Monthly Summary'!CA101</f>
        <v/>
      </c>
      <c r="Q101" s="67">
        <f>'Monthly Summary'!CB101</f>
        <v/>
      </c>
      <c r="R101" s="68">
        <f>'Monthly Summary'!CC101</f>
        <v/>
      </c>
      <c r="S101" s="69">
        <f>'Subject-wise Summary'!S100</f>
        <v/>
      </c>
      <c r="T101" s="69">
        <f>'Subject-wise Summary'!T100</f>
        <v/>
      </c>
      <c r="U101" s="70">
        <f>'Subject-wise Summary'!U100</f>
        <v/>
      </c>
      <c r="V101" s="69">
        <f>'Subject-wise Summary'!V100</f>
        <v/>
      </c>
      <c r="W101" s="69">
        <f>'Subject-wise Summary'!W100</f>
        <v/>
      </c>
      <c r="X101" s="70">
        <f>'Subject-wise Summary'!X100</f>
        <v/>
      </c>
      <c r="Y101" s="69">
        <f>'Subject-wise Summary'!Y100</f>
        <v/>
      </c>
      <c r="Z101" s="69">
        <f>'Subject-wise Summary'!Z100</f>
        <v/>
      </c>
      <c r="AA101" s="70">
        <f>'Subject-wise Summary'!AA100</f>
        <v/>
      </c>
      <c r="AB101" s="67">
        <f>'Monthly Summary'!S101</f>
        <v/>
      </c>
      <c r="AC101" s="67">
        <f>'Monthly Summary'!T101</f>
        <v/>
      </c>
      <c r="AD101" s="68">
        <f>'Monthly Summary'!U101</f>
        <v/>
      </c>
      <c r="AE101" s="67">
        <f>'Monthly Summary'!AN101</f>
        <v/>
      </c>
      <c r="AF101" s="67">
        <f>'Monthly Summary'!AO101</f>
        <v/>
      </c>
      <c r="AG101" s="68">
        <f>'Monthly Summary'!AP101</f>
        <v/>
      </c>
      <c r="AH101" s="67">
        <f>'Monthly Summary'!BI101</f>
        <v/>
      </c>
      <c r="AI101" s="67">
        <f>'Monthly Summary'!BJ101</f>
        <v/>
      </c>
      <c r="AJ101" s="68">
        <f>'Monthly Summary'!BK101</f>
        <v/>
      </c>
      <c r="AK101" s="67">
        <f>'Monthly Summary'!CD101</f>
        <v/>
      </c>
      <c r="AL101" s="67">
        <f>'Monthly Summary'!CE101</f>
        <v/>
      </c>
      <c r="AM101" s="68">
        <f>'Monthly Summary'!CF101</f>
        <v/>
      </c>
      <c r="AN101" s="69">
        <f>'Monthly Summary'!CG101</f>
        <v/>
      </c>
      <c r="AO101" s="69">
        <f>'Monthly Summary'!CH101</f>
        <v/>
      </c>
      <c r="AP101" s="70">
        <f>'Monthly Summary'!CI101</f>
        <v/>
      </c>
      <c r="AQ101" s="67">
        <f>'Monthly Summary'!CJ101</f>
        <v/>
      </c>
      <c r="AR101" s="67">
        <f>'Monthly Summary'!CK101</f>
        <v/>
      </c>
      <c r="AS101" s="68">
        <f>'Monthly Summary'!CL101</f>
        <v/>
      </c>
      <c r="AT101" s="67" t="inlineStr">
        <is>
          <t>Batch 3</t>
        </is>
      </c>
    </row>
    <row r="102" ht="14.25" customHeight="1" s="34">
      <c r="A102" s="46" t="n">
        <v>100</v>
      </c>
      <c r="B102" s="46" t="inlineStr">
        <is>
          <t>325106410100</t>
        </is>
      </c>
      <c r="C102" s="46" t="inlineStr">
        <is>
          <t>BERNARD OWUSU OKYERE</t>
        </is>
      </c>
      <c r="D102" s="63">
        <f>'Monthly Summary'!BO102</f>
        <v/>
      </c>
      <c r="E102" s="63">
        <f>'Monthly Summary'!BP102</f>
        <v/>
      </c>
      <c r="F102" s="64">
        <f>'Monthly Summary'!BQ102</f>
        <v/>
      </c>
      <c r="G102" s="63">
        <f>'Monthly Summary'!BR102</f>
        <v/>
      </c>
      <c r="H102" s="63">
        <f>'Monthly Summary'!BS102</f>
        <v/>
      </c>
      <c r="I102" s="64">
        <f>'Monthly Summary'!BT102</f>
        <v/>
      </c>
      <c r="J102" s="63">
        <f>'Monthly Summary'!BU102</f>
        <v/>
      </c>
      <c r="K102" s="63">
        <f>'Monthly Summary'!BV102</f>
        <v/>
      </c>
      <c r="L102" s="64">
        <f>'Monthly Summary'!BW102</f>
        <v/>
      </c>
      <c r="M102" s="63">
        <f>'Monthly Summary'!BX102</f>
        <v/>
      </c>
      <c r="N102" s="67">
        <f>'Monthly Summary'!BY102</f>
        <v/>
      </c>
      <c r="O102" s="68">
        <f>'Monthly Summary'!BZ102</f>
        <v/>
      </c>
      <c r="P102" s="67">
        <f>'Monthly Summary'!CA102</f>
        <v/>
      </c>
      <c r="Q102" s="67">
        <f>'Monthly Summary'!CB102</f>
        <v/>
      </c>
      <c r="R102" s="68">
        <f>'Monthly Summary'!CC102</f>
        <v/>
      </c>
      <c r="S102" s="69">
        <f>'Subject-wise Summary'!S101</f>
        <v/>
      </c>
      <c r="T102" s="69">
        <f>'Subject-wise Summary'!T101</f>
        <v/>
      </c>
      <c r="U102" s="70">
        <f>'Subject-wise Summary'!U101</f>
        <v/>
      </c>
      <c r="V102" s="69">
        <f>'Subject-wise Summary'!V101</f>
        <v/>
      </c>
      <c r="W102" s="69">
        <f>'Subject-wise Summary'!W101</f>
        <v/>
      </c>
      <c r="X102" s="70">
        <f>'Subject-wise Summary'!X101</f>
        <v/>
      </c>
      <c r="Y102" s="69">
        <f>'Subject-wise Summary'!Y101</f>
        <v/>
      </c>
      <c r="Z102" s="69">
        <f>'Subject-wise Summary'!Z101</f>
        <v/>
      </c>
      <c r="AA102" s="70">
        <f>'Subject-wise Summary'!AA101</f>
        <v/>
      </c>
      <c r="AB102" s="67">
        <f>'Monthly Summary'!S102</f>
        <v/>
      </c>
      <c r="AC102" s="67">
        <f>'Monthly Summary'!T102</f>
        <v/>
      </c>
      <c r="AD102" s="68">
        <f>'Monthly Summary'!U102</f>
        <v/>
      </c>
      <c r="AE102" s="67">
        <f>'Monthly Summary'!AN102</f>
        <v/>
      </c>
      <c r="AF102" s="67">
        <f>'Monthly Summary'!AO102</f>
        <v/>
      </c>
      <c r="AG102" s="68">
        <f>'Monthly Summary'!AP102</f>
        <v/>
      </c>
      <c r="AH102" s="67">
        <f>'Monthly Summary'!BI102</f>
        <v/>
      </c>
      <c r="AI102" s="67">
        <f>'Monthly Summary'!BJ102</f>
        <v/>
      </c>
      <c r="AJ102" s="68">
        <f>'Monthly Summary'!BK102</f>
        <v/>
      </c>
      <c r="AK102" s="67">
        <f>'Monthly Summary'!CD102</f>
        <v/>
      </c>
      <c r="AL102" s="67">
        <f>'Monthly Summary'!CE102</f>
        <v/>
      </c>
      <c r="AM102" s="68">
        <f>'Monthly Summary'!CF102</f>
        <v/>
      </c>
      <c r="AN102" s="69">
        <f>'Monthly Summary'!CG102</f>
        <v/>
      </c>
      <c r="AO102" s="69">
        <f>'Monthly Summary'!CH102</f>
        <v/>
      </c>
      <c r="AP102" s="70">
        <f>'Monthly Summary'!CI102</f>
        <v/>
      </c>
      <c r="AQ102" s="67">
        <f>'Monthly Summary'!CJ102</f>
        <v/>
      </c>
      <c r="AR102" s="67">
        <f>'Monthly Summary'!CK102</f>
        <v/>
      </c>
      <c r="AS102" s="68">
        <f>'Monthly Summary'!CL102</f>
        <v/>
      </c>
      <c r="AT102" s="67" t="inlineStr">
        <is>
          <t>Batch 3</t>
        </is>
      </c>
    </row>
    <row r="103" ht="14.25" customHeight="1" s="34">
      <c r="A103" s="46" t="n">
        <v>101</v>
      </c>
      <c r="B103" s="46" t="inlineStr">
        <is>
          <t>325106410101</t>
        </is>
      </c>
      <c r="C103" s="46" t="inlineStr">
        <is>
          <t>PROHOR PAL</t>
        </is>
      </c>
      <c r="D103" s="63">
        <f>'Monthly Summary'!BO103</f>
        <v/>
      </c>
      <c r="E103" s="63">
        <f>'Monthly Summary'!BP103</f>
        <v/>
      </c>
      <c r="F103" s="64">
        <f>'Monthly Summary'!BQ103</f>
        <v/>
      </c>
      <c r="G103" s="63">
        <f>'Monthly Summary'!BR103</f>
        <v/>
      </c>
      <c r="H103" s="63">
        <f>'Monthly Summary'!BS103</f>
        <v/>
      </c>
      <c r="I103" s="64">
        <f>'Monthly Summary'!BT103</f>
        <v/>
      </c>
      <c r="J103" s="63">
        <f>'Monthly Summary'!BU103</f>
        <v/>
      </c>
      <c r="K103" s="63">
        <f>'Monthly Summary'!BV103</f>
        <v/>
      </c>
      <c r="L103" s="64">
        <f>'Monthly Summary'!BW103</f>
        <v/>
      </c>
      <c r="M103" s="63">
        <f>'Monthly Summary'!BX103</f>
        <v/>
      </c>
      <c r="N103" s="67">
        <f>'Monthly Summary'!BY103</f>
        <v/>
      </c>
      <c r="O103" s="68">
        <f>'Monthly Summary'!BZ103</f>
        <v/>
      </c>
      <c r="P103" s="67">
        <f>'Monthly Summary'!CA103</f>
        <v/>
      </c>
      <c r="Q103" s="67">
        <f>'Monthly Summary'!CB103</f>
        <v/>
      </c>
      <c r="R103" s="68">
        <f>'Monthly Summary'!CC103</f>
        <v/>
      </c>
      <c r="S103" s="69">
        <f>'Subject-wise Summary'!S102</f>
        <v/>
      </c>
      <c r="T103" s="69">
        <f>'Subject-wise Summary'!T102</f>
        <v/>
      </c>
      <c r="U103" s="70">
        <f>'Subject-wise Summary'!U102</f>
        <v/>
      </c>
      <c r="V103" s="69">
        <f>'Subject-wise Summary'!V102</f>
        <v/>
      </c>
      <c r="W103" s="69">
        <f>'Subject-wise Summary'!W102</f>
        <v/>
      </c>
      <c r="X103" s="70">
        <f>'Subject-wise Summary'!X102</f>
        <v/>
      </c>
      <c r="Y103" s="69">
        <f>'Subject-wise Summary'!Y102</f>
        <v/>
      </c>
      <c r="Z103" s="69">
        <f>'Subject-wise Summary'!Z102</f>
        <v/>
      </c>
      <c r="AA103" s="70">
        <f>'Subject-wise Summary'!AA102</f>
        <v/>
      </c>
      <c r="AB103" s="67">
        <f>'Monthly Summary'!S103</f>
        <v/>
      </c>
      <c r="AC103" s="67">
        <f>'Monthly Summary'!T103</f>
        <v/>
      </c>
      <c r="AD103" s="68">
        <f>'Monthly Summary'!U103</f>
        <v/>
      </c>
      <c r="AE103" s="67">
        <f>'Monthly Summary'!AN103</f>
        <v/>
      </c>
      <c r="AF103" s="67">
        <f>'Monthly Summary'!AO103</f>
        <v/>
      </c>
      <c r="AG103" s="68">
        <f>'Monthly Summary'!AP103</f>
        <v/>
      </c>
      <c r="AH103" s="67">
        <f>'Monthly Summary'!BI103</f>
        <v/>
      </c>
      <c r="AI103" s="67">
        <f>'Monthly Summary'!BJ103</f>
        <v/>
      </c>
      <c r="AJ103" s="68">
        <f>'Monthly Summary'!BK103</f>
        <v/>
      </c>
      <c r="AK103" s="67">
        <f>'Monthly Summary'!CD103</f>
        <v/>
      </c>
      <c r="AL103" s="67">
        <f>'Monthly Summary'!CE103</f>
        <v/>
      </c>
      <c r="AM103" s="68">
        <f>'Monthly Summary'!CF103</f>
        <v/>
      </c>
      <c r="AN103" s="69">
        <f>'Monthly Summary'!CG103</f>
        <v/>
      </c>
      <c r="AO103" s="69">
        <f>'Monthly Summary'!CH103</f>
        <v/>
      </c>
      <c r="AP103" s="70">
        <f>'Monthly Summary'!CI103</f>
        <v/>
      </c>
      <c r="AQ103" s="67">
        <f>'Monthly Summary'!CJ103</f>
        <v/>
      </c>
      <c r="AR103" s="67">
        <f>'Monthly Summary'!CK103</f>
        <v/>
      </c>
      <c r="AS103" s="68">
        <f>'Monthly Summary'!CL103</f>
        <v/>
      </c>
      <c r="AT103" s="67" t="inlineStr">
        <is>
          <t>Batch 3</t>
        </is>
      </c>
    </row>
    <row r="104" ht="14.25" customHeight="1" s="34">
      <c r="A104" s="46" t="n">
        <v>102</v>
      </c>
      <c r="B104" s="46" t="inlineStr">
        <is>
          <t>325106410102</t>
        </is>
      </c>
      <c r="C104" s="46" t="inlineStr">
        <is>
          <t>PROTTOY KUMAR PRAMANIK</t>
        </is>
      </c>
      <c r="D104" s="63">
        <f>'Monthly Summary'!BO104</f>
        <v/>
      </c>
      <c r="E104" s="63">
        <f>'Monthly Summary'!BP104</f>
        <v/>
      </c>
      <c r="F104" s="64">
        <f>'Monthly Summary'!BQ104</f>
        <v/>
      </c>
      <c r="G104" s="63">
        <f>'Monthly Summary'!BR104</f>
        <v/>
      </c>
      <c r="H104" s="63">
        <f>'Monthly Summary'!BS104</f>
        <v/>
      </c>
      <c r="I104" s="64">
        <f>'Monthly Summary'!BT104</f>
        <v/>
      </c>
      <c r="J104" s="63">
        <f>'Monthly Summary'!BU104</f>
        <v/>
      </c>
      <c r="K104" s="63">
        <f>'Monthly Summary'!BV104</f>
        <v/>
      </c>
      <c r="L104" s="64">
        <f>'Monthly Summary'!BW104</f>
        <v/>
      </c>
      <c r="M104" s="63">
        <f>'Monthly Summary'!BX104</f>
        <v/>
      </c>
      <c r="N104" s="67">
        <f>'Monthly Summary'!BY104</f>
        <v/>
      </c>
      <c r="O104" s="68">
        <f>'Monthly Summary'!BZ104</f>
        <v/>
      </c>
      <c r="P104" s="67">
        <f>'Monthly Summary'!CA104</f>
        <v/>
      </c>
      <c r="Q104" s="67">
        <f>'Monthly Summary'!CB104</f>
        <v/>
      </c>
      <c r="R104" s="68">
        <f>'Monthly Summary'!CC104</f>
        <v/>
      </c>
      <c r="S104" s="69">
        <f>'Subject-wise Summary'!S103</f>
        <v/>
      </c>
      <c r="T104" s="69">
        <f>'Subject-wise Summary'!T103</f>
        <v/>
      </c>
      <c r="U104" s="70">
        <f>'Subject-wise Summary'!U103</f>
        <v/>
      </c>
      <c r="V104" s="69">
        <f>'Subject-wise Summary'!V103</f>
        <v/>
      </c>
      <c r="W104" s="69">
        <f>'Subject-wise Summary'!W103</f>
        <v/>
      </c>
      <c r="X104" s="70">
        <f>'Subject-wise Summary'!X103</f>
        <v/>
      </c>
      <c r="Y104" s="69">
        <f>'Subject-wise Summary'!Y103</f>
        <v/>
      </c>
      <c r="Z104" s="69">
        <f>'Subject-wise Summary'!Z103</f>
        <v/>
      </c>
      <c r="AA104" s="70">
        <f>'Subject-wise Summary'!AA103</f>
        <v/>
      </c>
      <c r="AB104" s="67">
        <f>'Monthly Summary'!S104</f>
        <v/>
      </c>
      <c r="AC104" s="67">
        <f>'Monthly Summary'!T104</f>
        <v/>
      </c>
      <c r="AD104" s="68">
        <f>'Monthly Summary'!U104</f>
        <v/>
      </c>
      <c r="AE104" s="67">
        <f>'Monthly Summary'!AN104</f>
        <v/>
      </c>
      <c r="AF104" s="67">
        <f>'Monthly Summary'!AO104</f>
        <v/>
      </c>
      <c r="AG104" s="68">
        <f>'Monthly Summary'!AP104</f>
        <v/>
      </c>
      <c r="AH104" s="67">
        <f>'Monthly Summary'!BI104</f>
        <v/>
      </c>
      <c r="AI104" s="67">
        <f>'Monthly Summary'!BJ104</f>
        <v/>
      </c>
      <c r="AJ104" s="68">
        <f>'Monthly Summary'!BK104</f>
        <v/>
      </c>
      <c r="AK104" s="67">
        <f>'Monthly Summary'!CD104</f>
        <v/>
      </c>
      <c r="AL104" s="67">
        <f>'Monthly Summary'!CE104</f>
        <v/>
      </c>
      <c r="AM104" s="68">
        <f>'Monthly Summary'!CF104</f>
        <v/>
      </c>
      <c r="AN104" s="69">
        <f>'Monthly Summary'!CG104</f>
        <v/>
      </c>
      <c r="AO104" s="69">
        <f>'Monthly Summary'!CH104</f>
        <v/>
      </c>
      <c r="AP104" s="70">
        <f>'Monthly Summary'!CI104</f>
        <v/>
      </c>
      <c r="AQ104" s="67">
        <f>'Monthly Summary'!CJ104</f>
        <v/>
      </c>
      <c r="AR104" s="67">
        <f>'Monthly Summary'!CK104</f>
        <v/>
      </c>
      <c r="AS104" s="68">
        <f>'Monthly Summary'!CL104</f>
        <v/>
      </c>
      <c r="AT104" s="67" t="inlineStr">
        <is>
          <t>Batch 3</t>
        </is>
      </c>
    </row>
    <row r="105" ht="14.25" customHeight="1" s="34">
      <c r="A105" s="46" t="n">
        <v>103</v>
      </c>
      <c r="B105" s="46" t="inlineStr">
        <is>
          <t>325106410103</t>
        </is>
      </c>
      <c r="C105" s="46" t="inlineStr">
        <is>
          <t>RACHIDA SAID MZE</t>
        </is>
      </c>
      <c r="D105" s="63">
        <f>'Monthly Summary'!BO105</f>
        <v/>
      </c>
      <c r="E105" s="63">
        <f>'Monthly Summary'!BP105</f>
        <v/>
      </c>
      <c r="F105" s="64">
        <f>'Monthly Summary'!BQ105</f>
        <v/>
      </c>
      <c r="G105" s="63">
        <f>'Monthly Summary'!BR105</f>
        <v/>
      </c>
      <c r="H105" s="63">
        <f>'Monthly Summary'!BS105</f>
        <v/>
      </c>
      <c r="I105" s="64">
        <f>'Monthly Summary'!BT105</f>
        <v/>
      </c>
      <c r="J105" s="63">
        <f>'Monthly Summary'!BU105</f>
        <v/>
      </c>
      <c r="K105" s="63">
        <f>'Monthly Summary'!BV105</f>
        <v/>
      </c>
      <c r="L105" s="64">
        <f>'Monthly Summary'!BW105</f>
        <v/>
      </c>
      <c r="M105" s="63">
        <f>'Monthly Summary'!BX105</f>
        <v/>
      </c>
      <c r="N105" s="67">
        <f>'Monthly Summary'!BY105</f>
        <v/>
      </c>
      <c r="O105" s="68">
        <f>'Monthly Summary'!BZ105</f>
        <v/>
      </c>
      <c r="P105" s="67">
        <f>'Monthly Summary'!CA105</f>
        <v/>
      </c>
      <c r="Q105" s="67">
        <f>'Monthly Summary'!CB105</f>
        <v/>
      </c>
      <c r="R105" s="68">
        <f>'Monthly Summary'!CC105</f>
        <v/>
      </c>
      <c r="S105" s="69">
        <f>'Subject-wise Summary'!S104</f>
        <v/>
      </c>
      <c r="T105" s="69">
        <f>'Subject-wise Summary'!T104</f>
        <v/>
      </c>
      <c r="U105" s="70">
        <f>'Subject-wise Summary'!U104</f>
        <v/>
      </c>
      <c r="V105" s="69">
        <f>'Subject-wise Summary'!V104</f>
        <v/>
      </c>
      <c r="W105" s="69">
        <f>'Subject-wise Summary'!W104</f>
        <v/>
      </c>
      <c r="X105" s="70">
        <f>'Subject-wise Summary'!X104</f>
        <v/>
      </c>
      <c r="Y105" s="69">
        <f>'Subject-wise Summary'!Y104</f>
        <v/>
      </c>
      <c r="Z105" s="69">
        <f>'Subject-wise Summary'!Z104</f>
        <v/>
      </c>
      <c r="AA105" s="70">
        <f>'Subject-wise Summary'!AA104</f>
        <v/>
      </c>
      <c r="AB105" s="67">
        <f>'Monthly Summary'!S105</f>
        <v/>
      </c>
      <c r="AC105" s="67">
        <f>'Monthly Summary'!T105</f>
        <v/>
      </c>
      <c r="AD105" s="68">
        <f>'Monthly Summary'!U105</f>
        <v/>
      </c>
      <c r="AE105" s="67">
        <f>'Monthly Summary'!AN105</f>
        <v/>
      </c>
      <c r="AF105" s="67">
        <f>'Monthly Summary'!AO105</f>
        <v/>
      </c>
      <c r="AG105" s="68">
        <f>'Monthly Summary'!AP105</f>
        <v/>
      </c>
      <c r="AH105" s="67">
        <f>'Monthly Summary'!BI105</f>
        <v/>
      </c>
      <c r="AI105" s="67">
        <f>'Monthly Summary'!BJ105</f>
        <v/>
      </c>
      <c r="AJ105" s="68">
        <f>'Monthly Summary'!BK105</f>
        <v/>
      </c>
      <c r="AK105" s="67">
        <f>'Monthly Summary'!CD105</f>
        <v/>
      </c>
      <c r="AL105" s="67">
        <f>'Monthly Summary'!CE105</f>
        <v/>
      </c>
      <c r="AM105" s="68">
        <f>'Monthly Summary'!CF105</f>
        <v/>
      </c>
      <c r="AN105" s="69">
        <f>'Monthly Summary'!CG105</f>
        <v/>
      </c>
      <c r="AO105" s="69">
        <f>'Monthly Summary'!CH105</f>
        <v/>
      </c>
      <c r="AP105" s="70">
        <f>'Monthly Summary'!CI105</f>
        <v/>
      </c>
      <c r="AQ105" s="67">
        <f>'Monthly Summary'!CJ105</f>
        <v/>
      </c>
      <c r="AR105" s="67">
        <f>'Monthly Summary'!CK105</f>
        <v/>
      </c>
      <c r="AS105" s="68">
        <f>'Monthly Summary'!CL105</f>
        <v/>
      </c>
      <c r="AT105" s="67" t="inlineStr">
        <is>
          <t>Batch 3</t>
        </is>
      </c>
    </row>
    <row r="106" ht="14.25" customHeight="1" s="34">
      <c r="A106" s="46" t="n">
        <v>104</v>
      </c>
      <c r="B106" s="46" t="inlineStr">
        <is>
          <t>325106410104</t>
        </is>
      </c>
      <c r="C106" s="46" t="inlineStr">
        <is>
          <t>RAHUL GHOSH</t>
        </is>
      </c>
      <c r="D106" s="63">
        <f>'Monthly Summary'!BO106</f>
        <v/>
      </c>
      <c r="E106" s="63">
        <f>'Monthly Summary'!BP106</f>
        <v/>
      </c>
      <c r="F106" s="64">
        <f>'Monthly Summary'!BQ106</f>
        <v/>
      </c>
      <c r="G106" s="63">
        <f>'Monthly Summary'!BR106</f>
        <v/>
      </c>
      <c r="H106" s="63">
        <f>'Monthly Summary'!BS106</f>
        <v/>
      </c>
      <c r="I106" s="64">
        <f>'Monthly Summary'!BT106</f>
        <v/>
      </c>
      <c r="J106" s="63">
        <f>'Monthly Summary'!BU106</f>
        <v/>
      </c>
      <c r="K106" s="63">
        <f>'Monthly Summary'!BV106</f>
        <v/>
      </c>
      <c r="L106" s="64">
        <f>'Monthly Summary'!BW106</f>
        <v/>
      </c>
      <c r="M106" s="63">
        <f>'Monthly Summary'!BX106</f>
        <v/>
      </c>
      <c r="N106" s="67">
        <f>'Monthly Summary'!BY106</f>
        <v/>
      </c>
      <c r="O106" s="68">
        <f>'Monthly Summary'!BZ106</f>
        <v/>
      </c>
      <c r="P106" s="67">
        <f>'Monthly Summary'!CA106</f>
        <v/>
      </c>
      <c r="Q106" s="67">
        <f>'Monthly Summary'!CB106</f>
        <v/>
      </c>
      <c r="R106" s="68">
        <f>'Monthly Summary'!CC106</f>
        <v/>
      </c>
      <c r="S106" s="69">
        <f>'Subject-wise Summary'!S105</f>
        <v/>
      </c>
      <c r="T106" s="69">
        <f>'Subject-wise Summary'!T105</f>
        <v/>
      </c>
      <c r="U106" s="70">
        <f>'Subject-wise Summary'!U105</f>
        <v/>
      </c>
      <c r="V106" s="69">
        <f>'Subject-wise Summary'!V105</f>
        <v/>
      </c>
      <c r="W106" s="69">
        <f>'Subject-wise Summary'!W105</f>
        <v/>
      </c>
      <c r="X106" s="70">
        <f>'Subject-wise Summary'!X105</f>
        <v/>
      </c>
      <c r="Y106" s="69">
        <f>'Subject-wise Summary'!Y105</f>
        <v/>
      </c>
      <c r="Z106" s="69">
        <f>'Subject-wise Summary'!Z105</f>
        <v/>
      </c>
      <c r="AA106" s="70">
        <f>'Subject-wise Summary'!AA105</f>
        <v/>
      </c>
      <c r="AB106" s="67">
        <f>'Monthly Summary'!S106</f>
        <v/>
      </c>
      <c r="AC106" s="67">
        <f>'Monthly Summary'!T106</f>
        <v/>
      </c>
      <c r="AD106" s="68">
        <f>'Monthly Summary'!U106</f>
        <v/>
      </c>
      <c r="AE106" s="67">
        <f>'Monthly Summary'!AN106</f>
        <v/>
      </c>
      <c r="AF106" s="67">
        <f>'Monthly Summary'!AO106</f>
        <v/>
      </c>
      <c r="AG106" s="68">
        <f>'Monthly Summary'!AP106</f>
        <v/>
      </c>
      <c r="AH106" s="67">
        <f>'Monthly Summary'!BI106</f>
        <v/>
      </c>
      <c r="AI106" s="67">
        <f>'Monthly Summary'!BJ106</f>
        <v/>
      </c>
      <c r="AJ106" s="68">
        <f>'Monthly Summary'!BK106</f>
        <v/>
      </c>
      <c r="AK106" s="67">
        <f>'Monthly Summary'!CD106</f>
        <v/>
      </c>
      <c r="AL106" s="67">
        <f>'Monthly Summary'!CE106</f>
        <v/>
      </c>
      <c r="AM106" s="68">
        <f>'Monthly Summary'!CF106</f>
        <v/>
      </c>
      <c r="AN106" s="69">
        <f>'Monthly Summary'!CG106</f>
        <v/>
      </c>
      <c r="AO106" s="69">
        <f>'Monthly Summary'!CH106</f>
        <v/>
      </c>
      <c r="AP106" s="70">
        <f>'Monthly Summary'!CI106</f>
        <v/>
      </c>
      <c r="AQ106" s="67">
        <f>'Monthly Summary'!CJ106</f>
        <v/>
      </c>
      <c r="AR106" s="67">
        <f>'Monthly Summary'!CK106</f>
        <v/>
      </c>
      <c r="AS106" s="68">
        <f>'Monthly Summary'!CL106</f>
        <v/>
      </c>
      <c r="AT106" s="67" t="inlineStr">
        <is>
          <t>Batch 3</t>
        </is>
      </c>
    </row>
    <row r="107" ht="14.25" customHeight="1" s="34">
      <c r="A107" s="46" t="n">
        <v>105</v>
      </c>
      <c r="B107" s="46" t="inlineStr">
        <is>
          <t>325106410105</t>
        </is>
      </c>
      <c r="C107" s="46" t="inlineStr">
        <is>
          <t>SECKOU BOUBACAR KASSE</t>
        </is>
      </c>
      <c r="D107" s="63">
        <f>'Monthly Summary'!BO107</f>
        <v/>
      </c>
      <c r="E107" s="63">
        <f>'Monthly Summary'!BP107</f>
        <v/>
      </c>
      <c r="F107" s="64">
        <f>'Monthly Summary'!BQ107</f>
        <v/>
      </c>
      <c r="G107" s="63">
        <f>'Monthly Summary'!BR107</f>
        <v/>
      </c>
      <c r="H107" s="63">
        <f>'Monthly Summary'!BS107</f>
        <v/>
      </c>
      <c r="I107" s="64">
        <f>'Monthly Summary'!BT107</f>
        <v/>
      </c>
      <c r="J107" s="63">
        <f>'Monthly Summary'!BU107</f>
        <v/>
      </c>
      <c r="K107" s="63">
        <f>'Monthly Summary'!BV107</f>
        <v/>
      </c>
      <c r="L107" s="64">
        <f>'Monthly Summary'!BW107</f>
        <v/>
      </c>
      <c r="M107" s="63">
        <f>'Monthly Summary'!BX107</f>
        <v/>
      </c>
      <c r="N107" s="67">
        <f>'Monthly Summary'!BY107</f>
        <v/>
      </c>
      <c r="O107" s="68">
        <f>'Monthly Summary'!BZ107</f>
        <v/>
      </c>
      <c r="P107" s="67">
        <f>'Monthly Summary'!CA107</f>
        <v/>
      </c>
      <c r="Q107" s="67">
        <f>'Monthly Summary'!CB107</f>
        <v/>
      </c>
      <c r="R107" s="68">
        <f>'Monthly Summary'!CC107</f>
        <v/>
      </c>
      <c r="S107" s="69">
        <f>'Subject-wise Summary'!S106</f>
        <v/>
      </c>
      <c r="T107" s="69">
        <f>'Subject-wise Summary'!T106</f>
        <v/>
      </c>
      <c r="U107" s="70">
        <f>'Subject-wise Summary'!U106</f>
        <v/>
      </c>
      <c r="V107" s="69">
        <f>'Subject-wise Summary'!V106</f>
        <v/>
      </c>
      <c r="W107" s="69">
        <f>'Subject-wise Summary'!W106</f>
        <v/>
      </c>
      <c r="X107" s="70">
        <f>'Subject-wise Summary'!X106</f>
        <v/>
      </c>
      <c r="Y107" s="69">
        <f>'Subject-wise Summary'!Y106</f>
        <v/>
      </c>
      <c r="Z107" s="69">
        <f>'Subject-wise Summary'!Z106</f>
        <v/>
      </c>
      <c r="AA107" s="70">
        <f>'Subject-wise Summary'!AA106</f>
        <v/>
      </c>
      <c r="AB107" s="67">
        <f>'Monthly Summary'!S107</f>
        <v/>
      </c>
      <c r="AC107" s="67">
        <f>'Monthly Summary'!T107</f>
        <v/>
      </c>
      <c r="AD107" s="68">
        <f>'Monthly Summary'!U107</f>
        <v/>
      </c>
      <c r="AE107" s="67">
        <f>'Monthly Summary'!AN107</f>
        <v/>
      </c>
      <c r="AF107" s="67">
        <f>'Monthly Summary'!AO107</f>
        <v/>
      </c>
      <c r="AG107" s="68">
        <f>'Monthly Summary'!AP107</f>
        <v/>
      </c>
      <c r="AH107" s="67">
        <f>'Monthly Summary'!BI107</f>
        <v/>
      </c>
      <c r="AI107" s="67">
        <f>'Monthly Summary'!BJ107</f>
        <v/>
      </c>
      <c r="AJ107" s="68">
        <f>'Monthly Summary'!BK107</f>
        <v/>
      </c>
      <c r="AK107" s="67">
        <f>'Monthly Summary'!CD107</f>
        <v/>
      </c>
      <c r="AL107" s="67">
        <f>'Monthly Summary'!CE107</f>
        <v/>
      </c>
      <c r="AM107" s="68">
        <f>'Monthly Summary'!CF107</f>
        <v/>
      </c>
      <c r="AN107" s="69">
        <f>'Monthly Summary'!CG107</f>
        <v/>
      </c>
      <c r="AO107" s="69">
        <f>'Monthly Summary'!CH107</f>
        <v/>
      </c>
      <c r="AP107" s="70">
        <f>'Monthly Summary'!CI107</f>
        <v/>
      </c>
      <c r="AQ107" s="67">
        <f>'Monthly Summary'!CJ107</f>
        <v/>
      </c>
      <c r="AR107" s="67">
        <f>'Monthly Summary'!CK107</f>
        <v/>
      </c>
      <c r="AS107" s="68">
        <f>'Monthly Summary'!CL107</f>
        <v/>
      </c>
      <c r="AT107" s="67" t="inlineStr">
        <is>
          <t>Batch 3</t>
        </is>
      </c>
    </row>
    <row r="108" ht="14.25" customHeight="1" s="34">
      <c r="A108" s="46" t="n">
        <v>106</v>
      </c>
      <c r="B108" s="46" t="inlineStr">
        <is>
          <t>325106410106</t>
        </is>
      </c>
      <c r="C108" s="46" t="inlineStr">
        <is>
          <t>SELUSIWE NOMVULA MPOFU</t>
        </is>
      </c>
      <c r="D108" s="63">
        <f>'Monthly Summary'!BO108</f>
        <v/>
      </c>
      <c r="E108" s="63">
        <f>'Monthly Summary'!BP108</f>
        <v/>
      </c>
      <c r="F108" s="64">
        <f>'Monthly Summary'!BQ108</f>
        <v/>
      </c>
      <c r="G108" s="63">
        <f>'Monthly Summary'!BR108</f>
        <v/>
      </c>
      <c r="H108" s="63">
        <f>'Monthly Summary'!BS108</f>
        <v/>
      </c>
      <c r="I108" s="64">
        <f>'Monthly Summary'!BT108</f>
        <v/>
      </c>
      <c r="J108" s="63">
        <f>'Monthly Summary'!BU108</f>
        <v/>
      </c>
      <c r="K108" s="63">
        <f>'Monthly Summary'!BV108</f>
        <v/>
      </c>
      <c r="L108" s="64">
        <f>'Monthly Summary'!BW108</f>
        <v/>
      </c>
      <c r="M108" s="63">
        <f>'Monthly Summary'!BX108</f>
        <v/>
      </c>
      <c r="N108" s="67">
        <f>'Monthly Summary'!BY108</f>
        <v/>
      </c>
      <c r="O108" s="68">
        <f>'Monthly Summary'!BZ108</f>
        <v/>
      </c>
      <c r="P108" s="67">
        <f>'Monthly Summary'!CA108</f>
        <v/>
      </c>
      <c r="Q108" s="67">
        <f>'Monthly Summary'!CB108</f>
        <v/>
      </c>
      <c r="R108" s="68">
        <f>'Monthly Summary'!CC108</f>
        <v/>
      </c>
      <c r="S108" s="69">
        <f>'Subject-wise Summary'!S107</f>
        <v/>
      </c>
      <c r="T108" s="69">
        <f>'Subject-wise Summary'!T107</f>
        <v/>
      </c>
      <c r="U108" s="70">
        <f>'Subject-wise Summary'!U107</f>
        <v/>
      </c>
      <c r="V108" s="69">
        <f>'Subject-wise Summary'!V107</f>
        <v/>
      </c>
      <c r="W108" s="69">
        <f>'Subject-wise Summary'!W107</f>
        <v/>
      </c>
      <c r="X108" s="70">
        <f>'Subject-wise Summary'!X107</f>
        <v/>
      </c>
      <c r="Y108" s="69">
        <f>'Subject-wise Summary'!Y107</f>
        <v/>
      </c>
      <c r="Z108" s="69">
        <f>'Subject-wise Summary'!Z107</f>
        <v/>
      </c>
      <c r="AA108" s="70">
        <f>'Subject-wise Summary'!AA107</f>
        <v/>
      </c>
      <c r="AB108" s="67">
        <f>'Monthly Summary'!S108</f>
        <v/>
      </c>
      <c r="AC108" s="67">
        <f>'Monthly Summary'!T108</f>
        <v/>
      </c>
      <c r="AD108" s="68">
        <f>'Monthly Summary'!U108</f>
        <v/>
      </c>
      <c r="AE108" s="67">
        <f>'Monthly Summary'!AN108</f>
        <v/>
      </c>
      <c r="AF108" s="67">
        <f>'Monthly Summary'!AO108</f>
        <v/>
      </c>
      <c r="AG108" s="68">
        <f>'Monthly Summary'!AP108</f>
        <v/>
      </c>
      <c r="AH108" s="67">
        <f>'Monthly Summary'!BI108</f>
        <v/>
      </c>
      <c r="AI108" s="67">
        <f>'Monthly Summary'!BJ108</f>
        <v/>
      </c>
      <c r="AJ108" s="68">
        <f>'Monthly Summary'!BK108</f>
        <v/>
      </c>
      <c r="AK108" s="67">
        <f>'Monthly Summary'!CD108</f>
        <v/>
      </c>
      <c r="AL108" s="67">
        <f>'Monthly Summary'!CE108</f>
        <v/>
      </c>
      <c r="AM108" s="68">
        <f>'Monthly Summary'!CF108</f>
        <v/>
      </c>
      <c r="AN108" s="69">
        <f>'Monthly Summary'!CG108</f>
        <v/>
      </c>
      <c r="AO108" s="69">
        <f>'Monthly Summary'!CH108</f>
        <v/>
      </c>
      <c r="AP108" s="70">
        <f>'Monthly Summary'!CI108</f>
        <v/>
      </c>
      <c r="AQ108" s="67">
        <f>'Monthly Summary'!CJ108</f>
        <v/>
      </c>
      <c r="AR108" s="67">
        <f>'Monthly Summary'!CK108</f>
        <v/>
      </c>
      <c r="AS108" s="68">
        <f>'Monthly Summary'!CL108</f>
        <v/>
      </c>
      <c r="AT108" s="67" t="inlineStr">
        <is>
          <t>Batch 3</t>
        </is>
      </c>
    </row>
    <row r="109" ht="14.25" customHeight="1" s="34">
      <c r="A109" s="46" t="n">
        <v>107</v>
      </c>
      <c r="B109" s="46" t="inlineStr">
        <is>
          <t>325106410107</t>
        </is>
      </c>
      <c r="C109" s="46" t="inlineStr">
        <is>
          <t>SISEKELO SAKHILE MAHLALELA</t>
        </is>
      </c>
      <c r="D109" s="63">
        <f>'Monthly Summary'!BO109</f>
        <v/>
      </c>
      <c r="E109" s="63">
        <f>'Monthly Summary'!BP109</f>
        <v/>
      </c>
      <c r="F109" s="64">
        <f>'Monthly Summary'!BQ109</f>
        <v/>
      </c>
      <c r="G109" s="63">
        <f>'Monthly Summary'!BR109</f>
        <v/>
      </c>
      <c r="H109" s="63">
        <f>'Monthly Summary'!BS109</f>
        <v/>
      </c>
      <c r="I109" s="64">
        <f>'Monthly Summary'!BT109</f>
        <v/>
      </c>
      <c r="J109" s="63">
        <f>'Monthly Summary'!BU109</f>
        <v/>
      </c>
      <c r="K109" s="63">
        <f>'Monthly Summary'!BV109</f>
        <v/>
      </c>
      <c r="L109" s="64">
        <f>'Monthly Summary'!BW109</f>
        <v/>
      </c>
      <c r="M109" s="63">
        <f>'Monthly Summary'!BX109</f>
        <v/>
      </c>
      <c r="N109" s="67">
        <f>'Monthly Summary'!BY109</f>
        <v/>
      </c>
      <c r="O109" s="68">
        <f>'Monthly Summary'!BZ109</f>
        <v/>
      </c>
      <c r="P109" s="67">
        <f>'Monthly Summary'!CA109</f>
        <v/>
      </c>
      <c r="Q109" s="67">
        <f>'Monthly Summary'!CB109</f>
        <v/>
      </c>
      <c r="R109" s="68">
        <f>'Monthly Summary'!CC109</f>
        <v/>
      </c>
      <c r="S109" s="69">
        <f>'Subject-wise Summary'!S108</f>
        <v/>
      </c>
      <c r="T109" s="69">
        <f>'Subject-wise Summary'!T108</f>
        <v/>
      </c>
      <c r="U109" s="70">
        <f>'Subject-wise Summary'!U108</f>
        <v/>
      </c>
      <c r="V109" s="69">
        <f>'Subject-wise Summary'!V108</f>
        <v/>
      </c>
      <c r="W109" s="69">
        <f>'Subject-wise Summary'!W108</f>
        <v/>
      </c>
      <c r="X109" s="70">
        <f>'Subject-wise Summary'!X108</f>
        <v/>
      </c>
      <c r="Y109" s="69">
        <f>'Subject-wise Summary'!Y108</f>
        <v/>
      </c>
      <c r="Z109" s="69">
        <f>'Subject-wise Summary'!Z108</f>
        <v/>
      </c>
      <c r="AA109" s="70">
        <f>'Subject-wise Summary'!AA108</f>
        <v/>
      </c>
      <c r="AB109" s="67">
        <f>'Monthly Summary'!S109</f>
        <v/>
      </c>
      <c r="AC109" s="67">
        <f>'Monthly Summary'!T109</f>
        <v/>
      </c>
      <c r="AD109" s="68">
        <f>'Monthly Summary'!U109</f>
        <v/>
      </c>
      <c r="AE109" s="67">
        <f>'Monthly Summary'!AN109</f>
        <v/>
      </c>
      <c r="AF109" s="67">
        <f>'Monthly Summary'!AO109</f>
        <v/>
      </c>
      <c r="AG109" s="68">
        <f>'Monthly Summary'!AP109</f>
        <v/>
      </c>
      <c r="AH109" s="67">
        <f>'Monthly Summary'!BI109</f>
        <v/>
      </c>
      <c r="AI109" s="67">
        <f>'Monthly Summary'!BJ109</f>
        <v/>
      </c>
      <c r="AJ109" s="68">
        <f>'Monthly Summary'!BK109</f>
        <v/>
      </c>
      <c r="AK109" s="67">
        <f>'Monthly Summary'!CD109</f>
        <v/>
      </c>
      <c r="AL109" s="67">
        <f>'Monthly Summary'!CE109</f>
        <v/>
      </c>
      <c r="AM109" s="68">
        <f>'Monthly Summary'!CF109</f>
        <v/>
      </c>
      <c r="AN109" s="69">
        <f>'Monthly Summary'!CG109</f>
        <v/>
      </c>
      <c r="AO109" s="69">
        <f>'Monthly Summary'!CH109</f>
        <v/>
      </c>
      <c r="AP109" s="70">
        <f>'Monthly Summary'!CI109</f>
        <v/>
      </c>
      <c r="AQ109" s="67">
        <f>'Monthly Summary'!CJ109</f>
        <v/>
      </c>
      <c r="AR109" s="67">
        <f>'Monthly Summary'!CK109</f>
        <v/>
      </c>
      <c r="AS109" s="68">
        <f>'Monthly Summary'!CL109</f>
        <v/>
      </c>
      <c r="AT109" s="67" t="inlineStr">
        <is>
          <t>Batch 3</t>
        </is>
      </c>
    </row>
    <row r="110" ht="14.25" customHeight="1" s="34">
      <c r="A110" s="46" t="n">
        <v>108</v>
      </c>
      <c r="B110" s="46" t="inlineStr">
        <is>
          <t>325106410108</t>
        </is>
      </c>
      <c r="C110" s="46" t="inlineStr">
        <is>
          <t>SOUDAISSE AHAMADA</t>
        </is>
      </c>
      <c r="D110" s="63">
        <f>'Monthly Summary'!BO110</f>
        <v/>
      </c>
      <c r="E110" s="63">
        <f>'Monthly Summary'!BP110</f>
        <v/>
      </c>
      <c r="F110" s="64">
        <f>'Monthly Summary'!BQ110</f>
        <v/>
      </c>
      <c r="G110" s="63">
        <f>'Monthly Summary'!BR110</f>
        <v/>
      </c>
      <c r="H110" s="63">
        <f>'Monthly Summary'!BS110</f>
        <v/>
      </c>
      <c r="I110" s="64">
        <f>'Monthly Summary'!BT110</f>
        <v/>
      </c>
      <c r="J110" s="63">
        <f>'Monthly Summary'!BU110</f>
        <v/>
      </c>
      <c r="K110" s="63">
        <f>'Monthly Summary'!BV110</f>
        <v/>
      </c>
      <c r="L110" s="64">
        <f>'Monthly Summary'!BW110</f>
        <v/>
      </c>
      <c r="M110" s="63">
        <f>'Monthly Summary'!BX110</f>
        <v/>
      </c>
      <c r="N110" s="67">
        <f>'Monthly Summary'!BY110</f>
        <v/>
      </c>
      <c r="O110" s="68">
        <f>'Monthly Summary'!BZ110</f>
        <v/>
      </c>
      <c r="P110" s="67">
        <f>'Monthly Summary'!CA110</f>
        <v/>
      </c>
      <c r="Q110" s="67">
        <f>'Monthly Summary'!CB110</f>
        <v/>
      </c>
      <c r="R110" s="68">
        <f>'Monthly Summary'!CC110</f>
        <v/>
      </c>
      <c r="S110" s="69">
        <f>'Subject-wise Summary'!S109</f>
        <v/>
      </c>
      <c r="T110" s="69">
        <f>'Subject-wise Summary'!T109</f>
        <v/>
      </c>
      <c r="U110" s="70">
        <f>'Subject-wise Summary'!U109</f>
        <v/>
      </c>
      <c r="V110" s="69">
        <f>'Subject-wise Summary'!V109</f>
        <v/>
      </c>
      <c r="W110" s="69">
        <f>'Subject-wise Summary'!W109</f>
        <v/>
      </c>
      <c r="X110" s="70">
        <f>'Subject-wise Summary'!X109</f>
        <v/>
      </c>
      <c r="Y110" s="69">
        <f>'Subject-wise Summary'!Y109</f>
        <v/>
      </c>
      <c r="Z110" s="69">
        <f>'Subject-wise Summary'!Z109</f>
        <v/>
      </c>
      <c r="AA110" s="70">
        <f>'Subject-wise Summary'!AA109</f>
        <v/>
      </c>
      <c r="AB110" s="67">
        <f>'Monthly Summary'!S110</f>
        <v/>
      </c>
      <c r="AC110" s="67">
        <f>'Monthly Summary'!T110</f>
        <v/>
      </c>
      <c r="AD110" s="68">
        <f>'Monthly Summary'!U110</f>
        <v/>
      </c>
      <c r="AE110" s="67">
        <f>'Monthly Summary'!AN110</f>
        <v/>
      </c>
      <c r="AF110" s="67">
        <f>'Monthly Summary'!AO110</f>
        <v/>
      </c>
      <c r="AG110" s="68">
        <f>'Monthly Summary'!AP110</f>
        <v/>
      </c>
      <c r="AH110" s="67">
        <f>'Monthly Summary'!BI110</f>
        <v/>
      </c>
      <c r="AI110" s="67">
        <f>'Monthly Summary'!BJ110</f>
        <v/>
      </c>
      <c r="AJ110" s="68">
        <f>'Monthly Summary'!BK110</f>
        <v/>
      </c>
      <c r="AK110" s="67">
        <f>'Monthly Summary'!CD110</f>
        <v/>
      </c>
      <c r="AL110" s="67">
        <f>'Monthly Summary'!CE110</f>
        <v/>
      </c>
      <c r="AM110" s="68">
        <f>'Monthly Summary'!CF110</f>
        <v/>
      </c>
      <c r="AN110" s="69">
        <f>'Monthly Summary'!CG110</f>
        <v/>
      </c>
      <c r="AO110" s="69">
        <f>'Monthly Summary'!CH110</f>
        <v/>
      </c>
      <c r="AP110" s="70">
        <f>'Monthly Summary'!CI110</f>
        <v/>
      </c>
      <c r="AQ110" s="67">
        <f>'Monthly Summary'!CJ110</f>
        <v/>
      </c>
      <c r="AR110" s="67">
        <f>'Monthly Summary'!CK110</f>
        <v/>
      </c>
      <c r="AS110" s="68">
        <f>'Monthly Summary'!CL110</f>
        <v/>
      </c>
      <c r="AT110" s="67" t="inlineStr">
        <is>
          <t>Batch 3</t>
        </is>
      </c>
    </row>
    <row r="111" ht="14.25" customHeight="1" s="34">
      <c r="A111" s="46" t="n">
        <v>109</v>
      </c>
      <c r="B111" s="46" t="inlineStr">
        <is>
          <t>325106410109</t>
        </is>
      </c>
      <c r="C111" s="46" t="inlineStr">
        <is>
          <t>STELIO LUIS</t>
        </is>
      </c>
      <c r="D111" s="63">
        <f>'Monthly Summary'!BO111</f>
        <v/>
      </c>
      <c r="E111" s="63">
        <f>'Monthly Summary'!BP111</f>
        <v/>
      </c>
      <c r="F111" s="64">
        <f>'Monthly Summary'!BQ111</f>
        <v/>
      </c>
      <c r="G111" s="63">
        <f>'Monthly Summary'!BR111</f>
        <v/>
      </c>
      <c r="H111" s="63">
        <f>'Monthly Summary'!BS111</f>
        <v/>
      </c>
      <c r="I111" s="64">
        <f>'Monthly Summary'!BT111</f>
        <v/>
      </c>
      <c r="J111" s="63">
        <f>'Monthly Summary'!BU111</f>
        <v/>
      </c>
      <c r="K111" s="63">
        <f>'Monthly Summary'!BV111</f>
        <v/>
      </c>
      <c r="L111" s="64">
        <f>'Monthly Summary'!BW111</f>
        <v/>
      </c>
      <c r="M111" s="63">
        <f>'Monthly Summary'!BX111</f>
        <v/>
      </c>
      <c r="N111" s="67">
        <f>'Monthly Summary'!BY111</f>
        <v/>
      </c>
      <c r="O111" s="68">
        <f>'Monthly Summary'!BZ111</f>
        <v/>
      </c>
      <c r="P111" s="67">
        <f>'Monthly Summary'!CA111</f>
        <v/>
      </c>
      <c r="Q111" s="67">
        <f>'Monthly Summary'!CB111</f>
        <v/>
      </c>
      <c r="R111" s="68">
        <f>'Monthly Summary'!CC111</f>
        <v/>
      </c>
      <c r="S111" s="69">
        <f>'Subject-wise Summary'!S110</f>
        <v/>
      </c>
      <c r="T111" s="69">
        <f>'Subject-wise Summary'!T110</f>
        <v/>
      </c>
      <c r="U111" s="70">
        <f>'Subject-wise Summary'!U110</f>
        <v/>
      </c>
      <c r="V111" s="69">
        <f>'Subject-wise Summary'!V110</f>
        <v/>
      </c>
      <c r="W111" s="69">
        <f>'Subject-wise Summary'!W110</f>
        <v/>
      </c>
      <c r="X111" s="70">
        <f>'Subject-wise Summary'!X110</f>
        <v/>
      </c>
      <c r="Y111" s="69">
        <f>'Subject-wise Summary'!Y110</f>
        <v/>
      </c>
      <c r="Z111" s="69">
        <f>'Subject-wise Summary'!Z110</f>
        <v/>
      </c>
      <c r="AA111" s="70">
        <f>'Subject-wise Summary'!AA110</f>
        <v/>
      </c>
      <c r="AB111" s="67">
        <f>'Monthly Summary'!S111</f>
        <v/>
      </c>
      <c r="AC111" s="67">
        <f>'Monthly Summary'!T111</f>
        <v/>
      </c>
      <c r="AD111" s="68">
        <f>'Monthly Summary'!U111</f>
        <v/>
      </c>
      <c r="AE111" s="67">
        <f>'Monthly Summary'!AN111</f>
        <v/>
      </c>
      <c r="AF111" s="67">
        <f>'Monthly Summary'!AO111</f>
        <v/>
      </c>
      <c r="AG111" s="68">
        <f>'Monthly Summary'!AP111</f>
        <v/>
      </c>
      <c r="AH111" s="67">
        <f>'Monthly Summary'!BI111</f>
        <v/>
      </c>
      <c r="AI111" s="67">
        <f>'Monthly Summary'!BJ111</f>
        <v/>
      </c>
      <c r="AJ111" s="68">
        <f>'Monthly Summary'!BK111</f>
        <v/>
      </c>
      <c r="AK111" s="67">
        <f>'Monthly Summary'!CD111</f>
        <v/>
      </c>
      <c r="AL111" s="67">
        <f>'Monthly Summary'!CE111</f>
        <v/>
      </c>
      <c r="AM111" s="68">
        <f>'Monthly Summary'!CF111</f>
        <v/>
      </c>
      <c r="AN111" s="69">
        <f>'Monthly Summary'!CG111</f>
        <v/>
      </c>
      <c r="AO111" s="69">
        <f>'Monthly Summary'!CH111</f>
        <v/>
      </c>
      <c r="AP111" s="70">
        <f>'Monthly Summary'!CI111</f>
        <v/>
      </c>
      <c r="AQ111" s="67">
        <f>'Monthly Summary'!CJ111</f>
        <v/>
      </c>
      <c r="AR111" s="67">
        <f>'Monthly Summary'!CK111</f>
        <v/>
      </c>
      <c r="AS111" s="68">
        <f>'Monthly Summary'!CL111</f>
        <v/>
      </c>
      <c r="AT111" s="67" t="inlineStr">
        <is>
          <t>Batch 3</t>
        </is>
      </c>
    </row>
    <row r="112" ht="14.25" customHeight="1" s="34">
      <c r="A112" s="46" t="n">
        <v>110</v>
      </c>
      <c r="B112" s="46" t="inlineStr">
        <is>
          <t>325106410110</t>
        </is>
      </c>
      <c r="C112" s="46" t="inlineStr">
        <is>
          <t>SUSANTHA CHOWDHURY</t>
        </is>
      </c>
      <c r="D112" s="63">
        <f>'Monthly Summary'!BO112</f>
        <v/>
      </c>
      <c r="E112" s="63">
        <f>'Monthly Summary'!BP112</f>
        <v/>
      </c>
      <c r="F112" s="64">
        <f>'Monthly Summary'!BQ112</f>
        <v/>
      </c>
      <c r="G112" s="63">
        <f>'Monthly Summary'!BR112</f>
        <v/>
      </c>
      <c r="H112" s="63">
        <f>'Monthly Summary'!BS112</f>
        <v/>
      </c>
      <c r="I112" s="64">
        <f>'Monthly Summary'!BT112</f>
        <v/>
      </c>
      <c r="J112" s="63">
        <f>'Monthly Summary'!BU112</f>
        <v/>
      </c>
      <c r="K112" s="63">
        <f>'Monthly Summary'!BV112</f>
        <v/>
      </c>
      <c r="L112" s="64">
        <f>'Monthly Summary'!BW112</f>
        <v/>
      </c>
      <c r="M112" s="63">
        <f>'Monthly Summary'!BX112</f>
        <v/>
      </c>
      <c r="N112" s="67">
        <f>'Monthly Summary'!BY112</f>
        <v/>
      </c>
      <c r="O112" s="68">
        <f>'Monthly Summary'!BZ112</f>
        <v/>
      </c>
      <c r="P112" s="67">
        <f>'Monthly Summary'!CA112</f>
        <v/>
      </c>
      <c r="Q112" s="67">
        <f>'Monthly Summary'!CB112</f>
        <v/>
      </c>
      <c r="R112" s="68">
        <f>'Monthly Summary'!CC112</f>
        <v/>
      </c>
      <c r="S112" s="69">
        <f>'Subject-wise Summary'!S111</f>
        <v/>
      </c>
      <c r="T112" s="69">
        <f>'Subject-wise Summary'!T111</f>
        <v/>
      </c>
      <c r="U112" s="70">
        <f>'Subject-wise Summary'!U111</f>
        <v/>
      </c>
      <c r="V112" s="69">
        <f>'Subject-wise Summary'!V111</f>
        <v/>
      </c>
      <c r="W112" s="69">
        <f>'Subject-wise Summary'!W111</f>
        <v/>
      </c>
      <c r="X112" s="70">
        <f>'Subject-wise Summary'!X111</f>
        <v/>
      </c>
      <c r="Y112" s="69">
        <f>'Subject-wise Summary'!Y111</f>
        <v/>
      </c>
      <c r="Z112" s="69">
        <f>'Subject-wise Summary'!Z111</f>
        <v/>
      </c>
      <c r="AA112" s="70">
        <f>'Subject-wise Summary'!AA111</f>
        <v/>
      </c>
      <c r="AB112" s="67">
        <f>'Monthly Summary'!S112</f>
        <v/>
      </c>
      <c r="AC112" s="67">
        <f>'Monthly Summary'!T112</f>
        <v/>
      </c>
      <c r="AD112" s="68">
        <f>'Monthly Summary'!U112</f>
        <v/>
      </c>
      <c r="AE112" s="67">
        <f>'Monthly Summary'!AN112</f>
        <v/>
      </c>
      <c r="AF112" s="67">
        <f>'Monthly Summary'!AO112</f>
        <v/>
      </c>
      <c r="AG112" s="68">
        <f>'Monthly Summary'!AP112</f>
        <v/>
      </c>
      <c r="AH112" s="67">
        <f>'Monthly Summary'!BI112</f>
        <v/>
      </c>
      <c r="AI112" s="67">
        <f>'Monthly Summary'!BJ112</f>
        <v/>
      </c>
      <c r="AJ112" s="68">
        <f>'Monthly Summary'!BK112</f>
        <v/>
      </c>
      <c r="AK112" s="67">
        <f>'Monthly Summary'!CD112</f>
        <v/>
      </c>
      <c r="AL112" s="67">
        <f>'Monthly Summary'!CE112</f>
        <v/>
      </c>
      <c r="AM112" s="68">
        <f>'Monthly Summary'!CF112</f>
        <v/>
      </c>
      <c r="AN112" s="69">
        <f>'Monthly Summary'!CG112</f>
        <v/>
      </c>
      <c r="AO112" s="69">
        <f>'Monthly Summary'!CH112</f>
        <v/>
      </c>
      <c r="AP112" s="70">
        <f>'Monthly Summary'!CI112</f>
        <v/>
      </c>
      <c r="AQ112" s="67">
        <f>'Monthly Summary'!CJ112</f>
        <v/>
      </c>
      <c r="AR112" s="67">
        <f>'Monthly Summary'!CK112</f>
        <v/>
      </c>
      <c r="AS112" s="68">
        <f>'Monthly Summary'!CL112</f>
        <v/>
      </c>
      <c r="AT112" s="67" t="inlineStr">
        <is>
          <t>Batch 3</t>
        </is>
      </c>
    </row>
    <row r="113" ht="14.25" customHeight="1" s="34">
      <c r="A113" s="46" t="n">
        <v>111</v>
      </c>
      <c r="B113" s="46" t="inlineStr">
        <is>
          <t>325106410111</t>
        </is>
      </c>
      <c r="C113" s="46" t="inlineStr">
        <is>
          <t>TJITAREE TJIUMBUA</t>
        </is>
      </c>
      <c r="D113" s="63">
        <f>'Monthly Summary'!BO113</f>
        <v/>
      </c>
      <c r="E113" s="63">
        <f>'Monthly Summary'!BP113</f>
        <v/>
      </c>
      <c r="F113" s="64">
        <f>'Monthly Summary'!BQ113</f>
        <v/>
      </c>
      <c r="G113" s="63">
        <f>'Monthly Summary'!BR113</f>
        <v/>
      </c>
      <c r="H113" s="63">
        <f>'Monthly Summary'!BS113</f>
        <v/>
      </c>
      <c r="I113" s="64">
        <f>'Monthly Summary'!BT113</f>
        <v/>
      </c>
      <c r="J113" s="63">
        <f>'Monthly Summary'!BU113</f>
        <v/>
      </c>
      <c r="K113" s="63">
        <f>'Monthly Summary'!BV113</f>
        <v/>
      </c>
      <c r="L113" s="64">
        <f>'Monthly Summary'!BW113</f>
        <v/>
      </c>
      <c r="M113" s="63">
        <f>'Monthly Summary'!BX113</f>
        <v/>
      </c>
      <c r="N113" s="67">
        <f>'Monthly Summary'!BY113</f>
        <v/>
      </c>
      <c r="O113" s="68">
        <f>'Monthly Summary'!BZ113</f>
        <v/>
      </c>
      <c r="P113" s="67">
        <f>'Monthly Summary'!CA113</f>
        <v/>
      </c>
      <c r="Q113" s="67">
        <f>'Monthly Summary'!CB113</f>
        <v/>
      </c>
      <c r="R113" s="68">
        <f>'Monthly Summary'!CC113</f>
        <v/>
      </c>
      <c r="S113" s="69">
        <f>'Subject-wise Summary'!S112</f>
        <v/>
      </c>
      <c r="T113" s="69">
        <f>'Subject-wise Summary'!T112</f>
        <v/>
      </c>
      <c r="U113" s="70">
        <f>'Subject-wise Summary'!U112</f>
        <v/>
      </c>
      <c r="V113" s="69">
        <f>'Subject-wise Summary'!V112</f>
        <v/>
      </c>
      <c r="W113" s="69">
        <f>'Subject-wise Summary'!W112</f>
        <v/>
      </c>
      <c r="X113" s="70">
        <f>'Subject-wise Summary'!X112</f>
        <v/>
      </c>
      <c r="Y113" s="69">
        <f>'Subject-wise Summary'!Y112</f>
        <v/>
      </c>
      <c r="Z113" s="69">
        <f>'Subject-wise Summary'!Z112</f>
        <v/>
      </c>
      <c r="AA113" s="70">
        <f>'Subject-wise Summary'!AA112</f>
        <v/>
      </c>
      <c r="AB113" s="67">
        <f>'Monthly Summary'!S113</f>
        <v/>
      </c>
      <c r="AC113" s="67">
        <f>'Monthly Summary'!T113</f>
        <v/>
      </c>
      <c r="AD113" s="68">
        <f>'Monthly Summary'!U113</f>
        <v/>
      </c>
      <c r="AE113" s="67">
        <f>'Monthly Summary'!AN113</f>
        <v/>
      </c>
      <c r="AF113" s="67">
        <f>'Monthly Summary'!AO113</f>
        <v/>
      </c>
      <c r="AG113" s="68">
        <f>'Monthly Summary'!AP113</f>
        <v/>
      </c>
      <c r="AH113" s="67">
        <f>'Monthly Summary'!BI113</f>
        <v/>
      </c>
      <c r="AI113" s="67">
        <f>'Monthly Summary'!BJ113</f>
        <v/>
      </c>
      <c r="AJ113" s="68">
        <f>'Monthly Summary'!BK113</f>
        <v/>
      </c>
      <c r="AK113" s="67">
        <f>'Monthly Summary'!CD113</f>
        <v/>
      </c>
      <c r="AL113" s="67">
        <f>'Monthly Summary'!CE113</f>
        <v/>
      </c>
      <c r="AM113" s="68">
        <f>'Monthly Summary'!CF113</f>
        <v/>
      </c>
      <c r="AN113" s="69">
        <f>'Monthly Summary'!CG113</f>
        <v/>
      </c>
      <c r="AO113" s="69">
        <f>'Monthly Summary'!CH113</f>
        <v/>
      </c>
      <c r="AP113" s="70">
        <f>'Monthly Summary'!CI113</f>
        <v/>
      </c>
      <c r="AQ113" s="67">
        <f>'Monthly Summary'!CJ113</f>
        <v/>
      </c>
      <c r="AR113" s="67">
        <f>'Monthly Summary'!CK113</f>
        <v/>
      </c>
      <c r="AS113" s="68">
        <f>'Monthly Summary'!CL113</f>
        <v/>
      </c>
      <c r="AT113" s="67" t="inlineStr">
        <is>
          <t>Batch 3</t>
        </is>
      </c>
    </row>
    <row r="114" ht="14.25" customHeight="1" s="34">
      <c r="A114" s="46" t="n">
        <v>112</v>
      </c>
      <c r="B114" s="46" t="inlineStr">
        <is>
          <t>325106410112</t>
        </is>
      </c>
      <c r="C114" s="46" t="inlineStr">
        <is>
          <t>TOTHAGOTA DEY KABBO</t>
        </is>
      </c>
      <c r="D114" s="63">
        <f>'Monthly Summary'!BO114</f>
        <v/>
      </c>
      <c r="E114" s="63">
        <f>'Monthly Summary'!BP114</f>
        <v/>
      </c>
      <c r="F114" s="64">
        <f>'Monthly Summary'!BQ114</f>
        <v/>
      </c>
      <c r="G114" s="63">
        <f>'Monthly Summary'!BR114</f>
        <v/>
      </c>
      <c r="H114" s="63">
        <f>'Monthly Summary'!BS114</f>
        <v/>
      </c>
      <c r="I114" s="64">
        <f>'Monthly Summary'!BT114</f>
        <v/>
      </c>
      <c r="J114" s="63">
        <f>'Monthly Summary'!BU114</f>
        <v/>
      </c>
      <c r="K114" s="63">
        <f>'Monthly Summary'!BV114</f>
        <v/>
      </c>
      <c r="L114" s="64">
        <f>'Monthly Summary'!BW114</f>
        <v/>
      </c>
      <c r="M114" s="63">
        <f>'Monthly Summary'!BX114</f>
        <v/>
      </c>
      <c r="N114" s="67">
        <f>'Monthly Summary'!BY114</f>
        <v/>
      </c>
      <c r="O114" s="68">
        <f>'Monthly Summary'!BZ114</f>
        <v/>
      </c>
      <c r="P114" s="67">
        <f>'Monthly Summary'!CA114</f>
        <v/>
      </c>
      <c r="Q114" s="67">
        <f>'Monthly Summary'!CB114</f>
        <v/>
      </c>
      <c r="R114" s="68">
        <f>'Monthly Summary'!CC114</f>
        <v/>
      </c>
      <c r="S114" s="69">
        <f>'Subject-wise Summary'!S113</f>
        <v/>
      </c>
      <c r="T114" s="69">
        <f>'Subject-wise Summary'!T113</f>
        <v/>
      </c>
      <c r="U114" s="70">
        <f>'Subject-wise Summary'!U113</f>
        <v/>
      </c>
      <c r="V114" s="69">
        <f>'Subject-wise Summary'!V113</f>
        <v/>
      </c>
      <c r="W114" s="69">
        <f>'Subject-wise Summary'!W113</f>
        <v/>
      </c>
      <c r="X114" s="70">
        <f>'Subject-wise Summary'!X113</f>
        <v/>
      </c>
      <c r="Y114" s="69">
        <f>'Subject-wise Summary'!Y113</f>
        <v/>
      </c>
      <c r="Z114" s="69">
        <f>'Subject-wise Summary'!Z113</f>
        <v/>
      </c>
      <c r="AA114" s="70">
        <f>'Subject-wise Summary'!AA113</f>
        <v/>
      </c>
      <c r="AB114" s="67">
        <f>'Monthly Summary'!S114</f>
        <v/>
      </c>
      <c r="AC114" s="67">
        <f>'Monthly Summary'!T114</f>
        <v/>
      </c>
      <c r="AD114" s="68">
        <f>'Monthly Summary'!U114</f>
        <v/>
      </c>
      <c r="AE114" s="67">
        <f>'Monthly Summary'!AN114</f>
        <v/>
      </c>
      <c r="AF114" s="67">
        <f>'Monthly Summary'!AO114</f>
        <v/>
      </c>
      <c r="AG114" s="68">
        <f>'Monthly Summary'!AP114</f>
        <v/>
      </c>
      <c r="AH114" s="67">
        <f>'Monthly Summary'!BI114</f>
        <v/>
      </c>
      <c r="AI114" s="67">
        <f>'Monthly Summary'!BJ114</f>
        <v/>
      </c>
      <c r="AJ114" s="68">
        <f>'Monthly Summary'!BK114</f>
        <v/>
      </c>
      <c r="AK114" s="67">
        <f>'Monthly Summary'!CD114</f>
        <v/>
      </c>
      <c r="AL114" s="67">
        <f>'Monthly Summary'!CE114</f>
        <v/>
      </c>
      <c r="AM114" s="68">
        <f>'Monthly Summary'!CF114</f>
        <v/>
      </c>
      <c r="AN114" s="69">
        <f>'Monthly Summary'!CG114</f>
        <v/>
      </c>
      <c r="AO114" s="69">
        <f>'Monthly Summary'!CH114</f>
        <v/>
      </c>
      <c r="AP114" s="70">
        <f>'Monthly Summary'!CI114</f>
        <v/>
      </c>
      <c r="AQ114" s="67">
        <f>'Monthly Summary'!CJ114</f>
        <v/>
      </c>
      <c r="AR114" s="67">
        <f>'Monthly Summary'!CK114</f>
        <v/>
      </c>
      <c r="AS114" s="68">
        <f>'Monthly Summary'!CL114</f>
        <v/>
      </c>
      <c r="AT114" s="67" t="inlineStr">
        <is>
          <t>Batch 3</t>
        </is>
      </c>
    </row>
    <row r="115" ht="14.25" customHeight="1" s="34">
      <c r="A115" s="46" t="n">
        <v>113</v>
      </c>
      <c r="B115" s="46" t="inlineStr">
        <is>
          <t>325106410113</t>
        </is>
      </c>
      <c r="C115" s="46" t="inlineStr">
        <is>
          <t>TUMPA DEBNATH</t>
        </is>
      </c>
      <c r="D115" s="63">
        <f>'Monthly Summary'!BO115</f>
        <v/>
      </c>
      <c r="E115" s="63">
        <f>'Monthly Summary'!BP115</f>
        <v/>
      </c>
      <c r="F115" s="64">
        <f>'Monthly Summary'!BQ115</f>
        <v/>
      </c>
      <c r="G115" s="63">
        <f>'Monthly Summary'!BR115</f>
        <v/>
      </c>
      <c r="H115" s="63">
        <f>'Monthly Summary'!BS115</f>
        <v/>
      </c>
      <c r="I115" s="64">
        <f>'Monthly Summary'!BT115</f>
        <v/>
      </c>
      <c r="J115" s="63">
        <f>'Monthly Summary'!BU115</f>
        <v/>
      </c>
      <c r="K115" s="63">
        <f>'Monthly Summary'!BV115</f>
        <v/>
      </c>
      <c r="L115" s="64">
        <f>'Monthly Summary'!BW115</f>
        <v/>
      </c>
      <c r="M115" s="63">
        <f>'Monthly Summary'!BX115</f>
        <v/>
      </c>
      <c r="N115" s="67">
        <f>'Monthly Summary'!BY115</f>
        <v/>
      </c>
      <c r="O115" s="68">
        <f>'Monthly Summary'!BZ115</f>
        <v/>
      </c>
      <c r="P115" s="67">
        <f>'Monthly Summary'!CA115</f>
        <v/>
      </c>
      <c r="Q115" s="67">
        <f>'Monthly Summary'!CB115</f>
        <v/>
      </c>
      <c r="R115" s="68">
        <f>'Monthly Summary'!CC115</f>
        <v/>
      </c>
      <c r="S115" s="69">
        <f>'Subject-wise Summary'!S114</f>
        <v/>
      </c>
      <c r="T115" s="69">
        <f>'Subject-wise Summary'!T114</f>
        <v/>
      </c>
      <c r="U115" s="70">
        <f>'Subject-wise Summary'!U114</f>
        <v/>
      </c>
      <c r="V115" s="69">
        <f>'Subject-wise Summary'!V114</f>
        <v/>
      </c>
      <c r="W115" s="69">
        <f>'Subject-wise Summary'!W114</f>
        <v/>
      </c>
      <c r="X115" s="70">
        <f>'Subject-wise Summary'!X114</f>
        <v/>
      </c>
      <c r="Y115" s="69">
        <f>'Subject-wise Summary'!Y114</f>
        <v/>
      </c>
      <c r="Z115" s="69">
        <f>'Subject-wise Summary'!Z114</f>
        <v/>
      </c>
      <c r="AA115" s="70">
        <f>'Subject-wise Summary'!AA114</f>
        <v/>
      </c>
      <c r="AB115" s="67">
        <f>'Monthly Summary'!S115</f>
        <v/>
      </c>
      <c r="AC115" s="67">
        <f>'Monthly Summary'!T115</f>
        <v/>
      </c>
      <c r="AD115" s="68">
        <f>'Monthly Summary'!U115</f>
        <v/>
      </c>
      <c r="AE115" s="67">
        <f>'Monthly Summary'!AN115</f>
        <v/>
      </c>
      <c r="AF115" s="67">
        <f>'Monthly Summary'!AO115</f>
        <v/>
      </c>
      <c r="AG115" s="68">
        <f>'Monthly Summary'!AP115</f>
        <v/>
      </c>
      <c r="AH115" s="67">
        <f>'Monthly Summary'!BI115</f>
        <v/>
      </c>
      <c r="AI115" s="67">
        <f>'Monthly Summary'!BJ115</f>
        <v/>
      </c>
      <c r="AJ115" s="68">
        <f>'Monthly Summary'!BK115</f>
        <v/>
      </c>
      <c r="AK115" s="67">
        <f>'Monthly Summary'!CD115</f>
        <v/>
      </c>
      <c r="AL115" s="67">
        <f>'Monthly Summary'!CE115</f>
        <v/>
      </c>
      <c r="AM115" s="68">
        <f>'Monthly Summary'!CF115</f>
        <v/>
      </c>
      <c r="AN115" s="69">
        <f>'Monthly Summary'!CG115</f>
        <v/>
      </c>
      <c r="AO115" s="69">
        <f>'Monthly Summary'!CH115</f>
        <v/>
      </c>
      <c r="AP115" s="70">
        <f>'Monthly Summary'!CI115</f>
        <v/>
      </c>
      <c r="AQ115" s="67">
        <f>'Monthly Summary'!CJ115</f>
        <v/>
      </c>
      <c r="AR115" s="67">
        <f>'Monthly Summary'!CK115</f>
        <v/>
      </c>
      <c r="AS115" s="68">
        <f>'Monthly Summary'!CL115</f>
        <v/>
      </c>
      <c r="AT115" s="67" t="inlineStr">
        <is>
          <t>Batch 3</t>
        </is>
      </c>
    </row>
    <row r="116" ht="14.25" customHeight="1" s="34">
      <c r="A116" s="46" t="n">
        <v>114</v>
      </c>
      <c r="B116" s="46" t="inlineStr">
        <is>
          <t>325106410114</t>
        </is>
      </c>
      <c r="C116" s="46" t="inlineStr">
        <is>
          <t>UKASH CHAUDHARY</t>
        </is>
      </c>
      <c r="D116" s="63">
        <f>'Monthly Summary'!BO116</f>
        <v/>
      </c>
      <c r="E116" s="63">
        <f>'Monthly Summary'!BP116</f>
        <v/>
      </c>
      <c r="F116" s="64">
        <f>'Monthly Summary'!BQ116</f>
        <v/>
      </c>
      <c r="G116" s="63">
        <f>'Monthly Summary'!BR116</f>
        <v/>
      </c>
      <c r="H116" s="63">
        <f>'Monthly Summary'!BS116</f>
        <v/>
      </c>
      <c r="I116" s="64">
        <f>'Monthly Summary'!BT116</f>
        <v/>
      </c>
      <c r="J116" s="63">
        <f>'Monthly Summary'!BU116</f>
        <v/>
      </c>
      <c r="K116" s="63">
        <f>'Monthly Summary'!BV116</f>
        <v/>
      </c>
      <c r="L116" s="64">
        <f>'Monthly Summary'!BW116</f>
        <v/>
      </c>
      <c r="M116" s="63">
        <f>'Monthly Summary'!BX116</f>
        <v/>
      </c>
      <c r="N116" s="67">
        <f>'Monthly Summary'!BY116</f>
        <v/>
      </c>
      <c r="O116" s="68">
        <f>'Monthly Summary'!BZ116</f>
        <v/>
      </c>
      <c r="P116" s="67">
        <f>'Monthly Summary'!CA116</f>
        <v/>
      </c>
      <c r="Q116" s="67">
        <f>'Monthly Summary'!CB116</f>
        <v/>
      </c>
      <c r="R116" s="68">
        <f>'Monthly Summary'!CC116</f>
        <v/>
      </c>
      <c r="S116" s="69">
        <f>'Subject-wise Summary'!S115</f>
        <v/>
      </c>
      <c r="T116" s="69">
        <f>'Subject-wise Summary'!T115</f>
        <v/>
      </c>
      <c r="U116" s="70">
        <f>'Subject-wise Summary'!U115</f>
        <v/>
      </c>
      <c r="V116" s="69">
        <f>'Subject-wise Summary'!V115</f>
        <v/>
      </c>
      <c r="W116" s="69">
        <f>'Subject-wise Summary'!W115</f>
        <v/>
      </c>
      <c r="X116" s="70">
        <f>'Subject-wise Summary'!X115</f>
        <v/>
      </c>
      <c r="Y116" s="69">
        <f>'Subject-wise Summary'!Y115</f>
        <v/>
      </c>
      <c r="Z116" s="69">
        <f>'Subject-wise Summary'!Z115</f>
        <v/>
      </c>
      <c r="AA116" s="70">
        <f>'Subject-wise Summary'!AA115</f>
        <v/>
      </c>
      <c r="AB116" s="67">
        <f>'Monthly Summary'!S116</f>
        <v/>
      </c>
      <c r="AC116" s="67">
        <f>'Monthly Summary'!T116</f>
        <v/>
      </c>
      <c r="AD116" s="68">
        <f>'Monthly Summary'!U116</f>
        <v/>
      </c>
      <c r="AE116" s="67">
        <f>'Monthly Summary'!AN116</f>
        <v/>
      </c>
      <c r="AF116" s="67">
        <f>'Monthly Summary'!AO116</f>
        <v/>
      </c>
      <c r="AG116" s="68">
        <f>'Monthly Summary'!AP116</f>
        <v/>
      </c>
      <c r="AH116" s="67">
        <f>'Monthly Summary'!BI116</f>
        <v/>
      </c>
      <c r="AI116" s="67">
        <f>'Monthly Summary'!BJ116</f>
        <v/>
      </c>
      <c r="AJ116" s="68">
        <f>'Monthly Summary'!BK116</f>
        <v/>
      </c>
      <c r="AK116" s="67">
        <f>'Monthly Summary'!CD116</f>
        <v/>
      </c>
      <c r="AL116" s="67">
        <f>'Monthly Summary'!CE116</f>
        <v/>
      </c>
      <c r="AM116" s="68">
        <f>'Monthly Summary'!CF116</f>
        <v/>
      </c>
      <c r="AN116" s="69">
        <f>'Monthly Summary'!CG116</f>
        <v/>
      </c>
      <c r="AO116" s="69">
        <f>'Monthly Summary'!CH116</f>
        <v/>
      </c>
      <c r="AP116" s="70">
        <f>'Monthly Summary'!CI116</f>
        <v/>
      </c>
      <c r="AQ116" s="67">
        <f>'Monthly Summary'!CJ116</f>
        <v/>
      </c>
      <c r="AR116" s="67">
        <f>'Monthly Summary'!CK116</f>
        <v/>
      </c>
      <c r="AS116" s="68">
        <f>'Monthly Summary'!CL116</f>
        <v/>
      </c>
      <c r="AT116" s="67" t="inlineStr">
        <is>
          <t>Batch 3</t>
        </is>
      </c>
    </row>
    <row r="117" ht="14.25" customHeight="1" s="34">
      <c r="A117" s="46" t="n">
        <v>115</v>
      </c>
      <c r="B117" s="46" t="inlineStr">
        <is>
          <t>325106410115</t>
        </is>
      </c>
      <c r="C117" s="46" t="inlineStr">
        <is>
          <t>WANTOK AMAKOU WANTOK AKHOL</t>
        </is>
      </c>
      <c r="D117" s="63">
        <f>'Monthly Summary'!BO117</f>
        <v/>
      </c>
      <c r="E117" s="63">
        <f>'Monthly Summary'!BP117</f>
        <v/>
      </c>
      <c r="F117" s="64">
        <f>'Monthly Summary'!BQ117</f>
        <v/>
      </c>
      <c r="G117" s="63">
        <f>'Monthly Summary'!BR117</f>
        <v/>
      </c>
      <c r="H117" s="63">
        <f>'Monthly Summary'!BS117</f>
        <v/>
      </c>
      <c r="I117" s="64">
        <f>'Monthly Summary'!BT117</f>
        <v/>
      </c>
      <c r="J117" s="63">
        <f>'Monthly Summary'!BU117</f>
        <v/>
      </c>
      <c r="K117" s="63">
        <f>'Monthly Summary'!BV117</f>
        <v/>
      </c>
      <c r="L117" s="64">
        <f>'Monthly Summary'!BW117</f>
        <v/>
      </c>
      <c r="M117" s="63">
        <f>'Monthly Summary'!BX117</f>
        <v/>
      </c>
      <c r="N117" s="67">
        <f>'Monthly Summary'!BY117</f>
        <v/>
      </c>
      <c r="O117" s="68">
        <f>'Monthly Summary'!BZ117</f>
        <v/>
      </c>
      <c r="P117" s="67">
        <f>'Monthly Summary'!CA117</f>
        <v/>
      </c>
      <c r="Q117" s="67">
        <f>'Monthly Summary'!CB117</f>
        <v/>
      </c>
      <c r="R117" s="68">
        <f>'Monthly Summary'!CC117</f>
        <v/>
      </c>
      <c r="S117" s="69">
        <f>'Subject-wise Summary'!S116</f>
        <v/>
      </c>
      <c r="T117" s="69">
        <f>'Subject-wise Summary'!T116</f>
        <v/>
      </c>
      <c r="U117" s="70">
        <f>'Subject-wise Summary'!U116</f>
        <v/>
      </c>
      <c r="V117" s="69">
        <f>'Subject-wise Summary'!V116</f>
        <v/>
      </c>
      <c r="W117" s="69">
        <f>'Subject-wise Summary'!W116</f>
        <v/>
      </c>
      <c r="X117" s="70">
        <f>'Subject-wise Summary'!X116</f>
        <v/>
      </c>
      <c r="Y117" s="69">
        <f>'Subject-wise Summary'!Y116</f>
        <v/>
      </c>
      <c r="Z117" s="69">
        <f>'Subject-wise Summary'!Z116</f>
        <v/>
      </c>
      <c r="AA117" s="70">
        <f>'Subject-wise Summary'!AA116</f>
        <v/>
      </c>
      <c r="AB117" s="67">
        <f>'Monthly Summary'!S117</f>
        <v/>
      </c>
      <c r="AC117" s="67">
        <f>'Monthly Summary'!T117</f>
        <v/>
      </c>
      <c r="AD117" s="68">
        <f>'Monthly Summary'!U117</f>
        <v/>
      </c>
      <c r="AE117" s="67">
        <f>'Monthly Summary'!AN117</f>
        <v/>
      </c>
      <c r="AF117" s="67">
        <f>'Monthly Summary'!AO117</f>
        <v/>
      </c>
      <c r="AG117" s="68">
        <f>'Monthly Summary'!AP117</f>
        <v/>
      </c>
      <c r="AH117" s="67">
        <f>'Monthly Summary'!BI117</f>
        <v/>
      </c>
      <c r="AI117" s="67">
        <f>'Monthly Summary'!BJ117</f>
        <v/>
      </c>
      <c r="AJ117" s="68">
        <f>'Monthly Summary'!BK117</f>
        <v/>
      </c>
      <c r="AK117" s="67">
        <f>'Monthly Summary'!CD117</f>
        <v/>
      </c>
      <c r="AL117" s="67">
        <f>'Monthly Summary'!CE117</f>
        <v/>
      </c>
      <c r="AM117" s="68">
        <f>'Monthly Summary'!CF117</f>
        <v/>
      </c>
      <c r="AN117" s="69">
        <f>'Monthly Summary'!CG117</f>
        <v/>
      </c>
      <c r="AO117" s="69">
        <f>'Monthly Summary'!CH117</f>
        <v/>
      </c>
      <c r="AP117" s="70">
        <f>'Monthly Summary'!CI117</f>
        <v/>
      </c>
      <c r="AQ117" s="67">
        <f>'Monthly Summary'!CJ117</f>
        <v/>
      </c>
      <c r="AR117" s="67">
        <f>'Monthly Summary'!CK117</f>
        <v/>
      </c>
      <c r="AS117" s="68">
        <f>'Monthly Summary'!CL117</f>
        <v/>
      </c>
      <c r="AT117" s="67" t="inlineStr">
        <is>
          <t>Batch 3</t>
        </is>
      </c>
    </row>
    <row r="118" ht="14.25" customHeight="1" s="34">
      <c r="A118" s="46" t="n">
        <v>116</v>
      </c>
      <c r="B118" s="46" t="inlineStr">
        <is>
          <t>325106410116</t>
        </is>
      </c>
      <c r="C118" s="46" t="inlineStr">
        <is>
          <t>WEESLEY ROLL MUNGOI</t>
        </is>
      </c>
      <c r="D118" s="63">
        <f>'Monthly Summary'!BO118</f>
        <v/>
      </c>
      <c r="E118" s="63">
        <f>'Monthly Summary'!BP118</f>
        <v/>
      </c>
      <c r="F118" s="64">
        <f>'Monthly Summary'!BQ118</f>
        <v/>
      </c>
      <c r="G118" s="63">
        <f>'Monthly Summary'!BR118</f>
        <v/>
      </c>
      <c r="H118" s="63">
        <f>'Monthly Summary'!BS118</f>
        <v/>
      </c>
      <c r="I118" s="64">
        <f>'Monthly Summary'!BT118</f>
        <v/>
      </c>
      <c r="J118" s="63">
        <f>'Monthly Summary'!BU118</f>
        <v/>
      </c>
      <c r="K118" s="63">
        <f>'Monthly Summary'!BV118</f>
        <v/>
      </c>
      <c r="L118" s="64">
        <f>'Monthly Summary'!BW118</f>
        <v/>
      </c>
      <c r="M118" s="63">
        <f>'Monthly Summary'!BX118</f>
        <v/>
      </c>
      <c r="N118" s="67">
        <f>'Monthly Summary'!BY118</f>
        <v/>
      </c>
      <c r="O118" s="68">
        <f>'Monthly Summary'!BZ118</f>
        <v/>
      </c>
      <c r="P118" s="67">
        <f>'Monthly Summary'!CA118</f>
        <v/>
      </c>
      <c r="Q118" s="67">
        <f>'Monthly Summary'!CB118</f>
        <v/>
      </c>
      <c r="R118" s="68">
        <f>'Monthly Summary'!CC118</f>
        <v/>
      </c>
      <c r="S118" s="69">
        <f>'Subject-wise Summary'!S117</f>
        <v/>
      </c>
      <c r="T118" s="69">
        <f>'Subject-wise Summary'!T117</f>
        <v/>
      </c>
      <c r="U118" s="70">
        <f>'Subject-wise Summary'!U117</f>
        <v/>
      </c>
      <c r="V118" s="69">
        <f>'Subject-wise Summary'!V117</f>
        <v/>
      </c>
      <c r="W118" s="69">
        <f>'Subject-wise Summary'!W117</f>
        <v/>
      </c>
      <c r="X118" s="70">
        <f>'Subject-wise Summary'!X117</f>
        <v/>
      </c>
      <c r="Y118" s="69">
        <f>'Subject-wise Summary'!Y117</f>
        <v/>
      </c>
      <c r="Z118" s="69">
        <f>'Subject-wise Summary'!Z117</f>
        <v/>
      </c>
      <c r="AA118" s="70">
        <f>'Subject-wise Summary'!AA117</f>
        <v/>
      </c>
      <c r="AB118" s="67">
        <f>'Monthly Summary'!S118</f>
        <v/>
      </c>
      <c r="AC118" s="67">
        <f>'Monthly Summary'!T118</f>
        <v/>
      </c>
      <c r="AD118" s="68">
        <f>'Monthly Summary'!U118</f>
        <v/>
      </c>
      <c r="AE118" s="67">
        <f>'Monthly Summary'!AN118</f>
        <v/>
      </c>
      <c r="AF118" s="67">
        <f>'Monthly Summary'!AO118</f>
        <v/>
      </c>
      <c r="AG118" s="68">
        <f>'Monthly Summary'!AP118</f>
        <v/>
      </c>
      <c r="AH118" s="67">
        <f>'Monthly Summary'!BI118</f>
        <v/>
      </c>
      <c r="AI118" s="67">
        <f>'Monthly Summary'!BJ118</f>
        <v/>
      </c>
      <c r="AJ118" s="68">
        <f>'Monthly Summary'!BK118</f>
        <v/>
      </c>
      <c r="AK118" s="67">
        <f>'Monthly Summary'!CD118</f>
        <v/>
      </c>
      <c r="AL118" s="67">
        <f>'Monthly Summary'!CE118</f>
        <v/>
      </c>
      <c r="AM118" s="68">
        <f>'Monthly Summary'!CF118</f>
        <v/>
      </c>
      <c r="AN118" s="69">
        <f>'Monthly Summary'!CG118</f>
        <v/>
      </c>
      <c r="AO118" s="69">
        <f>'Monthly Summary'!CH118</f>
        <v/>
      </c>
      <c r="AP118" s="70">
        <f>'Monthly Summary'!CI118</f>
        <v/>
      </c>
      <c r="AQ118" s="67">
        <f>'Monthly Summary'!CJ118</f>
        <v/>
      </c>
      <c r="AR118" s="67">
        <f>'Monthly Summary'!CK118</f>
        <v/>
      </c>
      <c r="AS118" s="68">
        <f>'Monthly Summary'!CL118</f>
        <v/>
      </c>
      <c r="AT118" s="67" t="inlineStr">
        <is>
          <t>Batch 3</t>
        </is>
      </c>
    </row>
    <row r="119" ht="14.25" customHeight="1" s="34">
      <c r="A119" s="46" t="n">
        <v>117</v>
      </c>
      <c r="B119" s="46" t="inlineStr">
        <is>
          <t>325106410117</t>
        </is>
      </c>
      <c r="C119" s="46" t="inlineStr">
        <is>
          <t>YAZID RABIU</t>
        </is>
      </c>
      <c r="D119" s="63">
        <f>'Monthly Summary'!BO119</f>
        <v/>
      </c>
      <c r="E119" s="63">
        <f>'Monthly Summary'!BP119</f>
        <v/>
      </c>
      <c r="F119" s="64">
        <f>'Monthly Summary'!BQ119</f>
        <v/>
      </c>
      <c r="G119" s="63">
        <f>'Monthly Summary'!BR119</f>
        <v/>
      </c>
      <c r="H119" s="63">
        <f>'Monthly Summary'!BS119</f>
        <v/>
      </c>
      <c r="I119" s="64">
        <f>'Monthly Summary'!BT119</f>
        <v/>
      </c>
      <c r="J119" s="63">
        <f>'Monthly Summary'!BU119</f>
        <v/>
      </c>
      <c r="K119" s="63">
        <f>'Monthly Summary'!BV119</f>
        <v/>
      </c>
      <c r="L119" s="64">
        <f>'Monthly Summary'!BW119</f>
        <v/>
      </c>
      <c r="M119" s="63">
        <f>'Monthly Summary'!BX119</f>
        <v/>
      </c>
      <c r="N119" s="67">
        <f>'Monthly Summary'!BY119</f>
        <v/>
      </c>
      <c r="O119" s="68">
        <f>'Monthly Summary'!BZ119</f>
        <v/>
      </c>
      <c r="P119" s="67">
        <f>'Monthly Summary'!CA119</f>
        <v/>
      </c>
      <c r="Q119" s="67">
        <f>'Monthly Summary'!CB119</f>
        <v/>
      </c>
      <c r="R119" s="68">
        <f>'Monthly Summary'!CC119</f>
        <v/>
      </c>
      <c r="S119" s="69">
        <f>'Subject-wise Summary'!S118</f>
        <v/>
      </c>
      <c r="T119" s="69">
        <f>'Subject-wise Summary'!T118</f>
        <v/>
      </c>
      <c r="U119" s="70">
        <f>'Subject-wise Summary'!U118</f>
        <v/>
      </c>
      <c r="V119" s="69">
        <f>'Subject-wise Summary'!V118</f>
        <v/>
      </c>
      <c r="W119" s="69">
        <f>'Subject-wise Summary'!W118</f>
        <v/>
      </c>
      <c r="X119" s="70">
        <f>'Subject-wise Summary'!X118</f>
        <v/>
      </c>
      <c r="Y119" s="69">
        <f>'Subject-wise Summary'!Y118</f>
        <v/>
      </c>
      <c r="Z119" s="69">
        <f>'Subject-wise Summary'!Z118</f>
        <v/>
      </c>
      <c r="AA119" s="70">
        <f>'Subject-wise Summary'!AA118</f>
        <v/>
      </c>
      <c r="AB119" s="67">
        <f>'Monthly Summary'!S119</f>
        <v/>
      </c>
      <c r="AC119" s="67">
        <f>'Monthly Summary'!T119</f>
        <v/>
      </c>
      <c r="AD119" s="68">
        <f>'Monthly Summary'!U119</f>
        <v/>
      </c>
      <c r="AE119" s="67">
        <f>'Monthly Summary'!AN119</f>
        <v/>
      </c>
      <c r="AF119" s="67">
        <f>'Monthly Summary'!AO119</f>
        <v/>
      </c>
      <c r="AG119" s="68">
        <f>'Monthly Summary'!AP119</f>
        <v/>
      </c>
      <c r="AH119" s="67">
        <f>'Monthly Summary'!BI119</f>
        <v/>
      </c>
      <c r="AI119" s="67">
        <f>'Monthly Summary'!BJ119</f>
        <v/>
      </c>
      <c r="AJ119" s="68">
        <f>'Monthly Summary'!BK119</f>
        <v/>
      </c>
      <c r="AK119" s="67">
        <f>'Monthly Summary'!CD119</f>
        <v/>
      </c>
      <c r="AL119" s="67">
        <f>'Monthly Summary'!CE119</f>
        <v/>
      </c>
      <c r="AM119" s="68">
        <f>'Monthly Summary'!CF119</f>
        <v/>
      </c>
      <c r="AN119" s="69">
        <f>'Monthly Summary'!CG119</f>
        <v/>
      </c>
      <c r="AO119" s="69">
        <f>'Monthly Summary'!CH119</f>
        <v/>
      </c>
      <c r="AP119" s="70">
        <f>'Monthly Summary'!CI119</f>
        <v/>
      </c>
      <c r="AQ119" s="67">
        <f>'Monthly Summary'!CJ119</f>
        <v/>
      </c>
      <c r="AR119" s="67">
        <f>'Monthly Summary'!CK119</f>
        <v/>
      </c>
      <c r="AS119" s="68">
        <f>'Monthly Summary'!CL119</f>
        <v/>
      </c>
      <c r="AT119" s="67" t="inlineStr">
        <is>
          <t>Batch 3</t>
        </is>
      </c>
    </row>
    <row r="120" ht="14.25" customHeight="1" s="34">
      <c r="A120" s="46" t="n">
        <v>118</v>
      </c>
      <c r="B120" s="46" t="inlineStr">
        <is>
          <t>325106410118</t>
        </is>
      </c>
      <c r="C120" s="46" t="inlineStr">
        <is>
          <t>BANDARU LAXMANA ROHAN PATRUDU</t>
        </is>
      </c>
      <c r="D120" s="63">
        <f>'Monthly Summary'!BO120</f>
        <v/>
      </c>
      <c r="E120" s="63">
        <f>'Monthly Summary'!BP120</f>
        <v/>
      </c>
      <c r="F120" s="64">
        <f>'Monthly Summary'!BQ120</f>
        <v/>
      </c>
      <c r="G120" s="63">
        <f>'Monthly Summary'!BR120</f>
        <v/>
      </c>
      <c r="H120" s="63">
        <f>'Monthly Summary'!BS120</f>
        <v/>
      </c>
      <c r="I120" s="64">
        <f>'Monthly Summary'!BT120</f>
        <v/>
      </c>
      <c r="J120" s="63">
        <f>'Monthly Summary'!BU120</f>
        <v/>
      </c>
      <c r="K120" s="63">
        <f>'Monthly Summary'!BV120</f>
        <v/>
      </c>
      <c r="L120" s="64">
        <f>'Monthly Summary'!BW120</f>
        <v/>
      </c>
      <c r="M120" s="63">
        <f>'Monthly Summary'!BX120</f>
        <v/>
      </c>
      <c r="N120" s="67">
        <f>'Monthly Summary'!BY120</f>
        <v/>
      </c>
      <c r="O120" s="68">
        <f>'Monthly Summary'!BZ120</f>
        <v/>
      </c>
      <c r="P120" s="67">
        <f>'Monthly Summary'!CA120</f>
        <v/>
      </c>
      <c r="Q120" s="67">
        <f>'Monthly Summary'!CB120</f>
        <v/>
      </c>
      <c r="R120" s="68">
        <f>'Monthly Summary'!CC120</f>
        <v/>
      </c>
      <c r="S120" s="69">
        <f>'Subject-wise Summary'!S119</f>
        <v/>
      </c>
      <c r="T120" s="69">
        <f>'Subject-wise Summary'!T119</f>
        <v/>
      </c>
      <c r="U120" s="70">
        <f>'Subject-wise Summary'!U119</f>
        <v/>
      </c>
      <c r="V120" s="69">
        <f>'Subject-wise Summary'!V119</f>
        <v/>
      </c>
      <c r="W120" s="69">
        <f>'Subject-wise Summary'!W119</f>
        <v/>
      </c>
      <c r="X120" s="70">
        <f>'Subject-wise Summary'!X119</f>
        <v/>
      </c>
      <c r="Y120" s="69">
        <f>'Subject-wise Summary'!Y119</f>
        <v/>
      </c>
      <c r="Z120" s="69">
        <f>'Subject-wise Summary'!Z119</f>
        <v/>
      </c>
      <c r="AA120" s="70">
        <f>'Subject-wise Summary'!AA119</f>
        <v/>
      </c>
      <c r="AB120" s="67">
        <f>'Monthly Summary'!S120</f>
        <v/>
      </c>
      <c r="AC120" s="67">
        <f>'Monthly Summary'!T120</f>
        <v/>
      </c>
      <c r="AD120" s="68">
        <f>'Monthly Summary'!U120</f>
        <v/>
      </c>
      <c r="AE120" s="67">
        <f>'Monthly Summary'!AN120</f>
        <v/>
      </c>
      <c r="AF120" s="67">
        <f>'Monthly Summary'!AO120</f>
        <v/>
      </c>
      <c r="AG120" s="68">
        <f>'Monthly Summary'!AP120</f>
        <v/>
      </c>
      <c r="AH120" s="67">
        <f>'Monthly Summary'!BI120</f>
        <v/>
      </c>
      <c r="AI120" s="67">
        <f>'Monthly Summary'!BJ120</f>
        <v/>
      </c>
      <c r="AJ120" s="68">
        <f>'Monthly Summary'!BK120</f>
        <v/>
      </c>
      <c r="AK120" s="67">
        <f>'Monthly Summary'!CD120</f>
        <v/>
      </c>
      <c r="AL120" s="67">
        <f>'Monthly Summary'!CE120</f>
        <v/>
      </c>
      <c r="AM120" s="68">
        <f>'Monthly Summary'!CF120</f>
        <v/>
      </c>
      <c r="AN120" s="69">
        <f>'Monthly Summary'!CG120</f>
        <v/>
      </c>
      <c r="AO120" s="69">
        <f>'Monthly Summary'!CH120</f>
        <v/>
      </c>
      <c r="AP120" s="70">
        <f>'Monthly Summary'!CI120</f>
        <v/>
      </c>
      <c r="AQ120" s="67">
        <f>'Monthly Summary'!CJ120</f>
        <v/>
      </c>
      <c r="AR120" s="67">
        <f>'Monthly Summary'!CK120</f>
        <v/>
      </c>
      <c r="AS120" s="68">
        <f>'Monthly Summary'!CL120</f>
        <v/>
      </c>
      <c r="AT120" s="67" t="inlineStr">
        <is>
          <t>Batch 3</t>
        </is>
      </c>
    </row>
    <row r="121" ht="14.25" customHeight="1" s="34">
      <c r="A121" s="46" t="n">
        <v>119</v>
      </c>
      <c r="B121" s="46" t="inlineStr">
        <is>
          <t>325106410119</t>
        </is>
      </c>
      <c r="C121" s="46" t="inlineStr">
        <is>
          <t>BENDURTHI JAYASREE</t>
        </is>
      </c>
      <c r="D121" s="63">
        <f>'Monthly Summary'!BO121</f>
        <v/>
      </c>
      <c r="E121" s="63">
        <f>'Monthly Summary'!BP121</f>
        <v/>
      </c>
      <c r="F121" s="64">
        <f>'Monthly Summary'!BQ121</f>
        <v/>
      </c>
      <c r="G121" s="63">
        <f>'Monthly Summary'!BR121</f>
        <v/>
      </c>
      <c r="H121" s="63">
        <f>'Monthly Summary'!BS121</f>
        <v/>
      </c>
      <c r="I121" s="64">
        <f>'Monthly Summary'!BT121</f>
        <v/>
      </c>
      <c r="J121" s="63">
        <f>'Monthly Summary'!BU121</f>
        <v/>
      </c>
      <c r="K121" s="63">
        <f>'Monthly Summary'!BV121</f>
        <v/>
      </c>
      <c r="L121" s="64">
        <f>'Monthly Summary'!BW121</f>
        <v/>
      </c>
      <c r="M121" s="63">
        <f>'Monthly Summary'!BX121</f>
        <v/>
      </c>
      <c r="N121" s="67">
        <f>'Monthly Summary'!BY121</f>
        <v/>
      </c>
      <c r="O121" s="68">
        <f>'Monthly Summary'!BZ121</f>
        <v/>
      </c>
      <c r="P121" s="67">
        <f>'Monthly Summary'!CA121</f>
        <v/>
      </c>
      <c r="Q121" s="67">
        <f>'Monthly Summary'!CB121</f>
        <v/>
      </c>
      <c r="R121" s="68">
        <f>'Monthly Summary'!CC121</f>
        <v/>
      </c>
      <c r="S121" s="69">
        <f>'Subject-wise Summary'!S120</f>
        <v/>
      </c>
      <c r="T121" s="69">
        <f>'Subject-wise Summary'!T120</f>
        <v/>
      </c>
      <c r="U121" s="70">
        <f>'Subject-wise Summary'!U120</f>
        <v/>
      </c>
      <c r="V121" s="69">
        <f>'Subject-wise Summary'!V120</f>
        <v/>
      </c>
      <c r="W121" s="69">
        <f>'Subject-wise Summary'!W120</f>
        <v/>
      </c>
      <c r="X121" s="70">
        <f>'Subject-wise Summary'!X120</f>
        <v/>
      </c>
      <c r="Y121" s="69">
        <f>'Subject-wise Summary'!Y120</f>
        <v/>
      </c>
      <c r="Z121" s="69">
        <f>'Subject-wise Summary'!Z120</f>
        <v/>
      </c>
      <c r="AA121" s="70">
        <f>'Subject-wise Summary'!AA120</f>
        <v/>
      </c>
      <c r="AB121" s="67">
        <f>'Monthly Summary'!S121</f>
        <v/>
      </c>
      <c r="AC121" s="67">
        <f>'Monthly Summary'!T121</f>
        <v/>
      </c>
      <c r="AD121" s="68">
        <f>'Monthly Summary'!U121</f>
        <v/>
      </c>
      <c r="AE121" s="67">
        <f>'Monthly Summary'!AN121</f>
        <v/>
      </c>
      <c r="AF121" s="67">
        <f>'Monthly Summary'!AO121</f>
        <v/>
      </c>
      <c r="AG121" s="68">
        <f>'Monthly Summary'!AP121</f>
        <v/>
      </c>
      <c r="AH121" s="67">
        <f>'Monthly Summary'!BI121</f>
        <v/>
      </c>
      <c r="AI121" s="67">
        <f>'Monthly Summary'!BJ121</f>
        <v/>
      </c>
      <c r="AJ121" s="68">
        <f>'Monthly Summary'!BK121</f>
        <v/>
      </c>
      <c r="AK121" s="67">
        <f>'Monthly Summary'!CD121</f>
        <v/>
      </c>
      <c r="AL121" s="67">
        <f>'Monthly Summary'!CE121</f>
        <v/>
      </c>
      <c r="AM121" s="68">
        <f>'Monthly Summary'!CF121</f>
        <v/>
      </c>
      <c r="AN121" s="69">
        <f>'Monthly Summary'!CG121</f>
        <v/>
      </c>
      <c r="AO121" s="69">
        <f>'Monthly Summary'!CH121</f>
        <v/>
      </c>
      <c r="AP121" s="70">
        <f>'Monthly Summary'!CI121</f>
        <v/>
      </c>
      <c r="AQ121" s="67">
        <f>'Monthly Summary'!CJ121</f>
        <v/>
      </c>
      <c r="AR121" s="67">
        <f>'Monthly Summary'!CK121</f>
        <v/>
      </c>
      <c r="AS121" s="68">
        <f>'Monthly Summary'!CL121</f>
        <v/>
      </c>
      <c r="AT121" s="67" t="inlineStr">
        <is>
          <t>Batch 3</t>
        </is>
      </c>
    </row>
    <row r="122" ht="14.25" customHeight="1" s="34">
      <c r="A122" s="46" t="n">
        <v>120</v>
      </c>
      <c r="B122" s="46" t="inlineStr">
        <is>
          <t>325106410120</t>
        </is>
      </c>
      <c r="C122" s="46" t="inlineStr">
        <is>
          <t>BOTTA LOKESH BABU</t>
        </is>
      </c>
      <c r="D122" s="63">
        <f>'Monthly Summary'!BO122</f>
        <v/>
      </c>
      <c r="E122" s="63">
        <f>'Monthly Summary'!BP122</f>
        <v/>
      </c>
      <c r="F122" s="64">
        <f>'Monthly Summary'!BQ122</f>
        <v/>
      </c>
      <c r="G122" s="63">
        <f>'Monthly Summary'!BR122</f>
        <v/>
      </c>
      <c r="H122" s="63">
        <f>'Monthly Summary'!BS122</f>
        <v/>
      </c>
      <c r="I122" s="64">
        <f>'Monthly Summary'!BT122</f>
        <v/>
      </c>
      <c r="J122" s="63">
        <f>'Monthly Summary'!BU122</f>
        <v/>
      </c>
      <c r="K122" s="63">
        <f>'Monthly Summary'!BV122</f>
        <v/>
      </c>
      <c r="L122" s="64">
        <f>'Monthly Summary'!BW122</f>
        <v/>
      </c>
      <c r="M122" s="63">
        <f>'Monthly Summary'!BX122</f>
        <v/>
      </c>
      <c r="N122" s="67">
        <f>'Monthly Summary'!BY122</f>
        <v/>
      </c>
      <c r="O122" s="68">
        <f>'Monthly Summary'!BZ122</f>
        <v/>
      </c>
      <c r="P122" s="67">
        <f>'Monthly Summary'!CA122</f>
        <v/>
      </c>
      <c r="Q122" s="67">
        <f>'Monthly Summary'!CB122</f>
        <v/>
      </c>
      <c r="R122" s="68">
        <f>'Monthly Summary'!CC122</f>
        <v/>
      </c>
      <c r="S122" s="69">
        <f>'Subject-wise Summary'!S121</f>
        <v/>
      </c>
      <c r="T122" s="69">
        <f>'Subject-wise Summary'!T121</f>
        <v/>
      </c>
      <c r="U122" s="70">
        <f>'Subject-wise Summary'!U121</f>
        <v/>
      </c>
      <c r="V122" s="69">
        <f>'Subject-wise Summary'!V121</f>
        <v/>
      </c>
      <c r="W122" s="69">
        <f>'Subject-wise Summary'!W121</f>
        <v/>
      </c>
      <c r="X122" s="70">
        <f>'Subject-wise Summary'!X121</f>
        <v/>
      </c>
      <c r="Y122" s="69">
        <f>'Subject-wise Summary'!Y121</f>
        <v/>
      </c>
      <c r="Z122" s="69">
        <f>'Subject-wise Summary'!Z121</f>
        <v/>
      </c>
      <c r="AA122" s="70">
        <f>'Subject-wise Summary'!AA121</f>
        <v/>
      </c>
      <c r="AB122" s="67">
        <f>'Monthly Summary'!S122</f>
        <v/>
      </c>
      <c r="AC122" s="67">
        <f>'Monthly Summary'!T122</f>
        <v/>
      </c>
      <c r="AD122" s="68">
        <f>'Monthly Summary'!U122</f>
        <v/>
      </c>
      <c r="AE122" s="67">
        <f>'Monthly Summary'!AN122</f>
        <v/>
      </c>
      <c r="AF122" s="67">
        <f>'Monthly Summary'!AO122</f>
        <v/>
      </c>
      <c r="AG122" s="68">
        <f>'Monthly Summary'!AP122</f>
        <v/>
      </c>
      <c r="AH122" s="67">
        <f>'Monthly Summary'!BI122</f>
        <v/>
      </c>
      <c r="AI122" s="67">
        <f>'Monthly Summary'!BJ122</f>
        <v/>
      </c>
      <c r="AJ122" s="68">
        <f>'Monthly Summary'!BK122</f>
        <v/>
      </c>
      <c r="AK122" s="67">
        <f>'Monthly Summary'!CD122</f>
        <v/>
      </c>
      <c r="AL122" s="67">
        <f>'Monthly Summary'!CE122</f>
        <v/>
      </c>
      <c r="AM122" s="68">
        <f>'Monthly Summary'!CF122</f>
        <v/>
      </c>
      <c r="AN122" s="69">
        <f>'Monthly Summary'!CG122</f>
        <v/>
      </c>
      <c r="AO122" s="69">
        <f>'Monthly Summary'!CH122</f>
        <v/>
      </c>
      <c r="AP122" s="70">
        <f>'Monthly Summary'!CI122</f>
        <v/>
      </c>
      <c r="AQ122" s="67">
        <f>'Monthly Summary'!CJ122</f>
        <v/>
      </c>
      <c r="AR122" s="67">
        <f>'Monthly Summary'!CK122</f>
        <v/>
      </c>
      <c r="AS122" s="68">
        <f>'Monthly Summary'!CL122</f>
        <v/>
      </c>
      <c r="AT122" s="67" t="inlineStr">
        <is>
          <t>Batch 3</t>
        </is>
      </c>
    </row>
    <row r="123" ht="14.25" customHeight="1" s="34">
      <c r="A123" s="46" t="n">
        <v>121</v>
      </c>
      <c r="B123" s="46" t="inlineStr">
        <is>
          <t>325106410121</t>
        </is>
      </c>
      <c r="C123" s="46" t="inlineStr">
        <is>
          <t>MADDULA SRAVAN KUMAR</t>
        </is>
      </c>
      <c r="D123" s="63">
        <f>'Monthly Summary'!BO123</f>
        <v/>
      </c>
      <c r="E123" s="63">
        <f>'Monthly Summary'!BP123</f>
        <v/>
      </c>
      <c r="F123" s="64">
        <f>'Monthly Summary'!BQ123</f>
        <v/>
      </c>
      <c r="G123" s="63">
        <f>'Monthly Summary'!BR123</f>
        <v/>
      </c>
      <c r="H123" s="63">
        <f>'Monthly Summary'!BS123</f>
        <v/>
      </c>
      <c r="I123" s="64">
        <f>'Monthly Summary'!BT123</f>
        <v/>
      </c>
      <c r="J123" s="63">
        <f>'Monthly Summary'!BU123</f>
        <v/>
      </c>
      <c r="K123" s="63">
        <f>'Monthly Summary'!BV123</f>
        <v/>
      </c>
      <c r="L123" s="64">
        <f>'Monthly Summary'!BW123</f>
        <v/>
      </c>
      <c r="M123" s="63">
        <f>'Monthly Summary'!BX123</f>
        <v/>
      </c>
      <c r="N123" s="67">
        <f>'Monthly Summary'!BY123</f>
        <v/>
      </c>
      <c r="O123" s="68">
        <f>'Monthly Summary'!BZ123</f>
        <v/>
      </c>
      <c r="P123" s="67">
        <f>'Monthly Summary'!CA123</f>
        <v/>
      </c>
      <c r="Q123" s="67">
        <f>'Monthly Summary'!CB123</f>
        <v/>
      </c>
      <c r="R123" s="68">
        <f>'Monthly Summary'!CC123</f>
        <v/>
      </c>
      <c r="S123" s="69">
        <f>'Subject-wise Summary'!S122</f>
        <v/>
      </c>
      <c r="T123" s="69">
        <f>'Subject-wise Summary'!T122</f>
        <v/>
      </c>
      <c r="U123" s="70">
        <f>'Subject-wise Summary'!U122</f>
        <v/>
      </c>
      <c r="V123" s="69">
        <f>'Subject-wise Summary'!V122</f>
        <v/>
      </c>
      <c r="W123" s="69">
        <f>'Subject-wise Summary'!W122</f>
        <v/>
      </c>
      <c r="X123" s="70">
        <f>'Subject-wise Summary'!X122</f>
        <v/>
      </c>
      <c r="Y123" s="69">
        <f>'Subject-wise Summary'!Y122</f>
        <v/>
      </c>
      <c r="Z123" s="69">
        <f>'Subject-wise Summary'!Z122</f>
        <v/>
      </c>
      <c r="AA123" s="70">
        <f>'Subject-wise Summary'!AA122</f>
        <v/>
      </c>
      <c r="AB123" s="67">
        <f>'Monthly Summary'!S123</f>
        <v/>
      </c>
      <c r="AC123" s="67">
        <f>'Monthly Summary'!T123</f>
        <v/>
      </c>
      <c r="AD123" s="68">
        <f>'Monthly Summary'!U123</f>
        <v/>
      </c>
      <c r="AE123" s="67">
        <f>'Monthly Summary'!AN123</f>
        <v/>
      </c>
      <c r="AF123" s="67">
        <f>'Monthly Summary'!AO123</f>
        <v/>
      </c>
      <c r="AG123" s="68">
        <f>'Monthly Summary'!AP123</f>
        <v/>
      </c>
      <c r="AH123" s="67">
        <f>'Monthly Summary'!BI123</f>
        <v/>
      </c>
      <c r="AI123" s="67">
        <f>'Monthly Summary'!BJ123</f>
        <v/>
      </c>
      <c r="AJ123" s="68">
        <f>'Monthly Summary'!BK123</f>
        <v/>
      </c>
      <c r="AK123" s="67">
        <f>'Monthly Summary'!CD123</f>
        <v/>
      </c>
      <c r="AL123" s="67">
        <f>'Monthly Summary'!CE123</f>
        <v/>
      </c>
      <c r="AM123" s="68">
        <f>'Monthly Summary'!CF123</f>
        <v/>
      </c>
      <c r="AN123" s="69">
        <f>'Monthly Summary'!CG123</f>
        <v/>
      </c>
      <c r="AO123" s="69">
        <f>'Monthly Summary'!CH123</f>
        <v/>
      </c>
      <c r="AP123" s="70">
        <f>'Monthly Summary'!CI123</f>
        <v/>
      </c>
      <c r="AQ123" s="67">
        <f>'Monthly Summary'!CJ123</f>
        <v/>
      </c>
      <c r="AR123" s="67">
        <f>'Monthly Summary'!CK123</f>
        <v/>
      </c>
      <c r="AS123" s="68">
        <f>'Monthly Summary'!CL123</f>
        <v/>
      </c>
      <c r="AT123" s="67" t="inlineStr">
        <is>
          <t>Batch 3</t>
        </is>
      </c>
    </row>
    <row r="124" ht="14.25" customHeight="1" s="34">
      <c r="A124" s="46" t="n">
        <v>122</v>
      </c>
      <c r="B124" s="46" t="inlineStr">
        <is>
          <t>325106410122</t>
        </is>
      </c>
      <c r="C124" s="46" t="inlineStr">
        <is>
          <t>SALADI KALYAN MODHA ANKSHINI</t>
        </is>
      </c>
      <c r="D124" s="63">
        <f>'Monthly Summary'!BO124</f>
        <v/>
      </c>
      <c r="E124" s="63">
        <f>'Monthly Summary'!BP124</f>
        <v/>
      </c>
      <c r="F124" s="64">
        <f>'Monthly Summary'!BQ124</f>
        <v/>
      </c>
      <c r="G124" s="63">
        <f>'Monthly Summary'!BR124</f>
        <v/>
      </c>
      <c r="H124" s="63">
        <f>'Monthly Summary'!BS124</f>
        <v/>
      </c>
      <c r="I124" s="64">
        <f>'Monthly Summary'!BT124</f>
        <v/>
      </c>
      <c r="J124" s="63">
        <f>'Monthly Summary'!BU124</f>
        <v/>
      </c>
      <c r="K124" s="63">
        <f>'Monthly Summary'!BV124</f>
        <v/>
      </c>
      <c r="L124" s="64">
        <f>'Monthly Summary'!BW124</f>
        <v/>
      </c>
      <c r="M124" s="63">
        <f>'Monthly Summary'!BX124</f>
        <v/>
      </c>
      <c r="N124" s="67">
        <f>'Monthly Summary'!BY124</f>
        <v/>
      </c>
      <c r="O124" s="68">
        <f>'Monthly Summary'!BZ124</f>
        <v/>
      </c>
      <c r="P124" s="67">
        <f>'Monthly Summary'!CA124</f>
        <v/>
      </c>
      <c r="Q124" s="67">
        <f>'Monthly Summary'!CB124</f>
        <v/>
      </c>
      <c r="R124" s="68">
        <f>'Monthly Summary'!CC124</f>
        <v/>
      </c>
      <c r="S124" s="69">
        <f>'Subject-wise Summary'!S123</f>
        <v/>
      </c>
      <c r="T124" s="69">
        <f>'Subject-wise Summary'!T123</f>
        <v/>
      </c>
      <c r="U124" s="70">
        <f>'Subject-wise Summary'!U123</f>
        <v/>
      </c>
      <c r="V124" s="69">
        <f>'Subject-wise Summary'!V123</f>
        <v/>
      </c>
      <c r="W124" s="69">
        <f>'Subject-wise Summary'!W123</f>
        <v/>
      </c>
      <c r="X124" s="70">
        <f>'Subject-wise Summary'!X123</f>
        <v/>
      </c>
      <c r="Y124" s="69">
        <f>'Subject-wise Summary'!Y123</f>
        <v/>
      </c>
      <c r="Z124" s="69">
        <f>'Subject-wise Summary'!Z123</f>
        <v/>
      </c>
      <c r="AA124" s="70">
        <f>'Subject-wise Summary'!AA123</f>
        <v/>
      </c>
      <c r="AB124" s="67">
        <f>'Monthly Summary'!S124</f>
        <v/>
      </c>
      <c r="AC124" s="67">
        <f>'Monthly Summary'!T124</f>
        <v/>
      </c>
      <c r="AD124" s="68">
        <f>'Monthly Summary'!U124</f>
        <v/>
      </c>
      <c r="AE124" s="67">
        <f>'Monthly Summary'!AN124</f>
        <v/>
      </c>
      <c r="AF124" s="67">
        <f>'Monthly Summary'!AO124</f>
        <v/>
      </c>
      <c r="AG124" s="68">
        <f>'Monthly Summary'!AP124</f>
        <v/>
      </c>
      <c r="AH124" s="67">
        <f>'Monthly Summary'!BI124</f>
        <v/>
      </c>
      <c r="AI124" s="67">
        <f>'Monthly Summary'!BJ124</f>
        <v/>
      </c>
      <c r="AJ124" s="68">
        <f>'Monthly Summary'!BK124</f>
        <v/>
      </c>
      <c r="AK124" s="67">
        <f>'Monthly Summary'!CD124</f>
        <v/>
      </c>
      <c r="AL124" s="67">
        <f>'Monthly Summary'!CE124</f>
        <v/>
      </c>
      <c r="AM124" s="68">
        <f>'Monthly Summary'!CF124</f>
        <v/>
      </c>
      <c r="AN124" s="69">
        <f>'Monthly Summary'!CG124</f>
        <v/>
      </c>
      <c r="AO124" s="69">
        <f>'Monthly Summary'!CH124</f>
        <v/>
      </c>
      <c r="AP124" s="70">
        <f>'Monthly Summary'!CI124</f>
        <v/>
      </c>
      <c r="AQ124" s="67">
        <f>'Monthly Summary'!CJ124</f>
        <v/>
      </c>
      <c r="AR124" s="67">
        <f>'Monthly Summary'!CK124</f>
        <v/>
      </c>
      <c r="AS124" s="68">
        <f>'Monthly Summary'!CL124</f>
        <v/>
      </c>
      <c r="AT124" s="67" t="inlineStr">
        <is>
          <t>Batch 3</t>
        </is>
      </c>
    </row>
    <row r="125" ht="14.25" customHeight="1" s="34">
      <c r="A125" s="46" t="n">
        <v>123</v>
      </c>
      <c r="B125" s="46" t="inlineStr">
        <is>
          <t>325106410123</t>
        </is>
      </c>
      <c r="C125" s="46" t="inlineStr">
        <is>
          <t>VERAPANENI VENKATA CHOWDARY</t>
        </is>
      </c>
      <c r="D125" s="63">
        <f>'Monthly Summary'!BO125</f>
        <v/>
      </c>
      <c r="E125" s="63">
        <f>'Monthly Summary'!BP125</f>
        <v/>
      </c>
      <c r="F125" s="64">
        <f>'Monthly Summary'!BQ125</f>
        <v/>
      </c>
      <c r="G125" s="63">
        <f>'Monthly Summary'!BR125</f>
        <v/>
      </c>
      <c r="H125" s="63">
        <f>'Monthly Summary'!BS125</f>
        <v/>
      </c>
      <c r="I125" s="64">
        <f>'Monthly Summary'!BT125</f>
        <v/>
      </c>
      <c r="J125" s="63">
        <f>'Monthly Summary'!BU125</f>
        <v/>
      </c>
      <c r="K125" s="63">
        <f>'Monthly Summary'!BV125</f>
        <v/>
      </c>
      <c r="L125" s="64">
        <f>'Monthly Summary'!BW125</f>
        <v/>
      </c>
      <c r="M125" s="63">
        <f>'Monthly Summary'!BX125</f>
        <v/>
      </c>
      <c r="N125" s="67">
        <f>'Monthly Summary'!BY125</f>
        <v/>
      </c>
      <c r="O125" s="68">
        <f>'Monthly Summary'!BZ125</f>
        <v/>
      </c>
      <c r="P125" s="67">
        <f>'Monthly Summary'!CA125</f>
        <v/>
      </c>
      <c r="Q125" s="67">
        <f>'Monthly Summary'!CB125</f>
        <v/>
      </c>
      <c r="R125" s="68">
        <f>'Monthly Summary'!CC125</f>
        <v/>
      </c>
      <c r="S125" s="69">
        <f>'Subject-wise Summary'!S124</f>
        <v/>
      </c>
      <c r="T125" s="69">
        <f>'Subject-wise Summary'!T124</f>
        <v/>
      </c>
      <c r="U125" s="70">
        <f>'Subject-wise Summary'!U124</f>
        <v/>
      </c>
      <c r="V125" s="69">
        <f>'Subject-wise Summary'!V124</f>
        <v/>
      </c>
      <c r="W125" s="69">
        <f>'Subject-wise Summary'!W124</f>
        <v/>
      </c>
      <c r="X125" s="70">
        <f>'Subject-wise Summary'!X124</f>
        <v/>
      </c>
      <c r="Y125" s="69">
        <f>'Subject-wise Summary'!Y124</f>
        <v/>
      </c>
      <c r="Z125" s="69">
        <f>'Subject-wise Summary'!Z124</f>
        <v/>
      </c>
      <c r="AA125" s="70">
        <f>'Subject-wise Summary'!AA124</f>
        <v/>
      </c>
      <c r="AB125" s="67">
        <f>'Monthly Summary'!S125</f>
        <v/>
      </c>
      <c r="AC125" s="67">
        <f>'Monthly Summary'!T125</f>
        <v/>
      </c>
      <c r="AD125" s="68">
        <f>'Monthly Summary'!U125</f>
        <v/>
      </c>
      <c r="AE125" s="67">
        <f>'Monthly Summary'!AN125</f>
        <v/>
      </c>
      <c r="AF125" s="67">
        <f>'Monthly Summary'!AO125</f>
        <v/>
      </c>
      <c r="AG125" s="68">
        <f>'Monthly Summary'!AP125</f>
        <v/>
      </c>
      <c r="AH125" s="67">
        <f>'Monthly Summary'!BI125</f>
        <v/>
      </c>
      <c r="AI125" s="67">
        <f>'Monthly Summary'!BJ125</f>
        <v/>
      </c>
      <c r="AJ125" s="68">
        <f>'Monthly Summary'!BK125</f>
        <v/>
      </c>
      <c r="AK125" s="67">
        <f>'Monthly Summary'!CD125</f>
        <v/>
      </c>
      <c r="AL125" s="67">
        <f>'Monthly Summary'!CE125</f>
        <v/>
      </c>
      <c r="AM125" s="68">
        <f>'Monthly Summary'!CF125</f>
        <v/>
      </c>
      <c r="AN125" s="69">
        <f>'Monthly Summary'!CG125</f>
        <v/>
      </c>
      <c r="AO125" s="69">
        <f>'Monthly Summary'!CH125</f>
        <v/>
      </c>
      <c r="AP125" s="70">
        <f>'Monthly Summary'!CI125</f>
        <v/>
      </c>
      <c r="AQ125" s="67">
        <f>'Monthly Summary'!CJ125</f>
        <v/>
      </c>
      <c r="AR125" s="67">
        <f>'Monthly Summary'!CK125</f>
        <v/>
      </c>
      <c r="AS125" s="68">
        <f>'Monthly Summary'!CL125</f>
        <v/>
      </c>
      <c r="AT125" s="67" t="inlineStr">
        <is>
          <t>Batch 3</t>
        </is>
      </c>
    </row>
    <row r="126" ht="14.25" customHeight="1" s="34">
      <c r="A126" s="46" t="n">
        <v>124</v>
      </c>
      <c r="B126" s="46" t="inlineStr">
        <is>
          <t>325106410124</t>
        </is>
      </c>
      <c r="C126" s="46" t="inlineStr">
        <is>
          <t>YUVRAJ SINGH</t>
        </is>
      </c>
      <c r="D126" s="63">
        <f>'Monthly Summary'!BO126</f>
        <v/>
      </c>
      <c r="E126" s="63">
        <f>'Monthly Summary'!BP126</f>
        <v/>
      </c>
      <c r="F126" s="64">
        <f>'Monthly Summary'!BQ126</f>
        <v/>
      </c>
      <c r="G126" s="63">
        <f>'Monthly Summary'!BR126</f>
        <v/>
      </c>
      <c r="H126" s="63">
        <f>'Monthly Summary'!BS126</f>
        <v/>
      </c>
      <c r="I126" s="64">
        <f>'Monthly Summary'!BT126</f>
        <v/>
      </c>
      <c r="J126" s="63">
        <f>'Monthly Summary'!BU126</f>
        <v/>
      </c>
      <c r="K126" s="63">
        <f>'Monthly Summary'!BV126</f>
        <v/>
      </c>
      <c r="L126" s="64">
        <f>'Monthly Summary'!BW126</f>
        <v/>
      </c>
      <c r="M126" s="63">
        <f>'Monthly Summary'!BX126</f>
        <v/>
      </c>
      <c r="N126" s="67">
        <f>'Monthly Summary'!BY126</f>
        <v/>
      </c>
      <c r="O126" s="68">
        <f>'Monthly Summary'!BZ126</f>
        <v/>
      </c>
      <c r="P126" s="67">
        <f>'Monthly Summary'!CA126</f>
        <v/>
      </c>
      <c r="Q126" s="67">
        <f>'Monthly Summary'!CB126</f>
        <v/>
      </c>
      <c r="R126" s="68">
        <f>'Monthly Summary'!CC126</f>
        <v/>
      </c>
      <c r="S126" s="69">
        <f>'Subject-wise Summary'!S125</f>
        <v/>
      </c>
      <c r="T126" s="69">
        <f>'Subject-wise Summary'!T125</f>
        <v/>
      </c>
      <c r="U126" s="70">
        <f>'Subject-wise Summary'!U125</f>
        <v/>
      </c>
      <c r="V126" s="69">
        <f>'Subject-wise Summary'!V125</f>
        <v/>
      </c>
      <c r="W126" s="69">
        <f>'Subject-wise Summary'!W125</f>
        <v/>
      </c>
      <c r="X126" s="70">
        <f>'Subject-wise Summary'!X125</f>
        <v/>
      </c>
      <c r="Y126" s="69">
        <f>'Subject-wise Summary'!Y125</f>
        <v/>
      </c>
      <c r="Z126" s="69">
        <f>'Subject-wise Summary'!Z125</f>
        <v/>
      </c>
      <c r="AA126" s="70">
        <f>'Subject-wise Summary'!AA125</f>
        <v/>
      </c>
      <c r="AB126" s="67">
        <f>'Monthly Summary'!S126</f>
        <v/>
      </c>
      <c r="AC126" s="67">
        <f>'Monthly Summary'!T126</f>
        <v/>
      </c>
      <c r="AD126" s="68">
        <f>'Monthly Summary'!U126</f>
        <v/>
      </c>
      <c r="AE126" s="67">
        <f>'Monthly Summary'!AN126</f>
        <v/>
      </c>
      <c r="AF126" s="67">
        <f>'Monthly Summary'!AO126</f>
        <v/>
      </c>
      <c r="AG126" s="68">
        <f>'Monthly Summary'!AP126</f>
        <v/>
      </c>
      <c r="AH126" s="67">
        <f>'Monthly Summary'!BI126</f>
        <v/>
      </c>
      <c r="AI126" s="67">
        <f>'Monthly Summary'!BJ126</f>
        <v/>
      </c>
      <c r="AJ126" s="68">
        <f>'Monthly Summary'!BK126</f>
        <v/>
      </c>
      <c r="AK126" s="67">
        <f>'Monthly Summary'!CD126</f>
        <v/>
      </c>
      <c r="AL126" s="67">
        <f>'Monthly Summary'!CE126</f>
        <v/>
      </c>
      <c r="AM126" s="68">
        <f>'Monthly Summary'!CF126</f>
        <v/>
      </c>
      <c r="AN126" s="69">
        <f>'Monthly Summary'!CG126</f>
        <v/>
      </c>
      <c r="AO126" s="69">
        <f>'Monthly Summary'!CH126</f>
        <v/>
      </c>
      <c r="AP126" s="70">
        <f>'Monthly Summary'!CI126</f>
        <v/>
      </c>
      <c r="AQ126" s="67">
        <f>'Monthly Summary'!CJ126</f>
        <v/>
      </c>
      <c r="AR126" s="67">
        <f>'Monthly Summary'!CK126</f>
        <v/>
      </c>
      <c r="AS126" s="68">
        <f>'Monthly Summary'!CL126</f>
        <v/>
      </c>
      <c r="AT126" s="67" t="inlineStr">
        <is>
          <t>Batch 3</t>
        </is>
      </c>
    </row>
  </sheetData>
  <mergeCells count="7">
    <mergeCell ref="D1:R1"/>
    <mergeCell ref="AK1:AS1"/>
    <mergeCell ref="AB1:AJ1"/>
    <mergeCell ref="S1:AA1"/>
    <mergeCell ref="C1:C2"/>
    <mergeCell ref="B1:B2"/>
    <mergeCell ref="A1:A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outlinePr summaryBelow="1" summaryRight="1"/>
    <pageSetUpPr/>
  </sheetPr>
  <dimension ref="A1:O148"/>
  <sheetViews>
    <sheetView showGridLines="0" zoomScale="9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8" customWidth="1" style="34" min="1" max="1"/>
    <col width="20" customWidth="1" style="34" min="2" max="2"/>
    <col width="34" customWidth="1" style="34" min="3" max="3"/>
    <col width="14" customWidth="1" style="34" min="4" max="4"/>
    <col width="14" customWidth="1" style="34" min="5" max="5"/>
    <col width="14" customWidth="1" style="34" min="6" max="6"/>
    <col width="14" customWidth="1" style="34" min="7" max="7"/>
    <col width="14" customWidth="1" style="34" min="8" max="8"/>
    <col width="14" customWidth="1" style="34" min="9" max="9"/>
    <col width="14" customWidth="1" style="34" min="10" max="10"/>
    <col width="14" customWidth="1" style="34" min="11" max="11"/>
    <col width="14" customWidth="1" style="34" min="12" max="12"/>
    <col width="14" customWidth="1" style="34" min="13" max="13"/>
    <col width="14" customWidth="1" style="34" min="14" max="14"/>
    <col width="14" customWidth="1" style="34" min="15" max="15"/>
  </cols>
  <sheetData>
    <row r="1">
      <c r="A1" s="77" t="inlineStr">
        <is>
          <t>MONTHLY ATTENDANCE TEMPLATE — CSE A1</t>
        </is>
      </c>
      <c r="B1" s="41" t="n"/>
      <c r="C1" s="41" t="n"/>
      <c r="D1" s="41" t="n"/>
      <c r="E1" s="41" t="n"/>
      <c r="F1" s="42" t="n"/>
    </row>
    <row r="2">
      <c r="A2" s="78" t="inlineStr">
        <is>
          <t>Routine source: official timetable W.E.F. 29-06-2026, revised 13-07-2026. Do not alter the routine.</t>
        </is>
      </c>
      <c r="B2" s="41" t="n"/>
      <c r="C2" s="41" t="n"/>
      <c r="D2" s="41" t="n"/>
      <c r="E2" s="41" t="n"/>
      <c r="F2" s="42" t="n"/>
    </row>
    <row r="4">
      <c r="A4" s="79" t="inlineStr">
        <is>
          <t>MONTH</t>
        </is>
      </c>
      <c r="B4" s="79" t="inlineStr">
        <is>
          <t>Enter month/year in the monthly copy; columns should follow the official routine.</t>
        </is>
      </c>
    </row>
    <row r="5">
      <c r="A5" s="79" t="inlineStr">
        <is>
          <t>FAST WORKFLOW</t>
        </is>
      </c>
      <c r="B5" s="79" t="inlineStr">
        <is>
          <t>For each class: use the bulk status cell (row 6) as the default, then mark only absentees in the student rows.</t>
        </is>
      </c>
    </row>
    <row r="6">
      <c r="A6" s="80" t="inlineStr">
        <is>
          <t>Bulk status</t>
        </is>
      </c>
      <c r="B6" s="80" t="inlineStr">
        <is>
          <t>Set each class column to ☑ Present or ☐ Absent before entering exceptions.</t>
        </is>
      </c>
      <c r="C6" s="80" t="n"/>
      <c r="D6" s="80" t="inlineStr">
        <is>
          <t>☑ Present</t>
        </is>
      </c>
      <c r="E6" s="80" t="inlineStr">
        <is>
          <t>☑ Present</t>
        </is>
      </c>
      <c r="F6" s="80" t="inlineStr">
        <is>
          <t>☑ Present</t>
        </is>
      </c>
      <c r="G6" s="80" t="inlineStr">
        <is>
          <t>☑ Present</t>
        </is>
      </c>
      <c r="H6" s="80" t="inlineStr">
        <is>
          <t>☑ Present</t>
        </is>
      </c>
      <c r="I6" s="80" t="inlineStr">
        <is>
          <t>☑ Present</t>
        </is>
      </c>
      <c r="J6" s="80" t="inlineStr">
        <is>
          <t>☑ Present</t>
        </is>
      </c>
      <c r="K6" s="80" t="inlineStr">
        <is>
          <t>☑ Present</t>
        </is>
      </c>
      <c r="L6" s="80" t="inlineStr">
        <is>
          <t>☑ Present</t>
        </is>
      </c>
      <c r="M6" s="80" t="inlineStr">
        <is>
          <t>☑ Present</t>
        </is>
      </c>
      <c r="N6" s="80" t="inlineStr">
        <is>
          <t>☑ Present</t>
        </is>
      </c>
      <c r="O6" s="80" t="inlineStr">
        <is>
          <t>☑ Present</t>
        </is>
      </c>
    </row>
    <row r="7" ht="42" customHeight="1" s="34">
      <c r="A7" s="80" t="n"/>
      <c r="B7" s="80" t="n"/>
      <c r="C7" s="80" t="n"/>
      <c r="D7" s="81" t="inlineStr">
        <is>
          <t>01-Sep | OOPJ LAB-3</t>
        </is>
      </c>
      <c r="E7" s="81" t="inlineStr">
        <is>
          <t>01-Sep | OOPJ</t>
        </is>
      </c>
      <c r="F7" s="81" t="inlineStr">
        <is>
          <t>02-Sep | OS</t>
        </is>
      </c>
      <c r="G7" s="81" t="inlineStr">
        <is>
          <t>02-Sep | DMS</t>
        </is>
      </c>
      <c r="H7" s="81" t="inlineStr">
        <is>
          <t>03-Sep | OS</t>
        </is>
      </c>
      <c r="I7" s="81" t="inlineStr">
        <is>
          <t>03-Sep | OOPJ</t>
        </is>
      </c>
      <c r="J7" s="81" t="inlineStr">
        <is>
          <t>03-Sep | PSQT</t>
        </is>
      </c>
      <c r="K7" s="81" t="inlineStr">
        <is>
          <t>04-Sep | COA</t>
        </is>
      </c>
      <c r="L7" s="81" t="inlineStr">
        <is>
          <t>04-Sep | DMS</t>
        </is>
      </c>
      <c r="M7" s="81" t="inlineStr">
        <is>
          <t>04-Sep | OS LAB-1 / OOPJ LAB-2</t>
        </is>
      </c>
      <c r="N7" s="81" t="inlineStr">
        <is>
          <t>05-Sep | COA</t>
        </is>
      </c>
      <c r="O7" s="81" t="inlineStr">
        <is>
          <t>05-Sep | COA LAB-2</t>
        </is>
      </c>
    </row>
    <row r="8" ht="32" customHeight="1" s="34">
      <c r="A8" s="80" t="inlineStr">
        <is>
          <t>S.No</t>
        </is>
      </c>
      <c r="B8" s="80" t="inlineStr">
        <is>
          <t>Registration No</t>
        </is>
      </c>
      <c r="C8" s="80" t="inlineStr">
        <is>
          <t>Student Name</t>
        </is>
      </c>
      <c r="D8" s="80" t="inlineStr">
        <is>
          <t>Lab
Batch 1/2/3</t>
        </is>
      </c>
      <c r="E8" s="80" t="inlineStr">
        <is>
          <t>Theory
ALL</t>
        </is>
      </c>
      <c r="F8" s="80" t="inlineStr">
        <is>
          <t>Theory
ALL</t>
        </is>
      </c>
      <c r="G8" s="80" t="inlineStr">
        <is>
          <t>Theory
ALL</t>
        </is>
      </c>
      <c r="H8" s="80" t="inlineStr">
        <is>
          <t>Theory
ALL</t>
        </is>
      </c>
      <c r="I8" s="80" t="inlineStr">
        <is>
          <t>Theory
ALL</t>
        </is>
      </c>
      <c r="J8" s="80" t="inlineStr">
        <is>
          <t>Theory
ALL</t>
        </is>
      </c>
      <c r="K8" s="80" t="inlineStr">
        <is>
          <t>Theory
ALL</t>
        </is>
      </c>
      <c r="L8" s="80" t="inlineStr">
        <is>
          <t>Theory
ALL</t>
        </is>
      </c>
      <c r="M8" s="80" t="inlineStr">
        <is>
          <t>Lab
Batch 1/2/3</t>
        </is>
      </c>
      <c r="N8" s="80" t="inlineStr">
        <is>
          <t>Theory
ALL</t>
        </is>
      </c>
      <c r="O8" s="80" t="inlineStr">
        <is>
          <t>Lab
Batch 1/2/3</t>
        </is>
      </c>
    </row>
    <row r="9">
      <c r="A9" s="80" t="n">
        <v>1</v>
      </c>
      <c r="B9" s="80" t="inlineStr">
        <is>
          <t>325106410001</t>
        </is>
      </c>
      <c r="C9" s="80" t="inlineStr">
        <is>
          <t>RATISH SHARMA</t>
        </is>
      </c>
      <c r="D9" s="80" t="inlineStr">
        <is>
          <t>☑</t>
        </is>
      </c>
      <c r="E9" s="80" t="inlineStr">
        <is>
          <t>☑</t>
        </is>
      </c>
      <c r="F9" s="80" t="inlineStr">
        <is>
          <t>☑</t>
        </is>
      </c>
      <c r="G9" s="80" t="inlineStr">
        <is>
          <t>☑</t>
        </is>
      </c>
      <c r="H9" s="80" t="inlineStr">
        <is>
          <t>☑</t>
        </is>
      </c>
      <c r="I9" s="80" t="inlineStr">
        <is>
          <t>☑</t>
        </is>
      </c>
      <c r="J9" s="80" t="inlineStr">
        <is>
          <t>☑</t>
        </is>
      </c>
      <c r="K9" s="80" t="inlineStr">
        <is>
          <t>☑</t>
        </is>
      </c>
      <c r="L9" s="80" t="inlineStr">
        <is>
          <t>☑</t>
        </is>
      </c>
      <c r="M9" s="80" t="inlineStr">
        <is>
          <t>☑</t>
        </is>
      </c>
      <c r="N9" s="80" t="inlineStr">
        <is>
          <t>☑</t>
        </is>
      </c>
      <c r="O9" s="80" t="inlineStr">
        <is>
          <t>☑</t>
        </is>
      </c>
    </row>
    <row r="10">
      <c r="A10" s="80" t="n">
        <v>2</v>
      </c>
      <c r="B10" s="80" t="inlineStr">
        <is>
          <t>325106410002</t>
        </is>
      </c>
      <c r="C10" s="80" t="inlineStr">
        <is>
          <t>ABDUL REHMAN</t>
        </is>
      </c>
      <c r="D10" s="80" t="inlineStr">
        <is>
          <t>☑</t>
        </is>
      </c>
      <c r="E10" s="80" t="inlineStr">
        <is>
          <t>☑</t>
        </is>
      </c>
      <c r="F10" s="80" t="inlineStr">
        <is>
          <t>☑</t>
        </is>
      </c>
      <c r="G10" s="80" t="inlineStr">
        <is>
          <t>☑</t>
        </is>
      </c>
      <c r="H10" s="80" t="inlineStr">
        <is>
          <t>☑</t>
        </is>
      </c>
      <c r="I10" s="80" t="inlineStr">
        <is>
          <t>☑</t>
        </is>
      </c>
      <c r="J10" s="80" t="inlineStr">
        <is>
          <t>☑</t>
        </is>
      </c>
      <c r="K10" s="80" t="inlineStr">
        <is>
          <t>☑</t>
        </is>
      </c>
      <c r="L10" s="80" t="inlineStr">
        <is>
          <t>☑</t>
        </is>
      </c>
      <c r="M10" s="80" t="inlineStr">
        <is>
          <t>☑</t>
        </is>
      </c>
      <c r="N10" s="80" t="inlineStr">
        <is>
          <t>☑</t>
        </is>
      </c>
      <c r="O10" s="80" t="inlineStr">
        <is>
          <t>☑</t>
        </is>
      </c>
    </row>
    <row r="11">
      <c r="A11" s="80" t="n">
        <v>3</v>
      </c>
      <c r="B11" s="80" t="inlineStr">
        <is>
          <t>325106410003</t>
        </is>
      </c>
      <c r="C11" s="80" t="inlineStr">
        <is>
          <t>RISHITHA AKUMARTHI</t>
        </is>
      </c>
      <c r="D11" s="80" t="inlineStr">
        <is>
          <t>☑</t>
        </is>
      </c>
      <c r="E11" s="80" t="inlineStr">
        <is>
          <t>☑</t>
        </is>
      </c>
      <c r="F11" s="80" t="inlineStr">
        <is>
          <t>☑</t>
        </is>
      </c>
      <c r="G11" s="80" t="inlineStr">
        <is>
          <t>☑</t>
        </is>
      </c>
      <c r="H11" s="80" t="inlineStr">
        <is>
          <t>☑</t>
        </is>
      </c>
      <c r="I11" s="80" t="inlineStr">
        <is>
          <t>☑</t>
        </is>
      </c>
      <c r="J11" s="80" t="inlineStr">
        <is>
          <t>☑</t>
        </is>
      </c>
      <c r="K11" s="80" t="inlineStr">
        <is>
          <t>☑</t>
        </is>
      </c>
      <c r="L11" s="80" t="inlineStr">
        <is>
          <t>☑</t>
        </is>
      </c>
      <c r="M11" s="80" t="inlineStr">
        <is>
          <t>☑</t>
        </is>
      </c>
      <c r="N11" s="80" t="inlineStr">
        <is>
          <t>☑</t>
        </is>
      </c>
      <c r="O11" s="80" t="inlineStr">
        <is>
          <t>☑</t>
        </is>
      </c>
    </row>
    <row r="12">
      <c r="A12" s="80" t="n">
        <v>4</v>
      </c>
      <c r="B12" s="80" t="inlineStr">
        <is>
          <t>325106410004</t>
        </is>
      </c>
      <c r="C12" s="80" t="inlineStr">
        <is>
          <t>SIREESHA BADANA</t>
        </is>
      </c>
      <c r="D12" s="80" t="inlineStr">
        <is>
          <t>☑</t>
        </is>
      </c>
      <c r="E12" s="80" t="inlineStr">
        <is>
          <t>☑</t>
        </is>
      </c>
      <c r="F12" s="80" t="inlineStr">
        <is>
          <t>☑</t>
        </is>
      </c>
      <c r="G12" s="80" t="inlineStr">
        <is>
          <t>☑</t>
        </is>
      </c>
      <c r="H12" s="80" t="inlineStr">
        <is>
          <t>☑</t>
        </is>
      </c>
      <c r="I12" s="80" t="inlineStr">
        <is>
          <t>☑</t>
        </is>
      </c>
      <c r="J12" s="80" t="inlineStr">
        <is>
          <t>☑</t>
        </is>
      </c>
      <c r="K12" s="80" t="inlineStr">
        <is>
          <t>☑</t>
        </is>
      </c>
      <c r="L12" s="80" t="inlineStr">
        <is>
          <t>☑</t>
        </is>
      </c>
      <c r="M12" s="80" t="inlineStr">
        <is>
          <t>☑</t>
        </is>
      </c>
      <c r="N12" s="80" t="inlineStr">
        <is>
          <t>☑</t>
        </is>
      </c>
      <c r="O12" s="80" t="inlineStr">
        <is>
          <t>☑</t>
        </is>
      </c>
    </row>
    <row r="13">
      <c r="A13" s="80" t="n">
        <v>5</v>
      </c>
      <c r="B13" s="80" t="inlineStr">
        <is>
          <t>325106410005</t>
        </is>
      </c>
      <c r="C13" s="80" t="inlineStr">
        <is>
          <t>LAKSHMANA KUMAR BATHULA</t>
        </is>
      </c>
      <c r="D13" s="80" t="inlineStr">
        <is>
          <t>☑</t>
        </is>
      </c>
      <c r="E13" s="80" t="inlineStr">
        <is>
          <t>☑</t>
        </is>
      </c>
      <c r="F13" s="80" t="inlineStr">
        <is>
          <t>☑</t>
        </is>
      </c>
      <c r="G13" s="80" t="inlineStr">
        <is>
          <t>☑</t>
        </is>
      </c>
      <c r="H13" s="80" t="inlineStr">
        <is>
          <t>☑</t>
        </is>
      </c>
      <c r="I13" s="80" t="inlineStr">
        <is>
          <t>☑</t>
        </is>
      </c>
      <c r="J13" s="80" t="inlineStr">
        <is>
          <t>☑</t>
        </is>
      </c>
      <c r="K13" s="80" t="inlineStr">
        <is>
          <t>☑</t>
        </is>
      </c>
      <c r="L13" s="80" t="inlineStr">
        <is>
          <t>☑</t>
        </is>
      </c>
      <c r="M13" s="80" t="inlineStr">
        <is>
          <t>☑</t>
        </is>
      </c>
      <c r="N13" s="80" t="inlineStr">
        <is>
          <t>☑</t>
        </is>
      </c>
      <c r="O13" s="80" t="inlineStr">
        <is>
          <t>☑</t>
        </is>
      </c>
    </row>
    <row r="14">
      <c r="A14" s="80" t="n">
        <v>6</v>
      </c>
      <c r="B14" s="80" t="inlineStr">
        <is>
          <t>325106410006</t>
        </is>
      </c>
      <c r="C14" s="80" t="inlineStr">
        <is>
          <t>PADMA KUMARI CHIKKALA</t>
        </is>
      </c>
      <c r="D14" s="80" t="inlineStr">
        <is>
          <t>☑</t>
        </is>
      </c>
      <c r="E14" s="80" t="inlineStr">
        <is>
          <t>☑</t>
        </is>
      </c>
      <c r="F14" s="80" t="inlineStr">
        <is>
          <t>☑</t>
        </is>
      </c>
      <c r="G14" s="80" t="inlineStr">
        <is>
          <t>☑</t>
        </is>
      </c>
      <c r="H14" s="80" t="inlineStr">
        <is>
          <t>☑</t>
        </is>
      </c>
      <c r="I14" s="80" t="inlineStr">
        <is>
          <t>☑</t>
        </is>
      </c>
      <c r="J14" s="80" t="inlineStr">
        <is>
          <t>☑</t>
        </is>
      </c>
      <c r="K14" s="80" t="inlineStr">
        <is>
          <t>☑</t>
        </is>
      </c>
      <c r="L14" s="80" t="inlineStr">
        <is>
          <t>☑</t>
        </is>
      </c>
      <c r="M14" s="80" t="inlineStr">
        <is>
          <t>☑</t>
        </is>
      </c>
      <c r="N14" s="80" t="inlineStr">
        <is>
          <t>☑</t>
        </is>
      </c>
      <c r="O14" s="80" t="inlineStr">
        <is>
          <t>☑</t>
        </is>
      </c>
    </row>
    <row r="15">
      <c r="A15" s="80" t="n">
        <v>7</v>
      </c>
      <c r="B15" s="80" t="inlineStr">
        <is>
          <t>325106410007</t>
        </is>
      </c>
      <c r="C15" s="80" t="inlineStr">
        <is>
          <t>RAKESH CHOPPA</t>
        </is>
      </c>
      <c r="D15" s="80" t="inlineStr">
        <is>
          <t>☑</t>
        </is>
      </c>
      <c r="E15" s="80" t="inlineStr">
        <is>
          <t>☑</t>
        </is>
      </c>
      <c r="F15" s="80" t="inlineStr">
        <is>
          <t>☑</t>
        </is>
      </c>
      <c r="G15" s="80" t="inlineStr">
        <is>
          <t>☑</t>
        </is>
      </c>
      <c r="H15" s="80" t="inlineStr">
        <is>
          <t>☑</t>
        </is>
      </c>
      <c r="I15" s="80" t="inlineStr">
        <is>
          <t>☑</t>
        </is>
      </c>
      <c r="J15" s="80" t="inlineStr">
        <is>
          <t>☑</t>
        </is>
      </c>
      <c r="K15" s="80" t="inlineStr">
        <is>
          <t>☑</t>
        </is>
      </c>
      <c r="L15" s="80" t="inlineStr">
        <is>
          <t>☑</t>
        </is>
      </c>
      <c r="M15" s="80" t="inlineStr">
        <is>
          <t>☑</t>
        </is>
      </c>
      <c r="N15" s="80" t="inlineStr">
        <is>
          <t>☑</t>
        </is>
      </c>
      <c r="O15" s="80" t="inlineStr">
        <is>
          <t>☑</t>
        </is>
      </c>
    </row>
    <row r="16">
      <c r="A16" s="80" t="n">
        <v>8</v>
      </c>
      <c r="B16" s="80" t="inlineStr">
        <is>
          <t>325106410008</t>
        </is>
      </c>
      <c r="C16" s="80" t="inlineStr">
        <is>
          <t>SUBHASH DHULIPUDI</t>
        </is>
      </c>
      <c r="D16" s="80" t="inlineStr">
        <is>
          <t>☑</t>
        </is>
      </c>
      <c r="E16" s="80" t="inlineStr">
        <is>
          <t>☑</t>
        </is>
      </c>
      <c r="F16" s="80" t="inlineStr">
        <is>
          <t>☑</t>
        </is>
      </c>
      <c r="G16" s="80" t="inlineStr">
        <is>
          <t>☑</t>
        </is>
      </c>
      <c r="H16" s="80" t="inlineStr">
        <is>
          <t>☑</t>
        </is>
      </c>
      <c r="I16" s="80" t="inlineStr">
        <is>
          <t>☑</t>
        </is>
      </c>
      <c r="J16" s="80" t="inlineStr">
        <is>
          <t>☑</t>
        </is>
      </c>
      <c r="K16" s="80" t="inlineStr">
        <is>
          <t>☑</t>
        </is>
      </c>
      <c r="L16" s="80" t="inlineStr">
        <is>
          <t>☑</t>
        </is>
      </c>
      <c r="M16" s="80" t="inlineStr">
        <is>
          <t>☑</t>
        </is>
      </c>
      <c r="N16" s="80" t="inlineStr">
        <is>
          <t>☑</t>
        </is>
      </c>
      <c r="O16" s="80" t="inlineStr">
        <is>
          <t>☑</t>
        </is>
      </c>
    </row>
    <row r="17">
      <c r="A17" s="80" t="n">
        <v>9</v>
      </c>
      <c r="B17" s="80" t="inlineStr">
        <is>
          <t>325106410009</t>
        </is>
      </c>
      <c r="C17" s="80" t="inlineStr">
        <is>
          <t>SRAVANI DUMMU</t>
        </is>
      </c>
      <c r="D17" s="80" t="inlineStr">
        <is>
          <t>☑</t>
        </is>
      </c>
      <c r="E17" s="80" t="inlineStr">
        <is>
          <t>☑</t>
        </is>
      </c>
      <c r="F17" s="80" t="inlineStr">
        <is>
          <t>☑</t>
        </is>
      </c>
      <c r="G17" s="80" t="inlineStr">
        <is>
          <t>☑</t>
        </is>
      </c>
      <c r="H17" s="80" t="inlineStr">
        <is>
          <t>☑</t>
        </is>
      </c>
      <c r="I17" s="80" t="inlineStr">
        <is>
          <t>☑</t>
        </is>
      </c>
      <c r="J17" s="80" t="inlineStr">
        <is>
          <t>☑</t>
        </is>
      </c>
      <c r="K17" s="80" t="inlineStr">
        <is>
          <t>☑</t>
        </is>
      </c>
      <c r="L17" s="80" t="inlineStr">
        <is>
          <t>☑</t>
        </is>
      </c>
      <c r="M17" s="80" t="inlineStr">
        <is>
          <t>☑</t>
        </is>
      </c>
      <c r="N17" s="80" t="inlineStr">
        <is>
          <t>☑</t>
        </is>
      </c>
      <c r="O17" s="80" t="inlineStr">
        <is>
          <t>☑</t>
        </is>
      </c>
    </row>
    <row r="18">
      <c r="A18" s="80" t="n">
        <v>10</v>
      </c>
      <c r="B18" s="80" t="inlineStr">
        <is>
          <t>325106410010</t>
        </is>
      </c>
      <c r="C18" s="80" t="inlineStr">
        <is>
          <t>EESHAAN URLAM</t>
        </is>
      </c>
      <c r="D18" s="80" t="inlineStr">
        <is>
          <t>☑</t>
        </is>
      </c>
      <c r="E18" s="80" t="inlineStr">
        <is>
          <t>☑</t>
        </is>
      </c>
      <c r="F18" s="80" t="inlineStr">
        <is>
          <t>☑</t>
        </is>
      </c>
      <c r="G18" s="80" t="inlineStr">
        <is>
          <t>☑</t>
        </is>
      </c>
      <c r="H18" s="80" t="inlineStr">
        <is>
          <t>☑</t>
        </is>
      </c>
      <c r="I18" s="80" t="inlineStr">
        <is>
          <t>☑</t>
        </is>
      </c>
      <c r="J18" s="80" t="inlineStr">
        <is>
          <t>☑</t>
        </is>
      </c>
      <c r="K18" s="80" t="inlineStr">
        <is>
          <t>☑</t>
        </is>
      </c>
      <c r="L18" s="80" t="inlineStr">
        <is>
          <t>☑</t>
        </is>
      </c>
      <c r="M18" s="80" t="inlineStr">
        <is>
          <t>☑</t>
        </is>
      </c>
      <c r="N18" s="80" t="inlineStr">
        <is>
          <t>☑</t>
        </is>
      </c>
      <c r="O18" s="80" t="inlineStr">
        <is>
          <t>☑</t>
        </is>
      </c>
    </row>
    <row r="19">
      <c r="A19" s="80" t="n">
        <v>11</v>
      </c>
      <c r="B19" s="80" t="inlineStr">
        <is>
          <t>325106410011</t>
        </is>
      </c>
      <c r="C19" s="80" t="inlineStr">
        <is>
          <t>KAILASH REDDY GADI</t>
        </is>
      </c>
      <c r="D19" s="80" t="inlineStr">
        <is>
          <t>☑</t>
        </is>
      </c>
      <c r="E19" s="80" t="inlineStr">
        <is>
          <t>☑</t>
        </is>
      </c>
      <c r="F19" s="80" t="inlineStr">
        <is>
          <t>☑</t>
        </is>
      </c>
      <c r="G19" s="80" t="inlineStr">
        <is>
          <t>☑</t>
        </is>
      </c>
      <c r="H19" s="80" t="inlineStr">
        <is>
          <t>☑</t>
        </is>
      </c>
      <c r="I19" s="80" t="inlineStr">
        <is>
          <t>☑</t>
        </is>
      </c>
      <c r="J19" s="80" t="inlineStr">
        <is>
          <t>☑</t>
        </is>
      </c>
      <c r="K19" s="80" t="inlineStr">
        <is>
          <t>☑</t>
        </is>
      </c>
      <c r="L19" s="80" t="inlineStr">
        <is>
          <t>☑</t>
        </is>
      </c>
      <c r="M19" s="80" t="inlineStr">
        <is>
          <t>☑</t>
        </is>
      </c>
      <c r="N19" s="80" t="inlineStr">
        <is>
          <t>☑</t>
        </is>
      </c>
      <c r="O19" s="80" t="inlineStr">
        <is>
          <t>☑</t>
        </is>
      </c>
    </row>
    <row r="20">
      <c r="A20" s="80" t="n">
        <v>12</v>
      </c>
      <c r="B20" s="80" t="inlineStr">
        <is>
          <t>325106410012</t>
        </is>
      </c>
      <c r="C20" s="80" t="inlineStr">
        <is>
          <t>DEEPIKA GANTA</t>
        </is>
      </c>
      <c r="D20" s="80" t="inlineStr">
        <is>
          <t>☑</t>
        </is>
      </c>
      <c r="E20" s="80" t="inlineStr">
        <is>
          <t>☑</t>
        </is>
      </c>
      <c r="F20" s="80" t="inlineStr">
        <is>
          <t>☑</t>
        </is>
      </c>
      <c r="G20" s="80" t="inlineStr">
        <is>
          <t>☑</t>
        </is>
      </c>
      <c r="H20" s="80" t="inlineStr">
        <is>
          <t>☑</t>
        </is>
      </c>
      <c r="I20" s="80" t="inlineStr">
        <is>
          <t>☑</t>
        </is>
      </c>
      <c r="J20" s="80" t="inlineStr">
        <is>
          <t>☑</t>
        </is>
      </c>
      <c r="K20" s="80" t="inlineStr">
        <is>
          <t>☑</t>
        </is>
      </c>
      <c r="L20" s="80" t="inlineStr">
        <is>
          <t>☑</t>
        </is>
      </c>
      <c r="M20" s="80" t="inlineStr">
        <is>
          <t>☑</t>
        </is>
      </c>
      <c r="N20" s="80" t="inlineStr">
        <is>
          <t>☑</t>
        </is>
      </c>
      <c r="O20" s="80" t="inlineStr">
        <is>
          <t>☑</t>
        </is>
      </c>
    </row>
    <row r="21">
      <c r="A21" s="80" t="n">
        <v>13</v>
      </c>
      <c r="B21" s="80" t="inlineStr">
        <is>
          <t>325106410013</t>
        </is>
      </c>
      <c r="C21" s="80" t="inlineStr">
        <is>
          <t>HIMAVANTHKUMAR GUTTA</t>
        </is>
      </c>
      <c r="D21" s="80" t="inlineStr">
        <is>
          <t>☑</t>
        </is>
      </c>
      <c r="E21" s="80" t="inlineStr">
        <is>
          <t>☑</t>
        </is>
      </c>
      <c r="F21" s="80" t="inlineStr">
        <is>
          <t>☑</t>
        </is>
      </c>
      <c r="G21" s="80" t="inlineStr">
        <is>
          <t>☑</t>
        </is>
      </c>
      <c r="H21" s="80" t="inlineStr">
        <is>
          <t>☑</t>
        </is>
      </c>
      <c r="I21" s="80" t="inlineStr">
        <is>
          <t>☑</t>
        </is>
      </c>
      <c r="J21" s="80" t="inlineStr">
        <is>
          <t>☑</t>
        </is>
      </c>
      <c r="K21" s="80" t="inlineStr">
        <is>
          <t>☑</t>
        </is>
      </c>
      <c r="L21" s="80" t="inlineStr">
        <is>
          <t>☑</t>
        </is>
      </c>
      <c r="M21" s="80" t="inlineStr">
        <is>
          <t>☑</t>
        </is>
      </c>
      <c r="N21" s="80" t="inlineStr">
        <is>
          <t>☑</t>
        </is>
      </c>
      <c r="O21" s="80" t="inlineStr">
        <is>
          <t>☑</t>
        </is>
      </c>
    </row>
    <row r="22">
      <c r="A22" s="80" t="n">
        <v>14</v>
      </c>
      <c r="B22" s="80" t="inlineStr">
        <is>
          <t>325106410014</t>
        </is>
      </c>
      <c r="C22" s="80" t="inlineStr">
        <is>
          <t>SNEHITHA REDDY JEERU</t>
        </is>
      </c>
      <c r="D22" s="80" t="inlineStr">
        <is>
          <t>☑</t>
        </is>
      </c>
      <c r="E22" s="80" t="inlineStr">
        <is>
          <t>☑</t>
        </is>
      </c>
      <c r="F22" s="80" t="inlineStr">
        <is>
          <t>☑</t>
        </is>
      </c>
      <c r="G22" s="80" t="inlineStr">
        <is>
          <t>☑</t>
        </is>
      </c>
      <c r="H22" s="80" t="inlineStr">
        <is>
          <t>☑</t>
        </is>
      </c>
      <c r="I22" s="80" t="inlineStr">
        <is>
          <t>☑</t>
        </is>
      </c>
      <c r="J22" s="80" t="inlineStr">
        <is>
          <t>☑</t>
        </is>
      </c>
      <c r="K22" s="80" t="inlineStr">
        <is>
          <t>☑</t>
        </is>
      </c>
      <c r="L22" s="80" t="inlineStr">
        <is>
          <t>☑</t>
        </is>
      </c>
      <c r="M22" s="80" t="inlineStr">
        <is>
          <t>☑</t>
        </is>
      </c>
      <c r="N22" s="80" t="inlineStr">
        <is>
          <t>☑</t>
        </is>
      </c>
      <c r="O22" s="80" t="inlineStr">
        <is>
          <t>☑</t>
        </is>
      </c>
    </row>
    <row r="23">
      <c r="A23" s="80" t="n">
        <v>15</v>
      </c>
      <c r="B23" s="80" t="inlineStr">
        <is>
          <t>325106410015</t>
        </is>
      </c>
      <c r="C23" s="80" t="inlineStr">
        <is>
          <t>NEERAJ KUMAR JUTTADA</t>
        </is>
      </c>
      <c r="D23" s="80" t="inlineStr">
        <is>
          <t>☑</t>
        </is>
      </c>
      <c r="E23" s="80" t="inlineStr">
        <is>
          <t>☑</t>
        </is>
      </c>
      <c r="F23" s="80" t="inlineStr">
        <is>
          <t>☑</t>
        </is>
      </c>
      <c r="G23" s="80" t="inlineStr">
        <is>
          <t>☑</t>
        </is>
      </c>
      <c r="H23" s="80" t="inlineStr">
        <is>
          <t>☑</t>
        </is>
      </c>
      <c r="I23" s="80" t="inlineStr">
        <is>
          <t>☑</t>
        </is>
      </c>
      <c r="J23" s="80" t="inlineStr">
        <is>
          <t>☑</t>
        </is>
      </c>
      <c r="K23" s="80" t="inlineStr">
        <is>
          <t>☑</t>
        </is>
      </c>
      <c r="L23" s="80" t="inlineStr">
        <is>
          <t>☑</t>
        </is>
      </c>
      <c r="M23" s="80" t="inlineStr">
        <is>
          <t>☑</t>
        </is>
      </c>
      <c r="N23" s="80" t="inlineStr">
        <is>
          <t>☑</t>
        </is>
      </c>
      <c r="O23" s="80" t="inlineStr">
        <is>
          <t>☑</t>
        </is>
      </c>
    </row>
    <row r="24">
      <c r="A24" s="80" t="n">
        <v>16</v>
      </c>
      <c r="B24" s="80" t="inlineStr">
        <is>
          <t>325106410016</t>
        </is>
      </c>
      <c r="C24" s="80" t="inlineStr">
        <is>
          <t>CHANDRIKA KADALI</t>
        </is>
      </c>
      <c r="D24" s="80" t="inlineStr">
        <is>
          <t>☑</t>
        </is>
      </c>
      <c r="E24" s="80" t="inlineStr">
        <is>
          <t>☑</t>
        </is>
      </c>
      <c r="F24" s="80" t="inlineStr">
        <is>
          <t>☑</t>
        </is>
      </c>
      <c r="G24" s="80" t="inlineStr">
        <is>
          <t>☑</t>
        </is>
      </c>
      <c r="H24" s="80" t="inlineStr">
        <is>
          <t>☑</t>
        </is>
      </c>
      <c r="I24" s="80" t="inlineStr">
        <is>
          <t>☑</t>
        </is>
      </c>
      <c r="J24" s="80" t="inlineStr">
        <is>
          <t>☑</t>
        </is>
      </c>
      <c r="K24" s="80" t="inlineStr">
        <is>
          <t>☑</t>
        </is>
      </c>
      <c r="L24" s="80" t="inlineStr">
        <is>
          <t>☑</t>
        </is>
      </c>
      <c r="M24" s="80" t="inlineStr">
        <is>
          <t>☑</t>
        </is>
      </c>
      <c r="N24" s="80" t="inlineStr">
        <is>
          <t>☑</t>
        </is>
      </c>
      <c r="O24" s="80" t="inlineStr">
        <is>
          <t>☑</t>
        </is>
      </c>
    </row>
    <row r="25">
      <c r="A25" s="80" t="n">
        <v>17</v>
      </c>
      <c r="B25" s="80" t="inlineStr">
        <is>
          <t>325106410017</t>
        </is>
      </c>
      <c r="C25" s="80" t="inlineStr">
        <is>
          <t>GYANESHWARI KALLAPILLI</t>
        </is>
      </c>
      <c r="D25" s="80" t="inlineStr">
        <is>
          <t>☑</t>
        </is>
      </c>
      <c r="E25" s="80" t="inlineStr">
        <is>
          <t>☑</t>
        </is>
      </c>
      <c r="F25" s="80" t="inlineStr">
        <is>
          <t>☑</t>
        </is>
      </c>
      <c r="G25" s="80" t="inlineStr">
        <is>
          <t>☑</t>
        </is>
      </c>
      <c r="H25" s="80" t="inlineStr">
        <is>
          <t>☑</t>
        </is>
      </c>
      <c r="I25" s="80" t="inlineStr">
        <is>
          <t>☑</t>
        </is>
      </c>
      <c r="J25" s="80" t="inlineStr">
        <is>
          <t>☑</t>
        </is>
      </c>
      <c r="K25" s="80" t="inlineStr">
        <is>
          <t>☑</t>
        </is>
      </c>
      <c r="L25" s="80" t="inlineStr">
        <is>
          <t>☑</t>
        </is>
      </c>
      <c r="M25" s="80" t="inlineStr">
        <is>
          <t>☑</t>
        </is>
      </c>
      <c r="N25" s="80" t="inlineStr">
        <is>
          <t>☑</t>
        </is>
      </c>
      <c r="O25" s="80" t="inlineStr">
        <is>
          <t>☑</t>
        </is>
      </c>
    </row>
    <row r="26">
      <c r="A26" s="80" t="n">
        <v>18</v>
      </c>
      <c r="B26" s="80" t="inlineStr">
        <is>
          <t>325106410018</t>
        </is>
      </c>
      <c r="C26" s="80" t="inlineStr">
        <is>
          <t>BHARGAV KRISHNA KANDREGULA</t>
        </is>
      </c>
      <c r="D26" s="80" t="inlineStr">
        <is>
          <t>☑</t>
        </is>
      </c>
      <c r="E26" s="80" t="inlineStr">
        <is>
          <t>☑</t>
        </is>
      </c>
      <c r="F26" s="80" t="inlineStr">
        <is>
          <t>☑</t>
        </is>
      </c>
      <c r="G26" s="80" t="inlineStr">
        <is>
          <t>☑</t>
        </is>
      </c>
      <c r="H26" s="80" t="inlineStr">
        <is>
          <t>☑</t>
        </is>
      </c>
      <c r="I26" s="80" t="inlineStr">
        <is>
          <t>☑</t>
        </is>
      </c>
      <c r="J26" s="80" t="inlineStr">
        <is>
          <t>☑</t>
        </is>
      </c>
      <c r="K26" s="80" t="inlineStr">
        <is>
          <t>☑</t>
        </is>
      </c>
      <c r="L26" s="80" t="inlineStr">
        <is>
          <t>☑</t>
        </is>
      </c>
      <c r="M26" s="80" t="inlineStr">
        <is>
          <t>☑</t>
        </is>
      </c>
      <c r="N26" s="80" t="inlineStr">
        <is>
          <t>☑</t>
        </is>
      </c>
      <c r="O26" s="80" t="inlineStr">
        <is>
          <t>☑</t>
        </is>
      </c>
    </row>
    <row r="27">
      <c r="A27" s="80" t="n">
        <v>19</v>
      </c>
      <c r="B27" s="80" t="inlineStr">
        <is>
          <t>325106410019</t>
        </is>
      </c>
      <c r="C27" s="80" t="inlineStr">
        <is>
          <t>MUSTHAKHEEM KATTUBADI</t>
        </is>
      </c>
      <c r="D27" s="80" t="inlineStr">
        <is>
          <t>☑</t>
        </is>
      </c>
      <c r="E27" s="80" t="inlineStr">
        <is>
          <t>☑</t>
        </is>
      </c>
      <c r="F27" s="80" t="inlineStr">
        <is>
          <t>☑</t>
        </is>
      </c>
      <c r="G27" s="80" t="inlineStr">
        <is>
          <t>☑</t>
        </is>
      </c>
      <c r="H27" s="80" t="inlineStr">
        <is>
          <t>☑</t>
        </is>
      </c>
      <c r="I27" s="80" t="inlineStr">
        <is>
          <t>☑</t>
        </is>
      </c>
      <c r="J27" s="80" t="inlineStr">
        <is>
          <t>☑</t>
        </is>
      </c>
      <c r="K27" s="80" t="inlineStr">
        <is>
          <t>☑</t>
        </is>
      </c>
      <c r="L27" s="80" t="inlineStr">
        <is>
          <t>☑</t>
        </is>
      </c>
      <c r="M27" s="80" t="inlineStr">
        <is>
          <t>☑</t>
        </is>
      </c>
      <c r="N27" s="80" t="inlineStr">
        <is>
          <t>☑</t>
        </is>
      </c>
      <c r="O27" s="80" t="inlineStr">
        <is>
          <t>☑</t>
        </is>
      </c>
    </row>
    <row r="28">
      <c r="A28" s="80" t="n">
        <v>20</v>
      </c>
      <c r="B28" s="80" t="inlineStr">
        <is>
          <t>325106410020</t>
        </is>
      </c>
      <c r="C28" s="80" t="inlineStr">
        <is>
          <t>HEMA VENKATA SAI RAM CHARAN KOMMURU</t>
        </is>
      </c>
      <c r="D28" s="80" t="inlineStr">
        <is>
          <t>☑</t>
        </is>
      </c>
      <c r="E28" s="80" t="inlineStr">
        <is>
          <t>☑</t>
        </is>
      </c>
      <c r="F28" s="80" t="inlineStr">
        <is>
          <t>☑</t>
        </is>
      </c>
      <c r="G28" s="80" t="inlineStr">
        <is>
          <t>☑</t>
        </is>
      </c>
      <c r="H28" s="80" t="inlineStr">
        <is>
          <t>☑</t>
        </is>
      </c>
      <c r="I28" s="80" t="inlineStr">
        <is>
          <t>☑</t>
        </is>
      </c>
      <c r="J28" s="80" t="inlineStr">
        <is>
          <t>☑</t>
        </is>
      </c>
      <c r="K28" s="80" t="inlineStr">
        <is>
          <t>☑</t>
        </is>
      </c>
      <c r="L28" s="80" t="inlineStr">
        <is>
          <t>☑</t>
        </is>
      </c>
      <c r="M28" s="80" t="inlineStr">
        <is>
          <t>☑</t>
        </is>
      </c>
      <c r="N28" s="80" t="inlineStr">
        <is>
          <t>☑</t>
        </is>
      </c>
      <c r="O28" s="80" t="inlineStr">
        <is>
          <t>☑</t>
        </is>
      </c>
    </row>
    <row r="29">
      <c r="A29" s="80" t="n">
        <v>21</v>
      </c>
      <c r="B29" s="80" t="inlineStr">
        <is>
          <t>325106410021</t>
        </is>
      </c>
      <c r="C29" s="80" t="inlineStr">
        <is>
          <t>MUKESH VENKATA SURYA LOGISA</t>
        </is>
      </c>
      <c r="D29" s="80" t="inlineStr">
        <is>
          <t>☑</t>
        </is>
      </c>
      <c r="E29" s="80" t="inlineStr">
        <is>
          <t>☑</t>
        </is>
      </c>
      <c r="F29" s="80" t="inlineStr">
        <is>
          <t>☑</t>
        </is>
      </c>
      <c r="G29" s="80" t="inlineStr">
        <is>
          <t>☑</t>
        </is>
      </c>
      <c r="H29" s="80" t="inlineStr">
        <is>
          <t>☑</t>
        </is>
      </c>
      <c r="I29" s="80" t="inlineStr">
        <is>
          <t>☑</t>
        </is>
      </c>
      <c r="J29" s="80" t="inlineStr">
        <is>
          <t>☑</t>
        </is>
      </c>
      <c r="K29" s="80" t="inlineStr">
        <is>
          <t>☑</t>
        </is>
      </c>
      <c r="L29" s="80" t="inlineStr">
        <is>
          <t>☑</t>
        </is>
      </c>
      <c r="M29" s="80" t="inlineStr">
        <is>
          <t>☑</t>
        </is>
      </c>
      <c r="N29" s="80" t="inlineStr">
        <is>
          <t>☑</t>
        </is>
      </c>
      <c r="O29" s="80" t="inlineStr">
        <is>
          <t>☑</t>
        </is>
      </c>
    </row>
    <row r="30">
      <c r="A30" s="80" t="n">
        <v>22</v>
      </c>
      <c r="B30" s="80" t="inlineStr">
        <is>
          <t>325106410022</t>
        </is>
      </c>
      <c r="C30" s="80" t="inlineStr">
        <is>
          <t>RAJESH MAJJI</t>
        </is>
      </c>
      <c r="D30" s="80" t="inlineStr">
        <is>
          <t>☑</t>
        </is>
      </c>
      <c r="E30" s="80" t="inlineStr">
        <is>
          <t>☑</t>
        </is>
      </c>
      <c r="F30" s="80" t="inlineStr">
        <is>
          <t>☑</t>
        </is>
      </c>
      <c r="G30" s="80" t="inlineStr">
        <is>
          <t>☑</t>
        </is>
      </c>
      <c r="H30" s="80" t="inlineStr">
        <is>
          <t>☑</t>
        </is>
      </c>
      <c r="I30" s="80" t="inlineStr">
        <is>
          <t>☑</t>
        </is>
      </c>
      <c r="J30" s="80" t="inlineStr">
        <is>
          <t>☑</t>
        </is>
      </c>
      <c r="K30" s="80" t="inlineStr">
        <is>
          <t>☑</t>
        </is>
      </c>
      <c r="L30" s="80" t="inlineStr">
        <is>
          <t>☑</t>
        </is>
      </c>
      <c r="M30" s="80" t="inlineStr">
        <is>
          <t>☑</t>
        </is>
      </c>
      <c r="N30" s="80" t="inlineStr">
        <is>
          <t>☑</t>
        </is>
      </c>
      <c r="O30" s="80" t="inlineStr">
        <is>
          <t>☑</t>
        </is>
      </c>
    </row>
    <row r="31">
      <c r="A31" s="80" t="n">
        <v>23</v>
      </c>
      <c r="B31" s="80" t="inlineStr">
        <is>
          <t>325106410023</t>
        </is>
      </c>
      <c r="C31" s="80" t="inlineStr">
        <is>
          <t>SIVA SAI ANIRUDH MAMIDI</t>
        </is>
      </c>
      <c r="D31" s="80" t="inlineStr">
        <is>
          <t>☑</t>
        </is>
      </c>
      <c r="E31" s="80" t="inlineStr">
        <is>
          <t>☑</t>
        </is>
      </c>
      <c r="F31" s="80" t="inlineStr">
        <is>
          <t>☑</t>
        </is>
      </c>
      <c r="G31" s="80" t="inlineStr">
        <is>
          <t>☑</t>
        </is>
      </c>
      <c r="H31" s="80" t="inlineStr">
        <is>
          <t>☑</t>
        </is>
      </c>
      <c r="I31" s="80" t="inlineStr">
        <is>
          <t>☑</t>
        </is>
      </c>
      <c r="J31" s="80" t="inlineStr">
        <is>
          <t>☑</t>
        </is>
      </c>
      <c r="K31" s="80" t="inlineStr">
        <is>
          <t>☑</t>
        </is>
      </c>
      <c r="L31" s="80" t="inlineStr">
        <is>
          <t>☑</t>
        </is>
      </c>
      <c r="M31" s="80" t="inlineStr">
        <is>
          <t>☑</t>
        </is>
      </c>
      <c r="N31" s="80" t="inlineStr">
        <is>
          <t>☑</t>
        </is>
      </c>
      <c r="O31" s="80" t="inlineStr">
        <is>
          <t>☑</t>
        </is>
      </c>
    </row>
    <row r="32">
      <c r="A32" s="80" t="n">
        <v>24</v>
      </c>
      <c r="B32" s="80" t="inlineStr">
        <is>
          <t>325106410024</t>
        </is>
      </c>
      <c r="C32" s="80" t="inlineStr">
        <is>
          <t>MUTYALA GAYATRI MANTHA</t>
        </is>
      </c>
      <c r="D32" s="80" t="inlineStr">
        <is>
          <t>☑</t>
        </is>
      </c>
      <c r="E32" s="80" t="inlineStr">
        <is>
          <t>☑</t>
        </is>
      </c>
      <c r="F32" s="80" t="inlineStr">
        <is>
          <t>☑</t>
        </is>
      </c>
      <c r="G32" s="80" t="inlineStr">
        <is>
          <t>☑</t>
        </is>
      </c>
      <c r="H32" s="80" t="inlineStr">
        <is>
          <t>☑</t>
        </is>
      </c>
      <c r="I32" s="80" t="inlineStr">
        <is>
          <t>☑</t>
        </is>
      </c>
      <c r="J32" s="80" t="inlineStr">
        <is>
          <t>☑</t>
        </is>
      </c>
      <c r="K32" s="80" t="inlineStr">
        <is>
          <t>☑</t>
        </is>
      </c>
      <c r="L32" s="80" t="inlineStr">
        <is>
          <t>☑</t>
        </is>
      </c>
      <c r="M32" s="80" t="inlineStr">
        <is>
          <t>☑</t>
        </is>
      </c>
      <c r="N32" s="80" t="inlineStr">
        <is>
          <t>☑</t>
        </is>
      </c>
      <c r="O32" s="80" t="inlineStr">
        <is>
          <t>☑</t>
        </is>
      </c>
    </row>
    <row r="33">
      <c r="A33" s="80" t="n">
        <v>25</v>
      </c>
      <c r="B33" s="80" t="inlineStr">
        <is>
          <t>325106410025</t>
        </is>
      </c>
      <c r="C33" s="80" t="inlineStr">
        <is>
          <t>GAGANA SRI MANUPATI</t>
        </is>
      </c>
      <c r="D33" s="80" t="inlineStr">
        <is>
          <t>☑</t>
        </is>
      </c>
      <c r="E33" s="80" t="inlineStr">
        <is>
          <t>☑</t>
        </is>
      </c>
      <c r="F33" s="80" t="inlineStr">
        <is>
          <t>☑</t>
        </is>
      </c>
      <c r="G33" s="80" t="inlineStr">
        <is>
          <t>☑</t>
        </is>
      </c>
      <c r="H33" s="80" t="inlineStr">
        <is>
          <t>☑</t>
        </is>
      </c>
      <c r="I33" s="80" t="inlineStr">
        <is>
          <t>☑</t>
        </is>
      </c>
      <c r="J33" s="80" t="inlineStr">
        <is>
          <t>☑</t>
        </is>
      </c>
      <c r="K33" s="80" t="inlineStr">
        <is>
          <t>☑</t>
        </is>
      </c>
      <c r="L33" s="80" t="inlineStr">
        <is>
          <t>☑</t>
        </is>
      </c>
      <c r="M33" s="80" t="inlineStr">
        <is>
          <t>☑</t>
        </is>
      </c>
      <c r="N33" s="80" t="inlineStr">
        <is>
          <t>☑</t>
        </is>
      </c>
      <c r="O33" s="80" t="inlineStr">
        <is>
          <t>☑</t>
        </is>
      </c>
    </row>
    <row r="34">
      <c r="A34" s="80" t="n">
        <v>26</v>
      </c>
      <c r="B34" s="80" t="inlineStr">
        <is>
          <t>325106410026</t>
        </is>
      </c>
      <c r="C34" s="80" t="inlineStr">
        <is>
          <t>RISHI NAVANTH MATTA</t>
        </is>
      </c>
      <c r="D34" s="80" t="inlineStr">
        <is>
          <t>☑</t>
        </is>
      </c>
      <c r="E34" s="80" t="inlineStr">
        <is>
          <t>☑</t>
        </is>
      </c>
      <c r="F34" s="80" t="inlineStr">
        <is>
          <t>☑</t>
        </is>
      </c>
      <c r="G34" s="80" t="inlineStr">
        <is>
          <t>☑</t>
        </is>
      </c>
      <c r="H34" s="80" t="inlineStr">
        <is>
          <t>☑</t>
        </is>
      </c>
      <c r="I34" s="80" t="inlineStr">
        <is>
          <t>☑</t>
        </is>
      </c>
      <c r="J34" s="80" t="inlineStr">
        <is>
          <t>☑</t>
        </is>
      </c>
      <c r="K34" s="80" t="inlineStr">
        <is>
          <t>☑</t>
        </is>
      </c>
      <c r="L34" s="80" t="inlineStr">
        <is>
          <t>☑</t>
        </is>
      </c>
      <c r="M34" s="80" t="inlineStr">
        <is>
          <t>☑</t>
        </is>
      </c>
      <c r="N34" s="80" t="inlineStr">
        <is>
          <t>☑</t>
        </is>
      </c>
      <c r="O34" s="80" t="inlineStr">
        <is>
          <t>☑</t>
        </is>
      </c>
    </row>
    <row r="35">
      <c r="A35" s="80" t="n">
        <v>27</v>
      </c>
      <c r="B35" s="80" t="inlineStr">
        <is>
          <t>325106410027</t>
        </is>
      </c>
      <c r="C35" s="80" t="inlineStr">
        <is>
          <t>LOHITH SAI MEDA</t>
        </is>
      </c>
      <c r="D35" s="80" t="inlineStr">
        <is>
          <t>☑</t>
        </is>
      </c>
      <c r="E35" s="80" t="inlineStr">
        <is>
          <t>☑</t>
        </is>
      </c>
      <c r="F35" s="80" t="inlineStr">
        <is>
          <t>☑</t>
        </is>
      </c>
      <c r="G35" s="80" t="inlineStr">
        <is>
          <t>☑</t>
        </is>
      </c>
      <c r="H35" s="80" t="inlineStr">
        <is>
          <t>☑</t>
        </is>
      </c>
      <c r="I35" s="80" t="inlineStr">
        <is>
          <t>☑</t>
        </is>
      </c>
      <c r="J35" s="80" t="inlineStr">
        <is>
          <t>☑</t>
        </is>
      </c>
      <c r="K35" s="80" t="inlineStr">
        <is>
          <t>☑</t>
        </is>
      </c>
      <c r="L35" s="80" t="inlineStr">
        <is>
          <t>☑</t>
        </is>
      </c>
      <c r="M35" s="80" t="inlineStr">
        <is>
          <t>☑</t>
        </is>
      </c>
      <c r="N35" s="80" t="inlineStr">
        <is>
          <t>☑</t>
        </is>
      </c>
      <c r="O35" s="80" t="inlineStr">
        <is>
          <t>☑</t>
        </is>
      </c>
    </row>
    <row r="36">
      <c r="A36" s="80" t="n">
        <v>28</v>
      </c>
      <c r="B36" s="80" t="inlineStr">
        <is>
          <t>325106410028</t>
        </is>
      </c>
      <c r="C36" s="80" t="inlineStr">
        <is>
          <t>HANUSRI VEERA VENKATA SANTOSH MIDATHA</t>
        </is>
      </c>
      <c r="D36" s="80" t="inlineStr">
        <is>
          <t>☑</t>
        </is>
      </c>
      <c r="E36" s="80" t="inlineStr">
        <is>
          <t>☑</t>
        </is>
      </c>
      <c r="F36" s="80" t="inlineStr">
        <is>
          <t>☑</t>
        </is>
      </c>
      <c r="G36" s="80" t="inlineStr">
        <is>
          <t>☑</t>
        </is>
      </c>
      <c r="H36" s="80" t="inlineStr">
        <is>
          <t>☑</t>
        </is>
      </c>
      <c r="I36" s="80" t="inlineStr">
        <is>
          <t>☑</t>
        </is>
      </c>
      <c r="J36" s="80" t="inlineStr">
        <is>
          <t>☑</t>
        </is>
      </c>
      <c r="K36" s="80" t="inlineStr">
        <is>
          <t>☑</t>
        </is>
      </c>
      <c r="L36" s="80" t="inlineStr">
        <is>
          <t>☑</t>
        </is>
      </c>
      <c r="M36" s="80" t="inlineStr">
        <is>
          <t>☑</t>
        </is>
      </c>
      <c r="N36" s="80" t="inlineStr">
        <is>
          <t>☑</t>
        </is>
      </c>
      <c r="O36" s="80" t="inlineStr">
        <is>
          <t>☑</t>
        </is>
      </c>
    </row>
    <row r="37">
      <c r="A37" s="80" t="n">
        <v>29</v>
      </c>
      <c r="B37" s="80" t="inlineStr">
        <is>
          <t>325106410029</t>
        </is>
      </c>
      <c r="C37" s="80" t="inlineStr">
        <is>
          <t>SYAM KISHORE MOGILI</t>
        </is>
      </c>
      <c r="D37" s="80" t="inlineStr">
        <is>
          <t>☑</t>
        </is>
      </c>
      <c r="E37" s="80" t="inlineStr">
        <is>
          <t>☑</t>
        </is>
      </c>
      <c r="F37" s="80" t="inlineStr">
        <is>
          <t>☑</t>
        </is>
      </c>
      <c r="G37" s="80" t="inlineStr">
        <is>
          <t>☑</t>
        </is>
      </c>
      <c r="H37" s="80" t="inlineStr">
        <is>
          <t>☑</t>
        </is>
      </c>
      <c r="I37" s="80" t="inlineStr">
        <is>
          <t>☑</t>
        </is>
      </c>
      <c r="J37" s="80" t="inlineStr">
        <is>
          <t>☑</t>
        </is>
      </c>
      <c r="K37" s="80" t="inlineStr">
        <is>
          <t>☑</t>
        </is>
      </c>
      <c r="L37" s="80" t="inlineStr">
        <is>
          <t>☑</t>
        </is>
      </c>
      <c r="M37" s="80" t="inlineStr">
        <is>
          <t>☑</t>
        </is>
      </c>
      <c r="N37" s="80" t="inlineStr">
        <is>
          <t>☑</t>
        </is>
      </c>
      <c r="O37" s="80" t="inlineStr">
        <is>
          <t>☑</t>
        </is>
      </c>
    </row>
    <row r="38">
      <c r="A38" s="80" t="n">
        <v>30</v>
      </c>
      <c r="B38" s="80" t="inlineStr">
        <is>
          <t>325106410030</t>
        </is>
      </c>
      <c r="C38" s="80" t="inlineStr">
        <is>
          <t>CHARAN TEJA MUDADLA</t>
        </is>
      </c>
      <c r="D38" s="80" t="inlineStr">
        <is>
          <t>☑</t>
        </is>
      </c>
      <c r="E38" s="80" t="inlineStr">
        <is>
          <t>☑</t>
        </is>
      </c>
      <c r="F38" s="80" t="inlineStr">
        <is>
          <t>☑</t>
        </is>
      </c>
      <c r="G38" s="80" t="inlineStr">
        <is>
          <t>☑</t>
        </is>
      </c>
      <c r="H38" s="80" t="inlineStr">
        <is>
          <t>☑</t>
        </is>
      </c>
      <c r="I38" s="80" t="inlineStr">
        <is>
          <t>☑</t>
        </is>
      </c>
      <c r="J38" s="80" t="inlineStr">
        <is>
          <t>☑</t>
        </is>
      </c>
      <c r="K38" s="80" t="inlineStr">
        <is>
          <t>☑</t>
        </is>
      </c>
      <c r="L38" s="80" t="inlineStr">
        <is>
          <t>☑</t>
        </is>
      </c>
      <c r="M38" s="80" t="inlineStr">
        <is>
          <t>☑</t>
        </is>
      </c>
      <c r="N38" s="80" t="inlineStr">
        <is>
          <t>☑</t>
        </is>
      </c>
      <c r="O38" s="80" t="inlineStr">
        <is>
          <t>☑</t>
        </is>
      </c>
    </row>
    <row r="39">
      <c r="A39" s="80" t="n">
        <v>31</v>
      </c>
      <c r="B39" s="80" t="inlineStr">
        <is>
          <t>325106410031</t>
        </is>
      </c>
      <c r="C39" s="80" t="inlineStr">
        <is>
          <t>LAKSHMI PRATHYUSHA MUDIYAM</t>
        </is>
      </c>
      <c r="D39" s="80" t="inlineStr">
        <is>
          <t>☑</t>
        </is>
      </c>
      <c r="E39" s="80" t="inlineStr">
        <is>
          <t>☑</t>
        </is>
      </c>
      <c r="F39" s="80" t="inlineStr">
        <is>
          <t>☑</t>
        </is>
      </c>
      <c r="G39" s="80" t="inlineStr">
        <is>
          <t>☑</t>
        </is>
      </c>
      <c r="H39" s="80" t="inlineStr">
        <is>
          <t>☑</t>
        </is>
      </c>
      <c r="I39" s="80" t="inlineStr">
        <is>
          <t>☑</t>
        </is>
      </c>
      <c r="J39" s="80" t="inlineStr">
        <is>
          <t>☑</t>
        </is>
      </c>
      <c r="K39" s="80" t="inlineStr">
        <is>
          <t>☑</t>
        </is>
      </c>
      <c r="L39" s="80" t="inlineStr">
        <is>
          <t>☑</t>
        </is>
      </c>
      <c r="M39" s="80" t="inlineStr">
        <is>
          <t>☑</t>
        </is>
      </c>
      <c r="N39" s="80" t="inlineStr">
        <is>
          <t>☑</t>
        </is>
      </c>
      <c r="O39" s="80" t="inlineStr">
        <is>
          <t>☑</t>
        </is>
      </c>
    </row>
    <row r="40">
      <c r="A40" s="80" t="n">
        <v>32</v>
      </c>
      <c r="B40" s="80" t="inlineStr">
        <is>
          <t>325106410032</t>
        </is>
      </c>
      <c r="C40" s="80" t="inlineStr">
        <is>
          <t>LAKSHMI NARASIMHA SATHWIK MUDUNURU</t>
        </is>
      </c>
      <c r="D40" s="80" t="inlineStr">
        <is>
          <t>☑</t>
        </is>
      </c>
      <c r="E40" s="80" t="inlineStr">
        <is>
          <t>☑</t>
        </is>
      </c>
      <c r="F40" s="80" t="inlineStr">
        <is>
          <t>☑</t>
        </is>
      </c>
      <c r="G40" s="80" t="inlineStr">
        <is>
          <t>☑</t>
        </is>
      </c>
      <c r="H40" s="80" t="inlineStr">
        <is>
          <t>☑</t>
        </is>
      </c>
      <c r="I40" s="80" t="inlineStr">
        <is>
          <t>☑</t>
        </is>
      </c>
      <c r="J40" s="80" t="inlineStr">
        <is>
          <t>☑</t>
        </is>
      </c>
      <c r="K40" s="80" t="inlineStr">
        <is>
          <t>☑</t>
        </is>
      </c>
      <c r="L40" s="80" t="inlineStr">
        <is>
          <t>☑</t>
        </is>
      </c>
      <c r="M40" s="80" t="inlineStr">
        <is>
          <t>☑</t>
        </is>
      </c>
      <c r="N40" s="80" t="inlineStr">
        <is>
          <t>☑</t>
        </is>
      </c>
      <c r="O40" s="80" t="inlineStr">
        <is>
          <t>☑</t>
        </is>
      </c>
    </row>
    <row r="41">
      <c r="A41" s="80" t="n">
        <v>33</v>
      </c>
      <c r="B41" s="80" t="inlineStr">
        <is>
          <t>325106410033</t>
        </is>
      </c>
      <c r="C41" s="80" t="inlineStr">
        <is>
          <t>VEERA VENKATA SHALINI DEVI SRI MUMMANA</t>
        </is>
      </c>
      <c r="D41" s="80" t="inlineStr">
        <is>
          <t>☑</t>
        </is>
      </c>
      <c r="E41" s="80" t="inlineStr">
        <is>
          <t>☑</t>
        </is>
      </c>
      <c r="F41" s="80" t="inlineStr">
        <is>
          <t>☑</t>
        </is>
      </c>
      <c r="G41" s="80" t="inlineStr">
        <is>
          <t>☑</t>
        </is>
      </c>
      <c r="H41" s="80" t="inlineStr">
        <is>
          <t>☑</t>
        </is>
      </c>
      <c r="I41" s="80" t="inlineStr">
        <is>
          <t>☑</t>
        </is>
      </c>
      <c r="J41" s="80" t="inlineStr">
        <is>
          <t>☑</t>
        </is>
      </c>
      <c r="K41" s="80" t="inlineStr">
        <is>
          <t>☑</t>
        </is>
      </c>
      <c r="L41" s="80" t="inlineStr">
        <is>
          <t>☑</t>
        </is>
      </c>
      <c r="M41" s="80" t="inlineStr">
        <is>
          <t>☑</t>
        </is>
      </c>
      <c r="N41" s="80" t="inlineStr">
        <is>
          <t>☑</t>
        </is>
      </c>
      <c r="O41" s="80" t="inlineStr">
        <is>
          <t>☑</t>
        </is>
      </c>
    </row>
    <row r="42">
      <c r="A42" s="80" t="n">
        <v>34</v>
      </c>
      <c r="B42" s="80" t="inlineStr">
        <is>
          <t>325106410034</t>
        </is>
      </c>
      <c r="C42" s="80" t="inlineStr">
        <is>
          <t>NAGABHUSHANA KARTHIK BALIVADA</t>
        </is>
      </c>
      <c r="D42" s="80" t="inlineStr">
        <is>
          <t>☑</t>
        </is>
      </c>
      <c r="E42" s="80" t="inlineStr">
        <is>
          <t>☑</t>
        </is>
      </c>
      <c r="F42" s="80" t="inlineStr">
        <is>
          <t>☑</t>
        </is>
      </c>
      <c r="G42" s="80" t="inlineStr">
        <is>
          <t>☑</t>
        </is>
      </c>
      <c r="H42" s="80" t="inlineStr">
        <is>
          <t>☑</t>
        </is>
      </c>
      <c r="I42" s="80" t="inlineStr">
        <is>
          <t>☑</t>
        </is>
      </c>
      <c r="J42" s="80" t="inlineStr">
        <is>
          <t>☑</t>
        </is>
      </c>
      <c r="K42" s="80" t="inlineStr">
        <is>
          <t>☑</t>
        </is>
      </c>
      <c r="L42" s="80" t="inlineStr">
        <is>
          <t>☑</t>
        </is>
      </c>
      <c r="M42" s="80" t="inlineStr">
        <is>
          <t>☑</t>
        </is>
      </c>
      <c r="N42" s="80" t="inlineStr">
        <is>
          <t>☑</t>
        </is>
      </c>
      <c r="O42" s="80" t="inlineStr">
        <is>
          <t>☑</t>
        </is>
      </c>
    </row>
    <row r="43">
      <c r="A43" s="80" t="n">
        <v>35</v>
      </c>
      <c r="B43" s="80" t="inlineStr">
        <is>
          <t>325106410035</t>
        </is>
      </c>
      <c r="C43" s="80" t="inlineStr">
        <is>
          <t>SAI PRASANNA PALLA</t>
        </is>
      </c>
      <c r="D43" s="80" t="inlineStr">
        <is>
          <t>☑</t>
        </is>
      </c>
      <c r="E43" s="80" t="inlineStr">
        <is>
          <t>☑</t>
        </is>
      </c>
      <c r="F43" s="80" t="inlineStr">
        <is>
          <t>☑</t>
        </is>
      </c>
      <c r="G43" s="80" t="inlineStr">
        <is>
          <t>☑</t>
        </is>
      </c>
      <c r="H43" s="80" t="inlineStr">
        <is>
          <t>☑</t>
        </is>
      </c>
      <c r="I43" s="80" t="inlineStr">
        <is>
          <t>☑</t>
        </is>
      </c>
      <c r="J43" s="80" t="inlineStr">
        <is>
          <t>☑</t>
        </is>
      </c>
      <c r="K43" s="80" t="inlineStr">
        <is>
          <t>☑</t>
        </is>
      </c>
      <c r="L43" s="80" t="inlineStr">
        <is>
          <t>☑</t>
        </is>
      </c>
      <c r="M43" s="80" t="inlineStr">
        <is>
          <t>☑</t>
        </is>
      </c>
      <c r="N43" s="80" t="inlineStr">
        <is>
          <t>☑</t>
        </is>
      </c>
      <c r="O43" s="80" t="inlineStr">
        <is>
          <t>☑</t>
        </is>
      </c>
    </row>
    <row r="44">
      <c r="A44" s="80" t="n">
        <v>36</v>
      </c>
      <c r="B44" s="80" t="inlineStr">
        <is>
          <t>325106410036</t>
        </is>
      </c>
      <c r="C44" s="80" t="inlineStr">
        <is>
          <t>OBEDU PALLE</t>
        </is>
      </c>
      <c r="D44" s="80" t="inlineStr">
        <is>
          <t>☑</t>
        </is>
      </c>
      <c r="E44" s="80" t="inlineStr">
        <is>
          <t>☑</t>
        </is>
      </c>
      <c r="F44" s="80" t="inlineStr">
        <is>
          <t>☑</t>
        </is>
      </c>
      <c r="G44" s="80" t="inlineStr">
        <is>
          <t>☑</t>
        </is>
      </c>
      <c r="H44" s="80" t="inlineStr">
        <is>
          <t>☑</t>
        </is>
      </c>
      <c r="I44" s="80" t="inlineStr">
        <is>
          <t>☑</t>
        </is>
      </c>
      <c r="J44" s="80" t="inlineStr">
        <is>
          <t>☑</t>
        </is>
      </c>
      <c r="K44" s="80" t="inlineStr">
        <is>
          <t>☑</t>
        </is>
      </c>
      <c r="L44" s="80" t="inlineStr">
        <is>
          <t>☑</t>
        </is>
      </c>
      <c r="M44" s="80" t="inlineStr">
        <is>
          <t>☑</t>
        </is>
      </c>
      <c r="N44" s="80" t="inlineStr">
        <is>
          <t>☑</t>
        </is>
      </c>
      <c r="O44" s="80" t="inlineStr">
        <is>
          <t>☑</t>
        </is>
      </c>
    </row>
    <row r="45">
      <c r="A45" s="80" t="n">
        <v>37</v>
      </c>
      <c r="B45" s="80" t="inlineStr">
        <is>
          <t>325106410037</t>
        </is>
      </c>
      <c r="C45" s="80" t="inlineStr">
        <is>
          <t>VINAY KUMAR PANCHADI</t>
        </is>
      </c>
      <c r="D45" s="80" t="inlineStr">
        <is>
          <t>☑</t>
        </is>
      </c>
      <c r="E45" s="80" t="inlineStr">
        <is>
          <t>☑</t>
        </is>
      </c>
      <c r="F45" s="80" t="inlineStr">
        <is>
          <t>☑</t>
        </is>
      </c>
      <c r="G45" s="80" t="inlineStr">
        <is>
          <t>☑</t>
        </is>
      </c>
      <c r="H45" s="80" t="inlineStr">
        <is>
          <t>☑</t>
        </is>
      </c>
      <c r="I45" s="80" t="inlineStr">
        <is>
          <t>☑</t>
        </is>
      </c>
      <c r="J45" s="80" t="inlineStr">
        <is>
          <t>☑</t>
        </is>
      </c>
      <c r="K45" s="80" t="inlineStr">
        <is>
          <t>☑</t>
        </is>
      </c>
      <c r="L45" s="80" t="inlineStr">
        <is>
          <t>☑</t>
        </is>
      </c>
      <c r="M45" s="80" t="inlineStr">
        <is>
          <t>☑</t>
        </is>
      </c>
      <c r="N45" s="80" t="inlineStr">
        <is>
          <t>☑</t>
        </is>
      </c>
      <c r="O45" s="80" t="inlineStr">
        <is>
          <t>☑</t>
        </is>
      </c>
    </row>
    <row r="46">
      <c r="A46" s="80" t="n">
        <v>38</v>
      </c>
      <c r="B46" s="80" t="inlineStr">
        <is>
          <t>325106410038</t>
        </is>
      </c>
      <c r="C46" s="80" t="inlineStr">
        <is>
          <t>KARTIKA HEMANTH REDDY POTAMSETTY</t>
        </is>
      </c>
      <c r="D46" s="80" t="inlineStr">
        <is>
          <t>☑</t>
        </is>
      </c>
      <c r="E46" s="80" t="inlineStr">
        <is>
          <t>☑</t>
        </is>
      </c>
      <c r="F46" s="80" t="inlineStr">
        <is>
          <t>☑</t>
        </is>
      </c>
      <c r="G46" s="80" t="inlineStr">
        <is>
          <t>☑</t>
        </is>
      </c>
      <c r="H46" s="80" t="inlineStr">
        <is>
          <t>☑</t>
        </is>
      </c>
      <c r="I46" s="80" t="inlineStr">
        <is>
          <t>☑</t>
        </is>
      </c>
      <c r="J46" s="80" t="inlineStr">
        <is>
          <t>☑</t>
        </is>
      </c>
      <c r="K46" s="80" t="inlineStr">
        <is>
          <t>☑</t>
        </is>
      </c>
      <c r="L46" s="80" t="inlineStr">
        <is>
          <t>☑</t>
        </is>
      </c>
      <c r="M46" s="80" t="inlineStr">
        <is>
          <t>☑</t>
        </is>
      </c>
      <c r="N46" s="80" t="inlineStr">
        <is>
          <t>☑</t>
        </is>
      </c>
      <c r="O46" s="80" t="inlineStr">
        <is>
          <t>☑</t>
        </is>
      </c>
    </row>
    <row r="47">
      <c r="A47" s="80" t="n">
        <v>39</v>
      </c>
      <c r="B47" s="80" t="inlineStr">
        <is>
          <t>325106410039</t>
        </is>
      </c>
      <c r="C47" s="80" t="inlineStr">
        <is>
          <t>PRUDHVI POTUPUREDDI</t>
        </is>
      </c>
      <c r="D47" s="80" t="inlineStr">
        <is>
          <t>☑</t>
        </is>
      </c>
      <c r="E47" s="80" t="inlineStr">
        <is>
          <t>☑</t>
        </is>
      </c>
      <c r="F47" s="80" t="inlineStr">
        <is>
          <t>☑</t>
        </is>
      </c>
      <c r="G47" s="80" t="inlineStr">
        <is>
          <t>☑</t>
        </is>
      </c>
      <c r="H47" s="80" t="inlineStr">
        <is>
          <t>☑</t>
        </is>
      </c>
      <c r="I47" s="80" t="inlineStr">
        <is>
          <t>☑</t>
        </is>
      </c>
      <c r="J47" s="80" t="inlineStr">
        <is>
          <t>☑</t>
        </is>
      </c>
      <c r="K47" s="80" t="inlineStr">
        <is>
          <t>☑</t>
        </is>
      </c>
      <c r="L47" s="80" t="inlineStr">
        <is>
          <t>☑</t>
        </is>
      </c>
      <c r="M47" s="80" t="inlineStr">
        <is>
          <t>☑</t>
        </is>
      </c>
      <c r="N47" s="80" t="inlineStr">
        <is>
          <t>☑</t>
        </is>
      </c>
      <c r="O47" s="80" t="inlineStr">
        <is>
          <t>☑</t>
        </is>
      </c>
    </row>
    <row r="48">
      <c r="A48" s="80" t="n">
        <v>40</v>
      </c>
      <c r="B48" s="80" t="inlineStr">
        <is>
          <t>325106410040</t>
        </is>
      </c>
      <c r="C48" s="80" t="inlineStr">
        <is>
          <t>JAYANTH PRATTIPATI</t>
        </is>
      </c>
      <c r="D48" s="80" t="inlineStr">
        <is>
          <t>☑</t>
        </is>
      </c>
      <c r="E48" s="80" t="inlineStr">
        <is>
          <t>☑</t>
        </is>
      </c>
      <c r="F48" s="80" t="inlineStr">
        <is>
          <t>☑</t>
        </is>
      </c>
      <c r="G48" s="80" t="inlineStr">
        <is>
          <t>☑</t>
        </is>
      </c>
      <c r="H48" s="80" t="inlineStr">
        <is>
          <t>☑</t>
        </is>
      </c>
      <c r="I48" s="80" t="inlineStr">
        <is>
          <t>☑</t>
        </is>
      </c>
      <c r="J48" s="80" t="inlineStr">
        <is>
          <t>☑</t>
        </is>
      </c>
      <c r="K48" s="80" t="inlineStr">
        <is>
          <t>☑</t>
        </is>
      </c>
      <c r="L48" s="80" t="inlineStr">
        <is>
          <t>☑</t>
        </is>
      </c>
      <c r="M48" s="80" t="inlineStr">
        <is>
          <t>☑</t>
        </is>
      </c>
      <c r="N48" s="80" t="inlineStr">
        <is>
          <t>☑</t>
        </is>
      </c>
      <c r="O48" s="80" t="inlineStr">
        <is>
          <t>☑</t>
        </is>
      </c>
    </row>
    <row r="49">
      <c r="A49" s="80" t="n">
        <v>41</v>
      </c>
      <c r="B49" s="80" t="inlineStr">
        <is>
          <t>325106410041</t>
        </is>
      </c>
      <c r="C49" s="80" t="inlineStr">
        <is>
          <t>PAVAN SAI PUVVALA</t>
        </is>
      </c>
      <c r="D49" s="80" t="inlineStr">
        <is>
          <t>☑</t>
        </is>
      </c>
      <c r="E49" s="80" t="inlineStr">
        <is>
          <t>☑</t>
        </is>
      </c>
      <c r="F49" s="80" t="inlineStr">
        <is>
          <t>☑</t>
        </is>
      </c>
      <c r="G49" s="80" t="inlineStr">
        <is>
          <t>☑</t>
        </is>
      </c>
      <c r="H49" s="80" t="inlineStr">
        <is>
          <t>☑</t>
        </is>
      </c>
      <c r="I49" s="80" t="inlineStr">
        <is>
          <t>☑</t>
        </is>
      </c>
      <c r="J49" s="80" t="inlineStr">
        <is>
          <t>☑</t>
        </is>
      </c>
      <c r="K49" s="80" t="inlineStr">
        <is>
          <t>☑</t>
        </is>
      </c>
      <c r="L49" s="80" t="inlineStr">
        <is>
          <t>☑</t>
        </is>
      </c>
      <c r="M49" s="80" t="inlineStr">
        <is>
          <t>☑</t>
        </is>
      </c>
      <c r="N49" s="80" t="inlineStr">
        <is>
          <t>☑</t>
        </is>
      </c>
      <c r="O49" s="80" t="inlineStr">
        <is>
          <t>☑</t>
        </is>
      </c>
    </row>
    <row r="50">
      <c r="A50" s="80" t="n">
        <v>42</v>
      </c>
      <c r="B50" s="80" t="inlineStr">
        <is>
          <t>325106410042</t>
        </is>
      </c>
      <c r="C50" s="80" t="inlineStr">
        <is>
          <t>SHANMUKHA RAO REDDI</t>
        </is>
      </c>
      <c r="D50" s="80" t="inlineStr">
        <is>
          <t>☑</t>
        </is>
      </c>
      <c r="E50" s="80" t="inlineStr">
        <is>
          <t>☑</t>
        </is>
      </c>
      <c r="F50" s="80" t="inlineStr">
        <is>
          <t>☑</t>
        </is>
      </c>
      <c r="G50" s="80" t="inlineStr">
        <is>
          <t>☑</t>
        </is>
      </c>
      <c r="H50" s="80" t="inlineStr">
        <is>
          <t>☑</t>
        </is>
      </c>
      <c r="I50" s="80" t="inlineStr">
        <is>
          <t>☑</t>
        </is>
      </c>
      <c r="J50" s="80" t="inlineStr">
        <is>
          <t>☑</t>
        </is>
      </c>
      <c r="K50" s="80" t="inlineStr">
        <is>
          <t>☑</t>
        </is>
      </c>
      <c r="L50" s="80" t="inlineStr">
        <is>
          <t>☑</t>
        </is>
      </c>
      <c r="M50" s="80" t="inlineStr">
        <is>
          <t>☑</t>
        </is>
      </c>
      <c r="N50" s="80" t="inlineStr">
        <is>
          <t>☑</t>
        </is>
      </c>
      <c r="O50" s="80" t="inlineStr">
        <is>
          <t>☑</t>
        </is>
      </c>
    </row>
    <row r="51">
      <c r="A51" s="80" t="n">
        <v>43</v>
      </c>
      <c r="B51" s="80" t="inlineStr">
        <is>
          <t>325106410043</t>
        </is>
      </c>
      <c r="C51" s="80" t="inlineStr">
        <is>
          <t>YASWANTH DURGA PRAVEEN REVADI</t>
        </is>
      </c>
      <c r="D51" s="80" t="inlineStr">
        <is>
          <t>☑</t>
        </is>
      </c>
      <c r="E51" s="80" t="inlineStr">
        <is>
          <t>☑</t>
        </is>
      </c>
      <c r="F51" s="80" t="inlineStr">
        <is>
          <t>☑</t>
        </is>
      </c>
      <c r="G51" s="80" t="inlineStr">
        <is>
          <t>☑</t>
        </is>
      </c>
      <c r="H51" s="80" t="inlineStr">
        <is>
          <t>☑</t>
        </is>
      </c>
      <c r="I51" s="80" t="inlineStr">
        <is>
          <t>☑</t>
        </is>
      </c>
      <c r="J51" s="80" t="inlineStr">
        <is>
          <t>☑</t>
        </is>
      </c>
      <c r="K51" s="80" t="inlineStr">
        <is>
          <t>☑</t>
        </is>
      </c>
      <c r="L51" s="80" t="inlineStr">
        <is>
          <t>☑</t>
        </is>
      </c>
      <c r="M51" s="80" t="inlineStr">
        <is>
          <t>☑</t>
        </is>
      </c>
      <c r="N51" s="80" t="inlineStr">
        <is>
          <t>☑</t>
        </is>
      </c>
      <c r="O51" s="80" t="inlineStr">
        <is>
          <t>☑</t>
        </is>
      </c>
    </row>
    <row r="52">
      <c r="A52" s="80" t="n">
        <v>44</v>
      </c>
      <c r="B52" s="80" t="inlineStr">
        <is>
          <t>325106410044</t>
        </is>
      </c>
      <c r="C52" s="80" t="inlineStr">
        <is>
          <t>TANUSREE ROUTHU</t>
        </is>
      </c>
      <c r="D52" s="80" t="inlineStr">
        <is>
          <t>☑</t>
        </is>
      </c>
      <c r="E52" s="80" t="inlineStr">
        <is>
          <t>☑</t>
        </is>
      </c>
      <c r="F52" s="80" t="inlineStr">
        <is>
          <t>☑</t>
        </is>
      </c>
      <c r="G52" s="80" t="inlineStr">
        <is>
          <t>☑</t>
        </is>
      </c>
      <c r="H52" s="80" t="inlineStr">
        <is>
          <t>☑</t>
        </is>
      </c>
      <c r="I52" s="80" t="inlineStr">
        <is>
          <t>☑</t>
        </is>
      </c>
      <c r="J52" s="80" t="inlineStr">
        <is>
          <t>☑</t>
        </is>
      </c>
      <c r="K52" s="80" t="inlineStr">
        <is>
          <t>☑</t>
        </is>
      </c>
      <c r="L52" s="80" t="inlineStr">
        <is>
          <t>☑</t>
        </is>
      </c>
      <c r="M52" s="80" t="inlineStr">
        <is>
          <t>☑</t>
        </is>
      </c>
      <c r="N52" s="80" t="inlineStr">
        <is>
          <t>☑</t>
        </is>
      </c>
      <c r="O52" s="80" t="inlineStr">
        <is>
          <t>☑</t>
        </is>
      </c>
    </row>
    <row r="53">
      <c r="A53" s="80" t="n">
        <v>45</v>
      </c>
      <c r="B53" s="80" t="inlineStr">
        <is>
          <t>325106410045</t>
        </is>
      </c>
      <c r="C53" s="80" t="inlineStr">
        <is>
          <t>MOHANA LASYA SABBAVARAPU</t>
        </is>
      </c>
      <c r="D53" s="80" t="inlineStr">
        <is>
          <t>☑</t>
        </is>
      </c>
      <c r="E53" s="80" t="inlineStr">
        <is>
          <t>☑</t>
        </is>
      </c>
      <c r="F53" s="80" t="inlineStr">
        <is>
          <t>☑</t>
        </is>
      </c>
      <c r="G53" s="80" t="inlineStr">
        <is>
          <t>☑</t>
        </is>
      </c>
      <c r="H53" s="80" t="inlineStr">
        <is>
          <t>☑</t>
        </is>
      </c>
      <c r="I53" s="80" t="inlineStr">
        <is>
          <t>☑</t>
        </is>
      </c>
      <c r="J53" s="80" t="inlineStr">
        <is>
          <t>☑</t>
        </is>
      </c>
      <c r="K53" s="80" t="inlineStr">
        <is>
          <t>☑</t>
        </is>
      </c>
      <c r="L53" s="80" t="inlineStr">
        <is>
          <t>☑</t>
        </is>
      </c>
      <c r="M53" s="80" t="inlineStr">
        <is>
          <t>☑</t>
        </is>
      </c>
      <c r="N53" s="80" t="inlineStr">
        <is>
          <t>☑</t>
        </is>
      </c>
      <c r="O53" s="80" t="inlineStr">
        <is>
          <t>☑</t>
        </is>
      </c>
    </row>
    <row r="54">
      <c r="A54" s="80" t="n">
        <v>46</v>
      </c>
      <c r="B54" s="80" t="inlineStr">
        <is>
          <t>325106410046</t>
        </is>
      </c>
      <c r="C54" s="80" t="inlineStr">
        <is>
          <t>RONY JOEL</t>
        </is>
      </c>
      <c r="D54" s="80" t="inlineStr">
        <is>
          <t>☑</t>
        </is>
      </c>
      <c r="E54" s="80" t="inlineStr">
        <is>
          <t>☑</t>
        </is>
      </c>
      <c r="F54" s="80" t="inlineStr">
        <is>
          <t>☑</t>
        </is>
      </c>
      <c r="G54" s="80" t="inlineStr">
        <is>
          <t>☑</t>
        </is>
      </c>
      <c r="H54" s="80" t="inlineStr">
        <is>
          <t>☑</t>
        </is>
      </c>
      <c r="I54" s="80" t="inlineStr">
        <is>
          <t>☑</t>
        </is>
      </c>
      <c r="J54" s="80" t="inlineStr">
        <is>
          <t>☑</t>
        </is>
      </c>
      <c r="K54" s="80" t="inlineStr">
        <is>
          <t>☑</t>
        </is>
      </c>
      <c r="L54" s="80" t="inlineStr">
        <is>
          <t>☑</t>
        </is>
      </c>
      <c r="M54" s="80" t="inlineStr">
        <is>
          <t>☑</t>
        </is>
      </c>
      <c r="N54" s="80" t="inlineStr">
        <is>
          <t>☑</t>
        </is>
      </c>
      <c r="O54" s="80" t="inlineStr">
        <is>
          <t>☑</t>
        </is>
      </c>
    </row>
    <row r="55">
      <c r="A55" s="80" t="n">
        <v>47</v>
      </c>
      <c r="B55" s="80" t="inlineStr">
        <is>
          <t>325106410047</t>
        </is>
      </c>
      <c r="C55" s="80" t="inlineStr">
        <is>
          <t>NAGA HASINI SAYIMPU</t>
        </is>
      </c>
      <c r="D55" s="80" t="inlineStr">
        <is>
          <t>☑</t>
        </is>
      </c>
      <c r="E55" s="80" t="inlineStr">
        <is>
          <t>☑</t>
        </is>
      </c>
      <c r="F55" s="80" t="inlineStr">
        <is>
          <t>☑</t>
        </is>
      </c>
      <c r="G55" s="80" t="inlineStr">
        <is>
          <t>☑</t>
        </is>
      </c>
      <c r="H55" s="80" t="inlineStr">
        <is>
          <t>☑</t>
        </is>
      </c>
      <c r="I55" s="80" t="inlineStr">
        <is>
          <t>☑</t>
        </is>
      </c>
      <c r="J55" s="80" t="inlineStr">
        <is>
          <t>☑</t>
        </is>
      </c>
      <c r="K55" s="80" t="inlineStr">
        <is>
          <t>☑</t>
        </is>
      </c>
      <c r="L55" s="80" t="inlineStr">
        <is>
          <t>☑</t>
        </is>
      </c>
      <c r="M55" s="80" t="inlineStr">
        <is>
          <t>☑</t>
        </is>
      </c>
      <c r="N55" s="80" t="inlineStr">
        <is>
          <t>☑</t>
        </is>
      </c>
      <c r="O55" s="80" t="inlineStr">
        <is>
          <t>☑</t>
        </is>
      </c>
    </row>
    <row r="56">
      <c r="A56" s="80" t="n">
        <v>48</v>
      </c>
      <c r="B56" s="80" t="inlineStr">
        <is>
          <t>325106410048</t>
        </is>
      </c>
      <c r="C56" s="80" t="inlineStr">
        <is>
          <t>SHEHNAAZ BEGUM SHAIK</t>
        </is>
      </c>
      <c r="D56" s="80" t="inlineStr">
        <is>
          <t>☑</t>
        </is>
      </c>
      <c r="E56" s="80" t="inlineStr">
        <is>
          <t>☑</t>
        </is>
      </c>
      <c r="F56" s="80" t="inlineStr">
        <is>
          <t>☑</t>
        </is>
      </c>
      <c r="G56" s="80" t="inlineStr">
        <is>
          <t>☑</t>
        </is>
      </c>
      <c r="H56" s="80" t="inlineStr">
        <is>
          <t>☑</t>
        </is>
      </c>
      <c r="I56" s="80" t="inlineStr">
        <is>
          <t>☑</t>
        </is>
      </c>
      <c r="J56" s="80" t="inlineStr">
        <is>
          <t>☑</t>
        </is>
      </c>
      <c r="K56" s="80" t="inlineStr">
        <is>
          <t>☑</t>
        </is>
      </c>
      <c r="L56" s="80" t="inlineStr">
        <is>
          <t>☑</t>
        </is>
      </c>
      <c r="M56" s="80" t="inlineStr">
        <is>
          <t>☑</t>
        </is>
      </c>
      <c r="N56" s="80" t="inlineStr">
        <is>
          <t>☑</t>
        </is>
      </c>
      <c r="O56" s="80" t="inlineStr">
        <is>
          <t>☑</t>
        </is>
      </c>
    </row>
    <row r="57">
      <c r="A57" s="80" t="n">
        <v>49</v>
      </c>
      <c r="B57" s="80" t="inlineStr">
        <is>
          <t>325106410049</t>
        </is>
      </c>
      <c r="C57" s="80" t="inlineStr">
        <is>
          <t>SONALI SIMHADRI</t>
        </is>
      </c>
      <c r="D57" s="80" t="inlineStr">
        <is>
          <t>☑</t>
        </is>
      </c>
      <c r="E57" s="80" t="inlineStr">
        <is>
          <t>☑</t>
        </is>
      </c>
      <c r="F57" s="80" t="inlineStr">
        <is>
          <t>☑</t>
        </is>
      </c>
      <c r="G57" s="80" t="inlineStr">
        <is>
          <t>☑</t>
        </is>
      </c>
      <c r="H57" s="80" t="inlineStr">
        <is>
          <t>☑</t>
        </is>
      </c>
      <c r="I57" s="80" t="inlineStr">
        <is>
          <t>☑</t>
        </is>
      </c>
      <c r="J57" s="80" t="inlineStr">
        <is>
          <t>☑</t>
        </is>
      </c>
      <c r="K57" s="80" t="inlineStr">
        <is>
          <t>☑</t>
        </is>
      </c>
      <c r="L57" s="80" t="inlineStr">
        <is>
          <t>☑</t>
        </is>
      </c>
      <c r="M57" s="80" t="inlineStr">
        <is>
          <t>☑</t>
        </is>
      </c>
      <c r="N57" s="80" t="inlineStr">
        <is>
          <t>☑</t>
        </is>
      </c>
      <c r="O57" s="80" t="inlineStr">
        <is>
          <t>☑</t>
        </is>
      </c>
    </row>
    <row r="58">
      <c r="A58" s="80" t="n">
        <v>50</v>
      </c>
      <c r="B58" s="80" t="inlineStr">
        <is>
          <t>325106410050</t>
        </is>
      </c>
      <c r="C58" s="80" t="inlineStr">
        <is>
          <t>MOHAN TEJA TALUPULA</t>
        </is>
      </c>
      <c r="D58" s="80" t="inlineStr">
        <is>
          <t>☑</t>
        </is>
      </c>
      <c r="E58" s="80" t="inlineStr">
        <is>
          <t>☑</t>
        </is>
      </c>
      <c r="F58" s="80" t="inlineStr">
        <is>
          <t>☑</t>
        </is>
      </c>
      <c r="G58" s="80" t="inlineStr">
        <is>
          <t>☑</t>
        </is>
      </c>
      <c r="H58" s="80" t="inlineStr">
        <is>
          <t>☑</t>
        </is>
      </c>
      <c r="I58" s="80" t="inlineStr">
        <is>
          <t>☑</t>
        </is>
      </c>
      <c r="J58" s="80" t="inlineStr">
        <is>
          <t>☑</t>
        </is>
      </c>
      <c r="K58" s="80" t="inlineStr">
        <is>
          <t>☑</t>
        </is>
      </c>
      <c r="L58" s="80" t="inlineStr">
        <is>
          <t>☑</t>
        </is>
      </c>
      <c r="M58" s="80" t="inlineStr">
        <is>
          <t>☑</t>
        </is>
      </c>
      <c r="N58" s="80" t="inlineStr">
        <is>
          <t>☑</t>
        </is>
      </c>
      <c r="O58" s="80" t="inlineStr">
        <is>
          <t>☑</t>
        </is>
      </c>
    </row>
    <row r="59">
      <c r="A59" s="80" t="n">
        <v>51</v>
      </c>
      <c r="B59" s="80" t="inlineStr">
        <is>
          <t>325106410051</t>
        </is>
      </c>
      <c r="C59" s="80" t="inlineStr">
        <is>
          <t>VINEETHKUMAR THENNETI</t>
        </is>
      </c>
      <c r="D59" s="80" t="inlineStr">
        <is>
          <t>☑</t>
        </is>
      </c>
      <c r="E59" s="80" t="inlineStr">
        <is>
          <t>☑</t>
        </is>
      </c>
      <c r="F59" s="80" t="inlineStr">
        <is>
          <t>☑</t>
        </is>
      </c>
      <c r="G59" s="80" t="inlineStr">
        <is>
          <t>☑</t>
        </is>
      </c>
      <c r="H59" s="80" t="inlineStr">
        <is>
          <t>☑</t>
        </is>
      </c>
      <c r="I59" s="80" t="inlineStr">
        <is>
          <t>☑</t>
        </is>
      </c>
      <c r="J59" s="80" t="inlineStr">
        <is>
          <t>☑</t>
        </is>
      </c>
      <c r="K59" s="80" t="inlineStr">
        <is>
          <t>☑</t>
        </is>
      </c>
      <c r="L59" s="80" t="inlineStr">
        <is>
          <t>☑</t>
        </is>
      </c>
      <c r="M59" s="80" t="inlineStr">
        <is>
          <t>☑</t>
        </is>
      </c>
      <c r="N59" s="80" t="inlineStr">
        <is>
          <t>☑</t>
        </is>
      </c>
      <c r="O59" s="80" t="inlineStr">
        <is>
          <t>☑</t>
        </is>
      </c>
    </row>
    <row r="60">
      <c r="A60" s="80" t="n">
        <v>52</v>
      </c>
      <c r="B60" s="80" t="inlineStr">
        <is>
          <t>325106410052</t>
        </is>
      </c>
      <c r="C60" s="80" t="inlineStr">
        <is>
          <t>GAYATRI TIPPANA</t>
        </is>
      </c>
      <c r="D60" s="80" t="inlineStr">
        <is>
          <t>☑</t>
        </is>
      </c>
      <c r="E60" s="80" t="inlineStr">
        <is>
          <t>☑</t>
        </is>
      </c>
      <c r="F60" s="80" t="inlineStr">
        <is>
          <t>☑</t>
        </is>
      </c>
      <c r="G60" s="80" t="inlineStr">
        <is>
          <t>☑</t>
        </is>
      </c>
      <c r="H60" s="80" t="inlineStr">
        <is>
          <t>☑</t>
        </is>
      </c>
      <c r="I60" s="80" t="inlineStr">
        <is>
          <t>☑</t>
        </is>
      </c>
      <c r="J60" s="80" t="inlineStr">
        <is>
          <t>☑</t>
        </is>
      </c>
      <c r="K60" s="80" t="inlineStr">
        <is>
          <t>☑</t>
        </is>
      </c>
      <c r="L60" s="80" t="inlineStr">
        <is>
          <t>☑</t>
        </is>
      </c>
      <c r="M60" s="80" t="inlineStr">
        <is>
          <t>☑</t>
        </is>
      </c>
      <c r="N60" s="80" t="inlineStr">
        <is>
          <t>☑</t>
        </is>
      </c>
      <c r="O60" s="80" t="inlineStr">
        <is>
          <t>☑</t>
        </is>
      </c>
    </row>
    <row r="61">
      <c r="A61" s="80" t="n">
        <v>53</v>
      </c>
      <c r="B61" s="80" t="inlineStr">
        <is>
          <t>325106410053</t>
        </is>
      </c>
      <c r="C61" s="80" t="inlineStr">
        <is>
          <t>SURYA VENKATA SRINIVAS TIRANDI</t>
        </is>
      </c>
      <c r="D61" s="80" t="inlineStr">
        <is>
          <t>☑</t>
        </is>
      </c>
      <c r="E61" s="80" t="inlineStr">
        <is>
          <t>☑</t>
        </is>
      </c>
      <c r="F61" s="80" t="inlineStr">
        <is>
          <t>☑</t>
        </is>
      </c>
      <c r="G61" s="80" t="inlineStr">
        <is>
          <t>☑</t>
        </is>
      </c>
      <c r="H61" s="80" t="inlineStr">
        <is>
          <t>☑</t>
        </is>
      </c>
      <c r="I61" s="80" t="inlineStr">
        <is>
          <t>☑</t>
        </is>
      </c>
      <c r="J61" s="80" t="inlineStr">
        <is>
          <t>☑</t>
        </is>
      </c>
      <c r="K61" s="80" t="inlineStr">
        <is>
          <t>☑</t>
        </is>
      </c>
      <c r="L61" s="80" t="inlineStr">
        <is>
          <t>☑</t>
        </is>
      </c>
      <c r="M61" s="80" t="inlineStr">
        <is>
          <t>☑</t>
        </is>
      </c>
      <c r="N61" s="80" t="inlineStr">
        <is>
          <t>☑</t>
        </is>
      </c>
      <c r="O61" s="80" t="inlineStr">
        <is>
          <t>☑</t>
        </is>
      </c>
    </row>
    <row r="62">
      <c r="A62" s="80" t="n">
        <v>54</v>
      </c>
      <c r="B62" s="80" t="inlineStr">
        <is>
          <t>325106410054</t>
        </is>
      </c>
      <c r="C62" s="80" t="inlineStr">
        <is>
          <t>PRANAVI V</t>
        </is>
      </c>
      <c r="D62" s="80" t="inlineStr">
        <is>
          <t>☑</t>
        </is>
      </c>
      <c r="E62" s="80" t="inlineStr">
        <is>
          <t>☑</t>
        </is>
      </c>
      <c r="F62" s="80" t="inlineStr">
        <is>
          <t>☑</t>
        </is>
      </c>
      <c r="G62" s="80" t="inlineStr">
        <is>
          <t>☑</t>
        </is>
      </c>
      <c r="H62" s="80" t="inlineStr">
        <is>
          <t>☑</t>
        </is>
      </c>
      <c r="I62" s="80" t="inlineStr">
        <is>
          <t>☑</t>
        </is>
      </c>
      <c r="J62" s="80" t="inlineStr">
        <is>
          <t>☑</t>
        </is>
      </c>
      <c r="K62" s="80" t="inlineStr">
        <is>
          <t>☑</t>
        </is>
      </c>
      <c r="L62" s="80" t="inlineStr">
        <is>
          <t>☑</t>
        </is>
      </c>
      <c r="M62" s="80" t="inlineStr">
        <is>
          <t>☑</t>
        </is>
      </c>
      <c r="N62" s="80" t="inlineStr">
        <is>
          <t>☑</t>
        </is>
      </c>
      <c r="O62" s="80" t="inlineStr">
        <is>
          <t>☑</t>
        </is>
      </c>
    </row>
    <row r="63">
      <c r="A63" s="80" t="n">
        <v>55</v>
      </c>
      <c r="B63" s="80" t="inlineStr">
        <is>
          <t>325106410055</t>
        </is>
      </c>
      <c r="C63" s="80" t="inlineStr">
        <is>
          <t>JAYANTH RAM ACHYUTH VALLABASETTI</t>
        </is>
      </c>
      <c r="D63" s="80" t="inlineStr">
        <is>
          <t>☑</t>
        </is>
      </c>
      <c r="E63" s="80" t="inlineStr">
        <is>
          <t>☑</t>
        </is>
      </c>
      <c r="F63" s="80" t="inlineStr">
        <is>
          <t>☑</t>
        </is>
      </c>
      <c r="G63" s="80" t="inlineStr">
        <is>
          <t>☑</t>
        </is>
      </c>
      <c r="H63" s="80" t="inlineStr">
        <is>
          <t>☑</t>
        </is>
      </c>
      <c r="I63" s="80" t="inlineStr">
        <is>
          <t>☑</t>
        </is>
      </c>
      <c r="J63" s="80" t="inlineStr">
        <is>
          <t>☑</t>
        </is>
      </c>
      <c r="K63" s="80" t="inlineStr">
        <is>
          <t>☑</t>
        </is>
      </c>
      <c r="L63" s="80" t="inlineStr">
        <is>
          <t>☑</t>
        </is>
      </c>
      <c r="M63" s="80" t="inlineStr">
        <is>
          <t>☑</t>
        </is>
      </c>
      <c r="N63" s="80" t="inlineStr">
        <is>
          <t>☑</t>
        </is>
      </c>
      <c r="O63" s="80" t="inlineStr">
        <is>
          <t>☑</t>
        </is>
      </c>
    </row>
    <row r="64">
      <c r="A64" s="80" t="n">
        <v>56</v>
      </c>
      <c r="B64" s="80" t="inlineStr">
        <is>
          <t>325106410056</t>
        </is>
      </c>
      <c r="C64" s="80" t="inlineStr">
        <is>
          <t>RAKESH VANIMINA</t>
        </is>
      </c>
      <c r="D64" s="80" t="inlineStr">
        <is>
          <t>☑</t>
        </is>
      </c>
      <c r="E64" s="80" t="inlineStr">
        <is>
          <t>☑</t>
        </is>
      </c>
      <c r="F64" s="80" t="inlineStr">
        <is>
          <t>☑</t>
        </is>
      </c>
      <c r="G64" s="80" t="inlineStr">
        <is>
          <t>☑</t>
        </is>
      </c>
      <c r="H64" s="80" t="inlineStr">
        <is>
          <t>☑</t>
        </is>
      </c>
      <c r="I64" s="80" t="inlineStr">
        <is>
          <t>☑</t>
        </is>
      </c>
      <c r="J64" s="80" t="inlineStr">
        <is>
          <t>☑</t>
        </is>
      </c>
      <c r="K64" s="80" t="inlineStr">
        <is>
          <t>☑</t>
        </is>
      </c>
      <c r="L64" s="80" t="inlineStr">
        <is>
          <t>☑</t>
        </is>
      </c>
      <c r="M64" s="80" t="inlineStr">
        <is>
          <t>☑</t>
        </is>
      </c>
      <c r="N64" s="80" t="inlineStr">
        <is>
          <t>☑</t>
        </is>
      </c>
      <c r="O64" s="80" t="inlineStr">
        <is>
          <t>☑</t>
        </is>
      </c>
    </row>
    <row r="65">
      <c r="A65" s="80" t="n">
        <v>57</v>
      </c>
      <c r="B65" s="80" t="inlineStr">
        <is>
          <t>325106410057</t>
        </is>
      </c>
      <c r="C65" s="80" t="inlineStr">
        <is>
          <t>YASWANTH MANIKANTA VATTIPROLU</t>
        </is>
      </c>
      <c r="D65" s="80" t="inlineStr">
        <is>
          <t>☑</t>
        </is>
      </c>
      <c r="E65" s="80" t="inlineStr">
        <is>
          <t>☑</t>
        </is>
      </c>
      <c r="F65" s="80" t="inlineStr">
        <is>
          <t>☑</t>
        </is>
      </c>
      <c r="G65" s="80" t="inlineStr">
        <is>
          <t>☑</t>
        </is>
      </c>
      <c r="H65" s="80" t="inlineStr">
        <is>
          <t>☑</t>
        </is>
      </c>
      <c r="I65" s="80" t="inlineStr">
        <is>
          <t>☑</t>
        </is>
      </c>
      <c r="J65" s="80" t="inlineStr">
        <is>
          <t>☑</t>
        </is>
      </c>
      <c r="K65" s="80" t="inlineStr">
        <is>
          <t>☑</t>
        </is>
      </c>
      <c r="L65" s="80" t="inlineStr">
        <is>
          <t>☑</t>
        </is>
      </c>
      <c r="M65" s="80" t="inlineStr">
        <is>
          <t>☑</t>
        </is>
      </c>
      <c r="N65" s="80" t="inlineStr">
        <is>
          <t>☑</t>
        </is>
      </c>
      <c r="O65" s="80" t="inlineStr">
        <is>
          <t>☑</t>
        </is>
      </c>
    </row>
    <row r="66">
      <c r="A66" s="80" t="n">
        <v>58</v>
      </c>
      <c r="B66" s="80" t="inlineStr">
        <is>
          <t>325106410058</t>
        </is>
      </c>
      <c r="C66" s="80" t="inlineStr">
        <is>
          <t>VEDA VARSHIT GOKAVARAPU</t>
        </is>
      </c>
      <c r="D66" s="80" t="inlineStr">
        <is>
          <t>☑</t>
        </is>
      </c>
      <c r="E66" s="80" t="inlineStr">
        <is>
          <t>☑</t>
        </is>
      </c>
      <c r="F66" s="80" t="inlineStr">
        <is>
          <t>☑</t>
        </is>
      </c>
      <c r="G66" s="80" t="inlineStr">
        <is>
          <t>☑</t>
        </is>
      </c>
      <c r="H66" s="80" t="inlineStr">
        <is>
          <t>☑</t>
        </is>
      </c>
      <c r="I66" s="80" t="inlineStr">
        <is>
          <t>☑</t>
        </is>
      </c>
      <c r="J66" s="80" t="inlineStr">
        <is>
          <t>☑</t>
        </is>
      </c>
      <c r="K66" s="80" t="inlineStr">
        <is>
          <t>☑</t>
        </is>
      </c>
      <c r="L66" s="80" t="inlineStr">
        <is>
          <t>☑</t>
        </is>
      </c>
      <c r="M66" s="80" t="inlineStr">
        <is>
          <t>☑</t>
        </is>
      </c>
      <c r="N66" s="80" t="inlineStr">
        <is>
          <t>☑</t>
        </is>
      </c>
      <c r="O66" s="80" t="inlineStr">
        <is>
          <t>☑</t>
        </is>
      </c>
    </row>
    <row r="67">
      <c r="A67" s="80" t="n">
        <v>59</v>
      </c>
      <c r="B67" s="80" t="inlineStr">
        <is>
          <t>325106410059</t>
        </is>
      </c>
      <c r="C67" s="80" t="inlineStr">
        <is>
          <t>SAI KEERTHANA VEMURI</t>
        </is>
      </c>
      <c r="D67" s="80" t="inlineStr">
        <is>
          <t>☑</t>
        </is>
      </c>
      <c r="E67" s="80" t="inlineStr">
        <is>
          <t>☑</t>
        </is>
      </c>
      <c r="F67" s="80" t="inlineStr">
        <is>
          <t>☑</t>
        </is>
      </c>
      <c r="G67" s="80" t="inlineStr">
        <is>
          <t>☑</t>
        </is>
      </c>
      <c r="H67" s="80" t="inlineStr">
        <is>
          <t>☑</t>
        </is>
      </c>
      <c r="I67" s="80" t="inlineStr">
        <is>
          <t>☑</t>
        </is>
      </c>
      <c r="J67" s="80" t="inlineStr">
        <is>
          <t>☑</t>
        </is>
      </c>
      <c r="K67" s="80" t="inlineStr">
        <is>
          <t>☑</t>
        </is>
      </c>
      <c r="L67" s="80" t="inlineStr">
        <is>
          <t>☑</t>
        </is>
      </c>
      <c r="M67" s="80" t="inlineStr">
        <is>
          <t>☑</t>
        </is>
      </c>
      <c r="N67" s="80" t="inlineStr">
        <is>
          <t>☑</t>
        </is>
      </c>
      <c r="O67" s="80" t="inlineStr">
        <is>
          <t>☑</t>
        </is>
      </c>
    </row>
    <row r="68">
      <c r="A68" s="80" t="n">
        <v>60</v>
      </c>
      <c r="B68" s="80" t="inlineStr">
        <is>
          <t>325106410060</t>
        </is>
      </c>
      <c r="C68" s="80" t="inlineStr">
        <is>
          <t>MANJULA VENGALA</t>
        </is>
      </c>
      <c r="D68" s="80" t="inlineStr">
        <is>
          <t>☑</t>
        </is>
      </c>
      <c r="E68" s="80" t="inlineStr">
        <is>
          <t>☑</t>
        </is>
      </c>
      <c r="F68" s="80" t="inlineStr">
        <is>
          <t>☑</t>
        </is>
      </c>
      <c r="G68" s="80" t="inlineStr">
        <is>
          <t>☑</t>
        </is>
      </c>
      <c r="H68" s="80" t="inlineStr">
        <is>
          <t>☑</t>
        </is>
      </c>
      <c r="I68" s="80" t="inlineStr">
        <is>
          <t>☑</t>
        </is>
      </c>
      <c r="J68" s="80" t="inlineStr">
        <is>
          <t>☑</t>
        </is>
      </c>
      <c r="K68" s="80" t="inlineStr">
        <is>
          <t>☑</t>
        </is>
      </c>
      <c r="L68" s="80" t="inlineStr">
        <is>
          <t>☑</t>
        </is>
      </c>
      <c r="M68" s="80" t="inlineStr">
        <is>
          <t>☑</t>
        </is>
      </c>
      <c r="N68" s="80" t="inlineStr">
        <is>
          <t>☑</t>
        </is>
      </c>
      <c r="O68" s="80" t="inlineStr">
        <is>
          <t>☑</t>
        </is>
      </c>
    </row>
    <row r="69">
      <c r="A69" s="80" t="n">
        <v>61</v>
      </c>
      <c r="B69" s="80" t="inlineStr">
        <is>
          <t>325106410061</t>
        </is>
      </c>
      <c r="C69" s="80" t="inlineStr">
        <is>
          <t>GOKUL SAI YANNAMANENI</t>
        </is>
      </c>
      <c r="D69" s="80" t="inlineStr">
        <is>
          <t>☑</t>
        </is>
      </c>
      <c r="E69" s="80" t="inlineStr">
        <is>
          <t>☑</t>
        </is>
      </c>
      <c r="F69" s="80" t="inlineStr">
        <is>
          <t>☑</t>
        </is>
      </c>
      <c r="G69" s="80" t="inlineStr">
        <is>
          <t>☑</t>
        </is>
      </c>
      <c r="H69" s="80" t="inlineStr">
        <is>
          <t>☑</t>
        </is>
      </c>
      <c r="I69" s="80" t="inlineStr">
        <is>
          <t>☑</t>
        </is>
      </c>
      <c r="J69" s="80" t="inlineStr">
        <is>
          <t>☑</t>
        </is>
      </c>
      <c r="K69" s="80" t="inlineStr">
        <is>
          <t>☑</t>
        </is>
      </c>
      <c r="L69" s="80" t="inlineStr">
        <is>
          <t>☑</t>
        </is>
      </c>
      <c r="M69" s="80" t="inlineStr">
        <is>
          <t>☑</t>
        </is>
      </c>
      <c r="N69" s="80" t="inlineStr">
        <is>
          <t>☑</t>
        </is>
      </c>
      <c r="O69" s="80" t="inlineStr">
        <is>
          <t>☑</t>
        </is>
      </c>
    </row>
    <row r="70">
      <c r="A70" s="80" t="n">
        <v>62</v>
      </c>
      <c r="B70" s="80" t="inlineStr">
        <is>
          <t>325106410062</t>
        </is>
      </c>
      <c r="C70" s="80" t="inlineStr">
        <is>
          <t>SRI AKSHITH YELLAI</t>
        </is>
      </c>
      <c r="D70" s="80" t="inlineStr">
        <is>
          <t>☑</t>
        </is>
      </c>
      <c r="E70" s="80" t="inlineStr">
        <is>
          <t>☑</t>
        </is>
      </c>
      <c r="F70" s="80" t="inlineStr">
        <is>
          <t>☑</t>
        </is>
      </c>
      <c r="G70" s="80" t="inlineStr">
        <is>
          <t>☑</t>
        </is>
      </c>
      <c r="H70" s="80" t="inlineStr">
        <is>
          <t>☑</t>
        </is>
      </c>
      <c r="I70" s="80" t="inlineStr">
        <is>
          <t>☑</t>
        </is>
      </c>
      <c r="J70" s="80" t="inlineStr">
        <is>
          <t>☑</t>
        </is>
      </c>
      <c r="K70" s="80" t="inlineStr">
        <is>
          <t>☑</t>
        </is>
      </c>
      <c r="L70" s="80" t="inlineStr">
        <is>
          <t>☑</t>
        </is>
      </c>
      <c r="M70" s="80" t="inlineStr">
        <is>
          <t>☑</t>
        </is>
      </c>
      <c r="N70" s="80" t="inlineStr">
        <is>
          <t>☑</t>
        </is>
      </c>
      <c r="O70" s="80" t="inlineStr">
        <is>
          <t>☑</t>
        </is>
      </c>
    </row>
    <row r="71">
      <c r="A71" s="80" t="n">
        <v>63</v>
      </c>
      <c r="B71" s="80" t="inlineStr">
        <is>
          <t>325106410063</t>
        </is>
      </c>
      <c r="C71" s="80" t="inlineStr">
        <is>
          <t>VARSHA</t>
        </is>
      </c>
      <c r="D71" s="80" t="inlineStr">
        <is>
          <t>☑</t>
        </is>
      </c>
      <c r="E71" s="80" t="inlineStr">
        <is>
          <t>☑</t>
        </is>
      </c>
      <c r="F71" s="80" t="inlineStr">
        <is>
          <t>☑</t>
        </is>
      </c>
      <c r="G71" s="80" t="inlineStr">
        <is>
          <t>☑</t>
        </is>
      </c>
      <c r="H71" s="80" t="inlineStr">
        <is>
          <t>☑</t>
        </is>
      </c>
      <c r="I71" s="80" t="inlineStr">
        <is>
          <t>☑</t>
        </is>
      </c>
      <c r="J71" s="80" t="inlineStr">
        <is>
          <t>☑</t>
        </is>
      </c>
      <c r="K71" s="80" t="inlineStr">
        <is>
          <t>☑</t>
        </is>
      </c>
      <c r="L71" s="80" t="inlineStr">
        <is>
          <t>☑</t>
        </is>
      </c>
      <c r="M71" s="80" t="inlineStr">
        <is>
          <t>☑</t>
        </is>
      </c>
      <c r="N71" s="80" t="inlineStr">
        <is>
          <t>☑</t>
        </is>
      </c>
      <c r="O71" s="80" t="inlineStr">
        <is>
          <t>☑</t>
        </is>
      </c>
    </row>
    <row r="72">
      <c r="A72" s="80" t="n">
        <v>64</v>
      </c>
      <c r="B72" s="80" t="inlineStr">
        <is>
          <t>325106410064</t>
        </is>
      </c>
      <c r="C72" s="80" t="inlineStr">
        <is>
          <t>KARTHIKEYA KOLANUKUDURU</t>
        </is>
      </c>
      <c r="D72" s="80" t="inlineStr">
        <is>
          <t>☑</t>
        </is>
      </c>
      <c r="E72" s="80" t="inlineStr">
        <is>
          <t>☑</t>
        </is>
      </c>
      <c r="F72" s="80" t="inlineStr">
        <is>
          <t>☑</t>
        </is>
      </c>
      <c r="G72" s="80" t="inlineStr">
        <is>
          <t>☑</t>
        </is>
      </c>
      <c r="H72" s="80" t="inlineStr">
        <is>
          <t>☑</t>
        </is>
      </c>
      <c r="I72" s="80" t="inlineStr">
        <is>
          <t>☑</t>
        </is>
      </c>
      <c r="J72" s="80" t="inlineStr">
        <is>
          <t>☑</t>
        </is>
      </c>
      <c r="K72" s="80" t="inlineStr">
        <is>
          <t>☑</t>
        </is>
      </c>
      <c r="L72" s="80" t="inlineStr">
        <is>
          <t>☑</t>
        </is>
      </c>
      <c r="M72" s="80" t="inlineStr">
        <is>
          <t>☑</t>
        </is>
      </c>
      <c r="N72" s="80" t="inlineStr">
        <is>
          <t>☑</t>
        </is>
      </c>
      <c r="O72" s="80" t="inlineStr">
        <is>
          <t>☑</t>
        </is>
      </c>
    </row>
    <row r="73">
      <c r="A73" s="80" t="n">
        <v>65</v>
      </c>
      <c r="B73" s="80" t="inlineStr">
        <is>
          <t>325106410065</t>
        </is>
      </c>
      <c r="C73" s="80" t="inlineStr">
        <is>
          <t>IBRAHIM SAHR KABBA</t>
        </is>
      </c>
      <c r="D73" s="80" t="inlineStr">
        <is>
          <t>☑</t>
        </is>
      </c>
      <c r="E73" s="80" t="inlineStr">
        <is>
          <t>☑</t>
        </is>
      </c>
      <c r="F73" s="80" t="inlineStr">
        <is>
          <t>☑</t>
        </is>
      </c>
      <c r="G73" s="80" t="inlineStr">
        <is>
          <t>☑</t>
        </is>
      </c>
      <c r="H73" s="80" t="inlineStr">
        <is>
          <t>☑</t>
        </is>
      </c>
      <c r="I73" s="80" t="inlineStr">
        <is>
          <t>☑</t>
        </is>
      </c>
      <c r="J73" s="80" t="inlineStr">
        <is>
          <t>☑</t>
        </is>
      </c>
      <c r="K73" s="80" t="inlineStr">
        <is>
          <t>☑</t>
        </is>
      </c>
      <c r="L73" s="80" t="inlineStr">
        <is>
          <t>☑</t>
        </is>
      </c>
      <c r="M73" s="80" t="inlineStr">
        <is>
          <t>☑</t>
        </is>
      </c>
      <c r="N73" s="80" t="inlineStr">
        <is>
          <t>☑</t>
        </is>
      </c>
      <c r="O73" s="80" t="inlineStr">
        <is>
          <t>☑</t>
        </is>
      </c>
    </row>
    <row r="74">
      <c r="A74" s="80" t="n">
        <v>66</v>
      </c>
      <c r="B74" s="80" t="inlineStr">
        <is>
          <t>325106410066</t>
        </is>
      </c>
      <c r="C74" s="80" t="inlineStr">
        <is>
          <t>ABDISAMIC YASIN ABDIRAHMAN</t>
        </is>
      </c>
      <c r="D74" s="80" t="inlineStr">
        <is>
          <t>☑</t>
        </is>
      </c>
      <c r="E74" s="80" t="inlineStr">
        <is>
          <t>☑</t>
        </is>
      </c>
      <c r="F74" s="80" t="inlineStr">
        <is>
          <t>☑</t>
        </is>
      </c>
      <c r="G74" s="80" t="inlineStr">
        <is>
          <t>☑</t>
        </is>
      </c>
      <c r="H74" s="80" t="inlineStr">
        <is>
          <t>☑</t>
        </is>
      </c>
      <c r="I74" s="80" t="inlineStr">
        <is>
          <t>☑</t>
        </is>
      </c>
      <c r="J74" s="80" t="inlineStr">
        <is>
          <t>☑</t>
        </is>
      </c>
      <c r="K74" s="80" t="inlineStr">
        <is>
          <t>☑</t>
        </is>
      </c>
      <c r="L74" s="80" t="inlineStr">
        <is>
          <t>☑</t>
        </is>
      </c>
      <c r="M74" s="80" t="inlineStr">
        <is>
          <t>☑</t>
        </is>
      </c>
      <c r="N74" s="80" t="inlineStr">
        <is>
          <t>☑</t>
        </is>
      </c>
      <c r="O74" s="80" t="inlineStr">
        <is>
          <t>☑</t>
        </is>
      </c>
    </row>
    <row r="75">
      <c r="A75" s="80" t="n">
        <v>67</v>
      </c>
      <c r="B75" s="80" t="inlineStr">
        <is>
          <t>325106410067</t>
        </is>
      </c>
      <c r="C75" s="80" t="inlineStr">
        <is>
          <t>AHMED ABDHULAHI</t>
        </is>
      </c>
      <c r="D75" s="80" t="inlineStr">
        <is>
          <t>☑</t>
        </is>
      </c>
      <c r="E75" s="80" t="inlineStr">
        <is>
          <t>☑</t>
        </is>
      </c>
      <c r="F75" s="80" t="inlineStr">
        <is>
          <t>☑</t>
        </is>
      </c>
      <c r="G75" s="80" t="inlineStr">
        <is>
          <t>☑</t>
        </is>
      </c>
      <c r="H75" s="80" t="inlineStr">
        <is>
          <t>☑</t>
        </is>
      </c>
      <c r="I75" s="80" t="inlineStr">
        <is>
          <t>☑</t>
        </is>
      </c>
      <c r="J75" s="80" t="inlineStr">
        <is>
          <t>☑</t>
        </is>
      </c>
      <c r="K75" s="80" t="inlineStr">
        <is>
          <t>☑</t>
        </is>
      </c>
      <c r="L75" s="80" t="inlineStr">
        <is>
          <t>☑</t>
        </is>
      </c>
      <c r="M75" s="80" t="inlineStr">
        <is>
          <t>☑</t>
        </is>
      </c>
      <c r="N75" s="80" t="inlineStr">
        <is>
          <t>☑</t>
        </is>
      </c>
      <c r="O75" s="80" t="inlineStr">
        <is>
          <t>☑</t>
        </is>
      </c>
    </row>
    <row r="76">
      <c r="A76" s="80" t="n">
        <v>68</v>
      </c>
      <c r="B76" s="80" t="inlineStr">
        <is>
          <t>325106410068</t>
        </is>
      </c>
      <c r="C76" s="80" t="inlineStr">
        <is>
          <t>ABDULAZIZ AL-MASLAMI</t>
        </is>
      </c>
      <c r="D76" s="80" t="inlineStr">
        <is>
          <t>☑</t>
        </is>
      </c>
      <c r="E76" s="80" t="inlineStr">
        <is>
          <t>☑</t>
        </is>
      </c>
      <c r="F76" s="80" t="inlineStr">
        <is>
          <t>☑</t>
        </is>
      </c>
      <c r="G76" s="80" t="inlineStr">
        <is>
          <t>☑</t>
        </is>
      </c>
      <c r="H76" s="80" t="inlineStr">
        <is>
          <t>☑</t>
        </is>
      </c>
      <c r="I76" s="80" t="inlineStr">
        <is>
          <t>☑</t>
        </is>
      </c>
      <c r="J76" s="80" t="inlineStr">
        <is>
          <t>☑</t>
        </is>
      </c>
      <c r="K76" s="80" t="inlineStr">
        <is>
          <t>☑</t>
        </is>
      </c>
      <c r="L76" s="80" t="inlineStr">
        <is>
          <t>☑</t>
        </is>
      </c>
      <c r="M76" s="80" t="inlineStr">
        <is>
          <t>☑</t>
        </is>
      </c>
      <c r="N76" s="80" t="inlineStr">
        <is>
          <t>☑</t>
        </is>
      </c>
      <c r="O76" s="80" t="inlineStr">
        <is>
          <t>☑</t>
        </is>
      </c>
    </row>
    <row r="77">
      <c r="A77" s="80" t="n">
        <v>69</v>
      </c>
      <c r="B77" s="80" t="inlineStr">
        <is>
          <t>325106410069</t>
        </is>
      </c>
      <c r="C77" s="80" t="inlineStr">
        <is>
          <t>ABDULRAHMAN HAGEB</t>
        </is>
      </c>
      <c r="D77" s="80" t="inlineStr">
        <is>
          <t>☑</t>
        </is>
      </c>
      <c r="E77" s="80" t="inlineStr">
        <is>
          <t>☑</t>
        </is>
      </c>
      <c r="F77" s="80" t="inlineStr">
        <is>
          <t>☑</t>
        </is>
      </c>
      <c r="G77" s="80" t="inlineStr">
        <is>
          <t>☑</t>
        </is>
      </c>
      <c r="H77" s="80" t="inlineStr">
        <is>
          <t>☑</t>
        </is>
      </c>
      <c r="I77" s="80" t="inlineStr">
        <is>
          <t>☑</t>
        </is>
      </c>
      <c r="J77" s="80" t="inlineStr">
        <is>
          <t>☑</t>
        </is>
      </c>
      <c r="K77" s="80" t="inlineStr">
        <is>
          <t>☑</t>
        </is>
      </c>
      <c r="L77" s="80" t="inlineStr">
        <is>
          <t>☑</t>
        </is>
      </c>
      <c r="M77" s="80" t="inlineStr">
        <is>
          <t>☑</t>
        </is>
      </c>
      <c r="N77" s="80" t="inlineStr">
        <is>
          <t>☑</t>
        </is>
      </c>
      <c r="O77" s="80" t="inlineStr">
        <is>
          <t>☑</t>
        </is>
      </c>
    </row>
    <row r="78">
      <c r="A78" s="80" t="n">
        <v>70</v>
      </c>
      <c r="B78" s="80" t="inlineStr">
        <is>
          <t>325106410070</t>
        </is>
      </c>
      <c r="C78" s="80" t="inlineStr">
        <is>
          <t>ABUBAKAR SAMINU</t>
        </is>
      </c>
      <c r="D78" s="80" t="inlineStr">
        <is>
          <t>☑</t>
        </is>
      </c>
      <c r="E78" s="80" t="inlineStr">
        <is>
          <t>☑</t>
        </is>
      </c>
      <c r="F78" s="80" t="inlineStr">
        <is>
          <t>☑</t>
        </is>
      </c>
      <c r="G78" s="80" t="inlineStr">
        <is>
          <t>☑</t>
        </is>
      </c>
      <c r="H78" s="80" t="inlineStr">
        <is>
          <t>☑</t>
        </is>
      </c>
      <c r="I78" s="80" t="inlineStr">
        <is>
          <t>☑</t>
        </is>
      </c>
      <c r="J78" s="80" t="inlineStr">
        <is>
          <t>☑</t>
        </is>
      </c>
      <c r="K78" s="80" t="inlineStr">
        <is>
          <t>☑</t>
        </is>
      </c>
      <c r="L78" s="80" t="inlineStr">
        <is>
          <t>☑</t>
        </is>
      </c>
      <c r="M78" s="80" t="inlineStr">
        <is>
          <t>☑</t>
        </is>
      </c>
      <c r="N78" s="80" t="inlineStr">
        <is>
          <t>☑</t>
        </is>
      </c>
      <c r="O78" s="80" t="inlineStr">
        <is>
          <t>☑</t>
        </is>
      </c>
    </row>
    <row r="79">
      <c r="A79" s="80" t="n">
        <v>71</v>
      </c>
      <c r="B79" s="80" t="inlineStr">
        <is>
          <t>325106410071</t>
        </is>
      </c>
      <c r="C79" s="80" t="inlineStr">
        <is>
          <t>ANGIRA CHOWDHURY</t>
        </is>
      </c>
      <c r="D79" s="80" t="inlineStr">
        <is>
          <t>☑</t>
        </is>
      </c>
      <c r="E79" s="80" t="inlineStr">
        <is>
          <t>☑</t>
        </is>
      </c>
      <c r="F79" s="80" t="inlineStr">
        <is>
          <t>☑</t>
        </is>
      </c>
      <c r="G79" s="80" t="inlineStr">
        <is>
          <t>☑</t>
        </is>
      </c>
      <c r="H79" s="80" t="inlineStr">
        <is>
          <t>☑</t>
        </is>
      </c>
      <c r="I79" s="80" t="inlineStr">
        <is>
          <t>☑</t>
        </is>
      </c>
      <c r="J79" s="80" t="inlineStr">
        <is>
          <t>☑</t>
        </is>
      </c>
      <c r="K79" s="80" t="inlineStr">
        <is>
          <t>☑</t>
        </is>
      </c>
      <c r="L79" s="80" t="inlineStr">
        <is>
          <t>☑</t>
        </is>
      </c>
      <c r="M79" s="80" t="inlineStr">
        <is>
          <t>☑</t>
        </is>
      </c>
      <c r="N79" s="80" t="inlineStr">
        <is>
          <t>☑</t>
        </is>
      </c>
      <c r="O79" s="80" t="inlineStr">
        <is>
          <t>☑</t>
        </is>
      </c>
    </row>
    <row r="80">
      <c r="A80" s="80" t="n">
        <v>72</v>
      </c>
      <c r="B80" s="80" t="inlineStr">
        <is>
          <t>325106410072</t>
        </is>
      </c>
      <c r="C80" s="80" t="inlineStr">
        <is>
          <t>ANIRBAN SAHA ARGHO</t>
        </is>
      </c>
      <c r="D80" s="80" t="inlineStr">
        <is>
          <t>☑</t>
        </is>
      </c>
      <c r="E80" s="80" t="inlineStr">
        <is>
          <t>☑</t>
        </is>
      </c>
      <c r="F80" s="80" t="inlineStr">
        <is>
          <t>☑</t>
        </is>
      </c>
      <c r="G80" s="80" t="inlineStr">
        <is>
          <t>☑</t>
        </is>
      </c>
      <c r="H80" s="80" t="inlineStr">
        <is>
          <t>☑</t>
        </is>
      </c>
      <c r="I80" s="80" t="inlineStr">
        <is>
          <t>☑</t>
        </is>
      </c>
      <c r="J80" s="80" t="inlineStr">
        <is>
          <t>☑</t>
        </is>
      </c>
      <c r="K80" s="80" t="inlineStr">
        <is>
          <t>☑</t>
        </is>
      </c>
      <c r="L80" s="80" t="inlineStr">
        <is>
          <t>☑</t>
        </is>
      </c>
      <c r="M80" s="80" t="inlineStr">
        <is>
          <t>☑</t>
        </is>
      </c>
      <c r="N80" s="80" t="inlineStr">
        <is>
          <t>☑</t>
        </is>
      </c>
      <c r="O80" s="80" t="inlineStr">
        <is>
          <t>☑</t>
        </is>
      </c>
    </row>
    <row r="81">
      <c r="A81" s="80" t="n">
        <v>73</v>
      </c>
      <c r="B81" s="80" t="inlineStr">
        <is>
          <t>325106410073</t>
        </is>
      </c>
      <c r="C81" s="80" t="inlineStr">
        <is>
          <t>SAMUEL ANTWI MALIK</t>
        </is>
      </c>
      <c r="D81" s="80" t="inlineStr">
        <is>
          <t>☑</t>
        </is>
      </c>
      <c r="E81" s="80" t="inlineStr">
        <is>
          <t>☑</t>
        </is>
      </c>
      <c r="F81" s="80" t="inlineStr">
        <is>
          <t>☑</t>
        </is>
      </c>
      <c r="G81" s="80" t="inlineStr">
        <is>
          <t>☑</t>
        </is>
      </c>
      <c r="H81" s="80" t="inlineStr">
        <is>
          <t>☑</t>
        </is>
      </c>
      <c r="I81" s="80" t="inlineStr">
        <is>
          <t>☑</t>
        </is>
      </c>
      <c r="J81" s="80" t="inlineStr">
        <is>
          <t>☑</t>
        </is>
      </c>
      <c r="K81" s="80" t="inlineStr">
        <is>
          <t>☑</t>
        </is>
      </c>
      <c r="L81" s="80" t="inlineStr">
        <is>
          <t>☑</t>
        </is>
      </c>
      <c r="M81" s="80" t="inlineStr">
        <is>
          <t>☑</t>
        </is>
      </c>
      <c r="N81" s="80" t="inlineStr">
        <is>
          <t>☑</t>
        </is>
      </c>
      <c r="O81" s="80" t="inlineStr">
        <is>
          <t>☑</t>
        </is>
      </c>
    </row>
    <row r="82">
      <c r="A82" s="80" t="n">
        <v>74</v>
      </c>
      <c r="B82" s="80" t="inlineStr">
        <is>
          <t>325106410074</t>
        </is>
      </c>
      <c r="C82" s="80" t="inlineStr">
        <is>
          <t>AOULADI AHAMADA</t>
        </is>
      </c>
      <c r="D82" s="80" t="inlineStr">
        <is>
          <t>☑</t>
        </is>
      </c>
      <c r="E82" s="80" t="inlineStr">
        <is>
          <t>☑</t>
        </is>
      </c>
      <c r="F82" s="80" t="inlineStr">
        <is>
          <t>☑</t>
        </is>
      </c>
      <c r="G82" s="80" t="inlineStr">
        <is>
          <t>☑</t>
        </is>
      </c>
      <c r="H82" s="80" t="inlineStr">
        <is>
          <t>☑</t>
        </is>
      </c>
      <c r="I82" s="80" t="inlineStr">
        <is>
          <t>☑</t>
        </is>
      </c>
      <c r="J82" s="80" t="inlineStr">
        <is>
          <t>☑</t>
        </is>
      </c>
      <c r="K82" s="80" t="inlineStr">
        <is>
          <t>☑</t>
        </is>
      </c>
      <c r="L82" s="80" t="inlineStr">
        <is>
          <t>☑</t>
        </is>
      </c>
      <c r="M82" s="80" t="inlineStr">
        <is>
          <t>☑</t>
        </is>
      </c>
      <c r="N82" s="80" t="inlineStr">
        <is>
          <t>☑</t>
        </is>
      </c>
      <c r="O82" s="80" t="inlineStr">
        <is>
          <t>☑</t>
        </is>
      </c>
    </row>
    <row r="83">
      <c r="A83" s="80" t="n">
        <v>75</v>
      </c>
      <c r="B83" s="80" t="inlineStr">
        <is>
          <t>325106410075</t>
        </is>
      </c>
      <c r="C83" s="80" t="inlineStr">
        <is>
          <t>ARIYA DEY ARPI</t>
        </is>
      </c>
      <c r="D83" s="80" t="inlineStr">
        <is>
          <t>☑</t>
        </is>
      </c>
      <c r="E83" s="80" t="inlineStr">
        <is>
          <t>☑</t>
        </is>
      </c>
      <c r="F83" s="80" t="inlineStr">
        <is>
          <t>☑</t>
        </is>
      </c>
      <c r="G83" s="80" t="inlineStr">
        <is>
          <t>☑</t>
        </is>
      </c>
      <c r="H83" s="80" t="inlineStr">
        <is>
          <t>☑</t>
        </is>
      </c>
      <c r="I83" s="80" t="inlineStr">
        <is>
          <t>☑</t>
        </is>
      </c>
      <c r="J83" s="80" t="inlineStr">
        <is>
          <t>☑</t>
        </is>
      </c>
      <c r="K83" s="80" t="inlineStr">
        <is>
          <t>☑</t>
        </is>
      </c>
      <c r="L83" s="80" t="inlineStr">
        <is>
          <t>☑</t>
        </is>
      </c>
      <c r="M83" s="80" t="inlineStr">
        <is>
          <t>☑</t>
        </is>
      </c>
      <c r="N83" s="80" t="inlineStr">
        <is>
          <t>☑</t>
        </is>
      </c>
      <c r="O83" s="80" t="inlineStr">
        <is>
          <t>☑</t>
        </is>
      </c>
    </row>
    <row r="84">
      <c r="A84" s="80" t="n">
        <v>76</v>
      </c>
      <c r="B84" s="80" t="inlineStr">
        <is>
          <t>325106410076</t>
        </is>
      </c>
      <c r="C84" s="80" t="inlineStr">
        <is>
          <t>ASEEL ABDELRHMAN MOHAMEDAHMED MOHAMEDKHAIR</t>
        </is>
      </c>
      <c r="D84" s="80" t="inlineStr">
        <is>
          <t>☑</t>
        </is>
      </c>
      <c r="E84" s="80" t="inlineStr">
        <is>
          <t>☑</t>
        </is>
      </c>
      <c r="F84" s="80" t="inlineStr">
        <is>
          <t>☑</t>
        </is>
      </c>
      <c r="G84" s="80" t="inlineStr">
        <is>
          <t>☑</t>
        </is>
      </c>
      <c r="H84" s="80" t="inlineStr">
        <is>
          <t>☑</t>
        </is>
      </c>
      <c r="I84" s="80" t="inlineStr">
        <is>
          <t>☑</t>
        </is>
      </c>
      <c r="J84" s="80" t="inlineStr">
        <is>
          <t>☑</t>
        </is>
      </c>
      <c r="K84" s="80" t="inlineStr">
        <is>
          <t>☑</t>
        </is>
      </c>
      <c r="L84" s="80" t="inlineStr">
        <is>
          <t>☑</t>
        </is>
      </c>
      <c r="M84" s="80" t="inlineStr">
        <is>
          <t>☑</t>
        </is>
      </c>
      <c r="N84" s="80" t="inlineStr">
        <is>
          <t>☑</t>
        </is>
      </c>
      <c r="O84" s="80" t="inlineStr">
        <is>
          <t>☑</t>
        </is>
      </c>
    </row>
    <row r="85">
      <c r="A85" s="80" t="n">
        <v>77</v>
      </c>
      <c r="B85" s="80" t="inlineStr">
        <is>
          <t>325106410077</t>
        </is>
      </c>
      <c r="C85" s="80" t="inlineStr">
        <is>
          <t>BASMALA ELWALEED ISMAIL ABDALLA</t>
        </is>
      </c>
      <c r="D85" s="80" t="inlineStr">
        <is>
          <t>☑</t>
        </is>
      </c>
      <c r="E85" s="80" t="inlineStr">
        <is>
          <t>☑</t>
        </is>
      </c>
      <c r="F85" s="80" t="inlineStr">
        <is>
          <t>☑</t>
        </is>
      </c>
      <c r="G85" s="80" t="inlineStr">
        <is>
          <t>☑</t>
        </is>
      </c>
      <c r="H85" s="80" t="inlineStr">
        <is>
          <t>☑</t>
        </is>
      </c>
      <c r="I85" s="80" t="inlineStr">
        <is>
          <t>☑</t>
        </is>
      </c>
      <c r="J85" s="80" t="inlineStr">
        <is>
          <t>☑</t>
        </is>
      </c>
      <c r="K85" s="80" t="inlineStr">
        <is>
          <t>☑</t>
        </is>
      </c>
      <c r="L85" s="80" t="inlineStr">
        <is>
          <t>☑</t>
        </is>
      </c>
      <c r="M85" s="80" t="inlineStr">
        <is>
          <t>☑</t>
        </is>
      </c>
      <c r="N85" s="80" t="inlineStr">
        <is>
          <t>☑</t>
        </is>
      </c>
      <c r="O85" s="80" t="inlineStr">
        <is>
          <t>☑</t>
        </is>
      </c>
    </row>
    <row r="86">
      <c r="A86" s="80" t="n">
        <v>78</v>
      </c>
      <c r="B86" s="80" t="inlineStr">
        <is>
          <t>325106410078</t>
        </is>
      </c>
      <c r="C86" s="80" t="inlineStr">
        <is>
          <t>BISHARUP CHANDRA BISHWAS</t>
        </is>
      </c>
      <c r="D86" s="80" t="inlineStr">
        <is>
          <t>☑</t>
        </is>
      </c>
      <c r="E86" s="80" t="inlineStr">
        <is>
          <t>☑</t>
        </is>
      </c>
      <c r="F86" s="80" t="inlineStr">
        <is>
          <t>☑</t>
        </is>
      </c>
      <c r="G86" s="80" t="inlineStr">
        <is>
          <t>☑</t>
        </is>
      </c>
      <c r="H86" s="80" t="inlineStr">
        <is>
          <t>☑</t>
        </is>
      </c>
      <c r="I86" s="80" t="inlineStr">
        <is>
          <t>☑</t>
        </is>
      </c>
      <c r="J86" s="80" t="inlineStr">
        <is>
          <t>☑</t>
        </is>
      </c>
      <c r="K86" s="80" t="inlineStr">
        <is>
          <t>☑</t>
        </is>
      </c>
      <c r="L86" s="80" t="inlineStr">
        <is>
          <t>☑</t>
        </is>
      </c>
      <c r="M86" s="80" t="inlineStr">
        <is>
          <t>☑</t>
        </is>
      </c>
      <c r="N86" s="80" t="inlineStr">
        <is>
          <t>☑</t>
        </is>
      </c>
      <c r="O86" s="80" t="inlineStr">
        <is>
          <t>☑</t>
        </is>
      </c>
    </row>
    <row r="87">
      <c r="A87" s="80" t="n">
        <v>79</v>
      </c>
      <c r="B87" s="80" t="inlineStr">
        <is>
          <t>325106410079</t>
        </is>
      </c>
      <c r="C87" s="80" t="inlineStr">
        <is>
          <t>DADJA ELIE APOLLINAIRE TCHANDAO</t>
        </is>
      </c>
      <c r="D87" s="80" t="inlineStr">
        <is>
          <t>☑</t>
        </is>
      </c>
      <c r="E87" s="80" t="inlineStr">
        <is>
          <t>☑</t>
        </is>
      </c>
      <c r="F87" s="80" t="inlineStr">
        <is>
          <t>☑</t>
        </is>
      </c>
      <c r="G87" s="80" t="inlineStr">
        <is>
          <t>☑</t>
        </is>
      </c>
      <c r="H87" s="80" t="inlineStr">
        <is>
          <t>☑</t>
        </is>
      </c>
      <c r="I87" s="80" t="inlineStr">
        <is>
          <t>☑</t>
        </is>
      </c>
      <c r="J87" s="80" t="inlineStr">
        <is>
          <t>☑</t>
        </is>
      </c>
      <c r="K87" s="80" t="inlineStr">
        <is>
          <t>☑</t>
        </is>
      </c>
      <c r="L87" s="80" t="inlineStr">
        <is>
          <t>☑</t>
        </is>
      </c>
      <c r="M87" s="80" t="inlineStr">
        <is>
          <t>☑</t>
        </is>
      </c>
      <c r="N87" s="80" t="inlineStr">
        <is>
          <t>☑</t>
        </is>
      </c>
      <c r="O87" s="80" t="inlineStr">
        <is>
          <t>☑</t>
        </is>
      </c>
    </row>
    <row r="88">
      <c r="A88" s="80" t="n">
        <v>80</v>
      </c>
      <c r="B88" s="80" t="inlineStr">
        <is>
          <t>325106410080</t>
        </is>
      </c>
      <c r="C88" s="80" t="inlineStr">
        <is>
          <t>DIBYA JYOTI ROY</t>
        </is>
      </c>
      <c r="D88" s="80" t="inlineStr">
        <is>
          <t>☑</t>
        </is>
      </c>
      <c r="E88" s="80" t="inlineStr">
        <is>
          <t>☑</t>
        </is>
      </c>
      <c r="F88" s="80" t="inlineStr">
        <is>
          <t>☑</t>
        </is>
      </c>
      <c r="G88" s="80" t="inlineStr">
        <is>
          <t>☑</t>
        </is>
      </c>
      <c r="H88" s="80" t="inlineStr">
        <is>
          <t>☑</t>
        </is>
      </c>
      <c r="I88" s="80" t="inlineStr">
        <is>
          <t>☑</t>
        </is>
      </c>
      <c r="J88" s="80" t="inlineStr">
        <is>
          <t>☑</t>
        </is>
      </c>
      <c r="K88" s="80" t="inlineStr">
        <is>
          <t>☑</t>
        </is>
      </c>
      <c r="L88" s="80" t="inlineStr">
        <is>
          <t>☑</t>
        </is>
      </c>
      <c r="M88" s="80" t="inlineStr">
        <is>
          <t>☑</t>
        </is>
      </c>
      <c r="N88" s="80" t="inlineStr">
        <is>
          <t>☑</t>
        </is>
      </c>
      <c r="O88" s="80" t="inlineStr">
        <is>
          <t>☑</t>
        </is>
      </c>
    </row>
    <row r="89">
      <c r="A89" s="80" t="n">
        <v>81</v>
      </c>
      <c r="B89" s="80" t="inlineStr">
        <is>
          <t>325106410081</t>
        </is>
      </c>
      <c r="C89" s="80" t="inlineStr">
        <is>
          <t>GRACE TRYPHENE DJE</t>
        </is>
      </c>
      <c r="D89" s="80" t="inlineStr">
        <is>
          <t>☑</t>
        </is>
      </c>
      <c r="E89" s="80" t="inlineStr">
        <is>
          <t>☑</t>
        </is>
      </c>
      <c r="F89" s="80" t="inlineStr">
        <is>
          <t>☑</t>
        </is>
      </c>
      <c r="G89" s="80" t="inlineStr">
        <is>
          <t>☑</t>
        </is>
      </c>
      <c r="H89" s="80" t="inlineStr">
        <is>
          <t>☑</t>
        </is>
      </c>
      <c r="I89" s="80" t="inlineStr">
        <is>
          <t>☑</t>
        </is>
      </c>
      <c r="J89" s="80" t="inlineStr">
        <is>
          <t>☑</t>
        </is>
      </c>
      <c r="K89" s="80" t="inlineStr">
        <is>
          <t>☑</t>
        </is>
      </c>
      <c r="L89" s="80" t="inlineStr">
        <is>
          <t>☑</t>
        </is>
      </c>
      <c r="M89" s="80" t="inlineStr">
        <is>
          <t>☑</t>
        </is>
      </c>
      <c r="N89" s="80" t="inlineStr">
        <is>
          <t>☑</t>
        </is>
      </c>
      <c r="O89" s="80" t="inlineStr">
        <is>
          <t>☑</t>
        </is>
      </c>
    </row>
    <row r="90">
      <c r="A90" s="80" t="n">
        <v>82</v>
      </c>
      <c r="B90" s="80" t="inlineStr">
        <is>
          <t>325106410082</t>
        </is>
      </c>
      <c r="C90" s="80" t="inlineStr">
        <is>
          <t>EBRIMA WARCH</t>
        </is>
      </c>
      <c r="D90" s="80" t="inlineStr">
        <is>
          <t>☑</t>
        </is>
      </c>
      <c r="E90" s="80" t="inlineStr">
        <is>
          <t>☑</t>
        </is>
      </c>
      <c r="F90" s="80" t="inlineStr">
        <is>
          <t>☑</t>
        </is>
      </c>
      <c r="G90" s="80" t="inlineStr">
        <is>
          <t>☑</t>
        </is>
      </c>
      <c r="H90" s="80" t="inlineStr">
        <is>
          <t>☑</t>
        </is>
      </c>
      <c r="I90" s="80" t="inlineStr">
        <is>
          <t>☑</t>
        </is>
      </c>
      <c r="J90" s="80" t="inlineStr">
        <is>
          <t>☑</t>
        </is>
      </c>
      <c r="K90" s="80" t="inlineStr">
        <is>
          <t>☑</t>
        </is>
      </c>
      <c r="L90" s="80" t="inlineStr">
        <is>
          <t>☑</t>
        </is>
      </c>
      <c r="M90" s="80" t="inlineStr">
        <is>
          <t>☑</t>
        </is>
      </c>
      <c r="N90" s="80" t="inlineStr">
        <is>
          <t>☑</t>
        </is>
      </c>
      <c r="O90" s="80" t="inlineStr">
        <is>
          <t>☑</t>
        </is>
      </c>
    </row>
    <row r="91">
      <c r="A91" s="80" t="n">
        <v>83</v>
      </c>
      <c r="B91" s="80" t="inlineStr">
        <is>
          <t>325106410083</t>
        </is>
      </c>
      <c r="C91" s="80" t="inlineStr">
        <is>
          <t>HAILEYESUS BITEW</t>
        </is>
      </c>
      <c r="D91" s="80" t="inlineStr">
        <is>
          <t>☑</t>
        </is>
      </c>
      <c r="E91" s="80" t="inlineStr">
        <is>
          <t>☑</t>
        </is>
      </c>
      <c r="F91" s="80" t="inlineStr">
        <is>
          <t>☑</t>
        </is>
      </c>
      <c r="G91" s="80" t="inlineStr">
        <is>
          <t>☑</t>
        </is>
      </c>
      <c r="H91" s="80" t="inlineStr">
        <is>
          <t>☑</t>
        </is>
      </c>
      <c r="I91" s="80" t="inlineStr">
        <is>
          <t>☑</t>
        </is>
      </c>
      <c r="J91" s="80" t="inlineStr">
        <is>
          <t>☑</t>
        </is>
      </c>
      <c r="K91" s="80" t="inlineStr">
        <is>
          <t>☑</t>
        </is>
      </c>
      <c r="L91" s="80" t="inlineStr">
        <is>
          <t>☑</t>
        </is>
      </c>
      <c r="M91" s="80" t="inlineStr">
        <is>
          <t>☑</t>
        </is>
      </c>
      <c r="N91" s="80" t="inlineStr">
        <is>
          <t>☑</t>
        </is>
      </c>
      <c r="O91" s="80" t="inlineStr">
        <is>
          <t>☑</t>
        </is>
      </c>
    </row>
    <row r="92">
      <c r="A92" s="80" t="n">
        <v>84</v>
      </c>
      <c r="B92" s="80" t="inlineStr">
        <is>
          <t>325106410084</t>
        </is>
      </c>
      <c r="C92" s="80" t="inlineStr">
        <is>
          <t>HOR SONCHANDEVIN</t>
        </is>
      </c>
      <c r="D92" s="80" t="inlineStr">
        <is>
          <t>☑</t>
        </is>
      </c>
      <c r="E92" s="80" t="inlineStr">
        <is>
          <t>☑</t>
        </is>
      </c>
      <c r="F92" s="80" t="inlineStr">
        <is>
          <t>☑</t>
        </is>
      </c>
      <c r="G92" s="80" t="inlineStr">
        <is>
          <t>☑</t>
        </is>
      </c>
      <c r="H92" s="80" t="inlineStr">
        <is>
          <t>☑</t>
        </is>
      </c>
      <c r="I92" s="80" t="inlineStr">
        <is>
          <t>☑</t>
        </is>
      </c>
      <c r="J92" s="80" t="inlineStr">
        <is>
          <t>☑</t>
        </is>
      </c>
      <c r="K92" s="80" t="inlineStr">
        <is>
          <t>☑</t>
        </is>
      </c>
      <c r="L92" s="80" t="inlineStr">
        <is>
          <t>☑</t>
        </is>
      </c>
      <c r="M92" s="80" t="inlineStr">
        <is>
          <t>☑</t>
        </is>
      </c>
      <c r="N92" s="80" t="inlineStr">
        <is>
          <t>☑</t>
        </is>
      </c>
      <c r="O92" s="80" t="inlineStr">
        <is>
          <t>☑</t>
        </is>
      </c>
    </row>
    <row r="93">
      <c r="A93" s="80" t="n">
        <v>85</v>
      </c>
      <c r="B93" s="80" t="inlineStr">
        <is>
          <t>325106410085</t>
        </is>
      </c>
      <c r="C93" s="80" t="inlineStr">
        <is>
          <t>JOVAN PONUEL BISWAS</t>
        </is>
      </c>
      <c r="D93" s="80" t="inlineStr">
        <is>
          <t>☑</t>
        </is>
      </c>
      <c r="E93" s="80" t="inlineStr">
        <is>
          <t>☑</t>
        </is>
      </c>
      <c r="F93" s="80" t="inlineStr">
        <is>
          <t>☑</t>
        </is>
      </c>
      <c r="G93" s="80" t="inlineStr">
        <is>
          <t>☑</t>
        </is>
      </c>
      <c r="H93" s="80" t="inlineStr">
        <is>
          <t>☑</t>
        </is>
      </c>
      <c r="I93" s="80" t="inlineStr">
        <is>
          <t>☑</t>
        </is>
      </c>
      <c r="J93" s="80" t="inlineStr">
        <is>
          <t>☑</t>
        </is>
      </c>
      <c r="K93" s="80" t="inlineStr">
        <is>
          <t>☑</t>
        </is>
      </c>
      <c r="L93" s="80" t="inlineStr">
        <is>
          <t>☑</t>
        </is>
      </c>
      <c r="M93" s="80" t="inlineStr">
        <is>
          <t>☑</t>
        </is>
      </c>
      <c r="N93" s="80" t="inlineStr">
        <is>
          <t>☑</t>
        </is>
      </c>
      <c r="O93" s="80" t="inlineStr">
        <is>
          <t>☑</t>
        </is>
      </c>
    </row>
    <row r="94">
      <c r="A94" s="80" t="n">
        <v>86</v>
      </c>
      <c r="B94" s="80" t="inlineStr">
        <is>
          <t>325106410086</t>
        </is>
      </c>
      <c r="C94" s="80" t="inlineStr">
        <is>
          <t>KONATE MARIAM DJAMILA</t>
        </is>
      </c>
      <c r="D94" s="80" t="inlineStr">
        <is>
          <t>☑</t>
        </is>
      </c>
      <c r="E94" s="80" t="inlineStr">
        <is>
          <t>☑</t>
        </is>
      </c>
      <c r="F94" s="80" t="inlineStr">
        <is>
          <t>☑</t>
        </is>
      </c>
      <c r="G94" s="80" t="inlineStr">
        <is>
          <t>☑</t>
        </is>
      </c>
      <c r="H94" s="80" t="inlineStr">
        <is>
          <t>☑</t>
        </is>
      </c>
      <c r="I94" s="80" t="inlineStr">
        <is>
          <t>☑</t>
        </is>
      </c>
      <c r="J94" s="80" t="inlineStr">
        <is>
          <t>☑</t>
        </is>
      </c>
      <c r="K94" s="80" t="inlineStr">
        <is>
          <t>☑</t>
        </is>
      </c>
      <c r="L94" s="80" t="inlineStr">
        <is>
          <t>☑</t>
        </is>
      </c>
      <c r="M94" s="80" t="inlineStr">
        <is>
          <t>☑</t>
        </is>
      </c>
      <c r="N94" s="80" t="inlineStr">
        <is>
          <t>☑</t>
        </is>
      </c>
      <c r="O94" s="80" t="inlineStr">
        <is>
          <t>☑</t>
        </is>
      </c>
    </row>
    <row r="95">
      <c r="A95" s="80" t="n">
        <v>87</v>
      </c>
      <c r="B95" s="80" t="inlineStr">
        <is>
          <t>325106410087</t>
        </is>
      </c>
      <c r="C95" s="80" t="inlineStr">
        <is>
          <t>LINDOKUHLE FRANCE DLAMINI</t>
        </is>
      </c>
      <c r="D95" s="80" t="inlineStr">
        <is>
          <t>☑</t>
        </is>
      </c>
      <c r="E95" s="80" t="inlineStr">
        <is>
          <t>☑</t>
        </is>
      </c>
      <c r="F95" s="80" t="inlineStr">
        <is>
          <t>☑</t>
        </is>
      </c>
      <c r="G95" s="80" t="inlineStr">
        <is>
          <t>☑</t>
        </is>
      </c>
      <c r="H95" s="80" t="inlineStr">
        <is>
          <t>☑</t>
        </is>
      </c>
      <c r="I95" s="80" t="inlineStr">
        <is>
          <t>☑</t>
        </is>
      </c>
      <c r="J95" s="80" t="inlineStr">
        <is>
          <t>☑</t>
        </is>
      </c>
      <c r="K95" s="80" t="inlineStr">
        <is>
          <t>☑</t>
        </is>
      </c>
      <c r="L95" s="80" t="inlineStr">
        <is>
          <t>☑</t>
        </is>
      </c>
      <c r="M95" s="80" t="inlineStr">
        <is>
          <t>☑</t>
        </is>
      </c>
      <c r="N95" s="80" t="inlineStr">
        <is>
          <t>☑</t>
        </is>
      </c>
      <c r="O95" s="80" t="inlineStr">
        <is>
          <t>☑</t>
        </is>
      </c>
    </row>
    <row r="96">
      <c r="A96" s="80" t="n">
        <v>88</v>
      </c>
      <c r="B96" s="80" t="inlineStr">
        <is>
          <t>325106410088</t>
        </is>
      </c>
      <c r="C96" s="80" t="inlineStr">
        <is>
          <t>------</t>
        </is>
      </c>
      <c r="D96" s="80" t="inlineStr">
        <is>
          <t>☑</t>
        </is>
      </c>
      <c r="E96" s="80" t="inlineStr">
        <is>
          <t>☑</t>
        </is>
      </c>
      <c r="F96" s="80" t="inlineStr">
        <is>
          <t>☑</t>
        </is>
      </c>
      <c r="G96" s="80" t="inlineStr">
        <is>
          <t>☑</t>
        </is>
      </c>
      <c r="H96" s="80" t="inlineStr">
        <is>
          <t>☑</t>
        </is>
      </c>
      <c r="I96" s="80" t="inlineStr">
        <is>
          <t>☑</t>
        </is>
      </c>
      <c r="J96" s="80" t="inlineStr">
        <is>
          <t>☑</t>
        </is>
      </c>
      <c r="K96" s="80" t="inlineStr">
        <is>
          <t>☑</t>
        </is>
      </c>
      <c r="L96" s="80" t="inlineStr">
        <is>
          <t>☑</t>
        </is>
      </c>
      <c r="M96" s="80" t="inlineStr">
        <is>
          <t>☑</t>
        </is>
      </c>
      <c r="N96" s="80" t="inlineStr">
        <is>
          <t>☑</t>
        </is>
      </c>
      <c r="O96" s="80" t="inlineStr">
        <is>
          <t>☑</t>
        </is>
      </c>
    </row>
    <row r="97">
      <c r="A97" s="80" t="n">
        <v>89</v>
      </c>
      <c r="B97" s="80" t="inlineStr">
        <is>
          <t>325106410089</t>
        </is>
      </c>
      <c r="C97" s="80" t="inlineStr">
        <is>
          <t>MARSON DOS SANTOS</t>
        </is>
      </c>
      <c r="D97" s="80" t="inlineStr">
        <is>
          <t>☑</t>
        </is>
      </c>
      <c r="E97" s="80" t="inlineStr">
        <is>
          <t>☑</t>
        </is>
      </c>
      <c r="F97" s="80" t="inlineStr">
        <is>
          <t>☑</t>
        </is>
      </c>
      <c r="G97" s="80" t="inlineStr">
        <is>
          <t>☑</t>
        </is>
      </c>
      <c r="H97" s="80" t="inlineStr">
        <is>
          <t>☑</t>
        </is>
      </c>
      <c r="I97" s="80" t="inlineStr">
        <is>
          <t>☑</t>
        </is>
      </c>
      <c r="J97" s="80" t="inlineStr">
        <is>
          <t>☑</t>
        </is>
      </c>
      <c r="K97" s="80" t="inlineStr">
        <is>
          <t>☑</t>
        </is>
      </c>
      <c r="L97" s="80" t="inlineStr">
        <is>
          <t>☑</t>
        </is>
      </c>
      <c r="M97" s="80" t="inlineStr">
        <is>
          <t>☑</t>
        </is>
      </c>
      <c r="N97" s="80" t="inlineStr">
        <is>
          <t>☑</t>
        </is>
      </c>
      <c r="O97" s="80" t="inlineStr">
        <is>
          <t>☑</t>
        </is>
      </c>
    </row>
    <row r="98">
      <c r="A98" s="80" t="n">
        <v>90</v>
      </c>
      <c r="B98" s="80" t="inlineStr">
        <is>
          <t>325106410090</t>
        </is>
      </c>
      <c r="C98" s="80" t="inlineStr">
        <is>
          <t>MIKIAS GURMESA</t>
        </is>
      </c>
      <c r="D98" s="80" t="inlineStr">
        <is>
          <t>☑</t>
        </is>
      </c>
      <c r="E98" s="80" t="inlineStr">
        <is>
          <t>☑</t>
        </is>
      </c>
      <c r="F98" s="80" t="inlineStr">
        <is>
          <t>☑</t>
        </is>
      </c>
      <c r="G98" s="80" t="inlineStr">
        <is>
          <t>☑</t>
        </is>
      </c>
      <c r="H98" s="80" t="inlineStr">
        <is>
          <t>☑</t>
        </is>
      </c>
      <c r="I98" s="80" t="inlineStr">
        <is>
          <t>☑</t>
        </is>
      </c>
      <c r="J98" s="80" t="inlineStr">
        <is>
          <t>☑</t>
        </is>
      </c>
      <c r="K98" s="80" t="inlineStr">
        <is>
          <t>☑</t>
        </is>
      </c>
      <c r="L98" s="80" t="inlineStr">
        <is>
          <t>☑</t>
        </is>
      </c>
      <c r="M98" s="80" t="inlineStr">
        <is>
          <t>☑</t>
        </is>
      </c>
      <c r="N98" s="80" t="inlineStr">
        <is>
          <t>☑</t>
        </is>
      </c>
      <c r="O98" s="80" t="inlineStr">
        <is>
          <t>☑</t>
        </is>
      </c>
    </row>
    <row r="99">
      <c r="A99" s="80" t="n">
        <v>91</v>
      </c>
      <c r="B99" s="80" t="inlineStr">
        <is>
          <t>325106410091</t>
        </is>
      </c>
      <c r="C99" s="80" t="inlineStr">
        <is>
          <t>MOHAMMAD MUGAHED AHMED ABDO AL-MAHDALI</t>
        </is>
      </c>
      <c r="D99" s="80" t="inlineStr">
        <is>
          <t>☑</t>
        </is>
      </c>
      <c r="E99" s="80" t="inlineStr">
        <is>
          <t>☑</t>
        </is>
      </c>
      <c r="F99" s="80" t="inlineStr">
        <is>
          <t>☑</t>
        </is>
      </c>
      <c r="G99" s="80" t="inlineStr">
        <is>
          <t>☑</t>
        </is>
      </c>
      <c r="H99" s="80" t="inlineStr">
        <is>
          <t>☑</t>
        </is>
      </c>
      <c r="I99" s="80" t="inlineStr">
        <is>
          <t>☑</t>
        </is>
      </c>
      <c r="J99" s="80" t="inlineStr">
        <is>
          <t>☑</t>
        </is>
      </c>
      <c r="K99" s="80" t="inlineStr">
        <is>
          <t>☑</t>
        </is>
      </c>
      <c r="L99" s="80" t="inlineStr">
        <is>
          <t>☑</t>
        </is>
      </c>
      <c r="M99" s="80" t="inlineStr">
        <is>
          <t>☑</t>
        </is>
      </c>
      <c r="N99" s="80" t="inlineStr">
        <is>
          <t>☑</t>
        </is>
      </c>
      <c r="O99" s="80" t="inlineStr">
        <is>
          <t>☑</t>
        </is>
      </c>
    </row>
    <row r="100">
      <c r="A100" s="80" t="n">
        <v>92</v>
      </c>
      <c r="B100" s="80" t="inlineStr">
        <is>
          <t>325106410092</t>
        </is>
      </c>
      <c r="C100" s="80" t="inlineStr">
        <is>
          <t>MUGDHO CHOWDHURY</t>
        </is>
      </c>
      <c r="D100" s="80" t="inlineStr">
        <is>
          <t>☑</t>
        </is>
      </c>
      <c r="E100" s="80" t="inlineStr">
        <is>
          <t>☑</t>
        </is>
      </c>
      <c r="F100" s="80" t="inlineStr">
        <is>
          <t>☑</t>
        </is>
      </c>
      <c r="G100" s="80" t="inlineStr">
        <is>
          <t>☑</t>
        </is>
      </c>
      <c r="H100" s="80" t="inlineStr">
        <is>
          <t>☑</t>
        </is>
      </c>
      <c r="I100" s="80" t="inlineStr">
        <is>
          <t>☑</t>
        </is>
      </c>
      <c r="J100" s="80" t="inlineStr">
        <is>
          <t>☑</t>
        </is>
      </c>
      <c r="K100" s="80" t="inlineStr">
        <is>
          <t>☑</t>
        </is>
      </c>
      <c r="L100" s="80" t="inlineStr">
        <is>
          <t>☑</t>
        </is>
      </c>
      <c r="M100" s="80" t="inlineStr">
        <is>
          <t>☑</t>
        </is>
      </c>
      <c r="N100" s="80" t="inlineStr">
        <is>
          <t>☑</t>
        </is>
      </c>
      <c r="O100" s="80" t="inlineStr">
        <is>
          <t>☑</t>
        </is>
      </c>
    </row>
    <row r="101">
      <c r="A101" s="80" t="n">
        <v>93</v>
      </c>
      <c r="B101" s="80" t="inlineStr">
        <is>
          <t>325106410093</t>
        </is>
      </c>
      <c r="C101" s="80" t="inlineStr">
        <is>
          <t>-------</t>
        </is>
      </c>
      <c r="D101" s="80" t="inlineStr">
        <is>
          <t>☑</t>
        </is>
      </c>
      <c r="E101" s="80" t="inlineStr">
        <is>
          <t>☑</t>
        </is>
      </c>
      <c r="F101" s="80" t="inlineStr">
        <is>
          <t>☑</t>
        </is>
      </c>
      <c r="G101" s="80" t="inlineStr">
        <is>
          <t>☑</t>
        </is>
      </c>
      <c r="H101" s="80" t="inlineStr">
        <is>
          <t>☑</t>
        </is>
      </c>
      <c r="I101" s="80" t="inlineStr">
        <is>
          <t>☑</t>
        </is>
      </c>
      <c r="J101" s="80" t="inlineStr">
        <is>
          <t>☑</t>
        </is>
      </c>
      <c r="K101" s="80" t="inlineStr">
        <is>
          <t>☑</t>
        </is>
      </c>
      <c r="L101" s="80" t="inlineStr">
        <is>
          <t>☑</t>
        </is>
      </c>
      <c r="M101" s="80" t="inlineStr">
        <is>
          <t>☑</t>
        </is>
      </c>
      <c r="N101" s="80" t="inlineStr">
        <is>
          <t>☑</t>
        </is>
      </c>
      <c r="O101" s="80" t="inlineStr">
        <is>
          <t>☑</t>
        </is>
      </c>
    </row>
    <row r="102">
      <c r="A102" s="80" t="n">
        <v>94</v>
      </c>
      <c r="B102" s="80" t="inlineStr">
        <is>
          <t>325106410094</t>
        </is>
      </c>
      <c r="C102" s="80" t="inlineStr">
        <is>
          <t>NAHOM SEMAW</t>
        </is>
      </c>
      <c r="D102" s="80" t="inlineStr">
        <is>
          <t>☑</t>
        </is>
      </c>
      <c r="E102" s="80" t="inlineStr">
        <is>
          <t>☑</t>
        </is>
      </c>
      <c r="F102" s="80" t="inlineStr">
        <is>
          <t>☑</t>
        </is>
      </c>
      <c r="G102" s="80" t="inlineStr">
        <is>
          <t>☑</t>
        </is>
      </c>
      <c r="H102" s="80" t="inlineStr">
        <is>
          <t>☑</t>
        </is>
      </c>
      <c r="I102" s="80" t="inlineStr">
        <is>
          <t>☑</t>
        </is>
      </c>
      <c r="J102" s="80" t="inlineStr">
        <is>
          <t>☑</t>
        </is>
      </c>
      <c r="K102" s="80" t="inlineStr">
        <is>
          <t>☑</t>
        </is>
      </c>
      <c r="L102" s="80" t="inlineStr">
        <is>
          <t>☑</t>
        </is>
      </c>
      <c r="M102" s="80" t="inlineStr">
        <is>
          <t>☑</t>
        </is>
      </c>
      <c r="N102" s="80" t="inlineStr">
        <is>
          <t>☑</t>
        </is>
      </c>
      <c r="O102" s="80" t="inlineStr">
        <is>
          <t>☑</t>
        </is>
      </c>
    </row>
    <row r="103">
      <c r="A103" s="80" t="n">
        <v>95</v>
      </c>
      <c r="B103" s="80" t="inlineStr">
        <is>
          <t>325106410095</t>
        </is>
      </c>
      <c r="C103" s="80" t="inlineStr">
        <is>
          <t>NGELEPETE NGELEPETE</t>
        </is>
      </c>
      <c r="D103" s="80" t="inlineStr">
        <is>
          <t>☑</t>
        </is>
      </c>
      <c r="E103" s="80" t="inlineStr">
        <is>
          <t>☑</t>
        </is>
      </c>
      <c r="F103" s="80" t="inlineStr">
        <is>
          <t>☑</t>
        </is>
      </c>
      <c r="G103" s="80" t="inlineStr">
        <is>
          <t>☑</t>
        </is>
      </c>
      <c r="H103" s="80" t="inlineStr">
        <is>
          <t>☑</t>
        </is>
      </c>
      <c r="I103" s="80" t="inlineStr">
        <is>
          <t>☑</t>
        </is>
      </c>
      <c r="J103" s="80" t="inlineStr">
        <is>
          <t>☑</t>
        </is>
      </c>
      <c r="K103" s="80" t="inlineStr">
        <is>
          <t>☑</t>
        </is>
      </c>
      <c r="L103" s="80" t="inlineStr">
        <is>
          <t>☑</t>
        </is>
      </c>
      <c r="M103" s="80" t="inlineStr">
        <is>
          <t>☑</t>
        </is>
      </c>
      <c r="N103" s="80" t="inlineStr">
        <is>
          <t>☑</t>
        </is>
      </c>
      <c r="O103" s="80" t="inlineStr">
        <is>
          <t>☑</t>
        </is>
      </c>
    </row>
    <row r="104">
      <c r="A104" s="80" t="n">
        <v>96</v>
      </c>
      <c r="B104" s="80" t="inlineStr">
        <is>
          <t>325106410096</t>
        </is>
      </c>
      <c r="C104" s="80" t="inlineStr">
        <is>
          <t>NILMONI CHOWDHURY</t>
        </is>
      </c>
      <c r="D104" s="80" t="inlineStr">
        <is>
          <t>☑</t>
        </is>
      </c>
      <c r="E104" s="80" t="inlineStr">
        <is>
          <t>☑</t>
        </is>
      </c>
      <c r="F104" s="80" t="inlineStr">
        <is>
          <t>☑</t>
        </is>
      </c>
      <c r="G104" s="80" t="inlineStr">
        <is>
          <t>☑</t>
        </is>
      </c>
      <c r="H104" s="80" t="inlineStr">
        <is>
          <t>☑</t>
        </is>
      </c>
      <c r="I104" s="80" t="inlineStr">
        <is>
          <t>☑</t>
        </is>
      </c>
      <c r="J104" s="80" t="inlineStr">
        <is>
          <t>☑</t>
        </is>
      </c>
      <c r="K104" s="80" t="inlineStr">
        <is>
          <t>☑</t>
        </is>
      </c>
      <c r="L104" s="80" t="inlineStr">
        <is>
          <t>☑</t>
        </is>
      </c>
      <c r="M104" s="80" t="inlineStr">
        <is>
          <t>☑</t>
        </is>
      </c>
      <c r="N104" s="80" t="inlineStr">
        <is>
          <t>☑</t>
        </is>
      </c>
      <c r="O104" s="80" t="inlineStr">
        <is>
          <t>☑</t>
        </is>
      </c>
    </row>
    <row r="105">
      <c r="A105" s="80" t="n">
        <v>97</v>
      </c>
      <c r="B105" s="80" t="inlineStr">
        <is>
          <t>325106410097</t>
        </is>
      </c>
      <c r="C105" s="80" t="inlineStr">
        <is>
          <t>NOB PANHATHIROT</t>
        </is>
      </c>
      <c r="D105" s="80" t="inlineStr">
        <is>
          <t>☑</t>
        </is>
      </c>
      <c r="E105" s="80" t="inlineStr">
        <is>
          <t>☑</t>
        </is>
      </c>
      <c r="F105" s="80" t="inlineStr">
        <is>
          <t>☑</t>
        </is>
      </c>
      <c r="G105" s="80" t="inlineStr">
        <is>
          <t>☑</t>
        </is>
      </c>
      <c r="H105" s="80" t="inlineStr">
        <is>
          <t>☑</t>
        </is>
      </c>
      <c r="I105" s="80" t="inlineStr">
        <is>
          <t>☑</t>
        </is>
      </c>
      <c r="J105" s="80" t="inlineStr">
        <is>
          <t>☑</t>
        </is>
      </c>
      <c r="K105" s="80" t="inlineStr">
        <is>
          <t>☑</t>
        </is>
      </c>
      <c r="L105" s="80" t="inlineStr">
        <is>
          <t>☑</t>
        </is>
      </c>
      <c r="M105" s="80" t="inlineStr">
        <is>
          <t>☑</t>
        </is>
      </c>
      <c r="N105" s="80" t="inlineStr">
        <is>
          <t>☑</t>
        </is>
      </c>
      <c r="O105" s="80" t="inlineStr">
        <is>
          <t>☑</t>
        </is>
      </c>
    </row>
    <row r="106">
      <c r="A106" s="80" t="n">
        <v>98</v>
      </c>
      <c r="B106" s="80" t="inlineStr">
        <is>
          <t>325106410098</t>
        </is>
      </c>
      <c r="C106" s="80" t="inlineStr">
        <is>
          <t>OMAR TAMOU EL HABIB ANFANE</t>
        </is>
      </c>
      <c r="D106" s="80" t="inlineStr">
        <is>
          <t>☑</t>
        </is>
      </c>
      <c r="E106" s="80" t="inlineStr">
        <is>
          <t>☑</t>
        </is>
      </c>
      <c r="F106" s="80" t="inlineStr">
        <is>
          <t>☑</t>
        </is>
      </c>
      <c r="G106" s="80" t="inlineStr">
        <is>
          <t>☑</t>
        </is>
      </c>
      <c r="H106" s="80" t="inlineStr">
        <is>
          <t>☑</t>
        </is>
      </c>
      <c r="I106" s="80" t="inlineStr">
        <is>
          <t>☑</t>
        </is>
      </c>
      <c r="J106" s="80" t="inlineStr">
        <is>
          <t>☑</t>
        </is>
      </c>
      <c r="K106" s="80" t="inlineStr">
        <is>
          <t>☑</t>
        </is>
      </c>
      <c r="L106" s="80" t="inlineStr">
        <is>
          <t>☑</t>
        </is>
      </c>
      <c r="M106" s="80" t="inlineStr">
        <is>
          <t>☑</t>
        </is>
      </c>
      <c r="N106" s="80" t="inlineStr">
        <is>
          <t>☑</t>
        </is>
      </c>
      <c r="O106" s="80" t="inlineStr">
        <is>
          <t>☑</t>
        </is>
      </c>
    </row>
    <row r="107">
      <c r="A107" s="80" t="n">
        <v>99</v>
      </c>
      <c r="B107" s="80" t="inlineStr">
        <is>
          <t>325106410099</t>
        </is>
      </c>
      <c r="C107" s="80" t="inlineStr">
        <is>
          <t>OSCAR MANSIAMINA JUNIOR</t>
        </is>
      </c>
      <c r="D107" s="80" t="inlineStr">
        <is>
          <t>☑</t>
        </is>
      </c>
      <c r="E107" s="80" t="inlineStr">
        <is>
          <t>☑</t>
        </is>
      </c>
      <c r="F107" s="80" t="inlineStr">
        <is>
          <t>☑</t>
        </is>
      </c>
      <c r="G107" s="80" t="inlineStr">
        <is>
          <t>☑</t>
        </is>
      </c>
      <c r="H107" s="80" t="inlineStr">
        <is>
          <t>☑</t>
        </is>
      </c>
      <c r="I107" s="80" t="inlineStr">
        <is>
          <t>☑</t>
        </is>
      </c>
      <c r="J107" s="80" t="inlineStr">
        <is>
          <t>☑</t>
        </is>
      </c>
      <c r="K107" s="80" t="inlineStr">
        <is>
          <t>☑</t>
        </is>
      </c>
      <c r="L107" s="80" t="inlineStr">
        <is>
          <t>☑</t>
        </is>
      </c>
      <c r="M107" s="80" t="inlineStr">
        <is>
          <t>☑</t>
        </is>
      </c>
      <c r="N107" s="80" t="inlineStr">
        <is>
          <t>☑</t>
        </is>
      </c>
      <c r="O107" s="80" t="inlineStr">
        <is>
          <t>☑</t>
        </is>
      </c>
    </row>
    <row r="108">
      <c r="A108" s="80" t="n">
        <v>100</v>
      </c>
      <c r="B108" s="80" t="inlineStr">
        <is>
          <t>325106410100</t>
        </is>
      </c>
      <c r="C108" s="80" t="inlineStr">
        <is>
          <t>BERNARD OWUSU OKYERE</t>
        </is>
      </c>
      <c r="D108" s="80" t="inlineStr">
        <is>
          <t>☑</t>
        </is>
      </c>
      <c r="E108" s="80" t="inlineStr">
        <is>
          <t>☑</t>
        </is>
      </c>
      <c r="F108" s="80" t="inlineStr">
        <is>
          <t>☑</t>
        </is>
      </c>
      <c r="G108" s="80" t="inlineStr">
        <is>
          <t>☑</t>
        </is>
      </c>
      <c r="H108" s="80" t="inlineStr">
        <is>
          <t>☑</t>
        </is>
      </c>
      <c r="I108" s="80" t="inlineStr">
        <is>
          <t>☑</t>
        </is>
      </c>
      <c r="J108" s="80" t="inlineStr">
        <is>
          <t>☑</t>
        </is>
      </c>
      <c r="K108" s="80" t="inlineStr">
        <is>
          <t>☑</t>
        </is>
      </c>
      <c r="L108" s="80" t="inlineStr">
        <is>
          <t>☑</t>
        </is>
      </c>
      <c r="M108" s="80" t="inlineStr">
        <is>
          <t>☑</t>
        </is>
      </c>
      <c r="N108" s="80" t="inlineStr">
        <is>
          <t>☑</t>
        </is>
      </c>
      <c r="O108" s="80" t="inlineStr">
        <is>
          <t>☑</t>
        </is>
      </c>
    </row>
    <row r="109">
      <c r="A109" s="80" t="n">
        <v>101</v>
      </c>
      <c r="B109" s="80" t="inlineStr">
        <is>
          <t>325106410101</t>
        </is>
      </c>
      <c r="C109" s="80" t="inlineStr">
        <is>
          <t>PROHOR PAL</t>
        </is>
      </c>
      <c r="D109" s="80" t="inlineStr">
        <is>
          <t>☑</t>
        </is>
      </c>
      <c r="E109" s="80" t="inlineStr">
        <is>
          <t>☑</t>
        </is>
      </c>
      <c r="F109" s="80" t="inlineStr">
        <is>
          <t>☑</t>
        </is>
      </c>
      <c r="G109" s="80" t="inlineStr">
        <is>
          <t>☑</t>
        </is>
      </c>
      <c r="H109" s="80" t="inlineStr">
        <is>
          <t>☑</t>
        </is>
      </c>
      <c r="I109" s="80" t="inlineStr">
        <is>
          <t>☑</t>
        </is>
      </c>
      <c r="J109" s="80" t="inlineStr">
        <is>
          <t>☑</t>
        </is>
      </c>
      <c r="K109" s="80" t="inlineStr">
        <is>
          <t>☑</t>
        </is>
      </c>
      <c r="L109" s="80" t="inlineStr">
        <is>
          <t>☑</t>
        </is>
      </c>
      <c r="M109" s="80" t="inlineStr">
        <is>
          <t>☑</t>
        </is>
      </c>
      <c r="N109" s="80" t="inlineStr">
        <is>
          <t>☑</t>
        </is>
      </c>
      <c r="O109" s="80" t="inlineStr">
        <is>
          <t>☑</t>
        </is>
      </c>
    </row>
    <row r="110">
      <c r="A110" s="80" t="n">
        <v>102</v>
      </c>
      <c r="B110" s="80" t="inlineStr">
        <is>
          <t>325106410102</t>
        </is>
      </c>
      <c r="C110" s="80" t="inlineStr">
        <is>
          <t>PROTTOY KUMAR PRAMANIK</t>
        </is>
      </c>
      <c r="D110" s="80" t="inlineStr">
        <is>
          <t>☑</t>
        </is>
      </c>
      <c r="E110" s="80" t="inlineStr">
        <is>
          <t>☑</t>
        </is>
      </c>
      <c r="F110" s="80" t="inlineStr">
        <is>
          <t>☑</t>
        </is>
      </c>
      <c r="G110" s="80" t="inlineStr">
        <is>
          <t>☑</t>
        </is>
      </c>
      <c r="H110" s="80" t="inlineStr">
        <is>
          <t>☑</t>
        </is>
      </c>
      <c r="I110" s="80" t="inlineStr">
        <is>
          <t>☑</t>
        </is>
      </c>
      <c r="J110" s="80" t="inlineStr">
        <is>
          <t>☑</t>
        </is>
      </c>
      <c r="K110" s="80" t="inlineStr">
        <is>
          <t>☑</t>
        </is>
      </c>
      <c r="L110" s="80" t="inlineStr">
        <is>
          <t>☑</t>
        </is>
      </c>
      <c r="M110" s="80" t="inlineStr">
        <is>
          <t>☑</t>
        </is>
      </c>
      <c r="N110" s="80" t="inlineStr">
        <is>
          <t>☑</t>
        </is>
      </c>
      <c r="O110" s="80" t="inlineStr">
        <is>
          <t>☑</t>
        </is>
      </c>
    </row>
    <row r="111">
      <c r="A111" s="80" t="n">
        <v>103</v>
      </c>
      <c r="B111" s="80" t="inlineStr">
        <is>
          <t>325106410103</t>
        </is>
      </c>
      <c r="C111" s="80" t="inlineStr">
        <is>
          <t>RACHIDA SAID MZE</t>
        </is>
      </c>
      <c r="D111" s="80" t="inlineStr">
        <is>
          <t>☑</t>
        </is>
      </c>
      <c r="E111" s="80" t="inlineStr">
        <is>
          <t>☑</t>
        </is>
      </c>
      <c r="F111" s="80" t="inlineStr">
        <is>
          <t>☑</t>
        </is>
      </c>
      <c r="G111" s="80" t="inlineStr">
        <is>
          <t>☑</t>
        </is>
      </c>
      <c r="H111" s="80" t="inlineStr">
        <is>
          <t>☑</t>
        </is>
      </c>
      <c r="I111" s="80" t="inlineStr">
        <is>
          <t>☑</t>
        </is>
      </c>
      <c r="J111" s="80" t="inlineStr">
        <is>
          <t>☑</t>
        </is>
      </c>
      <c r="K111" s="80" t="inlineStr">
        <is>
          <t>☑</t>
        </is>
      </c>
      <c r="L111" s="80" t="inlineStr">
        <is>
          <t>☑</t>
        </is>
      </c>
      <c r="M111" s="80" t="inlineStr">
        <is>
          <t>☑</t>
        </is>
      </c>
      <c r="N111" s="80" t="inlineStr">
        <is>
          <t>☑</t>
        </is>
      </c>
      <c r="O111" s="80" t="inlineStr">
        <is>
          <t>☑</t>
        </is>
      </c>
    </row>
    <row r="112">
      <c r="A112" s="80" t="n">
        <v>104</v>
      </c>
      <c r="B112" s="80" t="inlineStr">
        <is>
          <t>325106410104</t>
        </is>
      </c>
      <c r="C112" s="80" t="inlineStr">
        <is>
          <t>RAHUL GHOSH</t>
        </is>
      </c>
      <c r="D112" s="80" t="inlineStr">
        <is>
          <t>☑</t>
        </is>
      </c>
      <c r="E112" s="80" t="inlineStr">
        <is>
          <t>☑</t>
        </is>
      </c>
      <c r="F112" s="80" t="inlineStr">
        <is>
          <t>☑</t>
        </is>
      </c>
      <c r="G112" s="80" t="inlineStr">
        <is>
          <t>☑</t>
        </is>
      </c>
      <c r="H112" s="80" t="inlineStr">
        <is>
          <t>☑</t>
        </is>
      </c>
      <c r="I112" s="80" t="inlineStr">
        <is>
          <t>☑</t>
        </is>
      </c>
      <c r="J112" s="80" t="inlineStr">
        <is>
          <t>☑</t>
        </is>
      </c>
      <c r="K112" s="80" t="inlineStr">
        <is>
          <t>☑</t>
        </is>
      </c>
      <c r="L112" s="80" t="inlineStr">
        <is>
          <t>☑</t>
        </is>
      </c>
      <c r="M112" s="80" t="inlineStr">
        <is>
          <t>☑</t>
        </is>
      </c>
      <c r="N112" s="80" t="inlineStr">
        <is>
          <t>☑</t>
        </is>
      </c>
      <c r="O112" s="80" t="inlineStr">
        <is>
          <t>☑</t>
        </is>
      </c>
    </row>
    <row r="113">
      <c r="A113" s="80" t="n">
        <v>105</v>
      </c>
      <c r="B113" s="80" t="inlineStr">
        <is>
          <t>325106410105</t>
        </is>
      </c>
      <c r="C113" s="80" t="inlineStr">
        <is>
          <t>SECKOU BOUBACAR KASSE</t>
        </is>
      </c>
      <c r="D113" s="80" t="inlineStr">
        <is>
          <t>☑</t>
        </is>
      </c>
      <c r="E113" s="80" t="inlineStr">
        <is>
          <t>☑</t>
        </is>
      </c>
      <c r="F113" s="80" t="inlineStr">
        <is>
          <t>☑</t>
        </is>
      </c>
      <c r="G113" s="80" t="inlineStr">
        <is>
          <t>☑</t>
        </is>
      </c>
      <c r="H113" s="80" t="inlineStr">
        <is>
          <t>☑</t>
        </is>
      </c>
      <c r="I113" s="80" t="inlineStr">
        <is>
          <t>☑</t>
        </is>
      </c>
      <c r="J113" s="80" t="inlineStr">
        <is>
          <t>☑</t>
        </is>
      </c>
      <c r="K113" s="80" t="inlineStr">
        <is>
          <t>☑</t>
        </is>
      </c>
      <c r="L113" s="80" t="inlineStr">
        <is>
          <t>☑</t>
        </is>
      </c>
      <c r="M113" s="80" t="inlineStr">
        <is>
          <t>☑</t>
        </is>
      </c>
      <c r="N113" s="80" t="inlineStr">
        <is>
          <t>☑</t>
        </is>
      </c>
      <c r="O113" s="80" t="inlineStr">
        <is>
          <t>☑</t>
        </is>
      </c>
    </row>
    <row r="114">
      <c r="A114" s="80" t="n">
        <v>106</v>
      </c>
      <c r="B114" s="80" t="inlineStr">
        <is>
          <t>325106410106</t>
        </is>
      </c>
      <c r="C114" s="80" t="inlineStr">
        <is>
          <t>SELUSIWE NOMVULA MPOFU</t>
        </is>
      </c>
      <c r="D114" s="80" t="inlineStr">
        <is>
          <t>☑</t>
        </is>
      </c>
      <c r="E114" s="80" t="inlineStr">
        <is>
          <t>☑</t>
        </is>
      </c>
      <c r="F114" s="80" t="inlineStr">
        <is>
          <t>☑</t>
        </is>
      </c>
      <c r="G114" s="80" t="inlineStr">
        <is>
          <t>☑</t>
        </is>
      </c>
      <c r="H114" s="80" t="inlineStr">
        <is>
          <t>☑</t>
        </is>
      </c>
      <c r="I114" s="80" t="inlineStr">
        <is>
          <t>☑</t>
        </is>
      </c>
      <c r="J114" s="80" t="inlineStr">
        <is>
          <t>☑</t>
        </is>
      </c>
      <c r="K114" s="80" t="inlineStr">
        <is>
          <t>☑</t>
        </is>
      </c>
      <c r="L114" s="80" t="inlineStr">
        <is>
          <t>☑</t>
        </is>
      </c>
      <c r="M114" s="80" t="inlineStr">
        <is>
          <t>☑</t>
        </is>
      </c>
      <c r="N114" s="80" t="inlineStr">
        <is>
          <t>☑</t>
        </is>
      </c>
      <c r="O114" s="80" t="inlineStr">
        <is>
          <t>☑</t>
        </is>
      </c>
    </row>
    <row r="115">
      <c r="A115" s="80" t="n">
        <v>107</v>
      </c>
      <c r="B115" s="80" t="inlineStr">
        <is>
          <t>325106410107</t>
        </is>
      </c>
      <c r="C115" s="80" t="inlineStr">
        <is>
          <t>SISEKELO SAKHILE MAHLALELA</t>
        </is>
      </c>
      <c r="D115" s="80" t="inlineStr">
        <is>
          <t>☑</t>
        </is>
      </c>
      <c r="E115" s="80" t="inlineStr">
        <is>
          <t>☑</t>
        </is>
      </c>
      <c r="F115" s="80" t="inlineStr">
        <is>
          <t>☑</t>
        </is>
      </c>
      <c r="G115" s="80" t="inlineStr">
        <is>
          <t>☑</t>
        </is>
      </c>
      <c r="H115" s="80" t="inlineStr">
        <is>
          <t>☑</t>
        </is>
      </c>
      <c r="I115" s="80" t="inlineStr">
        <is>
          <t>☑</t>
        </is>
      </c>
      <c r="J115" s="80" t="inlineStr">
        <is>
          <t>☑</t>
        </is>
      </c>
      <c r="K115" s="80" t="inlineStr">
        <is>
          <t>☑</t>
        </is>
      </c>
      <c r="L115" s="80" t="inlineStr">
        <is>
          <t>☑</t>
        </is>
      </c>
      <c r="M115" s="80" t="inlineStr">
        <is>
          <t>☑</t>
        </is>
      </c>
      <c r="N115" s="80" t="inlineStr">
        <is>
          <t>☑</t>
        </is>
      </c>
      <c r="O115" s="80" t="inlineStr">
        <is>
          <t>☑</t>
        </is>
      </c>
    </row>
    <row r="116">
      <c r="A116" s="80" t="n">
        <v>108</v>
      </c>
      <c r="B116" s="80" t="inlineStr">
        <is>
          <t>325106410108</t>
        </is>
      </c>
      <c r="C116" s="80" t="inlineStr">
        <is>
          <t>SOUDAISSE AHAMADA</t>
        </is>
      </c>
      <c r="D116" s="80" t="inlineStr">
        <is>
          <t>☑</t>
        </is>
      </c>
      <c r="E116" s="80" t="inlineStr">
        <is>
          <t>☑</t>
        </is>
      </c>
      <c r="F116" s="80" t="inlineStr">
        <is>
          <t>☑</t>
        </is>
      </c>
      <c r="G116" s="80" t="inlineStr">
        <is>
          <t>☑</t>
        </is>
      </c>
      <c r="H116" s="80" t="inlineStr">
        <is>
          <t>☑</t>
        </is>
      </c>
      <c r="I116" s="80" t="inlineStr">
        <is>
          <t>☑</t>
        </is>
      </c>
      <c r="J116" s="80" t="inlineStr">
        <is>
          <t>☑</t>
        </is>
      </c>
      <c r="K116" s="80" t="inlineStr">
        <is>
          <t>☑</t>
        </is>
      </c>
      <c r="L116" s="80" t="inlineStr">
        <is>
          <t>☑</t>
        </is>
      </c>
      <c r="M116" s="80" t="inlineStr">
        <is>
          <t>☑</t>
        </is>
      </c>
      <c r="N116" s="80" t="inlineStr">
        <is>
          <t>☑</t>
        </is>
      </c>
      <c r="O116" s="80" t="inlineStr">
        <is>
          <t>☑</t>
        </is>
      </c>
    </row>
    <row r="117">
      <c r="A117" s="80" t="n">
        <v>109</v>
      </c>
      <c r="B117" s="80" t="inlineStr">
        <is>
          <t>325106410109</t>
        </is>
      </c>
      <c r="C117" s="80" t="inlineStr">
        <is>
          <t>STELIO LUIS</t>
        </is>
      </c>
      <c r="D117" s="80" t="inlineStr">
        <is>
          <t>☑</t>
        </is>
      </c>
      <c r="E117" s="80" t="inlineStr">
        <is>
          <t>☑</t>
        </is>
      </c>
      <c r="F117" s="80" t="inlineStr">
        <is>
          <t>☑</t>
        </is>
      </c>
      <c r="G117" s="80" t="inlineStr">
        <is>
          <t>☑</t>
        </is>
      </c>
      <c r="H117" s="80" t="inlineStr">
        <is>
          <t>☑</t>
        </is>
      </c>
      <c r="I117" s="80" t="inlineStr">
        <is>
          <t>☑</t>
        </is>
      </c>
      <c r="J117" s="80" t="inlineStr">
        <is>
          <t>☑</t>
        </is>
      </c>
      <c r="K117" s="80" t="inlineStr">
        <is>
          <t>☑</t>
        </is>
      </c>
      <c r="L117" s="80" t="inlineStr">
        <is>
          <t>☑</t>
        </is>
      </c>
      <c r="M117" s="80" t="inlineStr">
        <is>
          <t>☑</t>
        </is>
      </c>
      <c r="N117" s="80" t="inlineStr">
        <is>
          <t>☑</t>
        </is>
      </c>
      <c r="O117" s="80" t="inlineStr">
        <is>
          <t>☑</t>
        </is>
      </c>
    </row>
    <row r="118">
      <c r="A118" s="80" t="n">
        <v>110</v>
      </c>
      <c r="B118" s="80" t="inlineStr">
        <is>
          <t>325106410110</t>
        </is>
      </c>
      <c r="C118" s="80" t="inlineStr">
        <is>
          <t>SUSANTHA CHOWDHURY</t>
        </is>
      </c>
      <c r="D118" s="80" t="inlineStr">
        <is>
          <t>☑</t>
        </is>
      </c>
      <c r="E118" s="80" t="inlineStr">
        <is>
          <t>☑</t>
        </is>
      </c>
      <c r="F118" s="80" t="inlineStr">
        <is>
          <t>☑</t>
        </is>
      </c>
      <c r="G118" s="80" t="inlineStr">
        <is>
          <t>☑</t>
        </is>
      </c>
      <c r="H118" s="80" t="inlineStr">
        <is>
          <t>☑</t>
        </is>
      </c>
      <c r="I118" s="80" t="inlineStr">
        <is>
          <t>☑</t>
        </is>
      </c>
      <c r="J118" s="80" t="inlineStr">
        <is>
          <t>☑</t>
        </is>
      </c>
      <c r="K118" s="80" t="inlineStr">
        <is>
          <t>☑</t>
        </is>
      </c>
      <c r="L118" s="80" t="inlineStr">
        <is>
          <t>☑</t>
        </is>
      </c>
      <c r="M118" s="80" t="inlineStr">
        <is>
          <t>☑</t>
        </is>
      </c>
      <c r="N118" s="80" t="inlineStr">
        <is>
          <t>☑</t>
        </is>
      </c>
      <c r="O118" s="80" t="inlineStr">
        <is>
          <t>☑</t>
        </is>
      </c>
    </row>
    <row r="119">
      <c r="A119" s="80" t="n">
        <v>111</v>
      </c>
      <c r="B119" s="80" t="inlineStr">
        <is>
          <t>325106410111</t>
        </is>
      </c>
      <c r="C119" s="80" t="inlineStr">
        <is>
          <t>TJITAREE TJIUMBUA</t>
        </is>
      </c>
      <c r="D119" s="80" t="inlineStr">
        <is>
          <t>☑</t>
        </is>
      </c>
      <c r="E119" s="80" t="inlineStr">
        <is>
          <t>☑</t>
        </is>
      </c>
      <c r="F119" s="80" t="inlineStr">
        <is>
          <t>☑</t>
        </is>
      </c>
      <c r="G119" s="80" t="inlineStr">
        <is>
          <t>☑</t>
        </is>
      </c>
      <c r="H119" s="80" t="inlineStr">
        <is>
          <t>☑</t>
        </is>
      </c>
      <c r="I119" s="80" t="inlineStr">
        <is>
          <t>☑</t>
        </is>
      </c>
      <c r="J119" s="80" t="inlineStr">
        <is>
          <t>☑</t>
        </is>
      </c>
      <c r="K119" s="80" t="inlineStr">
        <is>
          <t>☑</t>
        </is>
      </c>
      <c r="L119" s="80" t="inlineStr">
        <is>
          <t>☑</t>
        </is>
      </c>
      <c r="M119" s="80" t="inlineStr">
        <is>
          <t>☑</t>
        </is>
      </c>
      <c r="N119" s="80" t="inlineStr">
        <is>
          <t>☑</t>
        </is>
      </c>
      <c r="O119" s="80" t="inlineStr">
        <is>
          <t>☑</t>
        </is>
      </c>
    </row>
    <row r="120">
      <c r="A120" s="80" t="n">
        <v>112</v>
      </c>
      <c r="B120" s="80" t="inlineStr">
        <is>
          <t>325106410112</t>
        </is>
      </c>
      <c r="C120" s="80" t="inlineStr">
        <is>
          <t>TOTHAGOTA DEY KABBO</t>
        </is>
      </c>
      <c r="D120" s="80" t="inlineStr">
        <is>
          <t>☑</t>
        </is>
      </c>
      <c r="E120" s="80" t="inlineStr">
        <is>
          <t>☑</t>
        </is>
      </c>
      <c r="F120" s="80" t="inlineStr">
        <is>
          <t>☑</t>
        </is>
      </c>
      <c r="G120" s="80" t="inlineStr">
        <is>
          <t>☑</t>
        </is>
      </c>
      <c r="H120" s="80" t="inlineStr">
        <is>
          <t>☑</t>
        </is>
      </c>
      <c r="I120" s="80" t="inlineStr">
        <is>
          <t>☑</t>
        </is>
      </c>
      <c r="J120" s="80" t="inlineStr">
        <is>
          <t>☑</t>
        </is>
      </c>
      <c r="K120" s="80" t="inlineStr">
        <is>
          <t>☑</t>
        </is>
      </c>
      <c r="L120" s="80" t="inlineStr">
        <is>
          <t>☑</t>
        </is>
      </c>
      <c r="M120" s="80" t="inlineStr">
        <is>
          <t>☑</t>
        </is>
      </c>
      <c r="N120" s="80" t="inlineStr">
        <is>
          <t>☑</t>
        </is>
      </c>
      <c r="O120" s="80" t="inlineStr">
        <is>
          <t>☑</t>
        </is>
      </c>
    </row>
    <row r="121">
      <c r="A121" s="80" t="n">
        <v>113</v>
      </c>
      <c r="B121" s="80" t="inlineStr">
        <is>
          <t>325106410113</t>
        </is>
      </c>
      <c r="C121" s="80" t="inlineStr">
        <is>
          <t>TUMPA DEBNATH</t>
        </is>
      </c>
      <c r="D121" s="80" t="inlineStr">
        <is>
          <t>☑</t>
        </is>
      </c>
      <c r="E121" s="80" t="inlineStr">
        <is>
          <t>☑</t>
        </is>
      </c>
      <c r="F121" s="80" t="inlineStr">
        <is>
          <t>☑</t>
        </is>
      </c>
      <c r="G121" s="80" t="inlineStr">
        <is>
          <t>☑</t>
        </is>
      </c>
      <c r="H121" s="80" t="inlineStr">
        <is>
          <t>☑</t>
        </is>
      </c>
      <c r="I121" s="80" t="inlineStr">
        <is>
          <t>☑</t>
        </is>
      </c>
      <c r="J121" s="80" t="inlineStr">
        <is>
          <t>☑</t>
        </is>
      </c>
      <c r="K121" s="80" t="inlineStr">
        <is>
          <t>☑</t>
        </is>
      </c>
      <c r="L121" s="80" t="inlineStr">
        <is>
          <t>☑</t>
        </is>
      </c>
      <c r="M121" s="80" t="inlineStr">
        <is>
          <t>☑</t>
        </is>
      </c>
      <c r="N121" s="80" t="inlineStr">
        <is>
          <t>☑</t>
        </is>
      </c>
      <c r="O121" s="80" t="inlineStr">
        <is>
          <t>☑</t>
        </is>
      </c>
    </row>
    <row r="122">
      <c r="A122" s="80" t="n">
        <v>114</v>
      </c>
      <c r="B122" s="80" t="inlineStr">
        <is>
          <t>325106410114</t>
        </is>
      </c>
      <c r="C122" s="80" t="inlineStr">
        <is>
          <t>UKASH CHAUDHARY</t>
        </is>
      </c>
      <c r="D122" s="80" t="inlineStr">
        <is>
          <t>☑</t>
        </is>
      </c>
      <c r="E122" s="80" t="inlineStr">
        <is>
          <t>☑</t>
        </is>
      </c>
      <c r="F122" s="80" t="inlineStr">
        <is>
          <t>☑</t>
        </is>
      </c>
      <c r="G122" s="80" t="inlineStr">
        <is>
          <t>☑</t>
        </is>
      </c>
      <c r="H122" s="80" t="inlineStr">
        <is>
          <t>☑</t>
        </is>
      </c>
      <c r="I122" s="80" t="inlineStr">
        <is>
          <t>☑</t>
        </is>
      </c>
      <c r="J122" s="80" t="inlineStr">
        <is>
          <t>☑</t>
        </is>
      </c>
      <c r="K122" s="80" t="inlineStr">
        <is>
          <t>☑</t>
        </is>
      </c>
      <c r="L122" s="80" t="inlineStr">
        <is>
          <t>☑</t>
        </is>
      </c>
      <c r="M122" s="80" t="inlineStr">
        <is>
          <t>☑</t>
        </is>
      </c>
      <c r="N122" s="80" t="inlineStr">
        <is>
          <t>☑</t>
        </is>
      </c>
      <c r="O122" s="80" t="inlineStr">
        <is>
          <t>☑</t>
        </is>
      </c>
    </row>
    <row r="123">
      <c r="A123" s="80" t="n">
        <v>115</v>
      </c>
      <c r="B123" s="80" t="inlineStr">
        <is>
          <t>325106410115</t>
        </is>
      </c>
      <c r="C123" s="80" t="inlineStr">
        <is>
          <t>WANTOK AMAKOU WANTOK AKHOL</t>
        </is>
      </c>
      <c r="D123" s="80" t="inlineStr">
        <is>
          <t>☑</t>
        </is>
      </c>
      <c r="E123" s="80" t="inlineStr">
        <is>
          <t>☑</t>
        </is>
      </c>
      <c r="F123" s="80" t="inlineStr">
        <is>
          <t>☑</t>
        </is>
      </c>
      <c r="G123" s="80" t="inlineStr">
        <is>
          <t>☑</t>
        </is>
      </c>
      <c r="H123" s="80" t="inlineStr">
        <is>
          <t>☑</t>
        </is>
      </c>
      <c r="I123" s="80" t="inlineStr">
        <is>
          <t>☑</t>
        </is>
      </c>
      <c r="J123" s="80" t="inlineStr">
        <is>
          <t>☑</t>
        </is>
      </c>
      <c r="K123" s="80" t="inlineStr">
        <is>
          <t>☑</t>
        </is>
      </c>
      <c r="L123" s="80" t="inlineStr">
        <is>
          <t>☑</t>
        </is>
      </c>
      <c r="M123" s="80" t="inlineStr">
        <is>
          <t>☑</t>
        </is>
      </c>
      <c r="N123" s="80" t="inlineStr">
        <is>
          <t>☑</t>
        </is>
      </c>
      <c r="O123" s="80" t="inlineStr">
        <is>
          <t>☑</t>
        </is>
      </c>
    </row>
    <row r="124">
      <c r="A124" s="80" t="n">
        <v>116</v>
      </c>
      <c r="B124" s="80" t="inlineStr">
        <is>
          <t>325106410116</t>
        </is>
      </c>
      <c r="C124" s="80" t="inlineStr">
        <is>
          <t>WEESLEY ROLL MUNGOI</t>
        </is>
      </c>
      <c r="D124" s="80" t="inlineStr">
        <is>
          <t>☑</t>
        </is>
      </c>
      <c r="E124" s="80" t="inlineStr">
        <is>
          <t>☑</t>
        </is>
      </c>
      <c r="F124" s="80" t="inlineStr">
        <is>
          <t>☑</t>
        </is>
      </c>
      <c r="G124" s="80" t="inlineStr">
        <is>
          <t>☑</t>
        </is>
      </c>
      <c r="H124" s="80" t="inlineStr">
        <is>
          <t>☑</t>
        </is>
      </c>
      <c r="I124" s="80" t="inlineStr">
        <is>
          <t>☑</t>
        </is>
      </c>
      <c r="J124" s="80" t="inlineStr">
        <is>
          <t>☑</t>
        </is>
      </c>
      <c r="K124" s="80" t="inlineStr">
        <is>
          <t>☑</t>
        </is>
      </c>
      <c r="L124" s="80" t="inlineStr">
        <is>
          <t>☑</t>
        </is>
      </c>
      <c r="M124" s="80" t="inlineStr">
        <is>
          <t>☑</t>
        </is>
      </c>
      <c r="N124" s="80" t="inlineStr">
        <is>
          <t>☑</t>
        </is>
      </c>
      <c r="O124" s="80" t="inlineStr">
        <is>
          <t>☑</t>
        </is>
      </c>
    </row>
    <row r="125">
      <c r="A125" s="80" t="n">
        <v>117</v>
      </c>
      <c r="B125" s="80" t="inlineStr">
        <is>
          <t>325106410117</t>
        </is>
      </c>
      <c r="C125" s="80" t="inlineStr">
        <is>
          <t>YAZID RABIU</t>
        </is>
      </c>
      <c r="D125" s="80" t="inlineStr">
        <is>
          <t>☑</t>
        </is>
      </c>
      <c r="E125" s="80" t="inlineStr">
        <is>
          <t>☑</t>
        </is>
      </c>
      <c r="F125" s="80" t="inlineStr">
        <is>
          <t>☑</t>
        </is>
      </c>
      <c r="G125" s="80" t="inlineStr">
        <is>
          <t>☑</t>
        </is>
      </c>
      <c r="H125" s="80" t="inlineStr">
        <is>
          <t>☑</t>
        </is>
      </c>
      <c r="I125" s="80" t="inlineStr">
        <is>
          <t>☑</t>
        </is>
      </c>
      <c r="J125" s="80" t="inlineStr">
        <is>
          <t>☑</t>
        </is>
      </c>
      <c r="K125" s="80" t="inlineStr">
        <is>
          <t>☑</t>
        </is>
      </c>
      <c r="L125" s="80" t="inlineStr">
        <is>
          <t>☑</t>
        </is>
      </c>
      <c r="M125" s="80" t="inlineStr">
        <is>
          <t>☑</t>
        </is>
      </c>
      <c r="N125" s="80" t="inlineStr">
        <is>
          <t>☑</t>
        </is>
      </c>
      <c r="O125" s="80" t="inlineStr">
        <is>
          <t>☑</t>
        </is>
      </c>
    </row>
    <row r="126">
      <c r="A126" s="80" t="n">
        <v>118</v>
      </c>
      <c r="B126" s="80" t="inlineStr">
        <is>
          <t>325106410118</t>
        </is>
      </c>
      <c r="C126" s="80" t="inlineStr">
        <is>
          <t>BANDARU LAXMANA ROHAN PATRUDU</t>
        </is>
      </c>
      <c r="D126" s="80" t="inlineStr">
        <is>
          <t>☑</t>
        </is>
      </c>
      <c r="E126" s="80" t="inlineStr">
        <is>
          <t>☑</t>
        </is>
      </c>
      <c r="F126" s="80" t="inlineStr">
        <is>
          <t>☑</t>
        </is>
      </c>
      <c r="G126" s="80" t="inlineStr">
        <is>
          <t>☑</t>
        </is>
      </c>
      <c r="H126" s="80" t="inlineStr">
        <is>
          <t>☑</t>
        </is>
      </c>
      <c r="I126" s="80" t="inlineStr">
        <is>
          <t>☑</t>
        </is>
      </c>
      <c r="J126" s="80" t="inlineStr">
        <is>
          <t>☑</t>
        </is>
      </c>
      <c r="K126" s="80" t="inlineStr">
        <is>
          <t>☑</t>
        </is>
      </c>
      <c r="L126" s="80" t="inlineStr">
        <is>
          <t>☑</t>
        </is>
      </c>
      <c r="M126" s="80" t="inlineStr">
        <is>
          <t>☑</t>
        </is>
      </c>
      <c r="N126" s="80" t="inlineStr">
        <is>
          <t>☑</t>
        </is>
      </c>
      <c r="O126" s="80" t="inlineStr">
        <is>
          <t>☑</t>
        </is>
      </c>
    </row>
    <row r="127">
      <c r="A127" s="80" t="n">
        <v>119</v>
      </c>
      <c r="B127" s="80" t="inlineStr">
        <is>
          <t>325106410119</t>
        </is>
      </c>
      <c r="C127" s="80" t="inlineStr">
        <is>
          <t>BENDURTHI JAYASREE</t>
        </is>
      </c>
      <c r="D127" s="80" t="inlineStr">
        <is>
          <t>☑</t>
        </is>
      </c>
      <c r="E127" s="80" t="inlineStr">
        <is>
          <t>☑</t>
        </is>
      </c>
      <c r="F127" s="80" t="inlineStr">
        <is>
          <t>☑</t>
        </is>
      </c>
      <c r="G127" s="80" t="inlineStr">
        <is>
          <t>☑</t>
        </is>
      </c>
      <c r="H127" s="80" t="inlineStr">
        <is>
          <t>☑</t>
        </is>
      </c>
      <c r="I127" s="80" t="inlineStr">
        <is>
          <t>☑</t>
        </is>
      </c>
      <c r="J127" s="80" t="inlineStr">
        <is>
          <t>☑</t>
        </is>
      </c>
      <c r="K127" s="80" t="inlineStr">
        <is>
          <t>☑</t>
        </is>
      </c>
      <c r="L127" s="80" t="inlineStr">
        <is>
          <t>☑</t>
        </is>
      </c>
      <c r="M127" s="80" t="inlineStr">
        <is>
          <t>☑</t>
        </is>
      </c>
      <c r="N127" s="80" t="inlineStr">
        <is>
          <t>☑</t>
        </is>
      </c>
      <c r="O127" s="80" t="inlineStr">
        <is>
          <t>☑</t>
        </is>
      </c>
    </row>
    <row r="128">
      <c r="A128" s="80" t="n">
        <v>120</v>
      </c>
      <c r="B128" s="80" t="inlineStr">
        <is>
          <t>325106410120</t>
        </is>
      </c>
      <c r="C128" s="80" t="inlineStr">
        <is>
          <t>BOTTA LOKESH BABU</t>
        </is>
      </c>
      <c r="D128" s="80" t="inlineStr">
        <is>
          <t>☑</t>
        </is>
      </c>
      <c r="E128" s="80" t="inlineStr">
        <is>
          <t>☑</t>
        </is>
      </c>
      <c r="F128" s="80" t="inlineStr">
        <is>
          <t>☑</t>
        </is>
      </c>
      <c r="G128" s="80" t="inlineStr">
        <is>
          <t>☑</t>
        </is>
      </c>
      <c r="H128" s="80" t="inlineStr">
        <is>
          <t>☑</t>
        </is>
      </c>
      <c r="I128" s="80" t="inlineStr">
        <is>
          <t>☑</t>
        </is>
      </c>
      <c r="J128" s="80" t="inlineStr">
        <is>
          <t>☑</t>
        </is>
      </c>
      <c r="K128" s="80" t="inlineStr">
        <is>
          <t>☑</t>
        </is>
      </c>
      <c r="L128" s="80" t="inlineStr">
        <is>
          <t>☑</t>
        </is>
      </c>
      <c r="M128" s="80" t="inlineStr">
        <is>
          <t>☑</t>
        </is>
      </c>
      <c r="N128" s="80" t="inlineStr">
        <is>
          <t>☑</t>
        </is>
      </c>
      <c r="O128" s="80" t="inlineStr">
        <is>
          <t>☑</t>
        </is>
      </c>
    </row>
    <row r="129">
      <c r="A129" s="80" t="n">
        <v>121</v>
      </c>
      <c r="B129" s="80" t="inlineStr">
        <is>
          <t>325106410121</t>
        </is>
      </c>
      <c r="C129" s="80" t="inlineStr">
        <is>
          <t>MADDULA SRAVAN KUMAR</t>
        </is>
      </c>
      <c r="D129" s="80" t="inlineStr">
        <is>
          <t>☑</t>
        </is>
      </c>
      <c r="E129" s="80" t="inlineStr">
        <is>
          <t>☑</t>
        </is>
      </c>
      <c r="F129" s="80" t="inlineStr">
        <is>
          <t>☑</t>
        </is>
      </c>
      <c r="G129" s="80" t="inlineStr">
        <is>
          <t>☑</t>
        </is>
      </c>
      <c r="H129" s="80" t="inlineStr">
        <is>
          <t>☑</t>
        </is>
      </c>
      <c r="I129" s="80" t="inlineStr">
        <is>
          <t>☑</t>
        </is>
      </c>
      <c r="J129" s="80" t="inlineStr">
        <is>
          <t>☑</t>
        </is>
      </c>
      <c r="K129" s="80" t="inlineStr">
        <is>
          <t>☑</t>
        </is>
      </c>
      <c r="L129" s="80" t="inlineStr">
        <is>
          <t>☑</t>
        </is>
      </c>
      <c r="M129" s="80" t="inlineStr">
        <is>
          <t>☑</t>
        </is>
      </c>
      <c r="N129" s="80" t="inlineStr">
        <is>
          <t>☑</t>
        </is>
      </c>
      <c r="O129" s="80" t="inlineStr">
        <is>
          <t>☑</t>
        </is>
      </c>
    </row>
    <row r="130">
      <c r="A130" s="80" t="n">
        <v>122</v>
      </c>
      <c r="B130" s="80" t="inlineStr">
        <is>
          <t>325106410122</t>
        </is>
      </c>
      <c r="C130" s="80" t="inlineStr">
        <is>
          <t>SALADI KALYAN MODHA ANKSHINI</t>
        </is>
      </c>
      <c r="D130" s="80" t="inlineStr">
        <is>
          <t>☑</t>
        </is>
      </c>
      <c r="E130" s="80" t="inlineStr">
        <is>
          <t>☑</t>
        </is>
      </c>
      <c r="F130" s="80" t="inlineStr">
        <is>
          <t>☑</t>
        </is>
      </c>
      <c r="G130" s="80" t="inlineStr">
        <is>
          <t>☑</t>
        </is>
      </c>
      <c r="H130" s="80" t="inlineStr">
        <is>
          <t>☑</t>
        </is>
      </c>
      <c r="I130" s="80" t="inlineStr">
        <is>
          <t>☑</t>
        </is>
      </c>
      <c r="J130" s="80" t="inlineStr">
        <is>
          <t>☑</t>
        </is>
      </c>
      <c r="K130" s="80" t="inlineStr">
        <is>
          <t>☑</t>
        </is>
      </c>
      <c r="L130" s="80" t="inlineStr">
        <is>
          <t>☑</t>
        </is>
      </c>
      <c r="M130" s="80" t="inlineStr">
        <is>
          <t>☑</t>
        </is>
      </c>
      <c r="N130" s="80" t="inlineStr">
        <is>
          <t>☑</t>
        </is>
      </c>
      <c r="O130" s="80" t="inlineStr">
        <is>
          <t>☑</t>
        </is>
      </c>
    </row>
    <row r="131">
      <c r="A131" s="80" t="n">
        <v>123</v>
      </c>
      <c r="B131" s="80" t="inlineStr">
        <is>
          <t>325106410123</t>
        </is>
      </c>
      <c r="C131" s="80" t="inlineStr">
        <is>
          <t>VERAPANENI VENKATA CHOWDARY</t>
        </is>
      </c>
      <c r="D131" s="80" t="inlineStr">
        <is>
          <t>☑</t>
        </is>
      </c>
      <c r="E131" s="80" t="inlineStr">
        <is>
          <t>☑</t>
        </is>
      </c>
      <c r="F131" s="80" t="inlineStr">
        <is>
          <t>☑</t>
        </is>
      </c>
      <c r="G131" s="80" t="inlineStr">
        <is>
          <t>☑</t>
        </is>
      </c>
      <c r="H131" s="80" t="inlineStr">
        <is>
          <t>☑</t>
        </is>
      </c>
      <c r="I131" s="80" t="inlineStr">
        <is>
          <t>☑</t>
        </is>
      </c>
      <c r="J131" s="80" t="inlineStr">
        <is>
          <t>☑</t>
        </is>
      </c>
      <c r="K131" s="80" t="inlineStr">
        <is>
          <t>☑</t>
        </is>
      </c>
      <c r="L131" s="80" t="inlineStr">
        <is>
          <t>☑</t>
        </is>
      </c>
      <c r="M131" s="80" t="inlineStr">
        <is>
          <t>☑</t>
        </is>
      </c>
      <c r="N131" s="80" t="inlineStr">
        <is>
          <t>☑</t>
        </is>
      </c>
      <c r="O131" s="80" t="inlineStr">
        <is>
          <t>☑</t>
        </is>
      </c>
    </row>
    <row r="132">
      <c r="A132" s="80" t="n">
        <v>124</v>
      </c>
      <c r="B132" s="80" t="inlineStr">
        <is>
          <t>325106410124</t>
        </is>
      </c>
      <c r="C132" s="80" t="inlineStr">
        <is>
          <t>YUVRAJ SINGH</t>
        </is>
      </c>
      <c r="D132" s="80" t="inlineStr">
        <is>
          <t>☑</t>
        </is>
      </c>
      <c r="E132" s="80" t="inlineStr">
        <is>
          <t>☑</t>
        </is>
      </c>
      <c r="F132" s="80" t="inlineStr">
        <is>
          <t>☑</t>
        </is>
      </c>
      <c r="G132" s="80" t="inlineStr">
        <is>
          <t>☑</t>
        </is>
      </c>
      <c r="H132" s="80" t="inlineStr">
        <is>
          <t>☑</t>
        </is>
      </c>
      <c r="I132" s="80" t="inlineStr">
        <is>
          <t>☑</t>
        </is>
      </c>
      <c r="J132" s="80" t="inlineStr">
        <is>
          <t>☑</t>
        </is>
      </c>
      <c r="K132" s="80" t="inlineStr">
        <is>
          <t>☑</t>
        </is>
      </c>
      <c r="L132" s="80" t="inlineStr">
        <is>
          <t>☑</t>
        </is>
      </c>
      <c r="M132" s="80" t="inlineStr">
        <is>
          <t>☑</t>
        </is>
      </c>
      <c r="N132" s="80" t="inlineStr">
        <is>
          <t>☑</t>
        </is>
      </c>
      <c r="O132" s="80" t="inlineStr">
        <is>
          <t>☑</t>
        </is>
      </c>
    </row>
    <row r="135">
      <c r="A135" s="82" t="inlineStr">
        <is>
          <t>CLASS SUMMARY</t>
        </is>
      </c>
    </row>
    <row r="136">
      <c r="A136" s="83" t="inlineStr">
        <is>
          <t>Class</t>
        </is>
      </c>
      <c r="B136" s="83" t="inlineStr">
        <is>
          <t>Present</t>
        </is>
      </c>
      <c r="C136" s="83" t="inlineStr">
        <is>
          <t>Absent</t>
        </is>
      </c>
      <c r="D136" s="83" t="inlineStr">
        <is>
          <t>Total</t>
        </is>
      </c>
      <c r="E136" s="83" t="inlineStr">
        <is>
          <t>Attendance %</t>
        </is>
      </c>
    </row>
    <row r="137">
      <c r="A137" s="79" t="inlineStr">
        <is>
          <t>01-Sep OOPJ LAB-3</t>
        </is>
      </c>
      <c r="B137" s="79">
        <f>COUNTIF(D9:D132,"☑")</f>
        <v/>
      </c>
      <c r="C137" s="79">
        <f>COUNTIF(D9:D132,"☐")</f>
        <v/>
      </c>
      <c r="D137" s="79">
        <f>B137+C137</f>
        <v/>
      </c>
      <c r="E137" s="84">
        <f>IF(D137=0,"",B137/D137)</f>
        <v/>
      </c>
    </row>
    <row r="138">
      <c r="A138" s="79" t="inlineStr">
        <is>
          <t>01-Sep OOPJ</t>
        </is>
      </c>
      <c r="B138" s="79">
        <f>COUNTIF(E9:E132,"☑")</f>
        <v/>
      </c>
      <c r="C138" s="79">
        <f>COUNTIF(E9:E132,"☐")</f>
        <v/>
      </c>
      <c r="D138" s="79">
        <f>B138+C138</f>
        <v/>
      </c>
      <c r="E138" s="84">
        <f>IF(D138=0,"",B138/D138)</f>
        <v/>
      </c>
    </row>
    <row r="139">
      <c r="A139" s="79" t="inlineStr">
        <is>
          <t>02-Sep OS</t>
        </is>
      </c>
      <c r="B139" s="79">
        <f>COUNTIF(F9:F132,"☑")</f>
        <v/>
      </c>
      <c r="C139" s="79">
        <f>COUNTIF(F9:F132,"☐")</f>
        <v/>
      </c>
      <c r="D139" s="79">
        <f>B139+C139</f>
        <v/>
      </c>
      <c r="E139" s="84">
        <f>IF(D139=0,"",B139/D139)</f>
        <v/>
      </c>
    </row>
    <row r="140">
      <c r="A140" s="79" t="inlineStr">
        <is>
          <t>02-Sep DMS</t>
        </is>
      </c>
      <c r="B140" s="79">
        <f>COUNTIF(G9:G132,"☑")</f>
        <v/>
      </c>
      <c r="C140" s="79">
        <f>COUNTIF(G9:G132,"☐")</f>
        <v/>
      </c>
      <c r="D140" s="79">
        <f>B140+C140</f>
        <v/>
      </c>
      <c r="E140" s="84">
        <f>IF(D140=0,"",B140/D140)</f>
        <v/>
      </c>
    </row>
    <row r="141">
      <c r="A141" s="79" t="inlineStr">
        <is>
          <t>03-Sep OS</t>
        </is>
      </c>
      <c r="B141" s="79">
        <f>COUNTIF(H9:H132,"☑")</f>
        <v/>
      </c>
      <c r="C141" s="79">
        <f>COUNTIF(H9:H132,"☐")</f>
        <v/>
      </c>
      <c r="D141" s="79">
        <f>B141+C141</f>
        <v/>
      </c>
      <c r="E141" s="84">
        <f>IF(D141=0,"",B141/D141)</f>
        <v/>
      </c>
    </row>
    <row r="142">
      <c r="A142" s="79" t="inlineStr">
        <is>
          <t>03-Sep OOPJ</t>
        </is>
      </c>
      <c r="B142" s="79">
        <f>COUNTIF(I9:I132,"☑")</f>
        <v/>
      </c>
      <c r="C142" s="79">
        <f>COUNTIF(I9:I132,"☐")</f>
        <v/>
      </c>
      <c r="D142" s="79">
        <f>B142+C142</f>
        <v/>
      </c>
      <c r="E142" s="84">
        <f>IF(D142=0,"",B142/D142)</f>
        <v/>
      </c>
    </row>
    <row r="143">
      <c r="A143" s="79" t="inlineStr">
        <is>
          <t>03-Sep PSQT</t>
        </is>
      </c>
      <c r="B143" s="79">
        <f>COUNTIF(J9:J132,"☑")</f>
        <v/>
      </c>
      <c r="C143" s="79">
        <f>COUNTIF(J9:J132,"☐")</f>
        <v/>
      </c>
      <c r="D143" s="79">
        <f>B143+C143</f>
        <v/>
      </c>
      <c r="E143" s="84">
        <f>IF(D143=0,"",B143/D143)</f>
        <v/>
      </c>
    </row>
    <row r="144">
      <c r="A144" s="79" t="inlineStr">
        <is>
          <t>04-Sep COA</t>
        </is>
      </c>
      <c r="B144" s="79">
        <f>COUNTIF(K9:K132,"☑")</f>
        <v/>
      </c>
      <c r="C144" s="79">
        <f>COUNTIF(K9:K132,"☐")</f>
        <v/>
      </c>
      <c r="D144" s="79">
        <f>B144+C144</f>
        <v/>
      </c>
      <c r="E144" s="84">
        <f>IF(D144=0,"",B144/D144)</f>
        <v/>
      </c>
    </row>
    <row r="145">
      <c r="A145" s="79" t="inlineStr">
        <is>
          <t>04-Sep DMS</t>
        </is>
      </c>
      <c r="B145" s="79">
        <f>COUNTIF(L9:L132,"☑")</f>
        <v/>
      </c>
      <c r="C145" s="79">
        <f>COUNTIF(L9:L132,"☐")</f>
        <v/>
      </c>
      <c r="D145" s="79">
        <f>B145+C145</f>
        <v/>
      </c>
      <c r="E145" s="84">
        <f>IF(D145=0,"",B145/D145)</f>
        <v/>
      </c>
    </row>
    <row r="146">
      <c r="A146" s="79" t="inlineStr">
        <is>
          <t>04-Sep OS LAB-1 / OOPJ LAB-2</t>
        </is>
      </c>
      <c r="B146" s="79">
        <f>COUNTIF(M9:M132,"☑")</f>
        <v/>
      </c>
      <c r="C146" s="79">
        <f>COUNTIF(M9:M132,"☐")</f>
        <v/>
      </c>
      <c r="D146" s="79">
        <f>B146+C146</f>
        <v/>
      </c>
      <c r="E146" s="84">
        <f>IF(D146=0,"",B146/D146)</f>
        <v/>
      </c>
    </row>
    <row r="147">
      <c r="A147" s="79" t="inlineStr">
        <is>
          <t>05-Sep COA</t>
        </is>
      </c>
      <c r="B147" s="79">
        <f>COUNTIF(N9:N132,"☑")</f>
        <v/>
      </c>
      <c r="C147" s="79">
        <f>COUNTIF(N9:N132,"☐")</f>
        <v/>
      </c>
      <c r="D147" s="79">
        <f>B147+C147</f>
        <v/>
      </c>
      <c r="E147" s="84">
        <f>IF(D147=0,"",B147/D147)</f>
        <v/>
      </c>
    </row>
    <row r="148">
      <c r="A148" s="79" t="inlineStr">
        <is>
          <t>05-Sep COA LAB-2</t>
        </is>
      </c>
      <c r="B148" s="79">
        <f>COUNTIF(O9:O132,"☑")</f>
        <v/>
      </c>
      <c r="C148" s="79">
        <f>COUNTIF(O9:O132,"☐")</f>
        <v/>
      </c>
      <c r="D148" s="79">
        <f>B148+C148</f>
        <v/>
      </c>
      <c r="E148" s="84">
        <f>IF(D148=0,"",B148/D148)</f>
        <v/>
      </c>
    </row>
  </sheetData>
  <mergeCells count="2">
    <mergeCell ref="A2:F2"/>
    <mergeCell ref="A1:F1"/>
  </mergeCells>
  <dataValidations count="2">
    <dataValidation sqref="D6 E6 F6 G6 H6 I6 J6 K6 L6 M6 N6 O6" showDropDown="0" showInputMessage="0" showErrorMessage="0" allowBlank="0" type="list">
      <formula1>"☑ Present,☐ Absent"</formula1>
    </dataValidation>
    <dataValidation sqref="D9:O132" showDropDown="0" showInputMessage="0" showErrorMessage="0" allowBlank="0" type="list">
      <formula1>"☑,☐"</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O200"/>
  <sheetViews>
    <sheetView showGridLines="0" zoomScale="90"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8" customWidth="1" style="34" min="1" max="1"/>
    <col width="20" customWidth="1" style="34" min="2" max="2"/>
    <col width="34" customWidth="1" style="34" min="3" max="3"/>
    <col width="15" customWidth="1" style="34" min="4" max="4"/>
    <col width="15" customWidth="1" style="34" min="5" max="5"/>
    <col width="15" customWidth="1" style="34" min="6" max="6"/>
    <col width="15" customWidth="1" style="34" min="7" max="7"/>
    <col width="15" customWidth="1" style="34" min="8" max="8"/>
    <col width="15" customWidth="1" style="34" min="9" max="9"/>
    <col width="15" customWidth="1" style="34" min="10" max="10"/>
    <col width="15" customWidth="1" style="34" min="11" max="11"/>
    <col width="15" customWidth="1" style="34" min="12" max="12"/>
    <col width="15" customWidth="1" style="34" min="13" max="13"/>
    <col width="15" customWidth="1" style="34" min="14" max="14"/>
    <col width="15" customWidth="1" style="34" min="15" max="15"/>
    <col width="15" customWidth="1" style="34" min="16" max="16"/>
    <col width="15" customWidth="1" style="34" min="17" max="17"/>
    <col width="15" customWidth="1" style="34" min="18" max="18"/>
    <col width="15" customWidth="1" style="34" min="19" max="19"/>
    <col width="15" customWidth="1" style="34" min="20" max="20"/>
    <col width="15" customWidth="1" style="34" min="21" max="21"/>
    <col width="15" customWidth="1" style="34" min="22" max="22"/>
    <col width="15" customWidth="1" style="34" min="23" max="23"/>
    <col width="15" customWidth="1" style="34" min="24" max="24"/>
    <col width="15" customWidth="1" style="34" min="25" max="25"/>
    <col width="15" customWidth="1" style="34" min="26" max="26"/>
    <col width="15" customWidth="1" style="34" min="27" max="27"/>
    <col width="15" customWidth="1" style="34" min="28" max="28"/>
    <col width="15" customWidth="1" style="34" min="29" max="29"/>
    <col width="15" customWidth="1" style="34" min="30" max="30"/>
    <col width="15" customWidth="1" style="34" min="31" max="31"/>
    <col width="15" customWidth="1" style="34" min="32" max="32"/>
    <col width="15" customWidth="1" style="34" min="33" max="33"/>
    <col width="15" customWidth="1" style="34" min="34" max="34"/>
    <col width="15" customWidth="1" style="34" min="35" max="35"/>
    <col width="15" customWidth="1" style="34" min="36" max="36"/>
    <col width="15" customWidth="1" style="34" min="37" max="37"/>
    <col width="15" customWidth="1" style="34" min="38" max="38"/>
    <col width="15" customWidth="1" style="34" min="39" max="39"/>
    <col width="15" customWidth="1" style="34" min="40" max="40"/>
    <col width="15" customWidth="1" style="34" min="41" max="41"/>
    <col width="15" customWidth="1" style="34" min="42" max="42"/>
    <col width="15" customWidth="1" style="34" min="43" max="43"/>
    <col width="15" customWidth="1" style="34" min="44" max="44"/>
    <col width="15" customWidth="1" style="34" min="45" max="45"/>
    <col width="15" customWidth="1" style="34" min="46" max="46"/>
    <col width="15" customWidth="1" style="34" min="47" max="47"/>
    <col width="15" customWidth="1" style="34" min="48" max="48"/>
    <col width="15" customWidth="1" style="34" min="49" max="49"/>
    <col width="15" customWidth="1" style="34" min="50" max="50"/>
    <col width="15" customWidth="1" style="34" min="51" max="51"/>
    <col width="15" customWidth="1" style="34" min="52" max="52"/>
    <col width="15" customWidth="1" style="34" min="53" max="53"/>
    <col width="15" customWidth="1" style="34" min="54" max="54"/>
    <col width="15" customWidth="1" style="34" min="55" max="55"/>
    <col width="15" customWidth="1" style="34" min="56" max="56"/>
    <col width="15" customWidth="1" style="34" min="57" max="57"/>
    <col width="15" customWidth="1" style="34" min="58" max="58"/>
    <col width="15" customWidth="1" style="34" min="59" max="59"/>
    <col width="15" customWidth="1" style="34" min="60" max="60"/>
    <col width="15" customWidth="1" style="34" min="61" max="61"/>
    <col width="15" customWidth="1" style="34" min="62" max="62"/>
    <col width="15" customWidth="1" style="34" min="63" max="63"/>
    <col width="15" customWidth="1" style="34" min="64" max="64"/>
    <col width="15" customWidth="1" style="34" min="65" max="65"/>
    <col width="15" customWidth="1" style="34" min="66" max="66"/>
    <col width="15" customWidth="1" style="34" min="67" max="67"/>
  </cols>
  <sheetData>
    <row r="1">
      <c r="A1" s="77" t="inlineStr">
        <is>
          <t>SEPTEMBER 2026 — DETAILED ATTENDANCE</t>
        </is>
      </c>
      <c r="B1" s="41" t="n"/>
      <c r="C1" s="41" t="n"/>
      <c r="D1" s="41" t="n"/>
      <c r="E1" s="41" t="n"/>
      <c r="F1" s="42" t="n"/>
    </row>
    <row r="2">
      <c r="A2" s="85" t="inlineStr">
        <is>
          <t>Official routine applied automatically. Non-academic periods (NCC/NSS, remedial, library/self-study, Swachh Bharat) are excluded from attendance calculations.</t>
        </is>
      </c>
      <c r="B2" s="41" t="n"/>
      <c r="C2" s="41" t="n"/>
      <c r="D2" s="41" t="n"/>
      <c r="E2" s="41" t="n"/>
      <c r="F2" s="42" t="n"/>
    </row>
    <row r="4">
      <c r="A4" s="79" t="inlineStr">
        <is>
          <t>How to enter:</t>
        </is>
      </c>
      <c r="B4" s="79" t="inlineStr">
        <is>
          <t>Each class column has a bulk status row. Start with ☑ Present, then change only absentees to ☐.</t>
        </is>
      </c>
    </row>
    <row r="5">
      <c r="A5" s="79" t="inlineStr">
        <is>
          <t>PRESENT</t>
        </is>
      </c>
      <c r="B5" s="79" t="inlineStr">
        <is>
          <t>☑</t>
        </is>
      </c>
      <c r="C5" s="79" t="inlineStr">
        <is>
          <t>ABSENT</t>
        </is>
      </c>
      <c r="D5" s="79" t="inlineStr">
        <is>
          <t>☑ Present</t>
        </is>
      </c>
      <c r="E5" s="79" t="inlineStr">
        <is>
          <t>☑ Present</t>
        </is>
      </c>
      <c r="F5" s="79" t="inlineStr">
        <is>
          <t>☑ Present</t>
        </is>
      </c>
      <c r="G5" s="79" t="inlineStr">
        <is>
          <t>☑ Present</t>
        </is>
      </c>
      <c r="H5" s="79" t="inlineStr">
        <is>
          <t>☑ Present</t>
        </is>
      </c>
      <c r="I5" s="79" t="inlineStr">
        <is>
          <t>☑ Present</t>
        </is>
      </c>
      <c r="J5" s="79" t="inlineStr">
        <is>
          <t>☑ Present</t>
        </is>
      </c>
      <c r="K5" s="79" t="inlineStr">
        <is>
          <t>☑ Present</t>
        </is>
      </c>
      <c r="L5" s="79" t="inlineStr">
        <is>
          <t>☑ Present</t>
        </is>
      </c>
      <c r="M5" s="79" t="inlineStr">
        <is>
          <t>☑ Present</t>
        </is>
      </c>
      <c r="N5" s="79" t="inlineStr">
        <is>
          <t>☑ Present</t>
        </is>
      </c>
      <c r="O5" s="79" t="inlineStr">
        <is>
          <t>☑ Present</t>
        </is>
      </c>
      <c r="P5" s="79" t="inlineStr">
        <is>
          <t>☑ Present</t>
        </is>
      </c>
      <c r="Q5" s="79" t="inlineStr">
        <is>
          <t>☑ Present</t>
        </is>
      </c>
      <c r="R5" s="79" t="inlineStr">
        <is>
          <t>☑ Present</t>
        </is>
      </c>
      <c r="S5" s="79" t="inlineStr">
        <is>
          <t>☑ Present</t>
        </is>
      </c>
      <c r="T5" s="79" t="inlineStr">
        <is>
          <t>☑ Present</t>
        </is>
      </c>
      <c r="U5" s="79" t="inlineStr">
        <is>
          <t>☑ Present</t>
        </is>
      </c>
      <c r="V5" s="79" t="inlineStr">
        <is>
          <t>☑ Present</t>
        </is>
      </c>
      <c r="W5" s="79" t="inlineStr">
        <is>
          <t>☑ Present</t>
        </is>
      </c>
      <c r="X5" s="79" t="inlineStr">
        <is>
          <t>☑ Present</t>
        </is>
      </c>
      <c r="Y5" s="79" t="inlineStr">
        <is>
          <t>☑ Present</t>
        </is>
      </c>
      <c r="Z5" s="79" t="inlineStr">
        <is>
          <t>☑ Present</t>
        </is>
      </c>
      <c r="AA5" s="79" t="inlineStr">
        <is>
          <t>☑ Present</t>
        </is>
      </c>
      <c r="AB5" s="79" t="inlineStr">
        <is>
          <t>☑ Present</t>
        </is>
      </c>
      <c r="AC5" s="79" t="inlineStr">
        <is>
          <t>☑ Present</t>
        </is>
      </c>
      <c r="AD5" s="79" t="inlineStr">
        <is>
          <t>☑ Present</t>
        </is>
      </c>
      <c r="AE5" s="79" t="inlineStr">
        <is>
          <t>☑ Present</t>
        </is>
      </c>
      <c r="AF5" s="79" t="inlineStr">
        <is>
          <t>☑ Present</t>
        </is>
      </c>
      <c r="AG5" s="79" t="inlineStr">
        <is>
          <t>☑ Present</t>
        </is>
      </c>
      <c r="AH5" s="79" t="inlineStr">
        <is>
          <t>☑ Present</t>
        </is>
      </c>
      <c r="AI5" s="79" t="inlineStr">
        <is>
          <t>☑ Present</t>
        </is>
      </c>
      <c r="AJ5" s="79" t="inlineStr">
        <is>
          <t>☑ Present</t>
        </is>
      </c>
      <c r="AK5" s="79" t="inlineStr">
        <is>
          <t>☑ Present</t>
        </is>
      </c>
      <c r="AL5" s="79" t="inlineStr">
        <is>
          <t>☑ Present</t>
        </is>
      </c>
      <c r="AM5" s="79" t="inlineStr">
        <is>
          <t>☑ Present</t>
        </is>
      </c>
      <c r="AN5" s="79" t="inlineStr">
        <is>
          <t>☑ Present</t>
        </is>
      </c>
      <c r="AO5" s="79" t="inlineStr">
        <is>
          <t>☑ Present</t>
        </is>
      </c>
      <c r="AP5" s="79" t="inlineStr">
        <is>
          <t>☑ Present</t>
        </is>
      </c>
      <c r="AQ5" s="79" t="inlineStr">
        <is>
          <t>☑ Present</t>
        </is>
      </c>
      <c r="AR5" s="79" t="inlineStr">
        <is>
          <t>☑ Present</t>
        </is>
      </c>
      <c r="AS5" s="79" t="inlineStr">
        <is>
          <t>☑ Present</t>
        </is>
      </c>
      <c r="AT5" s="79" t="inlineStr">
        <is>
          <t>☑ Present</t>
        </is>
      </c>
      <c r="AU5" s="79" t="inlineStr">
        <is>
          <t>☑ Present</t>
        </is>
      </c>
      <c r="AV5" s="79" t="inlineStr">
        <is>
          <t>☑ Present</t>
        </is>
      </c>
      <c r="AW5" s="79" t="inlineStr">
        <is>
          <t>☑ Present</t>
        </is>
      </c>
      <c r="AX5" s="79" t="inlineStr">
        <is>
          <t>☑ Present</t>
        </is>
      </c>
      <c r="AY5" s="79" t="inlineStr">
        <is>
          <t>☑ Present</t>
        </is>
      </c>
      <c r="AZ5" s="79" t="inlineStr">
        <is>
          <t>☑ Present</t>
        </is>
      </c>
      <c r="BA5" s="79" t="inlineStr">
        <is>
          <t>☑ Present</t>
        </is>
      </c>
      <c r="BB5" s="79" t="inlineStr">
        <is>
          <t>☑ Present</t>
        </is>
      </c>
      <c r="BC5" s="79" t="inlineStr">
        <is>
          <t>☑ Present</t>
        </is>
      </c>
      <c r="BD5" s="79" t="inlineStr">
        <is>
          <t>☑ Present</t>
        </is>
      </c>
      <c r="BE5" s="79" t="inlineStr">
        <is>
          <t>☑ Present</t>
        </is>
      </c>
      <c r="BF5" s="79" t="inlineStr">
        <is>
          <t>☑ Present</t>
        </is>
      </c>
      <c r="BG5" s="79" t="inlineStr">
        <is>
          <t>☑ Present</t>
        </is>
      </c>
      <c r="BH5" s="79" t="inlineStr">
        <is>
          <t>☑ Present</t>
        </is>
      </c>
      <c r="BI5" s="79" t="inlineStr">
        <is>
          <t>☑ Present</t>
        </is>
      </c>
      <c r="BJ5" s="79" t="inlineStr">
        <is>
          <t>☑ Present</t>
        </is>
      </c>
      <c r="BK5" s="79" t="inlineStr">
        <is>
          <t>☑ Present</t>
        </is>
      </c>
      <c r="BL5" s="79" t="inlineStr">
        <is>
          <t>☑ Present</t>
        </is>
      </c>
      <c r="BM5" s="79" t="inlineStr">
        <is>
          <t>☑ Present</t>
        </is>
      </c>
      <c r="BN5" s="79" t="inlineStr">
        <is>
          <t>☑ Present</t>
        </is>
      </c>
      <c r="BO5" s="79" t="inlineStr">
        <is>
          <t>☑ Present</t>
        </is>
      </c>
    </row>
    <row r="6">
      <c r="D6" s="86" t="inlineStr">
        <is>
          <t>01-Sep</t>
        </is>
      </c>
      <c r="E6" s="86" t="inlineStr">
        <is>
          <t>01-Sep</t>
        </is>
      </c>
      <c r="F6" s="86" t="inlineStr">
        <is>
          <t>02-Sep</t>
        </is>
      </c>
      <c r="G6" s="86" t="inlineStr">
        <is>
          <t>02-Sep</t>
        </is>
      </c>
      <c r="H6" s="86" t="inlineStr">
        <is>
          <t>03-Sep</t>
        </is>
      </c>
      <c r="I6" s="86" t="inlineStr">
        <is>
          <t>03-Sep</t>
        </is>
      </c>
      <c r="J6" s="86" t="inlineStr">
        <is>
          <t>03-Sep</t>
        </is>
      </c>
      <c r="K6" s="86" t="inlineStr">
        <is>
          <t>04-Sep</t>
        </is>
      </c>
      <c r="L6" s="86" t="inlineStr">
        <is>
          <t>04-Sep</t>
        </is>
      </c>
      <c r="M6" s="86" t="inlineStr">
        <is>
          <t>04-Sep</t>
        </is>
      </c>
      <c r="N6" s="86" t="inlineStr">
        <is>
          <t>05-Sep</t>
        </is>
      </c>
      <c r="O6" s="86" t="inlineStr">
        <is>
          <t>05-Sep</t>
        </is>
      </c>
      <c r="P6" s="86" t="inlineStr">
        <is>
          <t>05-Sep</t>
        </is>
      </c>
      <c r="Q6" s="86" t="inlineStr">
        <is>
          <t>07-Sep</t>
        </is>
      </c>
      <c r="R6" s="86" t="inlineStr">
        <is>
          <t>07-Sep</t>
        </is>
      </c>
      <c r="S6" s="86" t="inlineStr">
        <is>
          <t>08-Sep</t>
        </is>
      </c>
      <c r="T6" s="86" t="inlineStr">
        <is>
          <t>08-Sep</t>
        </is>
      </c>
      <c r="U6" s="86" t="inlineStr">
        <is>
          <t>09-Sep</t>
        </is>
      </c>
      <c r="V6" s="86" t="inlineStr">
        <is>
          <t>09-Sep</t>
        </is>
      </c>
      <c r="W6" s="86" t="inlineStr">
        <is>
          <t>10-Sep</t>
        </is>
      </c>
      <c r="X6" s="86" t="inlineStr">
        <is>
          <t>10-Sep</t>
        </is>
      </c>
      <c r="Y6" s="86" t="inlineStr">
        <is>
          <t>10-Sep</t>
        </is>
      </c>
      <c r="Z6" s="86" t="inlineStr">
        <is>
          <t>11-Sep</t>
        </is>
      </c>
      <c r="AA6" s="86" t="inlineStr">
        <is>
          <t>11-Sep</t>
        </is>
      </c>
      <c r="AB6" s="86" t="inlineStr">
        <is>
          <t>11-Sep</t>
        </is>
      </c>
      <c r="AC6" s="86" t="inlineStr">
        <is>
          <t>12-Sep</t>
        </is>
      </c>
      <c r="AD6" s="86" t="inlineStr">
        <is>
          <t>12-Sep</t>
        </is>
      </c>
      <c r="AE6" s="86" t="inlineStr">
        <is>
          <t>12-Sep</t>
        </is>
      </c>
      <c r="AF6" s="86" t="inlineStr">
        <is>
          <t>14-Sep</t>
        </is>
      </c>
      <c r="AG6" s="86" t="inlineStr">
        <is>
          <t>14-Sep</t>
        </is>
      </c>
      <c r="AH6" s="86" t="inlineStr">
        <is>
          <t>15-Sep</t>
        </is>
      </c>
      <c r="AI6" s="86" t="inlineStr">
        <is>
          <t>15-Sep</t>
        </is>
      </c>
      <c r="AJ6" s="86" t="inlineStr">
        <is>
          <t>16-Sep</t>
        </is>
      </c>
      <c r="AK6" s="86" t="inlineStr">
        <is>
          <t>16-Sep</t>
        </is>
      </c>
      <c r="AL6" s="86" t="inlineStr">
        <is>
          <t>17-Sep</t>
        </is>
      </c>
      <c r="AM6" s="86" t="inlineStr">
        <is>
          <t>17-Sep</t>
        </is>
      </c>
      <c r="AN6" s="86" t="inlineStr">
        <is>
          <t>17-Sep</t>
        </is>
      </c>
      <c r="AO6" s="86" t="inlineStr">
        <is>
          <t>18-Sep</t>
        </is>
      </c>
      <c r="AP6" s="86" t="inlineStr">
        <is>
          <t>18-Sep</t>
        </is>
      </c>
      <c r="AQ6" s="86" t="inlineStr">
        <is>
          <t>18-Sep</t>
        </is>
      </c>
      <c r="AR6" s="86" t="inlineStr">
        <is>
          <t>19-Sep</t>
        </is>
      </c>
      <c r="AS6" s="86" t="inlineStr">
        <is>
          <t>19-Sep</t>
        </is>
      </c>
      <c r="AT6" s="86" t="inlineStr">
        <is>
          <t>19-Sep</t>
        </is>
      </c>
      <c r="AU6" s="86" t="inlineStr">
        <is>
          <t>21-Sep</t>
        </is>
      </c>
      <c r="AV6" s="86" t="inlineStr">
        <is>
          <t>21-Sep</t>
        </is>
      </c>
      <c r="AW6" s="86" t="inlineStr">
        <is>
          <t>22-Sep</t>
        </is>
      </c>
      <c r="AX6" s="86" t="inlineStr">
        <is>
          <t>22-Sep</t>
        </is>
      </c>
      <c r="AY6" s="86" t="inlineStr">
        <is>
          <t>23-Sep</t>
        </is>
      </c>
      <c r="AZ6" s="86" t="inlineStr">
        <is>
          <t>23-Sep</t>
        </is>
      </c>
      <c r="BA6" s="86" t="inlineStr">
        <is>
          <t>24-Sep</t>
        </is>
      </c>
      <c r="BB6" s="86" t="inlineStr">
        <is>
          <t>24-Sep</t>
        </is>
      </c>
      <c r="BC6" s="86" t="inlineStr">
        <is>
          <t>24-Sep</t>
        </is>
      </c>
      <c r="BD6" s="86" t="inlineStr">
        <is>
          <t>25-Sep</t>
        </is>
      </c>
      <c r="BE6" s="86" t="inlineStr">
        <is>
          <t>25-Sep</t>
        </is>
      </c>
      <c r="BF6" s="86" t="inlineStr">
        <is>
          <t>25-Sep</t>
        </is>
      </c>
      <c r="BG6" s="86" t="inlineStr">
        <is>
          <t>26-Sep</t>
        </is>
      </c>
      <c r="BH6" s="86" t="inlineStr">
        <is>
          <t>26-Sep</t>
        </is>
      </c>
      <c r="BI6" s="86" t="inlineStr">
        <is>
          <t>26-Sep</t>
        </is>
      </c>
      <c r="BJ6" s="86" t="inlineStr">
        <is>
          <t>28-Sep</t>
        </is>
      </c>
      <c r="BK6" s="86" t="inlineStr">
        <is>
          <t>28-Sep</t>
        </is>
      </c>
      <c r="BL6" s="86" t="inlineStr">
        <is>
          <t>29-Sep</t>
        </is>
      </c>
      <c r="BM6" s="86" t="inlineStr">
        <is>
          <t>29-Sep</t>
        </is>
      </c>
      <c r="BN6" s="86" t="inlineStr">
        <is>
          <t>30-Sep</t>
        </is>
      </c>
      <c r="BO6" s="86" t="inlineStr">
        <is>
          <t>30-Sep</t>
        </is>
      </c>
    </row>
    <row r="7" ht="42" customHeight="1" s="34">
      <c r="A7" s="87" t="inlineStr">
        <is>
          <t>S.No</t>
        </is>
      </c>
      <c r="B7" s="87" t="inlineStr">
        <is>
          <t>Registration No</t>
        </is>
      </c>
      <c r="C7" s="87" t="inlineStr">
        <is>
          <t>Student Name</t>
        </is>
      </c>
      <c r="D7" s="88" t="inlineStr">
        <is>
          <t>OOPJ LAB-3
Lab</t>
        </is>
      </c>
      <c r="E7" s="88" t="inlineStr">
        <is>
          <t>OOPJ
Theory</t>
        </is>
      </c>
      <c r="F7" s="88" t="inlineStr">
        <is>
          <t>OS
Theory</t>
        </is>
      </c>
      <c r="G7" s="88" t="inlineStr">
        <is>
          <t>DMS
Theory</t>
        </is>
      </c>
      <c r="H7" s="88" t="inlineStr">
        <is>
          <t>OS
Theory</t>
        </is>
      </c>
      <c r="I7" s="88" t="inlineStr">
        <is>
          <t>OOPJ
Theory</t>
        </is>
      </c>
      <c r="J7" s="88" t="inlineStr">
        <is>
          <t>PSQT
Theory</t>
        </is>
      </c>
      <c r="K7" s="88" t="inlineStr">
        <is>
          <t>COA
Theory</t>
        </is>
      </c>
      <c r="L7" s="88" t="inlineStr">
        <is>
          <t>DMS
Theory</t>
        </is>
      </c>
      <c r="M7" s="88" t="inlineStr">
        <is>
          <t>OS LAB-1 / OOPJ LAB-2
Lab</t>
        </is>
      </c>
      <c r="N7" s="88" t="inlineStr">
        <is>
          <t>COA
Theory</t>
        </is>
      </c>
      <c r="O7" s="88" t="inlineStr">
        <is>
          <t>COA LAB-2
Lab</t>
        </is>
      </c>
      <c r="P7" s="88" t="inlineStr">
        <is>
          <t>OS LAB-2 / OOPJ LAB-1 / COA LAB-3
Lab</t>
        </is>
      </c>
      <c r="Q7" s="88" t="inlineStr">
        <is>
          <t>PSQT
Theory</t>
        </is>
      </c>
      <c r="R7" s="88" t="inlineStr">
        <is>
          <t>COA LAB-1 / OS LAB-3
Lab</t>
        </is>
      </c>
      <c r="S7" s="88" t="inlineStr">
        <is>
          <t>OOPJ LAB-3
Lab</t>
        </is>
      </c>
      <c r="T7" s="88" t="inlineStr">
        <is>
          <t>OOPJ
Theory</t>
        </is>
      </c>
      <c r="U7" s="88" t="inlineStr">
        <is>
          <t>OS
Theory</t>
        </is>
      </c>
      <c r="V7" s="88" t="inlineStr">
        <is>
          <t>DMS
Theory</t>
        </is>
      </c>
      <c r="W7" s="88" t="inlineStr">
        <is>
          <t>OS
Theory</t>
        </is>
      </c>
      <c r="X7" s="88" t="inlineStr">
        <is>
          <t>OOPJ
Theory</t>
        </is>
      </c>
      <c r="Y7" s="88" t="inlineStr">
        <is>
          <t>PSQT
Theory</t>
        </is>
      </c>
      <c r="Z7" s="88" t="inlineStr">
        <is>
          <t>COA
Theory</t>
        </is>
      </c>
      <c r="AA7" s="88" t="inlineStr">
        <is>
          <t>DMS
Theory</t>
        </is>
      </c>
      <c r="AB7" s="88" t="inlineStr">
        <is>
          <t>OS LAB-1 / OOPJ LAB-2
Lab</t>
        </is>
      </c>
      <c r="AC7" s="88" t="inlineStr">
        <is>
          <t>COA
Theory</t>
        </is>
      </c>
      <c r="AD7" s="88" t="inlineStr">
        <is>
          <t>COA LAB-2
Lab</t>
        </is>
      </c>
      <c r="AE7" s="88" t="inlineStr">
        <is>
          <t>OS LAB-2 / OOPJ LAB-1 / COA LAB-3
Lab</t>
        </is>
      </c>
      <c r="AF7" s="88" t="inlineStr">
        <is>
          <t>PSQT
Theory</t>
        </is>
      </c>
      <c r="AG7" s="88" t="inlineStr">
        <is>
          <t>COA LAB-1 / OS LAB-3
Lab</t>
        </is>
      </c>
      <c r="AH7" s="88" t="inlineStr">
        <is>
          <t>OOPJ LAB-3
Lab</t>
        </is>
      </c>
      <c r="AI7" s="88" t="inlineStr">
        <is>
          <t>OOPJ
Theory</t>
        </is>
      </c>
      <c r="AJ7" s="88" t="inlineStr">
        <is>
          <t>OS
Theory</t>
        </is>
      </c>
      <c r="AK7" s="88" t="inlineStr">
        <is>
          <t>DMS
Theory</t>
        </is>
      </c>
      <c r="AL7" s="88" t="inlineStr">
        <is>
          <t>OS
Theory</t>
        </is>
      </c>
      <c r="AM7" s="88" t="inlineStr">
        <is>
          <t>OOPJ
Theory</t>
        </is>
      </c>
      <c r="AN7" s="88" t="inlineStr">
        <is>
          <t>PSQT
Theory</t>
        </is>
      </c>
      <c r="AO7" s="88" t="inlineStr">
        <is>
          <t>COA
Theory</t>
        </is>
      </c>
      <c r="AP7" s="88" t="inlineStr">
        <is>
          <t>DMS
Theory</t>
        </is>
      </c>
      <c r="AQ7" s="88" t="inlineStr">
        <is>
          <t>OS LAB-1 / OOPJ LAB-2
Lab</t>
        </is>
      </c>
      <c r="AR7" s="88" t="inlineStr">
        <is>
          <t>COA
Theory</t>
        </is>
      </c>
      <c r="AS7" s="88" t="inlineStr">
        <is>
          <t>COA LAB-2
Lab</t>
        </is>
      </c>
      <c r="AT7" s="88" t="inlineStr">
        <is>
          <t>OS LAB-2 / OOPJ LAB-1 / COA LAB-3
Lab</t>
        </is>
      </c>
      <c r="AU7" s="88" t="inlineStr">
        <is>
          <t>PSQT
Theory</t>
        </is>
      </c>
      <c r="AV7" s="88" t="inlineStr">
        <is>
          <t>COA LAB-1 / OS LAB-3
Lab</t>
        </is>
      </c>
      <c r="AW7" s="88" t="inlineStr">
        <is>
          <t>OOPJ LAB-3
Lab</t>
        </is>
      </c>
      <c r="AX7" s="88" t="inlineStr">
        <is>
          <t>OOPJ
Theory</t>
        </is>
      </c>
      <c r="AY7" s="88" t="inlineStr">
        <is>
          <t>OS
Theory</t>
        </is>
      </c>
      <c r="AZ7" s="88" t="inlineStr">
        <is>
          <t>DMS
Theory</t>
        </is>
      </c>
      <c r="BA7" s="88" t="inlineStr">
        <is>
          <t>OS
Theory</t>
        </is>
      </c>
      <c r="BB7" s="88" t="inlineStr">
        <is>
          <t>OOPJ
Theory</t>
        </is>
      </c>
      <c r="BC7" s="88" t="inlineStr">
        <is>
          <t>PSQT
Theory</t>
        </is>
      </c>
      <c r="BD7" s="88" t="inlineStr">
        <is>
          <t>COA
Theory</t>
        </is>
      </c>
      <c r="BE7" s="88" t="inlineStr">
        <is>
          <t>DMS
Theory</t>
        </is>
      </c>
      <c r="BF7" s="88" t="inlineStr">
        <is>
          <t>OS LAB-1 / OOPJ LAB-2
Lab</t>
        </is>
      </c>
      <c r="BG7" s="88" t="inlineStr">
        <is>
          <t>COA
Theory</t>
        </is>
      </c>
      <c r="BH7" s="88" t="inlineStr">
        <is>
          <t>COA LAB-2
Lab</t>
        </is>
      </c>
      <c r="BI7" s="88" t="inlineStr">
        <is>
          <t>OS LAB-2 / OOPJ LAB-1 / COA LAB-3
Lab</t>
        </is>
      </c>
      <c r="BJ7" s="88" t="inlineStr">
        <is>
          <t>PSQT
Theory</t>
        </is>
      </c>
      <c r="BK7" s="88" t="inlineStr">
        <is>
          <t>COA LAB-1 / OS LAB-3
Lab</t>
        </is>
      </c>
      <c r="BL7" s="88" t="inlineStr">
        <is>
          <t>OOPJ LAB-3
Lab</t>
        </is>
      </c>
      <c r="BM7" s="88" t="inlineStr">
        <is>
          <t>OOPJ
Theory</t>
        </is>
      </c>
      <c r="BN7" s="88" t="inlineStr">
        <is>
          <t>OS
Theory</t>
        </is>
      </c>
      <c r="BO7" s="88" t="inlineStr">
        <is>
          <t>DMS
Theory</t>
        </is>
      </c>
    </row>
    <row r="8">
      <c r="A8" s="79" t="n">
        <v>1</v>
      </c>
      <c r="B8" s="79" t="inlineStr">
        <is>
          <t>325106410001</t>
        </is>
      </c>
      <c r="C8" s="79" t="inlineStr">
        <is>
          <t>RATISH SHARMA</t>
        </is>
      </c>
      <c r="D8" s="78" t="inlineStr">
        <is>
          <t>—</t>
        </is>
      </c>
      <c r="E8" s="79" t="inlineStr">
        <is>
          <t>☑</t>
        </is>
      </c>
      <c r="F8" s="79" t="inlineStr">
        <is>
          <t>☑</t>
        </is>
      </c>
      <c r="G8" s="79" t="inlineStr">
        <is>
          <t>☑</t>
        </is>
      </c>
      <c r="H8" s="79" t="inlineStr">
        <is>
          <t>☑</t>
        </is>
      </c>
      <c r="I8" s="79" t="inlineStr">
        <is>
          <t>☑</t>
        </is>
      </c>
      <c r="J8" s="79" t="inlineStr">
        <is>
          <t>☑</t>
        </is>
      </c>
      <c r="K8" s="79" t="inlineStr">
        <is>
          <t>☑</t>
        </is>
      </c>
      <c r="L8" s="79" t="inlineStr">
        <is>
          <t>☑</t>
        </is>
      </c>
      <c r="M8" s="79" t="inlineStr">
        <is>
          <t>☑</t>
        </is>
      </c>
      <c r="N8" s="79" t="inlineStr">
        <is>
          <t>☑</t>
        </is>
      </c>
      <c r="O8" s="78" t="inlineStr">
        <is>
          <t>—</t>
        </is>
      </c>
      <c r="P8" s="79" t="inlineStr">
        <is>
          <t>☑</t>
        </is>
      </c>
      <c r="Q8" s="79" t="inlineStr">
        <is>
          <t>☑</t>
        </is>
      </c>
      <c r="R8" s="79" t="inlineStr">
        <is>
          <t>☑</t>
        </is>
      </c>
      <c r="S8" s="78" t="inlineStr">
        <is>
          <t>—</t>
        </is>
      </c>
      <c r="T8" s="79" t="inlineStr">
        <is>
          <t>☑</t>
        </is>
      </c>
      <c r="U8" s="79" t="inlineStr">
        <is>
          <t>☑</t>
        </is>
      </c>
      <c r="V8" s="79" t="inlineStr">
        <is>
          <t>☑</t>
        </is>
      </c>
      <c r="W8" s="79" t="inlineStr">
        <is>
          <t>☑</t>
        </is>
      </c>
      <c r="X8" s="79" t="inlineStr">
        <is>
          <t>☑</t>
        </is>
      </c>
      <c r="Y8" s="79" t="inlineStr">
        <is>
          <t>☑</t>
        </is>
      </c>
      <c r="Z8" s="79" t="inlineStr">
        <is>
          <t>☑</t>
        </is>
      </c>
      <c r="AA8" s="79" t="inlineStr">
        <is>
          <t>☑</t>
        </is>
      </c>
      <c r="AB8" s="79" t="inlineStr">
        <is>
          <t>☑</t>
        </is>
      </c>
      <c r="AC8" s="79" t="inlineStr">
        <is>
          <t>☑</t>
        </is>
      </c>
      <c r="AD8" s="78" t="inlineStr">
        <is>
          <t>—</t>
        </is>
      </c>
      <c r="AE8" s="79" t="inlineStr">
        <is>
          <t>☑</t>
        </is>
      </c>
      <c r="AF8" s="79" t="inlineStr">
        <is>
          <t>☑</t>
        </is>
      </c>
      <c r="AG8" s="79" t="inlineStr">
        <is>
          <t>☑</t>
        </is>
      </c>
      <c r="AH8" s="78" t="inlineStr">
        <is>
          <t>—</t>
        </is>
      </c>
      <c r="AI8" s="79" t="inlineStr">
        <is>
          <t>☑</t>
        </is>
      </c>
      <c r="AJ8" s="79" t="inlineStr">
        <is>
          <t>☑</t>
        </is>
      </c>
      <c r="AK8" s="79" t="inlineStr">
        <is>
          <t>☑</t>
        </is>
      </c>
      <c r="AL8" s="79" t="inlineStr">
        <is>
          <t>☑</t>
        </is>
      </c>
      <c r="AM8" s="79" t="inlineStr">
        <is>
          <t>☑</t>
        </is>
      </c>
      <c r="AN8" s="79" t="inlineStr">
        <is>
          <t>☑</t>
        </is>
      </c>
      <c r="AO8" s="79" t="inlineStr">
        <is>
          <t>☑</t>
        </is>
      </c>
      <c r="AP8" s="79" t="inlineStr">
        <is>
          <t>☑</t>
        </is>
      </c>
      <c r="AQ8" s="79" t="inlineStr">
        <is>
          <t>☑</t>
        </is>
      </c>
      <c r="AR8" s="79" t="inlineStr">
        <is>
          <t>☑</t>
        </is>
      </c>
      <c r="AS8" s="78" t="inlineStr">
        <is>
          <t>—</t>
        </is>
      </c>
      <c r="AT8" s="79" t="inlineStr">
        <is>
          <t>☑</t>
        </is>
      </c>
      <c r="AU8" s="79" t="inlineStr">
        <is>
          <t>☑</t>
        </is>
      </c>
      <c r="AV8" s="79" t="inlineStr">
        <is>
          <t>☑</t>
        </is>
      </c>
      <c r="AW8" s="78" t="inlineStr">
        <is>
          <t>—</t>
        </is>
      </c>
      <c r="AX8" s="79" t="inlineStr">
        <is>
          <t>☑</t>
        </is>
      </c>
      <c r="AY8" s="79" t="inlineStr">
        <is>
          <t>☑</t>
        </is>
      </c>
      <c r="AZ8" s="79" t="inlineStr">
        <is>
          <t>☑</t>
        </is>
      </c>
      <c r="BA8" s="79" t="inlineStr">
        <is>
          <t>☑</t>
        </is>
      </c>
      <c r="BB8" s="79" t="inlineStr">
        <is>
          <t>☑</t>
        </is>
      </c>
      <c r="BC8" s="79" t="inlineStr">
        <is>
          <t>☑</t>
        </is>
      </c>
      <c r="BD8" s="79" t="inlineStr">
        <is>
          <t>☑</t>
        </is>
      </c>
      <c r="BE8" s="79" t="inlineStr">
        <is>
          <t>☑</t>
        </is>
      </c>
      <c r="BF8" s="79" t="inlineStr">
        <is>
          <t>☑</t>
        </is>
      </c>
      <c r="BG8" s="79" t="inlineStr">
        <is>
          <t>☑</t>
        </is>
      </c>
      <c r="BH8" s="78" t="inlineStr">
        <is>
          <t>—</t>
        </is>
      </c>
      <c r="BI8" s="79" t="inlineStr">
        <is>
          <t>☑</t>
        </is>
      </c>
      <c r="BJ8" s="79" t="inlineStr">
        <is>
          <t>☑</t>
        </is>
      </c>
      <c r="BK8" s="79" t="inlineStr">
        <is>
          <t>☑</t>
        </is>
      </c>
      <c r="BL8" s="78" t="inlineStr">
        <is>
          <t>—</t>
        </is>
      </c>
      <c r="BM8" s="79" t="inlineStr">
        <is>
          <t>☑</t>
        </is>
      </c>
      <c r="BN8" s="79" t="inlineStr">
        <is>
          <t>☑</t>
        </is>
      </c>
      <c r="BO8" s="79" t="inlineStr">
        <is>
          <t>☑</t>
        </is>
      </c>
    </row>
    <row r="9">
      <c r="A9" s="79" t="n">
        <v>2</v>
      </c>
      <c r="B9" s="79" t="inlineStr">
        <is>
          <t>325106410002</t>
        </is>
      </c>
      <c r="C9" s="79" t="inlineStr">
        <is>
          <t>ABDUL REHMAN</t>
        </is>
      </c>
      <c r="D9" s="78" t="inlineStr">
        <is>
          <t>—</t>
        </is>
      </c>
      <c r="E9" s="79" t="inlineStr">
        <is>
          <t>☑</t>
        </is>
      </c>
      <c r="F9" s="79" t="inlineStr">
        <is>
          <t>☑</t>
        </is>
      </c>
      <c r="G9" s="79" t="inlineStr">
        <is>
          <t>☑</t>
        </is>
      </c>
      <c r="H9" s="79" t="inlineStr">
        <is>
          <t>☑</t>
        </is>
      </c>
      <c r="I9" s="79" t="inlineStr">
        <is>
          <t>☑</t>
        </is>
      </c>
      <c r="J9" s="79" t="inlineStr">
        <is>
          <t>☑</t>
        </is>
      </c>
      <c r="K9" s="79" t="inlineStr">
        <is>
          <t>☑</t>
        </is>
      </c>
      <c r="L9" s="79" t="inlineStr">
        <is>
          <t>☑</t>
        </is>
      </c>
      <c r="M9" s="79" t="inlineStr">
        <is>
          <t>☑</t>
        </is>
      </c>
      <c r="N9" s="79" t="inlineStr">
        <is>
          <t>☑</t>
        </is>
      </c>
      <c r="O9" s="78" t="inlineStr">
        <is>
          <t>—</t>
        </is>
      </c>
      <c r="P9" s="79" t="inlineStr">
        <is>
          <t>☑</t>
        </is>
      </c>
      <c r="Q9" s="79" t="inlineStr">
        <is>
          <t>☑</t>
        </is>
      </c>
      <c r="R9" s="79" t="inlineStr">
        <is>
          <t>☑</t>
        </is>
      </c>
      <c r="S9" s="78" t="inlineStr">
        <is>
          <t>—</t>
        </is>
      </c>
      <c r="T9" s="79" t="inlineStr">
        <is>
          <t>☑</t>
        </is>
      </c>
      <c r="U9" s="79" t="inlineStr">
        <is>
          <t>☑</t>
        </is>
      </c>
      <c r="V9" s="79" t="inlineStr">
        <is>
          <t>☑</t>
        </is>
      </c>
      <c r="W9" s="79" t="inlineStr">
        <is>
          <t>☑</t>
        </is>
      </c>
      <c r="X9" s="79" t="inlineStr">
        <is>
          <t>☑</t>
        </is>
      </c>
      <c r="Y9" s="79" t="inlineStr">
        <is>
          <t>☑</t>
        </is>
      </c>
      <c r="Z9" s="79" t="inlineStr">
        <is>
          <t>☑</t>
        </is>
      </c>
      <c r="AA9" s="79" t="inlineStr">
        <is>
          <t>☑</t>
        </is>
      </c>
      <c r="AB9" s="79" t="inlineStr">
        <is>
          <t>☑</t>
        </is>
      </c>
      <c r="AC9" s="79" t="inlineStr">
        <is>
          <t>☑</t>
        </is>
      </c>
      <c r="AD9" s="78" t="inlineStr">
        <is>
          <t>—</t>
        </is>
      </c>
      <c r="AE9" s="79" t="inlineStr">
        <is>
          <t>☑</t>
        </is>
      </c>
      <c r="AF9" s="79" t="inlineStr">
        <is>
          <t>☑</t>
        </is>
      </c>
      <c r="AG9" s="79" t="inlineStr">
        <is>
          <t>☑</t>
        </is>
      </c>
      <c r="AH9" s="78" t="inlineStr">
        <is>
          <t>—</t>
        </is>
      </c>
      <c r="AI9" s="79" t="inlineStr">
        <is>
          <t>☑</t>
        </is>
      </c>
      <c r="AJ9" s="79" t="inlineStr">
        <is>
          <t>☑</t>
        </is>
      </c>
      <c r="AK9" s="79" t="inlineStr">
        <is>
          <t>☑</t>
        </is>
      </c>
      <c r="AL9" s="79" t="inlineStr">
        <is>
          <t>☑</t>
        </is>
      </c>
      <c r="AM9" s="79" t="inlineStr">
        <is>
          <t>☑</t>
        </is>
      </c>
      <c r="AN9" s="79" t="inlineStr">
        <is>
          <t>☑</t>
        </is>
      </c>
      <c r="AO9" s="79" t="inlineStr">
        <is>
          <t>☑</t>
        </is>
      </c>
      <c r="AP9" s="79" t="inlineStr">
        <is>
          <t>☑</t>
        </is>
      </c>
      <c r="AQ9" s="79" t="inlineStr">
        <is>
          <t>☑</t>
        </is>
      </c>
      <c r="AR9" s="79" t="inlineStr">
        <is>
          <t>☑</t>
        </is>
      </c>
      <c r="AS9" s="78" t="inlineStr">
        <is>
          <t>—</t>
        </is>
      </c>
      <c r="AT9" s="79" t="inlineStr">
        <is>
          <t>☑</t>
        </is>
      </c>
      <c r="AU9" s="79" t="inlineStr">
        <is>
          <t>☑</t>
        </is>
      </c>
      <c r="AV9" s="79" t="inlineStr">
        <is>
          <t>☑</t>
        </is>
      </c>
      <c r="AW9" s="78" t="inlineStr">
        <is>
          <t>—</t>
        </is>
      </c>
      <c r="AX9" s="79" t="inlineStr">
        <is>
          <t>☑</t>
        </is>
      </c>
      <c r="AY9" s="79" t="inlineStr">
        <is>
          <t>☑</t>
        </is>
      </c>
      <c r="AZ9" s="79" t="inlineStr">
        <is>
          <t>☑</t>
        </is>
      </c>
      <c r="BA9" s="79" t="inlineStr">
        <is>
          <t>☑</t>
        </is>
      </c>
      <c r="BB9" s="79" t="inlineStr">
        <is>
          <t>☑</t>
        </is>
      </c>
      <c r="BC9" s="79" t="inlineStr">
        <is>
          <t>☑</t>
        </is>
      </c>
      <c r="BD9" s="79" t="inlineStr">
        <is>
          <t>☑</t>
        </is>
      </c>
      <c r="BE9" s="79" t="inlineStr">
        <is>
          <t>☑</t>
        </is>
      </c>
      <c r="BF9" s="79" t="inlineStr">
        <is>
          <t>☑</t>
        </is>
      </c>
      <c r="BG9" s="79" t="inlineStr">
        <is>
          <t>☑</t>
        </is>
      </c>
      <c r="BH9" s="78" t="inlineStr">
        <is>
          <t>—</t>
        </is>
      </c>
      <c r="BI9" s="79" t="inlineStr">
        <is>
          <t>☑</t>
        </is>
      </c>
      <c r="BJ9" s="79" t="inlineStr">
        <is>
          <t>☑</t>
        </is>
      </c>
      <c r="BK9" s="79" t="inlineStr">
        <is>
          <t>☑</t>
        </is>
      </c>
      <c r="BL9" s="78" t="inlineStr">
        <is>
          <t>—</t>
        </is>
      </c>
      <c r="BM9" s="79" t="inlineStr">
        <is>
          <t>☑</t>
        </is>
      </c>
      <c r="BN9" s="79" t="inlineStr">
        <is>
          <t>☑</t>
        </is>
      </c>
      <c r="BO9" s="79" t="inlineStr">
        <is>
          <t>☑</t>
        </is>
      </c>
    </row>
    <row r="10">
      <c r="A10" s="79" t="n">
        <v>3</v>
      </c>
      <c r="B10" s="79" t="inlineStr">
        <is>
          <t>325106410003</t>
        </is>
      </c>
      <c r="C10" s="79" t="inlineStr">
        <is>
          <t>RISHITHA AKUMARTHI</t>
        </is>
      </c>
      <c r="D10" s="78" t="inlineStr">
        <is>
          <t>—</t>
        </is>
      </c>
      <c r="E10" s="79" t="inlineStr">
        <is>
          <t>☑</t>
        </is>
      </c>
      <c r="F10" s="79" t="inlineStr">
        <is>
          <t>☑</t>
        </is>
      </c>
      <c r="G10" s="79" t="inlineStr">
        <is>
          <t>☑</t>
        </is>
      </c>
      <c r="H10" s="79" t="inlineStr">
        <is>
          <t>☑</t>
        </is>
      </c>
      <c r="I10" s="79" t="inlineStr">
        <is>
          <t>☑</t>
        </is>
      </c>
      <c r="J10" s="79" t="inlineStr">
        <is>
          <t>☑</t>
        </is>
      </c>
      <c r="K10" s="79" t="inlineStr">
        <is>
          <t>☑</t>
        </is>
      </c>
      <c r="L10" s="79" t="inlineStr">
        <is>
          <t>☑</t>
        </is>
      </c>
      <c r="M10" s="79" t="inlineStr">
        <is>
          <t>☑</t>
        </is>
      </c>
      <c r="N10" s="79" t="inlineStr">
        <is>
          <t>☑</t>
        </is>
      </c>
      <c r="O10" s="78" t="inlineStr">
        <is>
          <t>—</t>
        </is>
      </c>
      <c r="P10" s="79" t="inlineStr">
        <is>
          <t>☑</t>
        </is>
      </c>
      <c r="Q10" s="79" t="inlineStr">
        <is>
          <t>☑</t>
        </is>
      </c>
      <c r="R10" s="79" t="inlineStr">
        <is>
          <t>☑</t>
        </is>
      </c>
      <c r="S10" s="78" t="inlineStr">
        <is>
          <t>—</t>
        </is>
      </c>
      <c r="T10" s="79" t="inlineStr">
        <is>
          <t>☑</t>
        </is>
      </c>
      <c r="U10" s="79" t="inlineStr">
        <is>
          <t>☑</t>
        </is>
      </c>
      <c r="V10" s="79" t="inlineStr">
        <is>
          <t>☑</t>
        </is>
      </c>
      <c r="W10" s="79" t="inlineStr">
        <is>
          <t>☑</t>
        </is>
      </c>
      <c r="X10" s="79" t="inlineStr">
        <is>
          <t>☑</t>
        </is>
      </c>
      <c r="Y10" s="79" t="inlineStr">
        <is>
          <t>☑</t>
        </is>
      </c>
      <c r="Z10" s="79" t="inlineStr">
        <is>
          <t>☑</t>
        </is>
      </c>
      <c r="AA10" s="79" t="inlineStr">
        <is>
          <t>☑</t>
        </is>
      </c>
      <c r="AB10" s="79" t="inlineStr">
        <is>
          <t>☑</t>
        </is>
      </c>
      <c r="AC10" s="79" t="inlineStr">
        <is>
          <t>☑</t>
        </is>
      </c>
      <c r="AD10" s="78" t="inlineStr">
        <is>
          <t>—</t>
        </is>
      </c>
      <c r="AE10" s="79" t="inlineStr">
        <is>
          <t>☑</t>
        </is>
      </c>
      <c r="AF10" s="79" t="inlineStr">
        <is>
          <t>☑</t>
        </is>
      </c>
      <c r="AG10" s="79" t="inlineStr">
        <is>
          <t>☑</t>
        </is>
      </c>
      <c r="AH10" s="78" t="inlineStr">
        <is>
          <t>—</t>
        </is>
      </c>
      <c r="AI10" s="79" t="inlineStr">
        <is>
          <t>☑</t>
        </is>
      </c>
      <c r="AJ10" s="79" t="inlineStr">
        <is>
          <t>☑</t>
        </is>
      </c>
      <c r="AK10" s="79" t="inlineStr">
        <is>
          <t>☑</t>
        </is>
      </c>
      <c r="AL10" s="79" t="inlineStr">
        <is>
          <t>☑</t>
        </is>
      </c>
      <c r="AM10" s="79" t="inlineStr">
        <is>
          <t>☑</t>
        </is>
      </c>
      <c r="AN10" s="79" t="inlineStr">
        <is>
          <t>☑</t>
        </is>
      </c>
      <c r="AO10" s="79" t="inlineStr">
        <is>
          <t>☑</t>
        </is>
      </c>
      <c r="AP10" s="79" t="inlineStr">
        <is>
          <t>☑</t>
        </is>
      </c>
      <c r="AQ10" s="79" t="inlineStr">
        <is>
          <t>☑</t>
        </is>
      </c>
      <c r="AR10" s="79" t="inlineStr">
        <is>
          <t>☑</t>
        </is>
      </c>
      <c r="AS10" s="78" t="inlineStr">
        <is>
          <t>—</t>
        </is>
      </c>
      <c r="AT10" s="79" t="inlineStr">
        <is>
          <t>☑</t>
        </is>
      </c>
      <c r="AU10" s="79" t="inlineStr">
        <is>
          <t>☑</t>
        </is>
      </c>
      <c r="AV10" s="79" t="inlineStr">
        <is>
          <t>☑</t>
        </is>
      </c>
      <c r="AW10" s="78" t="inlineStr">
        <is>
          <t>—</t>
        </is>
      </c>
      <c r="AX10" s="79" t="inlineStr">
        <is>
          <t>☑</t>
        </is>
      </c>
      <c r="AY10" s="79" t="inlineStr">
        <is>
          <t>☑</t>
        </is>
      </c>
      <c r="AZ10" s="79" t="inlineStr">
        <is>
          <t>☑</t>
        </is>
      </c>
      <c r="BA10" s="79" t="inlineStr">
        <is>
          <t>☑</t>
        </is>
      </c>
      <c r="BB10" s="79" t="inlineStr">
        <is>
          <t>☑</t>
        </is>
      </c>
      <c r="BC10" s="79" t="inlineStr">
        <is>
          <t>☑</t>
        </is>
      </c>
      <c r="BD10" s="79" t="inlineStr">
        <is>
          <t>☑</t>
        </is>
      </c>
      <c r="BE10" s="79" t="inlineStr">
        <is>
          <t>☑</t>
        </is>
      </c>
      <c r="BF10" s="79" t="inlineStr">
        <is>
          <t>☑</t>
        </is>
      </c>
      <c r="BG10" s="79" t="inlineStr">
        <is>
          <t>☑</t>
        </is>
      </c>
      <c r="BH10" s="78" t="inlineStr">
        <is>
          <t>—</t>
        </is>
      </c>
      <c r="BI10" s="79" t="inlineStr">
        <is>
          <t>☑</t>
        </is>
      </c>
      <c r="BJ10" s="79" t="inlineStr">
        <is>
          <t>☑</t>
        </is>
      </c>
      <c r="BK10" s="79" t="inlineStr">
        <is>
          <t>☑</t>
        </is>
      </c>
      <c r="BL10" s="78" t="inlineStr">
        <is>
          <t>—</t>
        </is>
      </c>
      <c r="BM10" s="79" t="inlineStr">
        <is>
          <t>☑</t>
        </is>
      </c>
      <c r="BN10" s="79" t="inlineStr">
        <is>
          <t>☑</t>
        </is>
      </c>
      <c r="BO10" s="79" t="inlineStr">
        <is>
          <t>☑</t>
        </is>
      </c>
    </row>
    <row r="11">
      <c r="A11" s="79" t="n">
        <v>4</v>
      </c>
      <c r="B11" s="79" t="inlineStr">
        <is>
          <t>325106410004</t>
        </is>
      </c>
      <c r="C11" s="79" t="inlineStr">
        <is>
          <t>SIREESHA BADANA</t>
        </is>
      </c>
      <c r="D11" s="78" t="inlineStr">
        <is>
          <t>—</t>
        </is>
      </c>
      <c r="E11" s="79" t="inlineStr">
        <is>
          <t>☑</t>
        </is>
      </c>
      <c r="F11" s="79" t="inlineStr">
        <is>
          <t>☑</t>
        </is>
      </c>
      <c r="G11" s="79" t="inlineStr">
        <is>
          <t>☑</t>
        </is>
      </c>
      <c r="H11" s="79" t="inlineStr">
        <is>
          <t>☑</t>
        </is>
      </c>
      <c r="I11" s="79" t="inlineStr">
        <is>
          <t>☑</t>
        </is>
      </c>
      <c r="J11" s="79" t="inlineStr">
        <is>
          <t>☑</t>
        </is>
      </c>
      <c r="K11" s="79" t="inlineStr">
        <is>
          <t>☑</t>
        </is>
      </c>
      <c r="L11" s="79" t="inlineStr">
        <is>
          <t>☑</t>
        </is>
      </c>
      <c r="M11" s="79" t="inlineStr">
        <is>
          <t>☑</t>
        </is>
      </c>
      <c r="N11" s="79" t="inlineStr">
        <is>
          <t>☑</t>
        </is>
      </c>
      <c r="O11" s="78" t="inlineStr">
        <is>
          <t>—</t>
        </is>
      </c>
      <c r="P11" s="79" t="inlineStr">
        <is>
          <t>☑</t>
        </is>
      </c>
      <c r="Q11" s="79" t="inlineStr">
        <is>
          <t>☑</t>
        </is>
      </c>
      <c r="R11" s="79" t="inlineStr">
        <is>
          <t>☑</t>
        </is>
      </c>
      <c r="S11" s="78" t="inlineStr">
        <is>
          <t>—</t>
        </is>
      </c>
      <c r="T11" s="79" t="inlineStr">
        <is>
          <t>☑</t>
        </is>
      </c>
      <c r="U11" s="79" t="inlineStr">
        <is>
          <t>☑</t>
        </is>
      </c>
      <c r="V11" s="79" t="inlineStr">
        <is>
          <t>☑</t>
        </is>
      </c>
      <c r="W11" s="79" t="inlineStr">
        <is>
          <t>☑</t>
        </is>
      </c>
      <c r="X11" s="79" t="inlineStr">
        <is>
          <t>☑</t>
        </is>
      </c>
      <c r="Y11" s="79" t="inlineStr">
        <is>
          <t>☑</t>
        </is>
      </c>
      <c r="Z11" s="79" t="inlineStr">
        <is>
          <t>☑</t>
        </is>
      </c>
      <c r="AA11" s="79" t="inlineStr">
        <is>
          <t>☑</t>
        </is>
      </c>
      <c r="AB11" s="79" t="inlineStr">
        <is>
          <t>☑</t>
        </is>
      </c>
      <c r="AC11" s="79" t="inlineStr">
        <is>
          <t>☑</t>
        </is>
      </c>
      <c r="AD11" s="78" t="inlineStr">
        <is>
          <t>—</t>
        </is>
      </c>
      <c r="AE11" s="79" t="inlineStr">
        <is>
          <t>☑</t>
        </is>
      </c>
      <c r="AF11" s="79" t="inlineStr">
        <is>
          <t>☑</t>
        </is>
      </c>
      <c r="AG11" s="79" t="inlineStr">
        <is>
          <t>☑</t>
        </is>
      </c>
      <c r="AH11" s="78" t="inlineStr">
        <is>
          <t>—</t>
        </is>
      </c>
      <c r="AI11" s="79" t="inlineStr">
        <is>
          <t>☑</t>
        </is>
      </c>
      <c r="AJ11" s="79" t="inlineStr">
        <is>
          <t>☑</t>
        </is>
      </c>
      <c r="AK11" s="79" t="inlineStr">
        <is>
          <t>☑</t>
        </is>
      </c>
      <c r="AL11" s="79" t="inlineStr">
        <is>
          <t>☑</t>
        </is>
      </c>
      <c r="AM11" s="79" t="inlineStr">
        <is>
          <t>☑</t>
        </is>
      </c>
      <c r="AN11" s="79" t="inlineStr">
        <is>
          <t>☑</t>
        </is>
      </c>
      <c r="AO11" s="79" t="inlineStr">
        <is>
          <t>☑</t>
        </is>
      </c>
      <c r="AP11" s="79" t="inlineStr">
        <is>
          <t>☑</t>
        </is>
      </c>
      <c r="AQ11" s="79" t="inlineStr">
        <is>
          <t>☑</t>
        </is>
      </c>
      <c r="AR11" s="79" t="inlineStr">
        <is>
          <t>☑</t>
        </is>
      </c>
      <c r="AS11" s="78" t="inlineStr">
        <is>
          <t>—</t>
        </is>
      </c>
      <c r="AT11" s="79" t="inlineStr">
        <is>
          <t>☑</t>
        </is>
      </c>
      <c r="AU11" s="79" t="inlineStr">
        <is>
          <t>☑</t>
        </is>
      </c>
      <c r="AV11" s="79" t="inlineStr">
        <is>
          <t>☑</t>
        </is>
      </c>
      <c r="AW11" s="78" t="inlineStr">
        <is>
          <t>—</t>
        </is>
      </c>
      <c r="AX11" s="79" t="inlineStr">
        <is>
          <t>☑</t>
        </is>
      </c>
      <c r="AY11" s="79" t="inlineStr">
        <is>
          <t>☑</t>
        </is>
      </c>
      <c r="AZ11" s="79" t="inlineStr">
        <is>
          <t>☑</t>
        </is>
      </c>
      <c r="BA11" s="79" t="inlineStr">
        <is>
          <t>☑</t>
        </is>
      </c>
      <c r="BB11" s="79" t="inlineStr">
        <is>
          <t>☑</t>
        </is>
      </c>
      <c r="BC11" s="79" t="inlineStr">
        <is>
          <t>☑</t>
        </is>
      </c>
      <c r="BD11" s="79" t="inlineStr">
        <is>
          <t>☑</t>
        </is>
      </c>
      <c r="BE11" s="79" t="inlineStr">
        <is>
          <t>☑</t>
        </is>
      </c>
      <c r="BF11" s="79" t="inlineStr">
        <is>
          <t>☑</t>
        </is>
      </c>
      <c r="BG11" s="79" t="inlineStr">
        <is>
          <t>☑</t>
        </is>
      </c>
      <c r="BH11" s="78" t="inlineStr">
        <is>
          <t>—</t>
        </is>
      </c>
      <c r="BI11" s="79" t="inlineStr">
        <is>
          <t>☑</t>
        </is>
      </c>
      <c r="BJ11" s="79" t="inlineStr">
        <is>
          <t>☑</t>
        </is>
      </c>
      <c r="BK11" s="79" t="inlineStr">
        <is>
          <t>☑</t>
        </is>
      </c>
      <c r="BL11" s="78" t="inlineStr">
        <is>
          <t>—</t>
        </is>
      </c>
      <c r="BM11" s="79" t="inlineStr">
        <is>
          <t>☑</t>
        </is>
      </c>
      <c r="BN11" s="79" t="inlineStr">
        <is>
          <t>☑</t>
        </is>
      </c>
      <c r="BO11" s="79" t="inlineStr">
        <is>
          <t>☑</t>
        </is>
      </c>
    </row>
    <row r="12">
      <c r="A12" s="79" t="n">
        <v>5</v>
      </c>
      <c r="B12" s="79" t="inlineStr">
        <is>
          <t>325106410005</t>
        </is>
      </c>
      <c r="C12" s="79" t="inlineStr">
        <is>
          <t>LAKSHMANA KUMAR BATHULA</t>
        </is>
      </c>
      <c r="D12" s="78" t="inlineStr">
        <is>
          <t>—</t>
        </is>
      </c>
      <c r="E12" s="79" t="inlineStr">
        <is>
          <t>☑</t>
        </is>
      </c>
      <c r="F12" s="79" t="inlineStr">
        <is>
          <t>☑</t>
        </is>
      </c>
      <c r="G12" s="79" t="inlineStr">
        <is>
          <t>☑</t>
        </is>
      </c>
      <c r="H12" s="79" t="inlineStr">
        <is>
          <t>☑</t>
        </is>
      </c>
      <c r="I12" s="79" t="inlineStr">
        <is>
          <t>☑</t>
        </is>
      </c>
      <c r="J12" s="79" t="inlineStr">
        <is>
          <t>☑</t>
        </is>
      </c>
      <c r="K12" s="79" t="inlineStr">
        <is>
          <t>☑</t>
        </is>
      </c>
      <c r="L12" s="79" t="inlineStr">
        <is>
          <t>☑</t>
        </is>
      </c>
      <c r="M12" s="79" t="inlineStr">
        <is>
          <t>☑</t>
        </is>
      </c>
      <c r="N12" s="79" t="inlineStr">
        <is>
          <t>☑</t>
        </is>
      </c>
      <c r="O12" s="78" t="inlineStr">
        <is>
          <t>—</t>
        </is>
      </c>
      <c r="P12" s="79" t="inlineStr">
        <is>
          <t>☑</t>
        </is>
      </c>
      <c r="Q12" s="79" t="inlineStr">
        <is>
          <t>☑</t>
        </is>
      </c>
      <c r="R12" s="79" t="inlineStr">
        <is>
          <t>☑</t>
        </is>
      </c>
      <c r="S12" s="78" t="inlineStr">
        <is>
          <t>—</t>
        </is>
      </c>
      <c r="T12" s="79" t="inlineStr">
        <is>
          <t>☑</t>
        </is>
      </c>
      <c r="U12" s="79" t="inlineStr">
        <is>
          <t>☑</t>
        </is>
      </c>
      <c r="V12" s="79" t="inlineStr">
        <is>
          <t>☑</t>
        </is>
      </c>
      <c r="W12" s="79" t="inlineStr">
        <is>
          <t>☑</t>
        </is>
      </c>
      <c r="X12" s="79" t="inlineStr">
        <is>
          <t>☑</t>
        </is>
      </c>
      <c r="Y12" s="79" t="inlineStr">
        <is>
          <t>☑</t>
        </is>
      </c>
      <c r="Z12" s="79" t="inlineStr">
        <is>
          <t>☑</t>
        </is>
      </c>
      <c r="AA12" s="79" t="inlineStr">
        <is>
          <t>☑</t>
        </is>
      </c>
      <c r="AB12" s="79" t="inlineStr">
        <is>
          <t>☑</t>
        </is>
      </c>
      <c r="AC12" s="79" t="inlineStr">
        <is>
          <t>☑</t>
        </is>
      </c>
      <c r="AD12" s="78" t="inlineStr">
        <is>
          <t>—</t>
        </is>
      </c>
      <c r="AE12" s="79" t="inlineStr">
        <is>
          <t>☑</t>
        </is>
      </c>
      <c r="AF12" s="79" t="inlineStr">
        <is>
          <t>☑</t>
        </is>
      </c>
      <c r="AG12" s="79" t="inlineStr">
        <is>
          <t>☑</t>
        </is>
      </c>
      <c r="AH12" s="78" t="inlineStr">
        <is>
          <t>—</t>
        </is>
      </c>
      <c r="AI12" s="79" t="inlineStr">
        <is>
          <t>☑</t>
        </is>
      </c>
      <c r="AJ12" s="79" t="inlineStr">
        <is>
          <t>☑</t>
        </is>
      </c>
      <c r="AK12" s="79" t="inlineStr">
        <is>
          <t>☑</t>
        </is>
      </c>
      <c r="AL12" s="79" t="inlineStr">
        <is>
          <t>☑</t>
        </is>
      </c>
      <c r="AM12" s="79" t="inlineStr">
        <is>
          <t>☑</t>
        </is>
      </c>
      <c r="AN12" s="79" t="inlineStr">
        <is>
          <t>☑</t>
        </is>
      </c>
      <c r="AO12" s="79" t="inlineStr">
        <is>
          <t>☑</t>
        </is>
      </c>
      <c r="AP12" s="79" t="inlineStr">
        <is>
          <t>☑</t>
        </is>
      </c>
      <c r="AQ12" s="79" t="inlineStr">
        <is>
          <t>☑</t>
        </is>
      </c>
      <c r="AR12" s="79" t="inlineStr">
        <is>
          <t>☑</t>
        </is>
      </c>
      <c r="AS12" s="78" t="inlineStr">
        <is>
          <t>—</t>
        </is>
      </c>
      <c r="AT12" s="79" t="inlineStr">
        <is>
          <t>☑</t>
        </is>
      </c>
      <c r="AU12" s="79" t="inlineStr">
        <is>
          <t>☑</t>
        </is>
      </c>
      <c r="AV12" s="79" t="inlineStr">
        <is>
          <t>☑</t>
        </is>
      </c>
      <c r="AW12" s="78" t="inlineStr">
        <is>
          <t>—</t>
        </is>
      </c>
      <c r="AX12" s="79" t="inlineStr">
        <is>
          <t>☑</t>
        </is>
      </c>
      <c r="AY12" s="79" t="inlineStr">
        <is>
          <t>☑</t>
        </is>
      </c>
      <c r="AZ12" s="79" t="inlineStr">
        <is>
          <t>☑</t>
        </is>
      </c>
      <c r="BA12" s="79" t="inlineStr">
        <is>
          <t>☑</t>
        </is>
      </c>
      <c r="BB12" s="79" t="inlineStr">
        <is>
          <t>☑</t>
        </is>
      </c>
      <c r="BC12" s="79" t="inlineStr">
        <is>
          <t>☑</t>
        </is>
      </c>
      <c r="BD12" s="79" t="inlineStr">
        <is>
          <t>☑</t>
        </is>
      </c>
      <c r="BE12" s="79" t="inlineStr">
        <is>
          <t>☑</t>
        </is>
      </c>
      <c r="BF12" s="79" t="inlineStr">
        <is>
          <t>☑</t>
        </is>
      </c>
      <c r="BG12" s="79" t="inlineStr">
        <is>
          <t>☑</t>
        </is>
      </c>
      <c r="BH12" s="78" t="inlineStr">
        <is>
          <t>—</t>
        </is>
      </c>
      <c r="BI12" s="79" t="inlineStr">
        <is>
          <t>☑</t>
        </is>
      </c>
      <c r="BJ12" s="79" t="inlineStr">
        <is>
          <t>☑</t>
        </is>
      </c>
      <c r="BK12" s="79" t="inlineStr">
        <is>
          <t>☑</t>
        </is>
      </c>
      <c r="BL12" s="78" t="inlineStr">
        <is>
          <t>—</t>
        </is>
      </c>
      <c r="BM12" s="79" t="inlineStr">
        <is>
          <t>☑</t>
        </is>
      </c>
      <c r="BN12" s="79" t="inlineStr">
        <is>
          <t>☑</t>
        </is>
      </c>
      <c r="BO12" s="79" t="inlineStr">
        <is>
          <t>☑</t>
        </is>
      </c>
    </row>
    <row r="13">
      <c r="A13" s="79" t="n">
        <v>6</v>
      </c>
      <c r="B13" s="79" t="inlineStr">
        <is>
          <t>325106410006</t>
        </is>
      </c>
      <c r="C13" s="79" t="inlineStr">
        <is>
          <t>PADMA KUMARI CHIKKALA</t>
        </is>
      </c>
      <c r="D13" s="78" t="inlineStr">
        <is>
          <t>—</t>
        </is>
      </c>
      <c r="E13" s="79" t="inlineStr">
        <is>
          <t>☑</t>
        </is>
      </c>
      <c r="F13" s="79" t="inlineStr">
        <is>
          <t>☑</t>
        </is>
      </c>
      <c r="G13" s="79" t="inlineStr">
        <is>
          <t>☑</t>
        </is>
      </c>
      <c r="H13" s="79" t="inlineStr">
        <is>
          <t>☑</t>
        </is>
      </c>
      <c r="I13" s="79" t="inlineStr">
        <is>
          <t>☑</t>
        </is>
      </c>
      <c r="J13" s="79" t="inlineStr">
        <is>
          <t>☑</t>
        </is>
      </c>
      <c r="K13" s="79" t="inlineStr">
        <is>
          <t>☑</t>
        </is>
      </c>
      <c r="L13" s="79" t="inlineStr">
        <is>
          <t>☑</t>
        </is>
      </c>
      <c r="M13" s="79" t="inlineStr">
        <is>
          <t>☑</t>
        </is>
      </c>
      <c r="N13" s="79" t="inlineStr">
        <is>
          <t>☑</t>
        </is>
      </c>
      <c r="O13" s="78" t="inlineStr">
        <is>
          <t>—</t>
        </is>
      </c>
      <c r="P13" s="79" t="inlineStr">
        <is>
          <t>☑</t>
        </is>
      </c>
      <c r="Q13" s="79" t="inlineStr">
        <is>
          <t>☑</t>
        </is>
      </c>
      <c r="R13" s="79" t="inlineStr">
        <is>
          <t>☑</t>
        </is>
      </c>
      <c r="S13" s="78" t="inlineStr">
        <is>
          <t>—</t>
        </is>
      </c>
      <c r="T13" s="79" t="inlineStr">
        <is>
          <t>☑</t>
        </is>
      </c>
      <c r="U13" s="79" t="inlineStr">
        <is>
          <t>☑</t>
        </is>
      </c>
      <c r="V13" s="79" t="inlineStr">
        <is>
          <t>☑</t>
        </is>
      </c>
      <c r="W13" s="79" t="inlineStr">
        <is>
          <t>☑</t>
        </is>
      </c>
      <c r="X13" s="79" t="inlineStr">
        <is>
          <t>☑</t>
        </is>
      </c>
      <c r="Y13" s="79" t="inlineStr">
        <is>
          <t>☑</t>
        </is>
      </c>
      <c r="Z13" s="79" t="inlineStr">
        <is>
          <t>☑</t>
        </is>
      </c>
      <c r="AA13" s="79" t="inlineStr">
        <is>
          <t>☑</t>
        </is>
      </c>
      <c r="AB13" s="79" t="inlineStr">
        <is>
          <t>☑</t>
        </is>
      </c>
      <c r="AC13" s="79" t="inlineStr">
        <is>
          <t>☑</t>
        </is>
      </c>
      <c r="AD13" s="78" t="inlineStr">
        <is>
          <t>—</t>
        </is>
      </c>
      <c r="AE13" s="79" t="inlineStr">
        <is>
          <t>☑</t>
        </is>
      </c>
      <c r="AF13" s="79" t="inlineStr">
        <is>
          <t>☑</t>
        </is>
      </c>
      <c r="AG13" s="79" t="inlineStr">
        <is>
          <t>☑</t>
        </is>
      </c>
      <c r="AH13" s="78" t="inlineStr">
        <is>
          <t>—</t>
        </is>
      </c>
      <c r="AI13" s="79" t="inlineStr">
        <is>
          <t>☑</t>
        </is>
      </c>
      <c r="AJ13" s="79" t="inlineStr">
        <is>
          <t>☑</t>
        </is>
      </c>
      <c r="AK13" s="79" t="inlineStr">
        <is>
          <t>☑</t>
        </is>
      </c>
      <c r="AL13" s="79" t="inlineStr">
        <is>
          <t>☑</t>
        </is>
      </c>
      <c r="AM13" s="79" t="inlineStr">
        <is>
          <t>☑</t>
        </is>
      </c>
      <c r="AN13" s="79" t="inlineStr">
        <is>
          <t>☑</t>
        </is>
      </c>
      <c r="AO13" s="79" t="inlineStr">
        <is>
          <t>☑</t>
        </is>
      </c>
      <c r="AP13" s="79" t="inlineStr">
        <is>
          <t>☑</t>
        </is>
      </c>
      <c r="AQ13" s="79" t="inlineStr">
        <is>
          <t>☑</t>
        </is>
      </c>
      <c r="AR13" s="79" t="inlineStr">
        <is>
          <t>☑</t>
        </is>
      </c>
      <c r="AS13" s="78" t="inlineStr">
        <is>
          <t>—</t>
        </is>
      </c>
      <c r="AT13" s="79" t="inlineStr">
        <is>
          <t>☑</t>
        </is>
      </c>
      <c r="AU13" s="79" t="inlineStr">
        <is>
          <t>☑</t>
        </is>
      </c>
      <c r="AV13" s="79" t="inlineStr">
        <is>
          <t>☑</t>
        </is>
      </c>
      <c r="AW13" s="78" t="inlineStr">
        <is>
          <t>—</t>
        </is>
      </c>
      <c r="AX13" s="79" t="inlineStr">
        <is>
          <t>☑</t>
        </is>
      </c>
      <c r="AY13" s="79" t="inlineStr">
        <is>
          <t>☑</t>
        </is>
      </c>
      <c r="AZ13" s="79" t="inlineStr">
        <is>
          <t>☑</t>
        </is>
      </c>
      <c r="BA13" s="79" t="inlineStr">
        <is>
          <t>☑</t>
        </is>
      </c>
      <c r="BB13" s="79" t="inlineStr">
        <is>
          <t>☑</t>
        </is>
      </c>
      <c r="BC13" s="79" t="inlineStr">
        <is>
          <t>☑</t>
        </is>
      </c>
      <c r="BD13" s="79" t="inlineStr">
        <is>
          <t>☑</t>
        </is>
      </c>
      <c r="BE13" s="79" t="inlineStr">
        <is>
          <t>☑</t>
        </is>
      </c>
      <c r="BF13" s="79" t="inlineStr">
        <is>
          <t>☑</t>
        </is>
      </c>
      <c r="BG13" s="79" t="inlineStr">
        <is>
          <t>☑</t>
        </is>
      </c>
      <c r="BH13" s="78" t="inlineStr">
        <is>
          <t>—</t>
        </is>
      </c>
      <c r="BI13" s="79" t="inlineStr">
        <is>
          <t>☑</t>
        </is>
      </c>
      <c r="BJ13" s="79" t="inlineStr">
        <is>
          <t>☑</t>
        </is>
      </c>
      <c r="BK13" s="79" t="inlineStr">
        <is>
          <t>☑</t>
        </is>
      </c>
      <c r="BL13" s="78" t="inlineStr">
        <is>
          <t>—</t>
        </is>
      </c>
      <c r="BM13" s="79" t="inlineStr">
        <is>
          <t>☑</t>
        </is>
      </c>
      <c r="BN13" s="79" t="inlineStr">
        <is>
          <t>☑</t>
        </is>
      </c>
      <c r="BO13" s="79" t="inlineStr">
        <is>
          <t>☑</t>
        </is>
      </c>
    </row>
    <row r="14">
      <c r="A14" s="79" t="n">
        <v>7</v>
      </c>
      <c r="B14" s="79" t="inlineStr">
        <is>
          <t>325106410007</t>
        </is>
      </c>
      <c r="C14" s="79" t="inlineStr">
        <is>
          <t>RAKESH CHOPPA</t>
        </is>
      </c>
      <c r="D14" s="78" t="inlineStr">
        <is>
          <t>—</t>
        </is>
      </c>
      <c r="E14" s="79" t="inlineStr">
        <is>
          <t>☑</t>
        </is>
      </c>
      <c r="F14" s="79" t="inlineStr">
        <is>
          <t>☑</t>
        </is>
      </c>
      <c r="G14" s="79" t="inlineStr">
        <is>
          <t>☑</t>
        </is>
      </c>
      <c r="H14" s="79" t="inlineStr">
        <is>
          <t>☑</t>
        </is>
      </c>
      <c r="I14" s="79" t="inlineStr">
        <is>
          <t>☑</t>
        </is>
      </c>
      <c r="J14" s="79" t="inlineStr">
        <is>
          <t>☑</t>
        </is>
      </c>
      <c r="K14" s="79" t="inlineStr">
        <is>
          <t>☑</t>
        </is>
      </c>
      <c r="L14" s="79" t="inlineStr">
        <is>
          <t>☑</t>
        </is>
      </c>
      <c r="M14" s="79" t="inlineStr">
        <is>
          <t>☑</t>
        </is>
      </c>
      <c r="N14" s="79" t="inlineStr">
        <is>
          <t>☑</t>
        </is>
      </c>
      <c r="O14" s="78" t="inlineStr">
        <is>
          <t>—</t>
        </is>
      </c>
      <c r="P14" s="79" t="inlineStr">
        <is>
          <t>☑</t>
        </is>
      </c>
      <c r="Q14" s="79" t="inlineStr">
        <is>
          <t>☑</t>
        </is>
      </c>
      <c r="R14" s="79" t="inlineStr">
        <is>
          <t>☑</t>
        </is>
      </c>
      <c r="S14" s="78" t="inlineStr">
        <is>
          <t>—</t>
        </is>
      </c>
      <c r="T14" s="79" t="inlineStr">
        <is>
          <t>☑</t>
        </is>
      </c>
      <c r="U14" s="79" t="inlineStr">
        <is>
          <t>☑</t>
        </is>
      </c>
      <c r="V14" s="79" t="inlineStr">
        <is>
          <t>☑</t>
        </is>
      </c>
      <c r="W14" s="79" t="inlineStr">
        <is>
          <t>☑</t>
        </is>
      </c>
      <c r="X14" s="79" t="inlineStr">
        <is>
          <t>☑</t>
        </is>
      </c>
      <c r="Y14" s="79" t="inlineStr">
        <is>
          <t>☑</t>
        </is>
      </c>
      <c r="Z14" s="79" t="inlineStr">
        <is>
          <t>☑</t>
        </is>
      </c>
      <c r="AA14" s="79" t="inlineStr">
        <is>
          <t>☑</t>
        </is>
      </c>
      <c r="AB14" s="79" t="inlineStr">
        <is>
          <t>☑</t>
        </is>
      </c>
      <c r="AC14" s="79" t="inlineStr">
        <is>
          <t>☑</t>
        </is>
      </c>
      <c r="AD14" s="78" t="inlineStr">
        <is>
          <t>—</t>
        </is>
      </c>
      <c r="AE14" s="79" t="inlineStr">
        <is>
          <t>☑</t>
        </is>
      </c>
      <c r="AF14" s="79" t="inlineStr">
        <is>
          <t>☑</t>
        </is>
      </c>
      <c r="AG14" s="79" t="inlineStr">
        <is>
          <t>☑</t>
        </is>
      </c>
      <c r="AH14" s="78" t="inlineStr">
        <is>
          <t>—</t>
        </is>
      </c>
      <c r="AI14" s="79" t="inlineStr">
        <is>
          <t>☑</t>
        </is>
      </c>
      <c r="AJ14" s="79" t="inlineStr">
        <is>
          <t>☑</t>
        </is>
      </c>
      <c r="AK14" s="79" t="inlineStr">
        <is>
          <t>☑</t>
        </is>
      </c>
      <c r="AL14" s="79" t="inlineStr">
        <is>
          <t>☑</t>
        </is>
      </c>
      <c r="AM14" s="79" t="inlineStr">
        <is>
          <t>☑</t>
        </is>
      </c>
      <c r="AN14" s="79" t="inlineStr">
        <is>
          <t>☑</t>
        </is>
      </c>
      <c r="AO14" s="79" t="inlineStr">
        <is>
          <t>☑</t>
        </is>
      </c>
      <c r="AP14" s="79" t="inlineStr">
        <is>
          <t>☑</t>
        </is>
      </c>
      <c r="AQ14" s="79" t="inlineStr">
        <is>
          <t>☑</t>
        </is>
      </c>
      <c r="AR14" s="79" t="inlineStr">
        <is>
          <t>☑</t>
        </is>
      </c>
      <c r="AS14" s="78" t="inlineStr">
        <is>
          <t>—</t>
        </is>
      </c>
      <c r="AT14" s="79" t="inlineStr">
        <is>
          <t>☑</t>
        </is>
      </c>
      <c r="AU14" s="79" t="inlineStr">
        <is>
          <t>☑</t>
        </is>
      </c>
      <c r="AV14" s="79" t="inlineStr">
        <is>
          <t>☑</t>
        </is>
      </c>
      <c r="AW14" s="78" t="inlineStr">
        <is>
          <t>—</t>
        </is>
      </c>
      <c r="AX14" s="79" t="inlineStr">
        <is>
          <t>☑</t>
        </is>
      </c>
      <c r="AY14" s="79" t="inlineStr">
        <is>
          <t>☑</t>
        </is>
      </c>
      <c r="AZ14" s="79" t="inlineStr">
        <is>
          <t>☑</t>
        </is>
      </c>
      <c r="BA14" s="79" t="inlineStr">
        <is>
          <t>☑</t>
        </is>
      </c>
      <c r="BB14" s="79" t="inlineStr">
        <is>
          <t>☑</t>
        </is>
      </c>
      <c r="BC14" s="79" t="inlineStr">
        <is>
          <t>☑</t>
        </is>
      </c>
      <c r="BD14" s="79" t="inlineStr">
        <is>
          <t>☑</t>
        </is>
      </c>
      <c r="BE14" s="79" t="inlineStr">
        <is>
          <t>☑</t>
        </is>
      </c>
      <c r="BF14" s="79" t="inlineStr">
        <is>
          <t>☑</t>
        </is>
      </c>
      <c r="BG14" s="79" t="inlineStr">
        <is>
          <t>☑</t>
        </is>
      </c>
      <c r="BH14" s="78" t="inlineStr">
        <is>
          <t>—</t>
        </is>
      </c>
      <c r="BI14" s="79" t="inlineStr">
        <is>
          <t>☑</t>
        </is>
      </c>
      <c r="BJ14" s="79" t="inlineStr">
        <is>
          <t>☑</t>
        </is>
      </c>
      <c r="BK14" s="79" t="inlineStr">
        <is>
          <t>☑</t>
        </is>
      </c>
      <c r="BL14" s="78" t="inlineStr">
        <is>
          <t>—</t>
        </is>
      </c>
      <c r="BM14" s="79" t="inlineStr">
        <is>
          <t>☑</t>
        </is>
      </c>
      <c r="BN14" s="79" t="inlineStr">
        <is>
          <t>☑</t>
        </is>
      </c>
      <c r="BO14" s="79" t="inlineStr">
        <is>
          <t>☑</t>
        </is>
      </c>
    </row>
    <row r="15">
      <c r="A15" s="79" t="n">
        <v>8</v>
      </c>
      <c r="B15" s="79" t="inlineStr">
        <is>
          <t>325106410008</t>
        </is>
      </c>
      <c r="C15" s="79" t="inlineStr">
        <is>
          <t>SUBHASH DHULIPUDI</t>
        </is>
      </c>
      <c r="D15" s="78" t="inlineStr">
        <is>
          <t>—</t>
        </is>
      </c>
      <c r="E15" s="79" t="inlineStr">
        <is>
          <t>☑</t>
        </is>
      </c>
      <c r="F15" s="79" t="inlineStr">
        <is>
          <t>☑</t>
        </is>
      </c>
      <c r="G15" s="79" t="inlineStr">
        <is>
          <t>☑</t>
        </is>
      </c>
      <c r="H15" s="79" t="inlineStr">
        <is>
          <t>☑</t>
        </is>
      </c>
      <c r="I15" s="79" t="inlineStr">
        <is>
          <t>☑</t>
        </is>
      </c>
      <c r="J15" s="79" t="inlineStr">
        <is>
          <t>☑</t>
        </is>
      </c>
      <c r="K15" s="79" t="inlineStr">
        <is>
          <t>☑</t>
        </is>
      </c>
      <c r="L15" s="79" t="inlineStr">
        <is>
          <t>☑</t>
        </is>
      </c>
      <c r="M15" s="79" t="inlineStr">
        <is>
          <t>☑</t>
        </is>
      </c>
      <c r="N15" s="79" t="inlineStr">
        <is>
          <t>☑</t>
        </is>
      </c>
      <c r="O15" s="78" t="inlineStr">
        <is>
          <t>—</t>
        </is>
      </c>
      <c r="P15" s="79" t="inlineStr">
        <is>
          <t>☑</t>
        </is>
      </c>
      <c r="Q15" s="79" t="inlineStr">
        <is>
          <t>☑</t>
        </is>
      </c>
      <c r="R15" s="79" t="inlineStr">
        <is>
          <t>☑</t>
        </is>
      </c>
      <c r="S15" s="78" t="inlineStr">
        <is>
          <t>—</t>
        </is>
      </c>
      <c r="T15" s="79" t="inlineStr">
        <is>
          <t>☑</t>
        </is>
      </c>
      <c r="U15" s="79" t="inlineStr">
        <is>
          <t>☑</t>
        </is>
      </c>
      <c r="V15" s="79" t="inlineStr">
        <is>
          <t>☑</t>
        </is>
      </c>
      <c r="W15" s="79" t="inlineStr">
        <is>
          <t>☑</t>
        </is>
      </c>
      <c r="X15" s="79" t="inlineStr">
        <is>
          <t>☑</t>
        </is>
      </c>
      <c r="Y15" s="79" t="inlineStr">
        <is>
          <t>☑</t>
        </is>
      </c>
      <c r="Z15" s="79" t="inlineStr">
        <is>
          <t>☑</t>
        </is>
      </c>
      <c r="AA15" s="79" t="inlineStr">
        <is>
          <t>☑</t>
        </is>
      </c>
      <c r="AB15" s="79" t="inlineStr">
        <is>
          <t>☑</t>
        </is>
      </c>
      <c r="AC15" s="79" t="inlineStr">
        <is>
          <t>☑</t>
        </is>
      </c>
      <c r="AD15" s="78" t="inlineStr">
        <is>
          <t>—</t>
        </is>
      </c>
      <c r="AE15" s="79" t="inlineStr">
        <is>
          <t>☑</t>
        </is>
      </c>
      <c r="AF15" s="79" t="inlineStr">
        <is>
          <t>☑</t>
        </is>
      </c>
      <c r="AG15" s="79" t="inlineStr">
        <is>
          <t>☑</t>
        </is>
      </c>
      <c r="AH15" s="78" t="inlineStr">
        <is>
          <t>—</t>
        </is>
      </c>
      <c r="AI15" s="79" t="inlineStr">
        <is>
          <t>☑</t>
        </is>
      </c>
      <c r="AJ15" s="79" t="inlineStr">
        <is>
          <t>☑</t>
        </is>
      </c>
      <c r="AK15" s="79" t="inlineStr">
        <is>
          <t>☑</t>
        </is>
      </c>
      <c r="AL15" s="79" t="inlineStr">
        <is>
          <t>☑</t>
        </is>
      </c>
      <c r="AM15" s="79" t="inlineStr">
        <is>
          <t>☑</t>
        </is>
      </c>
      <c r="AN15" s="79" t="inlineStr">
        <is>
          <t>☑</t>
        </is>
      </c>
      <c r="AO15" s="79" t="inlineStr">
        <is>
          <t>☑</t>
        </is>
      </c>
      <c r="AP15" s="79" t="inlineStr">
        <is>
          <t>☑</t>
        </is>
      </c>
      <c r="AQ15" s="79" t="inlineStr">
        <is>
          <t>☑</t>
        </is>
      </c>
      <c r="AR15" s="79" t="inlineStr">
        <is>
          <t>☑</t>
        </is>
      </c>
      <c r="AS15" s="78" t="inlineStr">
        <is>
          <t>—</t>
        </is>
      </c>
      <c r="AT15" s="79" t="inlineStr">
        <is>
          <t>☑</t>
        </is>
      </c>
      <c r="AU15" s="79" t="inlineStr">
        <is>
          <t>☑</t>
        </is>
      </c>
      <c r="AV15" s="79" t="inlineStr">
        <is>
          <t>☑</t>
        </is>
      </c>
      <c r="AW15" s="78" t="inlineStr">
        <is>
          <t>—</t>
        </is>
      </c>
      <c r="AX15" s="79" t="inlineStr">
        <is>
          <t>☑</t>
        </is>
      </c>
      <c r="AY15" s="79" t="inlineStr">
        <is>
          <t>☑</t>
        </is>
      </c>
      <c r="AZ15" s="79" t="inlineStr">
        <is>
          <t>☑</t>
        </is>
      </c>
      <c r="BA15" s="79" t="inlineStr">
        <is>
          <t>☑</t>
        </is>
      </c>
      <c r="BB15" s="79" t="inlineStr">
        <is>
          <t>☑</t>
        </is>
      </c>
      <c r="BC15" s="79" t="inlineStr">
        <is>
          <t>☑</t>
        </is>
      </c>
      <c r="BD15" s="79" t="inlineStr">
        <is>
          <t>☑</t>
        </is>
      </c>
      <c r="BE15" s="79" t="inlineStr">
        <is>
          <t>☑</t>
        </is>
      </c>
      <c r="BF15" s="79" t="inlineStr">
        <is>
          <t>☑</t>
        </is>
      </c>
      <c r="BG15" s="79" t="inlineStr">
        <is>
          <t>☑</t>
        </is>
      </c>
      <c r="BH15" s="78" t="inlineStr">
        <is>
          <t>—</t>
        </is>
      </c>
      <c r="BI15" s="79" t="inlineStr">
        <is>
          <t>☑</t>
        </is>
      </c>
      <c r="BJ15" s="79" t="inlineStr">
        <is>
          <t>☑</t>
        </is>
      </c>
      <c r="BK15" s="79" t="inlineStr">
        <is>
          <t>☑</t>
        </is>
      </c>
      <c r="BL15" s="78" t="inlineStr">
        <is>
          <t>—</t>
        </is>
      </c>
      <c r="BM15" s="79" t="inlineStr">
        <is>
          <t>☑</t>
        </is>
      </c>
      <c r="BN15" s="79" t="inlineStr">
        <is>
          <t>☑</t>
        </is>
      </c>
      <c r="BO15" s="79" t="inlineStr">
        <is>
          <t>☑</t>
        </is>
      </c>
    </row>
    <row r="16">
      <c r="A16" s="79" t="n">
        <v>9</v>
      </c>
      <c r="B16" s="79" t="inlineStr">
        <is>
          <t>325106410009</t>
        </is>
      </c>
      <c r="C16" s="79" t="inlineStr">
        <is>
          <t>SRAVANI DUMMU</t>
        </is>
      </c>
      <c r="D16" s="78" t="inlineStr">
        <is>
          <t>—</t>
        </is>
      </c>
      <c r="E16" s="79" t="inlineStr">
        <is>
          <t>☑</t>
        </is>
      </c>
      <c r="F16" s="79" t="inlineStr">
        <is>
          <t>☑</t>
        </is>
      </c>
      <c r="G16" s="79" t="inlineStr">
        <is>
          <t>☑</t>
        </is>
      </c>
      <c r="H16" s="79" t="inlineStr">
        <is>
          <t>☑</t>
        </is>
      </c>
      <c r="I16" s="79" t="inlineStr">
        <is>
          <t>☑</t>
        </is>
      </c>
      <c r="J16" s="79" t="inlineStr">
        <is>
          <t>☑</t>
        </is>
      </c>
      <c r="K16" s="79" t="inlineStr">
        <is>
          <t>☑</t>
        </is>
      </c>
      <c r="L16" s="79" t="inlineStr">
        <is>
          <t>☑</t>
        </is>
      </c>
      <c r="M16" s="79" t="inlineStr">
        <is>
          <t>☑</t>
        </is>
      </c>
      <c r="N16" s="79" t="inlineStr">
        <is>
          <t>☑</t>
        </is>
      </c>
      <c r="O16" s="78" t="inlineStr">
        <is>
          <t>—</t>
        </is>
      </c>
      <c r="P16" s="79" t="inlineStr">
        <is>
          <t>☑</t>
        </is>
      </c>
      <c r="Q16" s="79" t="inlineStr">
        <is>
          <t>☑</t>
        </is>
      </c>
      <c r="R16" s="79" t="inlineStr">
        <is>
          <t>☑</t>
        </is>
      </c>
      <c r="S16" s="78" t="inlineStr">
        <is>
          <t>—</t>
        </is>
      </c>
      <c r="T16" s="79" t="inlineStr">
        <is>
          <t>☑</t>
        </is>
      </c>
      <c r="U16" s="79" t="inlineStr">
        <is>
          <t>☑</t>
        </is>
      </c>
      <c r="V16" s="79" t="inlineStr">
        <is>
          <t>☑</t>
        </is>
      </c>
      <c r="W16" s="79" t="inlineStr">
        <is>
          <t>☑</t>
        </is>
      </c>
      <c r="X16" s="79" t="inlineStr">
        <is>
          <t>☑</t>
        </is>
      </c>
      <c r="Y16" s="79" t="inlineStr">
        <is>
          <t>☑</t>
        </is>
      </c>
      <c r="Z16" s="79" t="inlineStr">
        <is>
          <t>☑</t>
        </is>
      </c>
      <c r="AA16" s="79" t="inlineStr">
        <is>
          <t>☑</t>
        </is>
      </c>
      <c r="AB16" s="79" t="inlineStr">
        <is>
          <t>☑</t>
        </is>
      </c>
      <c r="AC16" s="79" t="inlineStr">
        <is>
          <t>☑</t>
        </is>
      </c>
      <c r="AD16" s="78" t="inlineStr">
        <is>
          <t>—</t>
        </is>
      </c>
      <c r="AE16" s="79" t="inlineStr">
        <is>
          <t>☑</t>
        </is>
      </c>
      <c r="AF16" s="79" t="inlineStr">
        <is>
          <t>☑</t>
        </is>
      </c>
      <c r="AG16" s="79" t="inlineStr">
        <is>
          <t>☑</t>
        </is>
      </c>
      <c r="AH16" s="78" t="inlineStr">
        <is>
          <t>—</t>
        </is>
      </c>
      <c r="AI16" s="79" t="inlineStr">
        <is>
          <t>☑</t>
        </is>
      </c>
      <c r="AJ16" s="79" t="inlineStr">
        <is>
          <t>☑</t>
        </is>
      </c>
      <c r="AK16" s="79" t="inlineStr">
        <is>
          <t>☑</t>
        </is>
      </c>
      <c r="AL16" s="79" t="inlineStr">
        <is>
          <t>☑</t>
        </is>
      </c>
      <c r="AM16" s="79" t="inlineStr">
        <is>
          <t>☑</t>
        </is>
      </c>
      <c r="AN16" s="79" t="inlineStr">
        <is>
          <t>☑</t>
        </is>
      </c>
      <c r="AO16" s="79" t="inlineStr">
        <is>
          <t>☑</t>
        </is>
      </c>
      <c r="AP16" s="79" t="inlineStr">
        <is>
          <t>☑</t>
        </is>
      </c>
      <c r="AQ16" s="79" t="inlineStr">
        <is>
          <t>☑</t>
        </is>
      </c>
      <c r="AR16" s="79" t="inlineStr">
        <is>
          <t>☑</t>
        </is>
      </c>
      <c r="AS16" s="78" t="inlineStr">
        <is>
          <t>—</t>
        </is>
      </c>
      <c r="AT16" s="79" t="inlineStr">
        <is>
          <t>☑</t>
        </is>
      </c>
      <c r="AU16" s="79" t="inlineStr">
        <is>
          <t>☑</t>
        </is>
      </c>
      <c r="AV16" s="79" t="inlineStr">
        <is>
          <t>☑</t>
        </is>
      </c>
      <c r="AW16" s="78" t="inlineStr">
        <is>
          <t>—</t>
        </is>
      </c>
      <c r="AX16" s="79" t="inlineStr">
        <is>
          <t>☑</t>
        </is>
      </c>
      <c r="AY16" s="79" t="inlineStr">
        <is>
          <t>☑</t>
        </is>
      </c>
      <c r="AZ16" s="79" t="inlineStr">
        <is>
          <t>☑</t>
        </is>
      </c>
      <c r="BA16" s="79" t="inlineStr">
        <is>
          <t>☑</t>
        </is>
      </c>
      <c r="BB16" s="79" t="inlineStr">
        <is>
          <t>☑</t>
        </is>
      </c>
      <c r="BC16" s="79" t="inlineStr">
        <is>
          <t>☑</t>
        </is>
      </c>
      <c r="BD16" s="79" t="inlineStr">
        <is>
          <t>☑</t>
        </is>
      </c>
      <c r="BE16" s="79" t="inlineStr">
        <is>
          <t>☑</t>
        </is>
      </c>
      <c r="BF16" s="79" t="inlineStr">
        <is>
          <t>☑</t>
        </is>
      </c>
      <c r="BG16" s="79" t="inlineStr">
        <is>
          <t>☑</t>
        </is>
      </c>
      <c r="BH16" s="78" t="inlineStr">
        <is>
          <t>—</t>
        </is>
      </c>
      <c r="BI16" s="79" t="inlineStr">
        <is>
          <t>☑</t>
        </is>
      </c>
      <c r="BJ16" s="79" t="inlineStr">
        <is>
          <t>☑</t>
        </is>
      </c>
      <c r="BK16" s="79" t="inlineStr">
        <is>
          <t>☑</t>
        </is>
      </c>
      <c r="BL16" s="78" t="inlineStr">
        <is>
          <t>—</t>
        </is>
      </c>
      <c r="BM16" s="79" t="inlineStr">
        <is>
          <t>☑</t>
        </is>
      </c>
      <c r="BN16" s="79" t="inlineStr">
        <is>
          <t>☑</t>
        </is>
      </c>
      <c r="BO16" s="79" t="inlineStr">
        <is>
          <t>☑</t>
        </is>
      </c>
    </row>
    <row r="17">
      <c r="A17" s="79" t="n">
        <v>10</v>
      </c>
      <c r="B17" s="79" t="inlineStr">
        <is>
          <t>325106410010</t>
        </is>
      </c>
      <c r="C17" s="79" t="inlineStr">
        <is>
          <t>EESHAAN URLAM</t>
        </is>
      </c>
      <c r="D17" s="78" t="inlineStr">
        <is>
          <t>—</t>
        </is>
      </c>
      <c r="E17" s="79" t="inlineStr">
        <is>
          <t>☑</t>
        </is>
      </c>
      <c r="F17" s="79" t="inlineStr">
        <is>
          <t>☑</t>
        </is>
      </c>
      <c r="G17" s="79" t="inlineStr">
        <is>
          <t>☑</t>
        </is>
      </c>
      <c r="H17" s="79" t="inlineStr">
        <is>
          <t>☑</t>
        </is>
      </c>
      <c r="I17" s="79" t="inlineStr">
        <is>
          <t>☑</t>
        </is>
      </c>
      <c r="J17" s="79" t="inlineStr">
        <is>
          <t>☑</t>
        </is>
      </c>
      <c r="K17" s="79" t="inlineStr">
        <is>
          <t>☑</t>
        </is>
      </c>
      <c r="L17" s="79" t="inlineStr">
        <is>
          <t>☑</t>
        </is>
      </c>
      <c r="M17" s="79" t="inlineStr">
        <is>
          <t>☑</t>
        </is>
      </c>
      <c r="N17" s="79" t="inlineStr">
        <is>
          <t>☑</t>
        </is>
      </c>
      <c r="O17" s="78" t="inlineStr">
        <is>
          <t>—</t>
        </is>
      </c>
      <c r="P17" s="79" t="inlineStr">
        <is>
          <t>☑</t>
        </is>
      </c>
      <c r="Q17" s="79" t="inlineStr">
        <is>
          <t>☑</t>
        </is>
      </c>
      <c r="R17" s="79" t="inlineStr">
        <is>
          <t>☑</t>
        </is>
      </c>
      <c r="S17" s="78" t="inlineStr">
        <is>
          <t>—</t>
        </is>
      </c>
      <c r="T17" s="79" t="inlineStr">
        <is>
          <t>☑</t>
        </is>
      </c>
      <c r="U17" s="79" t="inlineStr">
        <is>
          <t>☑</t>
        </is>
      </c>
      <c r="V17" s="79" t="inlineStr">
        <is>
          <t>☑</t>
        </is>
      </c>
      <c r="W17" s="79" t="inlineStr">
        <is>
          <t>☑</t>
        </is>
      </c>
      <c r="X17" s="79" t="inlineStr">
        <is>
          <t>☑</t>
        </is>
      </c>
      <c r="Y17" s="79" t="inlineStr">
        <is>
          <t>☑</t>
        </is>
      </c>
      <c r="Z17" s="79" t="inlineStr">
        <is>
          <t>☑</t>
        </is>
      </c>
      <c r="AA17" s="79" t="inlineStr">
        <is>
          <t>☑</t>
        </is>
      </c>
      <c r="AB17" s="79" t="inlineStr">
        <is>
          <t>☑</t>
        </is>
      </c>
      <c r="AC17" s="79" t="inlineStr">
        <is>
          <t>☑</t>
        </is>
      </c>
      <c r="AD17" s="78" t="inlineStr">
        <is>
          <t>—</t>
        </is>
      </c>
      <c r="AE17" s="79" t="inlineStr">
        <is>
          <t>☑</t>
        </is>
      </c>
      <c r="AF17" s="79" t="inlineStr">
        <is>
          <t>☑</t>
        </is>
      </c>
      <c r="AG17" s="79" t="inlineStr">
        <is>
          <t>☑</t>
        </is>
      </c>
      <c r="AH17" s="78" t="inlineStr">
        <is>
          <t>—</t>
        </is>
      </c>
      <c r="AI17" s="79" t="inlineStr">
        <is>
          <t>☑</t>
        </is>
      </c>
      <c r="AJ17" s="79" t="inlineStr">
        <is>
          <t>☑</t>
        </is>
      </c>
      <c r="AK17" s="79" t="inlineStr">
        <is>
          <t>☑</t>
        </is>
      </c>
      <c r="AL17" s="79" t="inlineStr">
        <is>
          <t>☑</t>
        </is>
      </c>
      <c r="AM17" s="79" t="inlineStr">
        <is>
          <t>☑</t>
        </is>
      </c>
      <c r="AN17" s="79" t="inlineStr">
        <is>
          <t>☑</t>
        </is>
      </c>
      <c r="AO17" s="79" t="inlineStr">
        <is>
          <t>☑</t>
        </is>
      </c>
      <c r="AP17" s="79" t="inlineStr">
        <is>
          <t>☑</t>
        </is>
      </c>
      <c r="AQ17" s="79" t="inlineStr">
        <is>
          <t>☑</t>
        </is>
      </c>
      <c r="AR17" s="79" t="inlineStr">
        <is>
          <t>☑</t>
        </is>
      </c>
      <c r="AS17" s="78" t="inlineStr">
        <is>
          <t>—</t>
        </is>
      </c>
      <c r="AT17" s="79" t="inlineStr">
        <is>
          <t>☑</t>
        </is>
      </c>
      <c r="AU17" s="79" t="inlineStr">
        <is>
          <t>☑</t>
        </is>
      </c>
      <c r="AV17" s="79" t="inlineStr">
        <is>
          <t>☑</t>
        </is>
      </c>
      <c r="AW17" s="78" t="inlineStr">
        <is>
          <t>—</t>
        </is>
      </c>
      <c r="AX17" s="79" t="inlineStr">
        <is>
          <t>☑</t>
        </is>
      </c>
      <c r="AY17" s="79" t="inlineStr">
        <is>
          <t>☑</t>
        </is>
      </c>
      <c r="AZ17" s="79" t="inlineStr">
        <is>
          <t>☑</t>
        </is>
      </c>
      <c r="BA17" s="79" t="inlineStr">
        <is>
          <t>☑</t>
        </is>
      </c>
      <c r="BB17" s="79" t="inlineStr">
        <is>
          <t>☑</t>
        </is>
      </c>
      <c r="BC17" s="79" t="inlineStr">
        <is>
          <t>☑</t>
        </is>
      </c>
      <c r="BD17" s="79" t="inlineStr">
        <is>
          <t>☑</t>
        </is>
      </c>
      <c r="BE17" s="79" t="inlineStr">
        <is>
          <t>☑</t>
        </is>
      </c>
      <c r="BF17" s="79" t="inlineStr">
        <is>
          <t>☑</t>
        </is>
      </c>
      <c r="BG17" s="79" t="inlineStr">
        <is>
          <t>☑</t>
        </is>
      </c>
      <c r="BH17" s="78" t="inlineStr">
        <is>
          <t>—</t>
        </is>
      </c>
      <c r="BI17" s="79" t="inlineStr">
        <is>
          <t>☑</t>
        </is>
      </c>
      <c r="BJ17" s="79" t="inlineStr">
        <is>
          <t>☑</t>
        </is>
      </c>
      <c r="BK17" s="79" t="inlineStr">
        <is>
          <t>☑</t>
        </is>
      </c>
      <c r="BL17" s="78" t="inlineStr">
        <is>
          <t>—</t>
        </is>
      </c>
      <c r="BM17" s="79" t="inlineStr">
        <is>
          <t>☑</t>
        </is>
      </c>
      <c r="BN17" s="79" t="inlineStr">
        <is>
          <t>☑</t>
        </is>
      </c>
      <c r="BO17" s="79" t="inlineStr">
        <is>
          <t>☑</t>
        </is>
      </c>
    </row>
    <row r="18">
      <c r="A18" s="79" t="n">
        <v>11</v>
      </c>
      <c r="B18" s="79" t="inlineStr">
        <is>
          <t>325106410011</t>
        </is>
      </c>
      <c r="C18" s="79" t="inlineStr">
        <is>
          <t>KAILASH REDDY GADI</t>
        </is>
      </c>
      <c r="D18" s="78" t="inlineStr">
        <is>
          <t>—</t>
        </is>
      </c>
      <c r="E18" s="79" t="inlineStr">
        <is>
          <t>☑</t>
        </is>
      </c>
      <c r="F18" s="79" t="inlineStr">
        <is>
          <t>☑</t>
        </is>
      </c>
      <c r="G18" s="79" t="inlineStr">
        <is>
          <t>☑</t>
        </is>
      </c>
      <c r="H18" s="79" t="inlineStr">
        <is>
          <t>☑</t>
        </is>
      </c>
      <c r="I18" s="79" t="inlineStr">
        <is>
          <t>☑</t>
        </is>
      </c>
      <c r="J18" s="79" t="inlineStr">
        <is>
          <t>☑</t>
        </is>
      </c>
      <c r="K18" s="79" t="inlineStr">
        <is>
          <t>☑</t>
        </is>
      </c>
      <c r="L18" s="79" t="inlineStr">
        <is>
          <t>☑</t>
        </is>
      </c>
      <c r="M18" s="79" t="inlineStr">
        <is>
          <t>☑</t>
        </is>
      </c>
      <c r="N18" s="79" t="inlineStr">
        <is>
          <t>☑</t>
        </is>
      </c>
      <c r="O18" s="78" t="inlineStr">
        <is>
          <t>—</t>
        </is>
      </c>
      <c r="P18" s="79" t="inlineStr">
        <is>
          <t>☑</t>
        </is>
      </c>
      <c r="Q18" s="79" t="inlineStr">
        <is>
          <t>☑</t>
        </is>
      </c>
      <c r="R18" s="79" t="inlineStr">
        <is>
          <t>☑</t>
        </is>
      </c>
      <c r="S18" s="78" t="inlineStr">
        <is>
          <t>—</t>
        </is>
      </c>
      <c r="T18" s="79" t="inlineStr">
        <is>
          <t>☑</t>
        </is>
      </c>
      <c r="U18" s="79" t="inlineStr">
        <is>
          <t>☑</t>
        </is>
      </c>
      <c r="V18" s="79" t="inlineStr">
        <is>
          <t>☑</t>
        </is>
      </c>
      <c r="W18" s="79" t="inlineStr">
        <is>
          <t>☑</t>
        </is>
      </c>
      <c r="X18" s="79" t="inlineStr">
        <is>
          <t>☑</t>
        </is>
      </c>
      <c r="Y18" s="79" t="inlineStr">
        <is>
          <t>☑</t>
        </is>
      </c>
      <c r="Z18" s="79" t="inlineStr">
        <is>
          <t>☑</t>
        </is>
      </c>
      <c r="AA18" s="79" t="inlineStr">
        <is>
          <t>☑</t>
        </is>
      </c>
      <c r="AB18" s="79" t="inlineStr">
        <is>
          <t>☑</t>
        </is>
      </c>
      <c r="AC18" s="79" t="inlineStr">
        <is>
          <t>☑</t>
        </is>
      </c>
      <c r="AD18" s="78" t="inlineStr">
        <is>
          <t>—</t>
        </is>
      </c>
      <c r="AE18" s="79" t="inlineStr">
        <is>
          <t>☑</t>
        </is>
      </c>
      <c r="AF18" s="79" t="inlineStr">
        <is>
          <t>☑</t>
        </is>
      </c>
      <c r="AG18" s="79" t="inlineStr">
        <is>
          <t>☑</t>
        </is>
      </c>
      <c r="AH18" s="78" t="inlineStr">
        <is>
          <t>—</t>
        </is>
      </c>
      <c r="AI18" s="79" t="inlineStr">
        <is>
          <t>☑</t>
        </is>
      </c>
      <c r="AJ18" s="79" t="inlineStr">
        <is>
          <t>☑</t>
        </is>
      </c>
      <c r="AK18" s="79" t="inlineStr">
        <is>
          <t>☑</t>
        </is>
      </c>
      <c r="AL18" s="79" t="inlineStr">
        <is>
          <t>☑</t>
        </is>
      </c>
      <c r="AM18" s="79" t="inlineStr">
        <is>
          <t>☑</t>
        </is>
      </c>
      <c r="AN18" s="79" t="inlineStr">
        <is>
          <t>☑</t>
        </is>
      </c>
      <c r="AO18" s="79" t="inlineStr">
        <is>
          <t>☑</t>
        </is>
      </c>
      <c r="AP18" s="79" t="inlineStr">
        <is>
          <t>☑</t>
        </is>
      </c>
      <c r="AQ18" s="79" t="inlineStr">
        <is>
          <t>☑</t>
        </is>
      </c>
      <c r="AR18" s="79" t="inlineStr">
        <is>
          <t>☑</t>
        </is>
      </c>
      <c r="AS18" s="78" t="inlineStr">
        <is>
          <t>—</t>
        </is>
      </c>
      <c r="AT18" s="79" t="inlineStr">
        <is>
          <t>☑</t>
        </is>
      </c>
      <c r="AU18" s="79" t="inlineStr">
        <is>
          <t>☑</t>
        </is>
      </c>
      <c r="AV18" s="79" t="inlineStr">
        <is>
          <t>☑</t>
        </is>
      </c>
      <c r="AW18" s="78" t="inlineStr">
        <is>
          <t>—</t>
        </is>
      </c>
      <c r="AX18" s="79" t="inlineStr">
        <is>
          <t>☑</t>
        </is>
      </c>
      <c r="AY18" s="79" t="inlineStr">
        <is>
          <t>☑</t>
        </is>
      </c>
      <c r="AZ18" s="79" t="inlineStr">
        <is>
          <t>☑</t>
        </is>
      </c>
      <c r="BA18" s="79" t="inlineStr">
        <is>
          <t>☑</t>
        </is>
      </c>
      <c r="BB18" s="79" t="inlineStr">
        <is>
          <t>☑</t>
        </is>
      </c>
      <c r="BC18" s="79" t="inlineStr">
        <is>
          <t>☑</t>
        </is>
      </c>
      <c r="BD18" s="79" t="inlineStr">
        <is>
          <t>☑</t>
        </is>
      </c>
      <c r="BE18" s="79" t="inlineStr">
        <is>
          <t>☑</t>
        </is>
      </c>
      <c r="BF18" s="79" t="inlineStr">
        <is>
          <t>☑</t>
        </is>
      </c>
      <c r="BG18" s="79" t="inlineStr">
        <is>
          <t>☑</t>
        </is>
      </c>
      <c r="BH18" s="78" t="inlineStr">
        <is>
          <t>—</t>
        </is>
      </c>
      <c r="BI18" s="79" t="inlineStr">
        <is>
          <t>☑</t>
        </is>
      </c>
      <c r="BJ18" s="79" t="inlineStr">
        <is>
          <t>☑</t>
        </is>
      </c>
      <c r="BK18" s="79" t="inlineStr">
        <is>
          <t>☑</t>
        </is>
      </c>
      <c r="BL18" s="78" t="inlineStr">
        <is>
          <t>—</t>
        </is>
      </c>
      <c r="BM18" s="79" t="inlineStr">
        <is>
          <t>☑</t>
        </is>
      </c>
      <c r="BN18" s="79" t="inlineStr">
        <is>
          <t>☑</t>
        </is>
      </c>
      <c r="BO18" s="79" t="inlineStr">
        <is>
          <t>☑</t>
        </is>
      </c>
    </row>
    <row r="19">
      <c r="A19" s="79" t="n">
        <v>12</v>
      </c>
      <c r="B19" s="79" t="inlineStr">
        <is>
          <t>325106410012</t>
        </is>
      </c>
      <c r="C19" s="79" t="inlineStr">
        <is>
          <t>DEEPIKA GANTA</t>
        </is>
      </c>
      <c r="D19" s="78" t="inlineStr">
        <is>
          <t>—</t>
        </is>
      </c>
      <c r="E19" s="79" t="inlineStr">
        <is>
          <t>☑</t>
        </is>
      </c>
      <c r="F19" s="79" t="inlineStr">
        <is>
          <t>☑</t>
        </is>
      </c>
      <c r="G19" s="79" t="inlineStr">
        <is>
          <t>☑</t>
        </is>
      </c>
      <c r="H19" s="79" t="inlineStr">
        <is>
          <t>☑</t>
        </is>
      </c>
      <c r="I19" s="79" t="inlineStr">
        <is>
          <t>☑</t>
        </is>
      </c>
      <c r="J19" s="79" t="inlineStr">
        <is>
          <t>☑</t>
        </is>
      </c>
      <c r="K19" s="79" t="inlineStr">
        <is>
          <t>☑</t>
        </is>
      </c>
      <c r="L19" s="79" t="inlineStr">
        <is>
          <t>☑</t>
        </is>
      </c>
      <c r="M19" s="79" t="inlineStr">
        <is>
          <t>☑</t>
        </is>
      </c>
      <c r="N19" s="79" t="inlineStr">
        <is>
          <t>☑</t>
        </is>
      </c>
      <c r="O19" s="78" t="inlineStr">
        <is>
          <t>—</t>
        </is>
      </c>
      <c r="P19" s="79" t="inlineStr">
        <is>
          <t>☑</t>
        </is>
      </c>
      <c r="Q19" s="79" t="inlineStr">
        <is>
          <t>☑</t>
        </is>
      </c>
      <c r="R19" s="79" t="inlineStr">
        <is>
          <t>☑</t>
        </is>
      </c>
      <c r="S19" s="78" t="inlineStr">
        <is>
          <t>—</t>
        </is>
      </c>
      <c r="T19" s="79" t="inlineStr">
        <is>
          <t>☑</t>
        </is>
      </c>
      <c r="U19" s="79" t="inlineStr">
        <is>
          <t>☑</t>
        </is>
      </c>
      <c r="V19" s="79" t="inlineStr">
        <is>
          <t>☑</t>
        </is>
      </c>
      <c r="W19" s="79" t="inlineStr">
        <is>
          <t>☑</t>
        </is>
      </c>
      <c r="X19" s="79" t="inlineStr">
        <is>
          <t>☑</t>
        </is>
      </c>
      <c r="Y19" s="79" t="inlineStr">
        <is>
          <t>☑</t>
        </is>
      </c>
      <c r="Z19" s="79" t="inlineStr">
        <is>
          <t>☑</t>
        </is>
      </c>
      <c r="AA19" s="79" t="inlineStr">
        <is>
          <t>☑</t>
        </is>
      </c>
      <c r="AB19" s="79" t="inlineStr">
        <is>
          <t>☑</t>
        </is>
      </c>
      <c r="AC19" s="79" t="inlineStr">
        <is>
          <t>☑</t>
        </is>
      </c>
      <c r="AD19" s="78" t="inlineStr">
        <is>
          <t>—</t>
        </is>
      </c>
      <c r="AE19" s="79" t="inlineStr">
        <is>
          <t>☑</t>
        </is>
      </c>
      <c r="AF19" s="79" t="inlineStr">
        <is>
          <t>☑</t>
        </is>
      </c>
      <c r="AG19" s="79" t="inlineStr">
        <is>
          <t>☑</t>
        </is>
      </c>
      <c r="AH19" s="78" t="inlineStr">
        <is>
          <t>—</t>
        </is>
      </c>
      <c r="AI19" s="79" t="inlineStr">
        <is>
          <t>☑</t>
        </is>
      </c>
      <c r="AJ19" s="79" t="inlineStr">
        <is>
          <t>☑</t>
        </is>
      </c>
      <c r="AK19" s="79" t="inlineStr">
        <is>
          <t>☑</t>
        </is>
      </c>
      <c r="AL19" s="79" t="inlineStr">
        <is>
          <t>☑</t>
        </is>
      </c>
      <c r="AM19" s="79" t="inlineStr">
        <is>
          <t>☑</t>
        </is>
      </c>
      <c r="AN19" s="79" t="inlineStr">
        <is>
          <t>☑</t>
        </is>
      </c>
      <c r="AO19" s="79" t="inlineStr">
        <is>
          <t>☑</t>
        </is>
      </c>
      <c r="AP19" s="79" t="inlineStr">
        <is>
          <t>☑</t>
        </is>
      </c>
      <c r="AQ19" s="79" t="inlineStr">
        <is>
          <t>☑</t>
        </is>
      </c>
      <c r="AR19" s="79" t="inlineStr">
        <is>
          <t>☑</t>
        </is>
      </c>
      <c r="AS19" s="78" t="inlineStr">
        <is>
          <t>—</t>
        </is>
      </c>
      <c r="AT19" s="79" t="inlineStr">
        <is>
          <t>☑</t>
        </is>
      </c>
      <c r="AU19" s="79" t="inlineStr">
        <is>
          <t>☑</t>
        </is>
      </c>
      <c r="AV19" s="79" t="inlineStr">
        <is>
          <t>☑</t>
        </is>
      </c>
      <c r="AW19" s="78" t="inlineStr">
        <is>
          <t>—</t>
        </is>
      </c>
      <c r="AX19" s="79" t="inlineStr">
        <is>
          <t>☑</t>
        </is>
      </c>
      <c r="AY19" s="79" t="inlineStr">
        <is>
          <t>☑</t>
        </is>
      </c>
      <c r="AZ19" s="79" t="inlineStr">
        <is>
          <t>☑</t>
        </is>
      </c>
      <c r="BA19" s="79" t="inlineStr">
        <is>
          <t>☑</t>
        </is>
      </c>
      <c r="BB19" s="79" t="inlineStr">
        <is>
          <t>☑</t>
        </is>
      </c>
      <c r="BC19" s="79" t="inlineStr">
        <is>
          <t>☑</t>
        </is>
      </c>
      <c r="BD19" s="79" t="inlineStr">
        <is>
          <t>☑</t>
        </is>
      </c>
      <c r="BE19" s="79" t="inlineStr">
        <is>
          <t>☑</t>
        </is>
      </c>
      <c r="BF19" s="79" t="inlineStr">
        <is>
          <t>☑</t>
        </is>
      </c>
      <c r="BG19" s="79" t="inlineStr">
        <is>
          <t>☑</t>
        </is>
      </c>
      <c r="BH19" s="78" t="inlineStr">
        <is>
          <t>—</t>
        </is>
      </c>
      <c r="BI19" s="79" t="inlineStr">
        <is>
          <t>☑</t>
        </is>
      </c>
      <c r="BJ19" s="79" t="inlineStr">
        <is>
          <t>☑</t>
        </is>
      </c>
      <c r="BK19" s="79" t="inlineStr">
        <is>
          <t>☑</t>
        </is>
      </c>
      <c r="BL19" s="78" t="inlineStr">
        <is>
          <t>—</t>
        </is>
      </c>
      <c r="BM19" s="79" t="inlineStr">
        <is>
          <t>☑</t>
        </is>
      </c>
      <c r="BN19" s="79" t="inlineStr">
        <is>
          <t>☑</t>
        </is>
      </c>
      <c r="BO19" s="79" t="inlineStr">
        <is>
          <t>☑</t>
        </is>
      </c>
    </row>
    <row r="20">
      <c r="A20" s="79" t="n">
        <v>13</v>
      </c>
      <c r="B20" s="79" t="inlineStr">
        <is>
          <t>325106410013</t>
        </is>
      </c>
      <c r="C20" s="79" t="inlineStr">
        <is>
          <t>HIMAVANTHKUMAR GUTTA</t>
        </is>
      </c>
      <c r="D20" s="78" t="inlineStr">
        <is>
          <t>—</t>
        </is>
      </c>
      <c r="E20" s="79" t="inlineStr">
        <is>
          <t>☑</t>
        </is>
      </c>
      <c r="F20" s="79" t="inlineStr">
        <is>
          <t>☑</t>
        </is>
      </c>
      <c r="G20" s="79" t="inlineStr">
        <is>
          <t>☑</t>
        </is>
      </c>
      <c r="H20" s="79" t="inlineStr">
        <is>
          <t>☑</t>
        </is>
      </c>
      <c r="I20" s="79" t="inlineStr">
        <is>
          <t>☑</t>
        </is>
      </c>
      <c r="J20" s="79" t="inlineStr">
        <is>
          <t>☑</t>
        </is>
      </c>
      <c r="K20" s="79" t="inlineStr">
        <is>
          <t>☑</t>
        </is>
      </c>
      <c r="L20" s="79" t="inlineStr">
        <is>
          <t>☑</t>
        </is>
      </c>
      <c r="M20" s="79" t="inlineStr">
        <is>
          <t>☑</t>
        </is>
      </c>
      <c r="N20" s="79" t="inlineStr">
        <is>
          <t>☑</t>
        </is>
      </c>
      <c r="O20" s="78" t="inlineStr">
        <is>
          <t>—</t>
        </is>
      </c>
      <c r="P20" s="79" t="inlineStr">
        <is>
          <t>☑</t>
        </is>
      </c>
      <c r="Q20" s="79" t="inlineStr">
        <is>
          <t>☑</t>
        </is>
      </c>
      <c r="R20" s="79" t="inlineStr">
        <is>
          <t>☑</t>
        </is>
      </c>
      <c r="S20" s="78" t="inlineStr">
        <is>
          <t>—</t>
        </is>
      </c>
      <c r="T20" s="79" t="inlineStr">
        <is>
          <t>☑</t>
        </is>
      </c>
      <c r="U20" s="79" t="inlineStr">
        <is>
          <t>☑</t>
        </is>
      </c>
      <c r="V20" s="79" t="inlineStr">
        <is>
          <t>☑</t>
        </is>
      </c>
      <c r="W20" s="79" t="inlineStr">
        <is>
          <t>☑</t>
        </is>
      </c>
      <c r="X20" s="79" t="inlineStr">
        <is>
          <t>☑</t>
        </is>
      </c>
      <c r="Y20" s="79" t="inlineStr">
        <is>
          <t>☑</t>
        </is>
      </c>
      <c r="Z20" s="79" t="inlineStr">
        <is>
          <t>☑</t>
        </is>
      </c>
      <c r="AA20" s="79" t="inlineStr">
        <is>
          <t>☑</t>
        </is>
      </c>
      <c r="AB20" s="79" t="inlineStr">
        <is>
          <t>☑</t>
        </is>
      </c>
      <c r="AC20" s="79" t="inlineStr">
        <is>
          <t>☑</t>
        </is>
      </c>
      <c r="AD20" s="78" t="inlineStr">
        <is>
          <t>—</t>
        </is>
      </c>
      <c r="AE20" s="79" t="inlineStr">
        <is>
          <t>☑</t>
        </is>
      </c>
      <c r="AF20" s="79" t="inlineStr">
        <is>
          <t>☑</t>
        </is>
      </c>
      <c r="AG20" s="79" t="inlineStr">
        <is>
          <t>☑</t>
        </is>
      </c>
      <c r="AH20" s="78" t="inlineStr">
        <is>
          <t>—</t>
        </is>
      </c>
      <c r="AI20" s="79" t="inlineStr">
        <is>
          <t>☑</t>
        </is>
      </c>
      <c r="AJ20" s="79" t="inlineStr">
        <is>
          <t>☑</t>
        </is>
      </c>
      <c r="AK20" s="79" t="inlineStr">
        <is>
          <t>☑</t>
        </is>
      </c>
      <c r="AL20" s="79" t="inlineStr">
        <is>
          <t>☑</t>
        </is>
      </c>
      <c r="AM20" s="79" t="inlineStr">
        <is>
          <t>☑</t>
        </is>
      </c>
      <c r="AN20" s="79" t="inlineStr">
        <is>
          <t>☑</t>
        </is>
      </c>
      <c r="AO20" s="79" t="inlineStr">
        <is>
          <t>☑</t>
        </is>
      </c>
      <c r="AP20" s="79" t="inlineStr">
        <is>
          <t>☑</t>
        </is>
      </c>
      <c r="AQ20" s="79" t="inlineStr">
        <is>
          <t>☑</t>
        </is>
      </c>
      <c r="AR20" s="79" t="inlineStr">
        <is>
          <t>☑</t>
        </is>
      </c>
      <c r="AS20" s="78" t="inlineStr">
        <is>
          <t>—</t>
        </is>
      </c>
      <c r="AT20" s="79" t="inlineStr">
        <is>
          <t>☑</t>
        </is>
      </c>
      <c r="AU20" s="79" t="inlineStr">
        <is>
          <t>☑</t>
        </is>
      </c>
      <c r="AV20" s="79" t="inlineStr">
        <is>
          <t>☑</t>
        </is>
      </c>
      <c r="AW20" s="78" t="inlineStr">
        <is>
          <t>—</t>
        </is>
      </c>
      <c r="AX20" s="79" t="inlineStr">
        <is>
          <t>☑</t>
        </is>
      </c>
      <c r="AY20" s="79" t="inlineStr">
        <is>
          <t>☑</t>
        </is>
      </c>
      <c r="AZ20" s="79" t="inlineStr">
        <is>
          <t>☑</t>
        </is>
      </c>
      <c r="BA20" s="79" t="inlineStr">
        <is>
          <t>☑</t>
        </is>
      </c>
      <c r="BB20" s="79" t="inlineStr">
        <is>
          <t>☑</t>
        </is>
      </c>
      <c r="BC20" s="79" t="inlineStr">
        <is>
          <t>☑</t>
        </is>
      </c>
      <c r="BD20" s="79" t="inlineStr">
        <is>
          <t>☑</t>
        </is>
      </c>
      <c r="BE20" s="79" t="inlineStr">
        <is>
          <t>☑</t>
        </is>
      </c>
      <c r="BF20" s="79" t="inlineStr">
        <is>
          <t>☑</t>
        </is>
      </c>
      <c r="BG20" s="79" t="inlineStr">
        <is>
          <t>☑</t>
        </is>
      </c>
      <c r="BH20" s="78" t="inlineStr">
        <is>
          <t>—</t>
        </is>
      </c>
      <c r="BI20" s="79" t="inlineStr">
        <is>
          <t>☑</t>
        </is>
      </c>
      <c r="BJ20" s="79" t="inlineStr">
        <is>
          <t>☑</t>
        </is>
      </c>
      <c r="BK20" s="79" t="inlineStr">
        <is>
          <t>☑</t>
        </is>
      </c>
      <c r="BL20" s="78" t="inlineStr">
        <is>
          <t>—</t>
        </is>
      </c>
      <c r="BM20" s="79" t="inlineStr">
        <is>
          <t>☑</t>
        </is>
      </c>
      <c r="BN20" s="79" t="inlineStr">
        <is>
          <t>☑</t>
        </is>
      </c>
      <c r="BO20" s="79" t="inlineStr">
        <is>
          <t>☑</t>
        </is>
      </c>
    </row>
    <row r="21">
      <c r="A21" s="79" t="n">
        <v>14</v>
      </c>
      <c r="B21" s="79" t="inlineStr">
        <is>
          <t>325106410014</t>
        </is>
      </c>
      <c r="C21" s="79" t="inlineStr">
        <is>
          <t>SNEHITHA REDDY JEERU</t>
        </is>
      </c>
      <c r="D21" s="78" t="inlineStr">
        <is>
          <t>—</t>
        </is>
      </c>
      <c r="E21" s="79" t="inlineStr">
        <is>
          <t>☑</t>
        </is>
      </c>
      <c r="F21" s="79" t="inlineStr">
        <is>
          <t>☑</t>
        </is>
      </c>
      <c r="G21" s="79" t="inlineStr">
        <is>
          <t>☑</t>
        </is>
      </c>
      <c r="H21" s="79" t="inlineStr">
        <is>
          <t>☑</t>
        </is>
      </c>
      <c r="I21" s="79" t="inlineStr">
        <is>
          <t>☑</t>
        </is>
      </c>
      <c r="J21" s="79" t="inlineStr">
        <is>
          <t>☑</t>
        </is>
      </c>
      <c r="K21" s="79" t="inlineStr">
        <is>
          <t>☑</t>
        </is>
      </c>
      <c r="L21" s="79" t="inlineStr">
        <is>
          <t>☑</t>
        </is>
      </c>
      <c r="M21" s="79" t="inlineStr">
        <is>
          <t>☑</t>
        </is>
      </c>
      <c r="N21" s="79" t="inlineStr">
        <is>
          <t>☑</t>
        </is>
      </c>
      <c r="O21" s="78" t="inlineStr">
        <is>
          <t>—</t>
        </is>
      </c>
      <c r="P21" s="79" t="inlineStr">
        <is>
          <t>☑</t>
        </is>
      </c>
      <c r="Q21" s="79" t="inlineStr">
        <is>
          <t>☑</t>
        </is>
      </c>
      <c r="R21" s="79" t="inlineStr">
        <is>
          <t>☑</t>
        </is>
      </c>
      <c r="S21" s="78" t="inlineStr">
        <is>
          <t>—</t>
        </is>
      </c>
      <c r="T21" s="79" t="inlineStr">
        <is>
          <t>☑</t>
        </is>
      </c>
      <c r="U21" s="79" t="inlineStr">
        <is>
          <t>☑</t>
        </is>
      </c>
      <c r="V21" s="79" t="inlineStr">
        <is>
          <t>☑</t>
        </is>
      </c>
      <c r="W21" s="79" t="inlineStr">
        <is>
          <t>☑</t>
        </is>
      </c>
      <c r="X21" s="79" t="inlineStr">
        <is>
          <t>☑</t>
        </is>
      </c>
      <c r="Y21" s="79" t="inlineStr">
        <is>
          <t>☑</t>
        </is>
      </c>
      <c r="Z21" s="79" t="inlineStr">
        <is>
          <t>☑</t>
        </is>
      </c>
      <c r="AA21" s="79" t="inlineStr">
        <is>
          <t>☑</t>
        </is>
      </c>
      <c r="AB21" s="79" t="inlineStr">
        <is>
          <t>☑</t>
        </is>
      </c>
      <c r="AC21" s="79" t="inlineStr">
        <is>
          <t>☑</t>
        </is>
      </c>
      <c r="AD21" s="78" t="inlineStr">
        <is>
          <t>—</t>
        </is>
      </c>
      <c r="AE21" s="79" t="inlineStr">
        <is>
          <t>☑</t>
        </is>
      </c>
      <c r="AF21" s="79" t="inlineStr">
        <is>
          <t>☑</t>
        </is>
      </c>
      <c r="AG21" s="79" t="inlineStr">
        <is>
          <t>☑</t>
        </is>
      </c>
      <c r="AH21" s="78" t="inlineStr">
        <is>
          <t>—</t>
        </is>
      </c>
      <c r="AI21" s="79" t="inlineStr">
        <is>
          <t>☑</t>
        </is>
      </c>
      <c r="AJ21" s="79" t="inlineStr">
        <is>
          <t>☑</t>
        </is>
      </c>
      <c r="AK21" s="79" t="inlineStr">
        <is>
          <t>☑</t>
        </is>
      </c>
      <c r="AL21" s="79" t="inlineStr">
        <is>
          <t>☑</t>
        </is>
      </c>
      <c r="AM21" s="79" t="inlineStr">
        <is>
          <t>☑</t>
        </is>
      </c>
      <c r="AN21" s="79" t="inlineStr">
        <is>
          <t>☑</t>
        </is>
      </c>
      <c r="AO21" s="79" t="inlineStr">
        <is>
          <t>☑</t>
        </is>
      </c>
      <c r="AP21" s="79" t="inlineStr">
        <is>
          <t>☑</t>
        </is>
      </c>
      <c r="AQ21" s="79" t="inlineStr">
        <is>
          <t>☑</t>
        </is>
      </c>
      <c r="AR21" s="79" t="inlineStr">
        <is>
          <t>☑</t>
        </is>
      </c>
      <c r="AS21" s="78" t="inlineStr">
        <is>
          <t>—</t>
        </is>
      </c>
      <c r="AT21" s="79" t="inlineStr">
        <is>
          <t>☑</t>
        </is>
      </c>
      <c r="AU21" s="79" t="inlineStr">
        <is>
          <t>☑</t>
        </is>
      </c>
      <c r="AV21" s="79" t="inlineStr">
        <is>
          <t>☑</t>
        </is>
      </c>
      <c r="AW21" s="78" t="inlineStr">
        <is>
          <t>—</t>
        </is>
      </c>
      <c r="AX21" s="79" t="inlineStr">
        <is>
          <t>☑</t>
        </is>
      </c>
      <c r="AY21" s="79" t="inlineStr">
        <is>
          <t>☑</t>
        </is>
      </c>
      <c r="AZ21" s="79" t="inlineStr">
        <is>
          <t>☑</t>
        </is>
      </c>
      <c r="BA21" s="79" t="inlineStr">
        <is>
          <t>☑</t>
        </is>
      </c>
      <c r="BB21" s="79" t="inlineStr">
        <is>
          <t>☑</t>
        </is>
      </c>
      <c r="BC21" s="79" t="inlineStr">
        <is>
          <t>☑</t>
        </is>
      </c>
      <c r="BD21" s="79" t="inlineStr">
        <is>
          <t>☑</t>
        </is>
      </c>
      <c r="BE21" s="79" t="inlineStr">
        <is>
          <t>☑</t>
        </is>
      </c>
      <c r="BF21" s="79" t="inlineStr">
        <is>
          <t>☑</t>
        </is>
      </c>
      <c r="BG21" s="79" t="inlineStr">
        <is>
          <t>☑</t>
        </is>
      </c>
      <c r="BH21" s="78" t="inlineStr">
        <is>
          <t>—</t>
        </is>
      </c>
      <c r="BI21" s="79" t="inlineStr">
        <is>
          <t>☑</t>
        </is>
      </c>
      <c r="BJ21" s="79" t="inlineStr">
        <is>
          <t>☑</t>
        </is>
      </c>
      <c r="BK21" s="79" t="inlineStr">
        <is>
          <t>☑</t>
        </is>
      </c>
      <c r="BL21" s="78" t="inlineStr">
        <is>
          <t>—</t>
        </is>
      </c>
      <c r="BM21" s="79" t="inlineStr">
        <is>
          <t>☑</t>
        </is>
      </c>
      <c r="BN21" s="79" t="inlineStr">
        <is>
          <t>☑</t>
        </is>
      </c>
      <c r="BO21" s="79" t="inlineStr">
        <is>
          <t>☑</t>
        </is>
      </c>
    </row>
    <row r="22">
      <c r="A22" s="79" t="n">
        <v>15</v>
      </c>
      <c r="B22" s="79" t="inlineStr">
        <is>
          <t>325106410015</t>
        </is>
      </c>
      <c r="C22" s="79" t="inlineStr">
        <is>
          <t>NEERAJ KUMAR JUTTADA</t>
        </is>
      </c>
      <c r="D22" s="78" t="inlineStr">
        <is>
          <t>—</t>
        </is>
      </c>
      <c r="E22" s="79" t="inlineStr">
        <is>
          <t>☑</t>
        </is>
      </c>
      <c r="F22" s="79" t="inlineStr">
        <is>
          <t>☑</t>
        </is>
      </c>
      <c r="G22" s="79" t="inlineStr">
        <is>
          <t>☑</t>
        </is>
      </c>
      <c r="H22" s="79" t="inlineStr">
        <is>
          <t>☑</t>
        </is>
      </c>
      <c r="I22" s="79" t="inlineStr">
        <is>
          <t>☑</t>
        </is>
      </c>
      <c r="J22" s="79" t="inlineStr">
        <is>
          <t>☑</t>
        </is>
      </c>
      <c r="K22" s="79" t="inlineStr">
        <is>
          <t>☑</t>
        </is>
      </c>
      <c r="L22" s="79" t="inlineStr">
        <is>
          <t>☑</t>
        </is>
      </c>
      <c r="M22" s="79" t="inlineStr">
        <is>
          <t>☑</t>
        </is>
      </c>
      <c r="N22" s="79" t="inlineStr">
        <is>
          <t>☑</t>
        </is>
      </c>
      <c r="O22" s="78" t="inlineStr">
        <is>
          <t>—</t>
        </is>
      </c>
      <c r="P22" s="79" t="inlineStr">
        <is>
          <t>☑</t>
        </is>
      </c>
      <c r="Q22" s="79" t="inlineStr">
        <is>
          <t>☑</t>
        </is>
      </c>
      <c r="R22" s="79" t="inlineStr">
        <is>
          <t>☑</t>
        </is>
      </c>
      <c r="S22" s="78" t="inlineStr">
        <is>
          <t>—</t>
        </is>
      </c>
      <c r="T22" s="79" t="inlineStr">
        <is>
          <t>☑</t>
        </is>
      </c>
      <c r="U22" s="79" t="inlineStr">
        <is>
          <t>☑</t>
        </is>
      </c>
      <c r="V22" s="79" t="inlineStr">
        <is>
          <t>☑</t>
        </is>
      </c>
      <c r="W22" s="79" t="inlineStr">
        <is>
          <t>☑</t>
        </is>
      </c>
      <c r="X22" s="79" t="inlineStr">
        <is>
          <t>☑</t>
        </is>
      </c>
      <c r="Y22" s="79" t="inlineStr">
        <is>
          <t>☑</t>
        </is>
      </c>
      <c r="Z22" s="79" t="inlineStr">
        <is>
          <t>☑</t>
        </is>
      </c>
      <c r="AA22" s="79" t="inlineStr">
        <is>
          <t>☑</t>
        </is>
      </c>
      <c r="AB22" s="79" t="inlineStr">
        <is>
          <t>☑</t>
        </is>
      </c>
      <c r="AC22" s="79" t="inlineStr">
        <is>
          <t>☑</t>
        </is>
      </c>
      <c r="AD22" s="78" t="inlineStr">
        <is>
          <t>—</t>
        </is>
      </c>
      <c r="AE22" s="79" t="inlineStr">
        <is>
          <t>☑</t>
        </is>
      </c>
      <c r="AF22" s="79" t="inlineStr">
        <is>
          <t>☑</t>
        </is>
      </c>
      <c r="AG22" s="79" t="inlineStr">
        <is>
          <t>☑</t>
        </is>
      </c>
      <c r="AH22" s="78" t="inlineStr">
        <is>
          <t>—</t>
        </is>
      </c>
      <c r="AI22" s="79" t="inlineStr">
        <is>
          <t>☑</t>
        </is>
      </c>
      <c r="AJ22" s="79" t="inlineStr">
        <is>
          <t>☑</t>
        </is>
      </c>
      <c r="AK22" s="79" t="inlineStr">
        <is>
          <t>☑</t>
        </is>
      </c>
      <c r="AL22" s="79" t="inlineStr">
        <is>
          <t>☑</t>
        </is>
      </c>
      <c r="AM22" s="79" t="inlineStr">
        <is>
          <t>☑</t>
        </is>
      </c>
      <c r="AN22" s="79" t="inlineStr">
        <is>
          <t>☑</t>
        </is>
      </c>
      <c r="AO22" s="79" t="inlineStr">
        <is>
          <t>☑</t>
        </is>
      </c>
      <c r="AP22" s="79" t="inlineStr">
        <is>
          <t>☑</t>
        </is>
      </c>
      <c r="AQ22" s="79" t="inlineStr">
        <is>
          <t>☑</t>
        </is>
      </c>
      <c r="AR22" s="79" t="inlineStr">
        <is>
          <t>☑</t>
        </is>
      </c>
      <c r="AS22" s="78" t="inlineStr">
        <is>
          <t>—</t>
        </is>
      </c>
      <c r="AT22" s="79" t="inlineStr">
        <is>
          <t>☑</t>
        </is>
      </c>
      <c r="AU22" s="79" t="inlineStr">
        <is>
          <t>☑</t>
        </is>
      </c>
      <c r="AV22" s="79" t="inlineStr">
        <is>
          <t>☑</t>
        </is>
      </c>
      <c r="AW22" s="78" t="inlineStr">
        <is>
          <t>—</t>
        </is>
      </c>
      <c r="AX22" s="79" t="inlineStr">
        <is>
          <t>☑</t>
        </is>
      </c>
      <c r="AY22" s="79" t="inlineStr">
        <is>
          <t>☑</t>
        </is>
      </c>
      <c r="AZ22" s="79" t="inlineStr">
        <is>
          <t>☑</t>
        </is>
      </c>
      <c r="BA22" s="79" t="inlineStr">
        <is>
          <t>☑</t>
        </is>
      </c>
      <c r="BB22" s="79" t="inlineStr">
        <is>
          <t>☑</t>
        </is>
      </c>
      <c r="BC22" s="79" t="inlineStr">
        <is>
          <t>☑</t>
        </is>
      </c>
      <c r="BD22" s="79" t="inlineStr">
        <is>
          <t>☑</t>
        </is>
      </c>
      <c r="BE22" s="79" t="inlineStr">
        <is>
          <t>☑</t>
        </is>
      </c>
      <c r="BF22" s="79" t="inlineStr">
        <is>
          <t>☑</t>
        </is>
      </c>
      <c r="BG22" s="79" t="inlineStr">
        <is>
          <t>☑</t>
        </is>
      </c>
      <c r="BH22" s="78" t="inlineStr">
        <is>
          <t>—</t>
        </is>
      </c>
      <c r="BI22" s="79" t="inlineStr">
        <is>
          <t>☑</t>
        </is>
      </c>
      <c r="BJ22" s="79" t="inlineStr">
        <is>
          <t>☑</t>
        </is>
      </c>
      <c r="BK22" s="79" t="inlineStr">
        <is>
          <t>☑</t>
        </is>
      </c>
      <c r="BL22" s="78" t="inlineStr">
        <is>
          <t>—</t>
        </is>
      </c>
      <c r="BM22" s="79" t="inlineStr">
        <is>
          <t>☑</t>
        </is>
      </c>
      <c r="BN22" s="79" t="inlineStr">
        <is>
          <t>☑</t>
        </is>
      </c>
      <c r="BO22" s="79" t="inlineStr">
        <is>
          <t>☑</t>
        </is>
      </c>
    </row>
    <row r="23">
      <c r="A23" s="79" t="n">
        <v>16</v>
      </c>
      <c r="B23" s="79" t="inlineStr">
        <is>
          <t>325106410016</t>
        </is>
      </c>
      <c r="C23" s="79" t="inlineStr">
        <is>
          <t>CHANDRIKA KADALI</t>
        </is>
      </c>
      <c r="D23" s="78" t="inlineStr">
        <is>
          <t>—</t>
        </is>
      </c>
      <c r="E23" s="79" t="inlineStr">
        <is>
          <t>☑</t>
        </is>
      </c>
      <c r="F23" s="79" t="inlineStr">
        <is>
          <t>☑</t>
        </is>
      </c>
      <c r="G23" s="79" t="inlineStr">
        <is>
          <t>☑</t>
        </is>
      </c>
      <c r="H23" s="79" t="inlineStr">
        <is>
          <t>☑</t>
        </is>
      </c>
      <c r="I23" s="79" t="inlineStr">
        <is>
          <t>☑</t>
        </is>
      </c>
      <c r="J23" s="79" t="inlineStr">
        <is>
          <t>☑</t>
        </is>
      </c>
      <c r="K23" s="79" t="inlineStr">
        <is>
          <t>☑</t>
        </is>
      </c>
      <c r="L23" s="79" t="inlineStr">
        <is>
          <t>☑</t>
        </is>
      </c>
      <c r="M23" s="79" t="inlineStr">
        <is>
          <t>☑</t>
        </is>
      </c>
      <c r="N23" s="79" t="inlineStr">
        <is>
          <t>☑</t>
        </is>
      </c>
      <c r="O23" s="78" t="inlineStr">
        <is>
          <t>—</t>
        </is>
      </c>
      <c r="P23" s="79" t="inlineStr">
        <is>
          <t>☑</t>
        </is>
      </c>
      <c r="Q23" s="79" t="inlineStr">
        <is>
          <t>☑</t>
        </is>
      </c>
      <c r="R23" s="79" t="inlineStr">
        <is>
          <t>☑</t>
        </is>
      </c>
      <c r="S23" s="78" t="inlineStr">
        <is>
          <t>—</t>
        </is>
      </c>
      <c r="T23" s="79" t="inlineStr">
        <is>
          <t>☑</t>
        </is>
      </c>
      <c r="U23" s="79" t="inlineStr">
        <is>
          <t>☑</t>
        </is>
      </c>
      <c r="V23" s="79" t="inlineStr">
        <is>
          <t>☑</t>
        </is>
      </c>
      <c r="W23" s="79" t="inlineStr">
        <is>
          <t>☑</t>
        </is>
      </c>
      <c r="X23" s="79" t="inlineStr">
        <is>
          <t>☑</t>
        </is>
      </c>
      <c r="Y23" s="79" t="inlineStr">
        <is>
          <t>☑</t>
        </is>
      </c>
      <c r="Z23" s="79" t="inlineStr">
        <is>
          <t>☑</t>
        </is>
      </c>
      <c r="AA23" s="79" t="inlineStr">
        <is>
          <t>☑</t>
        </is>
      </c>
      <c r="AB23" s="79" t="inlineStr">
        <is>
          <t>☑</t>
        </is>
      </c>
      <c r="AC23" s="79" t="inlineStr">
        <is>
          <t>☑</t>
        </is>
      </c>
      <c r="AD23" s="78" t="inlineStr">
        <is>
          <t>—</t>
        </is>
      </c>
      <c r="AE23" s="79" t="inlineStr">
        <is>
          <t>☑</t>
        </is>
      </c>
      <c r="AF23" s="79" t="inlineStr">
        <is>
          <t>☑</t>
        </is>
      </c>
      <c r="AG23" s="79" t="inlineStr">
        <is>
          <t>☑</t>
        </is>
      </c>
      <c r="AH23" s="78" t="inlineStr">
        <is>
          <t>—</t>
        </is>
      </c>
      <c r="AI23" s="79" t="inlineStr">
        <is>
          <t>☑</t>
        </is>
      </c>
      <c r="AJ23" s="79" t="inlineStr">
        <is>
          <t>☑</t>
        </is>
      </c>
      <c r="AK23" s="79" t="inlineStr">
        <is>
          <t>☑</t>
        </is>
      </c>
      <c r="AL23" s="79" t="inlineStr">
        <is>
          <t>☑</t>
        </is>
      </c>
      <c r="AM23" s="79" t="inlineStr">
        <is>
          <t>☑</t>
        </is>
      </c>
      <c r="AN23" s="79" t="inlineStr">
        <is>
          <t>☑</t>
        </is>
      </c>
      <c r="AO23" s="79" t="inlineStr">
        <is>
          <t>☑</t>
        </is>
      </c>
      <c r="AP23" s="79" t="inlineStr">
        <is>
          <t>☑</t>
        </is>
      </c>
      <c r="AQ23" s="79" t="inlineStr">
        <is>
          <t>☑</t>
        </is>
      </c>
      <c r="AR23" s="79" t="inlineStr">
        <is>
          <t>☑</t>
        </is>
      </c>
      <c r="AS23" s="78" t="inlineStr">
        <is>
          <t>—</t>
        </is>
      </c>
      <c r="AT23" s="79" t="inlineStr">
        <is>
          <t>☑</t>
        </is>
      </c>
      <c r="AU23" s="79" t="inlineStr">
        <is>
          <t>☑</t>
        </is>
      </c>
      <c r="AV23" s="79" t="inlineStr">
        <is>
          <t>☑</t>
        </is>
      </c>
      <c r="AW23" s="78" t="inlineStr">
        <is>
          <t>—</t>
        </is>
      </c>
      <c r="AX23" s="79" t="inlineStr">
        <is>
          <t>☑</t>
        </is>
      </c>
      <c r="AY23" s="79" t="inlineStr">
        <is>
          <t>☑</t>
        </is>
      </c>
      <c r="AZ23" s="79" t="inlineStr">
        <is>
          <t>☑</t>
        </is>
      </c>
      <c r="BA23" s="79" t="inlineStr">
        <is>
          <t>☑</t>
        </is>
      </c>
      <c r="BB23" s="79" t="inlineStr">
        <is>
          <t>☑</t>
        </is>
      </c>
      <c r="BC23" s="79" t="inlineStr">
        <is>
          <t>☑</t>
        </is>
      </c>
      <c r="BD23" s="79" t="inlineStr">
        <is>
          <t>☑</t>
        </is>
      </c>
      <c r="BE23" s="79" t="inlineStr">
        <is>
          <t>☑</t>
        </is>
      </c>
      <c r="BF23" s="79" t="inlineStr">
        <is>
          <t>☑</t>
        </is>
      </c>
      <c r="BG23" s="79" t="inlineStr">
        <is>
          <t>☑</t>
        </is>
      </c>
      <c r="BH23" s="78" t="inlineStr">
        <is>
          <t>—</t>
        </is>
      </c>
      <c r="BI23" s="79" t="inlineStr">
        <is>
          <t>☑</t>
        </is>
      </c>
      <c r="BJ23" s="79" t="inlineStr">
        <is>
          <t>☑</t>
        </is>
      </c>
      <c r="BK23" s="79" t="inlineStr">
        <is>
          <t>☑</t>
        </is>
      </c>
      <c r="BL23" s="78" t="inlineStr">
        <is>
          <t>—</t>
        </is>
      </c>
      <c r="BM23" s="79" t="inlineStr">
        <is>
          <t>☑</t>
        </is>
      </c>
      <c r="BN23" s="79" t="inlineStr">
        <is>
          <t>☑</t>
        </is>
      </c>
      <c r="BO23" s="79" t="inlineStr">
        <is>
          <t>☑</t>
        </is>
      </c>
    </row>
    <row r="24">
      <c r="A24" s="79" t="n">
        <v>17</v>
      </c>
      <c r="B24" s="79" t="inlineStr">
        <is>
          <t>325106410017</t>
        </is>
      </c>
      <c r="C24" s="79" t="inlineStr">
        <is>
          <t>GYANESHWARI KALLAPILLI</t>
        </is>
      </c>
      <c r="D24" s="78" t="inlineStr">
        <is>
          <t>—</t>
        </is>
      </c>
      <c r="E24" s="79" t="inlineStr">
        <is>
          <t>☑</t>
        </is>
      </c>
      <c r="F24" s="79" t="inlineStr">
        <is>
          <t>☑</t>
        </is>
      </c>
      <c r="G24" s="79" t="inlineStr">
        <is>
          <t>☑</t>
        </is>
      </c>
      <c r="H24" s="79" t="inlineStr">
        <is>
          <t>☑</t>
        </is>
      </c>
      <c r="I24" s="79" t="inlineStr">
        <is>
          <t>☑</t>
        </is>
      </c>
      <c r="J24" s="79" t="inlineStr">
        <is>
          <t>☑</t>
        </is>
      </c>
      <c r="K24" s="79" t="inlineStr">
        <is>
          <t>☑</t>
        </is>
      </c>
      <c r="L24" s="79" t="inlineStr">
        <is>
          <t>☑</t>
        </is>
      </c>
      <c r="M24" s="79" t="inlineStr">
        <is>
          <t>☑</t>
        </is>
      </c>
      <c r="N24" s="79" t="inlineStr">
        <is>
          <t>☑</t>
        </is>
      </c>
      <c r="O24" s="78" t="inlineStr">
        <is>
          <t>—</t>
        </is>
      </c>
      <c r="P24" s="79" t="inlineStr">
        <is>
          <t>☑</t>
        </is>
      </c>
      <c r="Q24" s="79" t="inlineStr">
        <is>
          <t>☑</t>
        </is>
      </c>
      <c r="R24" s="79" t="inlineStr">
        <is>
          <t>☑</t>
        </is>
      </c>
      <c r="S24" s="78" t="inlineStr">
        <is>
          <t>—</t>
        </is>
      </c>
      <c r="T24" s="79" t="inlineStr">
        <is>
          <t>☑</t>
        </is>
      </c>
      <c r="U24" s="79" t="inlineStr">
        <is>
          <t>☑</t>
        </is>
      </c>
      <c r="V24" s="79" t="inlineStr">
        <is>
          <t>☑</t>
        </is>
      </c>
      <c r="W24" s="79" t="inlineStr">
        <is>
          <t>☑</t>
        </is>
      </c>
      <c r="X24" s="79" t="inlineStr">
        <is>
          <t>☑</t>
        </is>
      </c>
      <c r="Y24" s="79" t="inlineStr">
        <is>
          <t>☑</t>
        </is>
      </c>
      <c r="Z24" s="79" t="inlineStr">
        <is>
          <t>☑</t>
        </is>
      </c>
      <c r="AA24" s="79" t="inlineStr">
        <is>
          <t>☑</t>
        </is>
      </c>
      <c r="AB24" s="79" t="inlineStr">
        <is>
          <t>☑</t>
        </is>
      </c>
      <c r="AC24" s="79" t="inlineStr">
        <is>
          <t>☑</t>
        </is>
      </c>
      <c r="AD24" s="78" t="inlineStr">
        <is>
          <t>—</t>
        </is>
      </c>
      <c r="AE24" s="79" t="inlineStr">
        <is>
          <t>☑</t>
        </is>
      </c>
      <c r="AF24" s="79" t="inlineStr">
        <is>
          <t>☑</t>
        </is>
      </c>
      <c r="AG24" s="79" t="inlineStr">
        <is>
          <t>☑</t>
        </is>
      </c>
      <c r="AH24" s="78" t="inlineStr">
        <is>
          <t>—</t>
        </is>
      </c>
      <c r="AI24" s="79" t="inlineStr">
        <is>
          <t>☑</t>
        </is>
      </c>
      <c r="AJ24" s="79" t="inlineStr">
        <is>
          <t>☑</t>
        </is>
      </c>
      <c r="AK24" s="79" t="inlineStr">
        <is>
          <t>☑</t>
        </is>
      </c>
      <c r="AL24" s="79" t="inlineStr">
        <is>
          <t>☑</t>
        </is>
      </c>
      <c r="AM24" s="79" t="inlineStr">
        <is>
          <t>☑</t>
        </is>
      </c>
      <c r="AN24" s="79" t="inlineStr">
        <is>
          <t>☑</t>
        </is>
      </c>
      <c r="AO24" s="79" t="inlineStr">
        <is>
          <t>☑</t>
        </is>
      </c>
      <c r="AP24" s="79" t="inlineStr">
        <is>
          <t>☑</t>
        </is>
      </c>
      <c r="AQ24" s="79" t="inlineStr">
        <is>
          <t>☑</t>
        </is>
      </c>
      <c r="AR24" s="79" t="inlineStr">
        <is>
          <t>☑</t>
        </is>
      </c>
      <c r="AS24" s="78" t="inlineStr">
        <is>
          <t>—</t>
        </is>
      </c>
      <c r="AT24" s="79" t="inlineStr">
        <is>
          <t>☑</t>
        </is>
      </c>
      <c r="AU24" s="79" t="inlineStr">
        <is>
          <t>☑</t>
        </is>
      </c>
      <c r="AV24" s="79" t="inlineStr">
        <is>
          <t>☑</t>
        </is>
      </c>
      <c r="AW24" s="78" t="inlineStr">
        <is>
          <t>—</t>
        </is>
      </c>
      <c r="AX24" s="79" t="inlineStr">
        <is>
          <t>☑</t>
        </is>
      </c>
      <c r="AY24" s="79" t="inlineStr">
        <is>
          <t>☑</t>
        </is>
      </c>
      <c r="AZ24" s="79" t="inlineStr">
        <is>
          <t>☑</t>
        </is>
      </c>
      <c r="BA24" s="79" t="inlineStr">
        <is>
          <t>☑</t>
        </is>
      </c>
      <c r="BB24" s="79" t="inlineStr">
        <is>
          <t>☑</t>
        </is>
      </c>
      <c r="BC24" s="79" t="inlineStr">
        <is>
          <t>☑</t>
        </is>
      </c>
      <c r="BD24" s="79" t="inlineStr">
        <is>
          <t>☑</t>
        </is>
      </c>
      <c r="BE24" s="79" t="inlineStr">
        <is>
          <t>☑</t>
        </is>
      </c>
      <c r="BF24" s="79" t="inlineStr">
        <is>
          <t>☑</t>
        </is>
      </c>
      <c r="BG24" s="79" t="inlineStr">
        <is>
          <t>☑</t>
        </is>
      </c>
      <c r="BH24" s="78" t="inlineStr">
        <is>
          <t>—</t>
        </is>
      </c>
      <c r="BI24" s="79" t="inlineStr">
        <is>
          <t>☑</t>
        </is>
      </c>
      <c r="BJ24" s="79" t="inlineStr">
        <is>
          <t>☑</t>
        </is>
      </c>
      <c r="BK24" s="79" t="inlineStr">
        <is>
          <t>☑</t>
        </is>
      </c>
      <c r="BL24" s="78" t="inlineStr">
        <is>
          <t>—</t>
        </is>
      </c>
      <c r="BM24" s="79" t="inlineStr">
        <is>
          <t>☑</t>
        </is>
      </c>
      <c r="BN24" s="79" t="inlineStr">
        <is>
          <t>☑</t>
        </is>
      </c>
      <c r="BO24" s="79" t="inlineStr">
        <is>
          <t>☑</t>
        </is>
      </c>
    </row>
    <row r="25">
      <c r="A25" s="79" t="n">
        <v>18</v>
      </c>
      <c r="B25" s="79" t="inlineStr">
        <is>
          <t>325106410018</t>
        </is>
      </c>
      <c r="C25" s="79" t="inlineStr">
        <is>
          <t>BHARGAV KRISHNA KANDREGULA</t>
        </is>
      </c>
      <c r="D25" s="78" t="inlineStr">
        <is>
          <t>—</t>
        </is>
      </c>
      <c r="E25" s="79" t="inlineStr">
        <is>
          <t>☑</t>
        </is>
      </c>
      <c r="F25" s="79" t="inlineStr">
        <is>
          <t>☑</t>
        </is>
      </c>
      <c r="G25" s="79" t="inlineStr">
        <is>
          <t>☑</t>
        </is>
      </c>
      <c r="H25" s="79" t="inlineStr">
        <is>
          <t>☑</t>
        </is>
      </c>
      <c r="I25" s="79" t="inlineStr">
        <is>
          <t>☑</t>
        </is>
      </c>
      <c r="J25" s="79" t="inlineStr">
        <is>
          <t>☑</t>
        </is>
      </c>
      <c r="K25" s="79" t="inlineStr">
        <is>
          <t>☑</t>
        </is>
      </c>
      <c r="L25" s="79" t="inlineStr">
        <is>
          <t>☑</t>
        </is>
      </c>
      <c r="M25" s="79" t="inlineStr">
        <is>
          <t>☑</t>
        </is>
      </c>
      <c r="N25" s="79" t="inlineStr">
        <is>
          <t>☑</t>
        </is>
      </c>
      <c r="O25" s="78" t="inlineStr">
        <is>
          <t>—</t>
        </is>
      </c>
      <c r="P25" s="79" t="inlineStr">
        <is>
          <t>☑</t>
        </is>
      </c>
      <c r="Q25" s="79" t="inlineStr">
        <is>
          <t>☑</t>
        </is>
      </c>
      <c r="R25" s="79" t="inlineStr">
        <is>
          <t>☑</t>
        </is>
      </c>
      <c r="S25" s="78" t="inlineStr">
        <is>
          <t>—</t>
        </is>
      </c>
      <c r="T25" s="79" t="inlineStr">
        <is>
          <t>☑</t>
        </is>
      </c>
      <c r="U25" s="79" t="inlineStr">
        <is>
          <t>☑</t>
        </is>
      </c>
      <c r="V25" s="79" t="inlineStr">
        <is>
          <t>☑</t>
        </is>
      </c>
      <c r="W25" s="79" t="inlineStr">
        <is>
          <t>☑</t>
        </is>
      </c>
      <c r="X25" s="79" t="inlineStr">
        <is>
          <t>☑</t>
        </is>
      </c>
      <c r="Y25" s="79" t="inlineStr">
        <is>
          <t>☑</t>
        </is>
      </c>
      <c r="Z25" s="79" t="inlineStr">
        <is>
          <t>☑</t>
        </is>
      </c>
      <c r="AA25" s="79" t="inlineStr">
        <is>
          <t>☑</t>
        </is>
      </c>
      <c r="AB25" s="79" t="inlineStr">
        <is>
          <t>☑</t>
        </is>
      </c>
      <c r="AC25" s="79" t="inlineStr">
        <is>
          <t>☑</t>
        </is>
      </c>
      <c r="AD25" s="78" t="inlineStr">
        <is>
          <t>—</t>
        </is>
      </c>
      <c r="AE25" s="79" t="inlineStr">
        <is>
          <t>☑</t>
        </is>
      </c>
      <c r="AF25" s="79" t="inlineStr">
        <is>
          <t>☑</t>
        </is>
      </c>
      <c r="AG25" s="79" t="inlineStr">
        <is>
          <t>☑</t>
        </is>
      </c>
      <c r="AH25" s="78" t="inlineStr">
        <is>
          <t>—</t>
        </is>
      </c>
      <c r="AI25" s="79" t="inlineStr">
        <is>
          <t>☑</t>
        </is>
      </c>
      <c r="AJ25" s="79" t="inlineStr">
        <is>
          <t>☑</t>
        </is>
      </c>
      <c r="AK25" s="79" t="inlineStr">
        <is>
          <t>☑</t>
        </is>
      </c>
      <c r="AL25" s="79" t="inlineStr">
        <is>
          <t>☑</t>
        </is>
      </c>
      <c r="AM25" s="79" t="inlineStr">
        <is>
          <t>☑</t>
        </is>
      </c>
      <c r="AN25" s="79" t="inlineStr">
        <is>
          <t>☑</t>
        </is>
      </c>
      <c r="AO25" s="79" t="inlineStr">
        <is>
          <t>☑</t>
        </is>
      </c>
      <c r="AP25" s="79" t="inlineStr">
        <is>
          <t>☑</t>
        </is>
      </c>
      <c r="AQ25" s="79" t="inlineStr">
        <is>
          <t>☑</t>
        </is>
      </c>
      <c r="AR25" s="79" t="inlineStr">
        <is>
          <t>☑</t>
        </is>
      </c>
      <c r="AS25" s="78" t="inlineStr">
        <is>
          <t>—</t>
        </is>
      </c>
      <c r="AT25" s="79" t="inlineStr">
        <is>
          <t>☑</t>
        </is>
      </c>
      <c r="AU25" s="79" t="inlineStr">
        <is>
          <t>☑</t>
        </is>
      </c>
      <c r="AV25" s="79" t="inlineStr">
        <is>
          <t>☑</t>
        </is>
      </c>
      <c r="AW25" s="78" t="inlineStr">
        <is>
          <t>—</t>
        </is>
      </c>
      <c r="AX25" s="79" t="inlineStr">
        <is>
          <t>☑</t>
        </is>
      </c>
      <c r="AY25" s="79" t="inlineStr">
        <is>
          <t>☑</t>
        </is>
      </c>
      <c r="AZ25" s="79" t="inlineStr">
        <is>
          <t>☑</t>
        </is>
      </c>
      <c r="BA25" s="79" t="inlineStr">
        <is>
          <t>☑</t>
        </is>
      </c>
      <c r="BB25" s="79" t="inlineStr">
        <is>
          <t>☑</t>
        </is>
      </c>
      <c r="BC25" s="79" t="inlineStr">
        <is>
          <t>☑</t>
        </is>
      </c>
      <c r="BD25" s="79" t="inlineStr">
        <is>
          <t>☑</t>
        </is>
      </c>
      <c r="BE25" s="79" t="inlineStr">
        <is>
          <t>☑</t>
        </is>
      </c>
      <c r="BF25" s="79" t="inlineStr">
        <is>
          <t>☑</t>
        </is>
      </c>
      <c r="BG25" s="79" t="inlineStr">
        <is>
          <t>☑</t>
        </is>
      </c>
      <c r="BH25" s="78" t="inlineStr">
        <is>
          <t>—</t>
        </is>
      </c>
      <c r="BI25" s="79" t="inlineStr">
        <is>
          <t>☑</t>
        </is>
      </c>
      <c r="BJ25" s="79" t="inlineStr">
        <is>
          <t>☑</t>
        </is>
      </c>
      <c r="BK25" s="79" t="inlineStr">
        <is>
          <t>☑</t>
        </is>
      </c>
      <c r="BL25" s="78" t="inlineStr">
        <is>
          <t>—</t>
        </is>
      </c>
      <c r="BM25" s="79" t="inlineStr">
        <is>
          <t>☑</t>
        </is>
      </c>
      <c r="BN25" s="79" t="inlineStr">
        <is>
          <t>☑</t>
        </is>
      </c>
      <c r="BO25" s="79" t="inlineStr">
        <is>
          <t>☑</t>
        </is>
      </c>
    </row>
    <row r="26">
      <c r="A26" s="79" t="n">
        <v>19</v>
      </c>
      <c r="B26" s="79" t="inlineStr">
        <is>
          <t>325106410019</t>
        </is>
      </c>
      <c r="C26" s="79" t="inlineStr">
        <is>
          <t>MUSTHAKHEEM KATTUBADI</t>
        </is>
      </c>
      <c r="D26" s="78" t="inlineStr">
        <is>
          <t>—</t>
        </is>
      </c>
      <c r="E26" s="79" t="inlineStr">
        <is>
          <t>☑</t>
        </is>
      </c>
      <c r="F26" s="79" t="inlineStr">
        <is>
          <t>☑</t>
        </is>
      </c>
      <c r="G26" s="79" t="inlineStr">
        <is>
          <t>☑</t>
        </is>
      </c>
      <c r="H26" s="79" t="inlineStr">
        <is>
          <t>☑</t>
        </is>
      </c>
      <c r="I26" s="79" t="inlineStr">
        <is>
          <t>☑</t>
        </is>
      </c>
      <c r="J26" s="79" t="inlineStr">
        <is>
          <t>☑</t>
        </is>
      </c>
      <c r="K26" s="79" t="inlineStr">
        <is>
          <t>☑</t>
        </is>
      </c>
      <c r="L26" s="79" t="inlineStr">
        <is>
          <t>☑</t>
        </is>
      </c>
      <c r="M26" s="79" t="inlineStr">
        <is>
          <t>☑</t>
        </is>
      </c>
      <c r="N26" s="79" t="inlineStr">
        <is>
          <t>☑</t>
        </is>
      </c>
      <c r="O26" s="78" t="inlineStr">
        <is>
          <t>—</t>
        </is>
      </c>
      <c r="P26" s="79" t="inlineStr">
        <is>
          <t>☑</t>
        </is>
      </c>
      <c r="Q26" s="79" t="inlineStr">
        <is>
          <t>☑</t>
        </is>
      </c>
      <c r="R26" s="79" t="inlineStr">
        <is>
          <t>☑</t>
        </is>
      </c>
      <c r="S26" s="78" t="inlineStr">
        <is>
          <t>—</t>
        </is>
      </c>
      <c r="T26" s="79" t="inlineStr">
        <is>
          <t>☑</t>
        </is>
      </c>
      <c r="U26" s="79" t="inlineStr">
        <is>
          <t>☑</t>
        </is>
      </c>
      <c r="V26" s="79" t="inlineStr">
        <is>
          <t>☑</t>
        </is>
      </c>
      <c r="W26" s="79" t="inlineStr">
        <is>
          <t>☑</t>
        </is>
      </c>
      <c r="X26" s="79" t="inlineStr">
        <is>
          <t>☑</t>
        </is>
      </c>
      <c r="Y26" s="79" t="inlineStr">
        <is>
          <t>☑</t>
        </is>
      </c>
      <c r="Z26" s="79" t="inlineStr">
        <is>
          <t>☑</t>
        </is>
      </c>
      <c r="AA26" s="79" t="inlineStr">
        <is>
          <t>☑</t>
        </is>
      </c>
      <c r="AB26" s="79" t="inlineStr">
        <is>
          <t>☑</t>
        </is>
      </c>
      <c r="AC26" s="79" t="inlineStr">
        <is>
          <t>☑</t>
        </is>
      </c>
      <c r="AD26" s="78" t="inlineStr">
        <is>
          <t>—</t>
        </is>
      </c>
      <c r="AE26" s="79" t="inlineStr">
        <is>
          <t>☑</t>
        </is>
      </c>
      <c r="AF26" s="79" t="inlineStr">
        <is>
          <t>☑</t>
        </is>
      </c>
      <c r="AG26" s="79" t="inlineStr">
        <is>
          <t>☑</t>
        </is>
      </c>
      <c r="AH26" s="78" t="inlineStr">
        <is>
          <t>—</t>
        </is>
      </c>
      <c r="AI26" s="79" t="inlineStr">
        <is>
          <t>☑</t>
        </is>
      </c>
      <c r="AJ26" s="79" t="inlineStr">
        <is>
          <t>☑</t>
        </is>
      </c>
      <c r="AK26" s="79" t="inlineStr">
        <is>
          <t>☑</t>
        </is>
      </c>
      <c r="AL26" s="79" t="inlineStr">
        <is>
          <t>☑</t>
        </is>
      </c>
      <c r="AM26" s="79" t="inlineStr">
        <is>
          <t>☑</t>
        </is>
      </c>
      <c r="AN26" s="79" t="inlineStr">
        <is>
          <t>☑</t>
        </is>
      </c>
      <c r="AO26" s="79" t="inlineStr">
        <is>
          <t>☑</t>
        </is>
      </c>
      <c r="AP26" s="79" t="inlineStr">
        <is>
          <t>☑</t>
        </is>
      </c>
      <c r="AQ26" s="79" t="inlineStr">
        <is>
          <t>☑</t>
        </is>
      </c>
      <c r="AR26" s="79" t="inlineStr">
        <is>
          <t>☑</t>
        </is>
      </c>
      <c r="AS26" s="78" t="inlineStr">
        <is>
          <t>—</t>
        </is>
      </c>
      <c r="AT26" s="79" t="inlineStr">
        <is>
          <t>☑</t>
        </is>
      </c>
      <c r="AU26" s="79" t="inlineStr">
        <is>
          <t>☑</t>
        </is>
      </c>
      <c r="AV26" s="79" t="inlineStr">
        <is>
          <t>☑</t>
        </is>
      </c>
      <c r="AW26" s="78" t="inlineStr">
        <is>
          <t>—</t>
        </is>
      </c>
      <c r="AX26" s="79" t="inlineStr">
        <is>
          <t>☑</t>
        </is>
      </c>
      <c r="AY26" s="79" t="inlineStr">
        <is>
          <t>☑</t>
        </is>
      </c>
      <c r="AZ26" s="79" t="inlineStr">
        <is>
          <t>☑</t>
        </is>
      </c>
      <c r="BA26" s="79" t="inlineStr">
        <is>
          <t>☑</t>
        </is>
      </c>
      <c r="BB26" s="79" t="inlineStr">
        <is>
          <t>☑</t>
        </is>
      </c>
      <c r="BC26" s="79" t="inlineStr">
        <is>
          <t>☑</t>
        </is>
      </c>
      <c r="BD26" s="79" t="inlineStr">
        <is>
          <t>☑</t>
        </is>
      </c>
      <c r="BE26" s="79" t="inlineStr">
        <is>
          <t>☑</t>
        </is>
      </c>
      <c r="BF26" s="79" t="inlineStr">
        <is>
          <t>☑</t>
        </is>
      </c>
      <c r="BG26" s="79" t="inlineStr">
        <is>
          <t>☑</t>
        </is>
      </c>
      <c r="BH26" s="78" t="inlineStr">
        <is>
          <t>—</t>
        </is>
      </c>
      <c r="BI26" s="79" t="inlineStr">
        <is>
          <t>☑</t>
        </is>
      </c>
      <c r="BJ26" s="79" t="inlineStr">
        <is>
          <t>☑</t>
        </is>
      </c>
      <c r="BK26" s="79" t="inlineStr">
        <is>
          <t>☑</t>
        </is>
      </c>
      <c r="BL26" s="78" t="inlineStr">
        <is>
          <t>—</t>
        </is>
      </c>
      <c r="BM26" s="79" t="inlineStr">
        <is>
          <t>☑</t>
        </is>
      </c>
      <c r="BN26" s="79" t="inlineStr">
        <is>
          <t>☑</t>
        </is>
      </c>
      <c r="BO26" s="79" t="inlineStr">
        <is>
          <t>☑</t>
        </is>
      </c>
    </row>
    <row r="27">
      <c r="A27" s="79" t="n">
        <v>20</v>
      </c>
      <c r="B27" s="79" t="inlineStr">
        <is>
          <t>325106410020</t>
        </is>
      </c>
      <c r="C27" s="79" t="inlineStr">
        <is>
          <t>HEMA VENKATA SAI RAM CHARAN KOMMURU</t>
        </is>
      </c>
      <c r="D27" s="78" t="inlineStr">
        <is>
          <t>—</t>
        </is>
      </c>
      <c r="E27" s="79" t="inlineStr">
        <is>
          <t>☑</t>
        </is>
      </c>
      <c r="F27" s="79" t="inlineStr">
        <is>
          <t>☑</t>
        </is>
      </c>
      <c r="G27" s="79" t="inlineStr">
        <is>
          <t>☑</t>
        </is>
      </c>
      <c r="H27" s="79" t="inlineStr">
        <is>
          <t>☑</t>
        </is>
      </c>
      <c r="I27" s="79" t="inlineStr">
        <is>
          <t>☑</t>
        </is>
      </c>
      <c r="J27" s="79" t="inlineStr">
        <is>
          <t>☑</t>
        </is>
      </c>
      <c r="K27" s="79" t="inlineStr">
        <is>
          <t>☑</t>
        </is>
      </c>
      <c r="L27" s="79" t="inlineStr">
        <is>
          <t>☑</t>
        </is>
      </c>
      <c r="M27" s="79" t="inlineStr">
        <is>
          <t>☑</t>
        </is>
      </c>
      <c r="N27" s="79" t="inlineStr">
        <is>
          <t>☑</t>
        </is>
      </c>
      <c r="O27" s="78" t="inlineStr">
        <is>
          <t>—</t>
        </is>
      </c>
      <c r="P27" s="79" t="inlineStr">
        <is>
          <t>☑</t>
        </is>
      </c>
      <c r="Q27" s="79" t="inlineStr">
        <is>
          <t>☑</t>
        </is>
      </c>
      <c r="R27" s="79" t="inlineStr">
        <is>
          <t>☑</t>
        </is>
      </c>
      <c r="S27" s="78" t="inlineStr">
        <is>
          <t>—</t>
        </is>
      </c>
      <c r="T27" s="79" t="inlineStr">
        <is>
          <t>☑</t>
        </is>
      </c>
      <c r="U27" s="79" t="inlineStr">
        <is>
          <t>☑</t>
        </is>
      </c>
      <c r="V27" s="79" t="inlineStr">
        <is>
          <t>☑</t>
        </is>
      </c>
      <c r="W27" s="79" t="inlineStr">
        <is>
          <t>☑</t>
        </is>
      </c>
      <c r="X27" s="79" t="inlineStr">
        <is>
          <t>☑</t>
        </is>
      </c>
      <c r="Y27" s="79" t="inlineStr">
        <is>
          <t>☑</t>
        </is>
      </c>
      <c r="Z27" s="79" t="inlineStr">
        <is>
          <t>☑</t>
        </is>
      </c>
      <c r="AA27" s="79" t="inlineStr">
        <is>
          <t>☑</t>
        </is>
      </c>
      <c r="AB27" s="79" t="inlineStr">
        <is>
          <t>☑</t>
        </is>
      </c>
      <c r="AC27" s="79" t="inlineStr">
        <is>
          <t>☑</t>
        </is>
      </c>
      <c r="AD27" s="78" t="inlineStr">
        <is>
          <t>—</t>
        </is>
      </c>
      <c r="AE27" s="79" t="inlineStr">
        <is>
          <t>☑</t>
        </is>
      </c>
      <c r="AF27" s="79" t="inlineStr">
        <is>
          <t>☑</t>
        </is>
      </c>
      <c r="AG27" s="79" t="inlineStr">
        <is>
          <t>☑</t>
        </is>
      </c>
      <c r="AH27" s="78" t="inlineStr">
        <is>
          <t>—</t>
        </is>
      </c>
      <c r="AI27" s="79" t="inlineStr">
        <is>
          <t>☑</t>
        </is>
      </c>
      <c r="AJ27" s="79" t="inlineStr">
        <is>
          <t>☑</t>
        </is>
      </c>
      <c r="AK27" s="79" t="inlineStr">
        <is>
          <t>☑</t>
        </is>
      </c>
      <c r="AL27" s="79" t="inlineStr">
        <is>
          <t>☑</t>
        </is>
      </c>
      <c r="AM27" s="79" t="inlineStr">
        <is>
          <t>☑</t>
        </is>
      </c>
      <c r="AN27" s="79" t="inlineStr">
        <is>
          <t>☑</t>
        </is>
      </c>
      <c r="AO27" s="79" t="inlineStr">
        <is>
          <t>☑</t>
        </is>
      </c>
      <c r="AP27" s="79" t="inlineStr">
        <is>
          <t>☑</t>
        </is>
      </c>
      <c r="AQ27" s="79" t="inlineStr">
        <is>
          <t>☑</t>
        </is>
      </c>
      <c r="AR27" s="79" t="inlineStr">
        <is>
          <t>☑</t>
        </is>
      </c>
      <c r="AS27" s="78" t="inlineStr">
        <is>
          <t>—</t>
        </is>
      </c>
      <c r="AT27" s="79" t="inlineStr">
        <is>
          <t>☑</t>
        </is>
      </c>
      <c r="AU27" s="79" t="inlineStr">
        <is>
          <t>☑</t>
        </is>
      </c>
      <c r="AV27" s="79" t="inlineStr">
        <is>
          <t>☑</t>
        </is>
      </c>
      <c r="AW27" s="78" t="inlineStr">
        <is>
          <t>—</t>
        </is>
      </c>
      <c r="AX27" s="79" t="inlineStr">
        <is>
          <t>☑</t>
        </is>
      </c>
      <c r="AY27" s="79" t="inlineStr">
        <is>
          <t>☑</t>
        </is>
      </c>
      <c r="AZ27" s="79" t="inlineStr">
        <is>
          <t>☑</t>
        </is>
      </c>
      <c r="BA27" s="79" t="inlineStr">
        <is>
          <t>☑</t>
        </is>
      </c>
      <c r="BB27" s="79" t="inlineStr">
        <is>
          <t>☑</t>
        </is>
      </c>
      <c r="BC27" s="79" t="inlineStr">
        <is>
          <t>☑</t>
        </is>
      </c>
      <c r="BD27" s="79" t="inlineStr">
        <is>
          <t>☑</t>
        </is>
      </c>
      <c r="BE27" s="79" t="inlineStr">
        <is>
          <t>☑</t>
        </is>
      </c>
      <c r="BF27" s="79" t="inlineStr">
        <is>
          <t>☑</t>
        </is>
      </c>
      <c r="BG27" s="79" t="inlineStr">
        <is>
          <t>☑</t>
        </is>
      </c>
      <c r="BH27" s="78" t="inlineStr">
        <is>
          <t>—</t>
        </is>
      </c>
      <c r="BI27" s="79" t="inlineStr">
        <is>
          <t>☑</t>
        </is>
      </c>
      <c r="BJ27" s="79" t="inlineStr">
        <is>
          <t>☑</t>
        </is>
      </c>
      <c r="BK27" s="79" t="inlineStr">
        <is>
          <t>☑</t>
        </is>
      </c>
      <c r="BL27" s="78" t="inlineStr">
        <is>
          <t>—</t>
        </is>
      </c>
      <c r="BM27" s="79" t="inlineStr">
        <is>
          <t>☑</t>
        </is>
      </c>
      <c r="BN27" s="79" t="inlineStr">
        <is>
          <t>☑</t>
        </is>
      </c>
      <c r="BO27" s="79" t="inlineStr">
        <is>
          <t>☑</t>
        </is>
      </c>
    </row>
    <row r="28">
      <c r="A28" s="79" t="n">
        <v>21</v>
      </c>
      <c r="B28" s="79" t="inlineStr">
        <is>
          <t>325106410021</t>
        </is>
      </c>
      <c r="C28" s="79" t="inlineStr">
        <is>
          <t>MUKESH VENKATA SURYA LOGISA</t>
        </is>
      </c>
      <c r="D28" s="78" t="inlineStr">
        <is>
          <t>—</t>
        </is>
      </c>
      <c r="E28" s="79" t="inlineStr">
        <is>
          <t>☑</t>
        </is>
      </c>
      <c r="F28" s="79" t="inlineStr">
        <is>
          <t>☑</t>
        </is>
      </c>
      <c r="G28" s="79" t="inlineStr">
        <is>
          <t>☑</t>
        </is>
      </c>
      <c r="H28" s="79" t="inlineStr">
        <is>
          <t>☑</t>
        </is>
      </c>
      <c r="I28" s="79" t="inlineStr">
        <is>
          <t>☑</t>
        </is>
      </c>
      <c r="J28" s="79" t="inlineStr">
        <is>
          <t>☑</t>
        </is>
      </c>
      <c r="K28" s="79" t="inlineStr">
        <is>
          <t>☑</t>
        </is>
      </c>
      <c r="L28" s="79" t="inlineStr">
        <is>
          <t>☑</t>
        </is>
      </c>
      <c r="M28" s="79" t="inlineStr">
        <is>
          <t>☑</t>
        </is>
      </c>
      <c r="N28" s="79" t="inlineStr">
        <is>
          <t>☑</t>
        </is>
      </c>
      <c r="O28" s="78" t="inlineStr">
        <is>
          <t>—</t>
        </is>
      </c>
      <c r="P28" s="79" t="inlineStr">
        <is>
          <t>☑</t>
        </is>
      </c>
      <c r="Q28" s="79" t="inlineStr">
        <is>
          <t>☑</t>
        </is>
      </c>
      <c r="R28" s="79" t="inlineStr">
        <is>
          <t>☑</t>
        </is>
      </c>
      <c r="S28" s="78" t="inlineStr">
        <is>
          <t>—</t>
        </is>
      </c>
      <c r="T28" s="79" t="inlineStr">
        <is>
          <t>☑</t>
        </is>
      </c>
      <c r="U28" s="79" t="inlineStr">
        <is>
          <t>☑</t>
        </is>
      </c>
      <c r="V28" s="79" t="inlineStr">
        <is>
          <t>☑</t>
        </is>
      </c>
      <c r="W28" s="79" t="inlineStr">
        <is>
          <t>☑</t>
        </is>
      </c>
      <c r="X28" s="79" t="inlineStr">
        <is>
          <t>☑</t>
        </is>
      </c>
      <c r="Y28" s="79" t="inlineStr">
        <is>
          <t>☑</t>
        </is>
      </c>
      <c r="Z28" s="79" t="inlineStr">
        <is>
          <t>☑</t>
        </is>
      </c>
      <c r="AA28" s="79" t="inlineStr">
        <is>
          <t>☑</t>
        </is>
      </c>
      <c r="AB28" s="79" t="inlineStr">
        <is>
          <t>☑</t>
        </is>
      </c>
      <c r="AC28" s="79" t="inlineStr">
        <is>
          <t>☑</t>
        </is>
      </c>
      <c r="AD28" s="78" t="inlineStr">
        <is>
          <t>—</t>
        </is>
      </c>
      <c r="AE28" s="79" t="inlineStr">
        <is>
          <t>☑</t>
        </is>
      </c>
      <c r="AF28" s="79" t="inlineStr">
        <is>
          <t>☑</t>
        </is>
      </c>
      <c r="AG28" s="79" t="inlineStr">
        <is>
          <t>☑</t>
        </is>
      </c>
      <c r="AH28" s="78" t="inlineStr">
        <is>
          <t>—</t>
        </is>
      </c>
      <c r="AI28" s="79" t="inlineStr">
        <is>
          <t>☑</t>
        </is>
      </c>
      <c r="AJ28" s="79" t="inlineStr">
        <is>
          <t>☑</t>
        </is>
      </c>
      <c r="AK28" s="79" t="inlineStr">
        <is>
          <t>☑</t>
        </is>
      </c>
      <c r="AL28" s="79" t="inlineStr">
        <is>
          <t>☑</t>
        </is>
      </c>
      <c r="AM28" s="79" t="inlineStr">
        <is>
          <t>☑</t>
        </is>
      </c>
      <c r="AN28" s="79" t="inlineStr">
        <is>
          <t>☑</t>
        </is>
      </c>
      <c r="AO28" s="79" t="inlineStr">
        <is>
          <t>☑</t>
        </is>
      </c>
      <c r="AP28" s="79" t="inlineStr">
        <is>
          <t>☑</t>
        </is>
      </c>
      <c r="AQ28" s="79" t="inlineStr">
        <is>
          <t>☑</t>
        </is>
      </c>
      <c r="AR28" s="79" t="inlineStr">
        <is>
          <t>☑</t>
        </is>
      </c>
      <c r="AS28" s="78" t="inlineStr">
        <is>
          <t>—</t>
        </is>
      </c>
      <c r="AT28" s="79" t="inlineStr">
        <is>
          <t>☑</t>
        </is>
      </c>
      <c r="AU28" s="79" t="inlineStr">
        <is>
          <t>☑</t>
        </is>
      </c>
      <c r="AV28" s="79" t="inlineStr">
        <is>
          <t>☑</t>
        </is>
      </c>
      <c r="AW28" s="78" t="inlineStr">
        <is>
          <t>—</t>
        </is>
      </c>
      <c r="AX28" s="79" t="inlineStr">
        <is>
          <t>☑</t>
        </is>
      </c>
      <c r="AY28" s="79" t="inlineStr">
        <is>
          <t>☑</t>
        </is>
      </c>
      <c r="AZ28" s="79" t="inlineStr">
        <is>
          <t>☑</t>
        </is>
      </c>
      <c r="BA28" s="79" t="inlineStr">
        <is>
          <t>☑</t>
        </is>
      </c>
      <c r="BB28" s="79" t="inlineStr">
        <is>
          <t>☑</t>
        </is>
      </c>
      <c r="BC28" s="79" t="inlineStr">
        <is>
          <t>☑</t>
        </is>
      </c>
      <c r="BD28" s="79" t="inlineStr">
        <is>
          <t>☑</t>
        </is>
      </c>
      <c r="BE28" s="79" t="inlineStr">
        <is>
          <t>☑</t>
        </is>
      </c>
      <c r="BF28" s="79" t="inlineStr">
        <is>
          <t>☑</t>
        </is>
      </c>
      <c r="BG28" s="79" t="inlineStr">
        <is>
          <t>☑</t>
        </is>
      </c>
      <c r="BH28" s="78" t="inlineStr">
        <is>
          <t>—</t>
        </is>
      </c>
      <c r="BI28" s="79" t="inlineStr">
        <is>
          <t>☑</t>
        </is>
      </c>
      <c r="BJ28" s="79" t="inlineStr">
        <is>
          <t>☑</t>
        </is>
      </c>
      <c r="BK28" s="79" t="inlineStr">
        <is>
          <t>☑</t>
        </is>
      </c>
      <c r="BL28" s="78" t="inlineStr">
        <is>
          <t>—</t>
        </is>
      </c>
      <c r="BM28" s="79" t="inlineStr">
        <is>
          <t>☑</t>
        </is>
      </c>
      <c r="BN28" s="79" t="inlineStr">
        <is>
          <t>☑</t>
        </is>
      </c>
      <c r="BO28" s="79" t="inlineStr">
        <is>
          <t>☑</t>
        </is>
      </c>
    </row>
    <row r="29">
      <c r="A29" s="79" t="n">
        <v>22</v>
      </c>
      <c r="B29" s="79" t="inlineStr">
        <is>
          <t>325106410022</t>
        </is>
      </c>
      <c r="C29" s="79" t="inlineStr">
        <is>
          <t>RAJESH MAJJI</t>
        </is>
      </c>
      <c r="D29" s="78" t="inlineStr">
        <is>
          <t>—</t>
        </is>
      </c>
      <c r="E29" s="79" t="inlineStr">
        <is>
          <t>☑</t>
        </is>
      </c>
      <c r="F29" s="79" t="inlineStr">
        <is>
          <t>☑</t>
        </is>
      </c>
      <c r="G29" s="79" t="inlineStr">
        <is>
          <t>☑</t>
        </is>
      </c>
      <c r="H29" s="79" t="inlineStr">
        <is>
          <t>☑</t>
        </is>
      </c>
      <c r="I29" s="79" t="inlineStr">
        <is>
          <t>☑</t>
        </is>
      </c>
      <c r="J29" s="79" t="inlineStr">
        <is>
          <t>☑</t>
        </is>
      </c>
      <c r="K29" s="79" t="inlineStr">
        <is>
          <t>☑</t>
        </is>
      </c>
      <c r="L29" s="79" t="inlineStr">
        <is>
          <t>☑</t>
        </is>
      </c>
      <c r="M29" s="79" t="inlineStr">
        <is>
          <t>☑</t>
        </is>
      </c>
      <c r="N29" s="79" t="inlineStr">
        <is>
          <t>☑</t>
        </is>
      </c>
      <c r="O29" s="78" t="inlineStr">
        <is>
          <t>—</t>
        </is>
      </c>
      <c r="P29" s="79" t="inlineStr">
        <is>
          <t>☑</t>
        </is>
      </c>
      <c r="Q29" s="79" t="inlineStr">
        <is>
          <t>☑</t>
        </is>
      </c>
      <c r="R29" s="79" t="inlineStr">
        <is>
          <t>☑</t>
        </is>
      </c>
      <c r="S29" s="78" t="inlineStr">
        <is>
          <t>—</t>
        </is>
      </c>
      <c r="T29" s="79" t="inlineStr">
        <is>
          <t>☑</t>
        </is>
      </c>
      <c r="U29" s="79" t="inlineStr">
        <is>
          <t>☑</t>
        </is>
      </c>
      <c r="V29" s="79" t="inlineStr">
        <is>
          <t>☑</t>
        </is>
      </c>
      <c r="W29" s="79" t="inlineStr">
        <is>
          <t>☑</t>
        </is>
      </c>
      <c r="X29" s="79" t="inlineStr">
        <is>
          <t>☑</t>
        </is>
      </c>
      <c r="Y29" s="79" t="inlineStr">
        <is>
          <t>☑</t>
        </is>
      </c>
      <c r="Z29" s="79" t="inlineStr">
        <is>
          <t>☑</t>
        </is>
      </c>
      <c r="AA29" s="79" t="inlineStr">
        <is>
          <t>☑</t>
        </is>
      </c>
      <c r="AB29" s="79" t="inlineStr">
        <is>
          <t>☑</t>
        </is>
      </c>
      <c r="AC29" s="79" t="inlineStr">
        <is>
          <t>☑</t>
        </is>
      </c>
      <c r="AD29" s="78" t="inlineStr">
        <is>
          <t>—</t>
        </is>
      </c>
      <c r="AE29" s="79" t="inlineStr">
        <is>
          <t>☑</t>
        </is>
      </c>
      <c r="AF29" s="79" t="inlineStr">
        <is>
          <t>☑</t>
        </is>
      </c>
      <c r="AG29" s="79" t="inlineStr">
        <is>
          <t>☑</t>
        </is>
      </c>
      <c r="AH29" s="78" t="inlineStr">
        <is>
          <t>—</t>
        </is>
      </c>
      <c r="AI29" s="79" t="inlineStr">
        <is>
          <t>☑</t>
        </is>
      </c>
      <c r="AJ29" s="79" t="inlineStr">
        <is>
          <t>☑</t>
        </is>
      </c>
      <c r="AK29" s="79" t="inlineStr">
        <is>
          <t>☑</t>
        </is>
      </c>
      <c r="AL29" s="79" t="inlineStr">
        <is>
          <t>☑</t>
        </is>
      </c>
      <c r="AM29" s="79" t="inlineStr">
        <is>
          <t>☑</t>
        </is>
      </c>
      <c r="AN29" s="79" t="inlineStr">
        <is>
          <t>☑</t>
        </is>
      </c>
      <c r="AO29" s="79" t="inlineStr">
        <is>
          <t>☑</t>
        </is>
      </c>
      <c r="AP29" s="79" t="inlineStr">
        <is>
          <t>☑</t>
        </is>
      </c>
      <c r="AQ29" s="79" t="inlineStr">
        <is>
          <t>☑</t>
        </is>
      </c>
      <c r="AR29" s="79" t="inlineStr">
        <is>
          <t>☑</t>
        </is>
      </c>
      <c r="AS29" s="78" t="inlineStr">
        <is>
          <t>—</t>
        </is>
      </c>
      <c r="AT29" s="79" t="inlineStr">
        <is>
          <t>☑</t>
        </is>
      </c>
      <c r="AU29" s="79" t="inlineStr">
        <is>
          <t>☑</t>
        </is>
      </c>
      <c r="AV29" s="79" t="inlineStr">
        <is>
          <t>☑</t>
        </is>
      </c>
      <c r="AW29" s="78" t="inlineStr">
        <is>
          <t>—</t>
        </is>
      </c>
      <c r="AX29" s="79" t="inlineStr">
        <is>
          <t>☑</t>
        </is>
      </c>
      <c r="AY29" s="79" t="inlineStr">
        <is>
          <t>☑</t>
        </is>
      </c>
      <c r="AZ29" s="79" t="inlineStr">
        <is>
          <t>☑</t>
        </is>
      </c>
      <c r="BA29" s="79" t="inlineStr">
        <is>
          <t>☑</t>
        </is>
      </c>
      <c r="BB29" s="79" t="inlineStr">
        <is>
          <t>☑</t>
        </is>
      </c>
      <c r="BC29" s="79" t="inlineStr">
        <is>
          <t>☑</t>
        </is>
      </c>
      <c r="BD29" s="79" t="inlineStr">
        <is>
          <t>☑</t>
        </is>
      </c>
      <c r="BE29" s="79" t="inlineStr">
        <is>
          <t>☑</t>
        </is>
      </c>
      <c r="BF29" s="79" t="inlineStr">
        <is>
          <t>☑</t>
        </is>
      </c>
      <c r="BG29" s="79" t="inlineStr">
        <is>
          <t>☑</t>
        </is>
      </c>
      <c r="BH29" s="78" t="inlineStr">
        <is>
          <t>—</t>
        </is>
      </c>
      <c r="BI29" s="79" t="inlineStr">
        <is>
          <t>☑</t>
        </is>
      </c>
      <c r="BJ29" s="79" t="inlineStr">
        <is>
          <t>☑</t>
        </is>
      </c>
      <c r="BK29" s="79" t="inlineStr">
        <is>
          <t>☑</t>
        </is>
      </c>
      <c r="BL29" s="78" t="inlineStr">
        <is>
          <t>—</t>
        </is>
      </c>
      <c r="BM29" s="79" t="inlineStr">
        <is>
          <t>☑</t>
        </is>
      </c>
      <c r="BN29" s="79" t="inlineStr">
        <is>
          <t>☑</t>
        </is>
      </c>
      <c r="BO29" s="79" t="inlineStr">
        <is>
          <t>☑</t>
        </is>
      </c>
    </row>
    <row r="30">
      <c r="A30" s="79" t="n">
        <v>23</v>
      </c>
      <c r="B30" s="79" t="inlineStr">
        <is>
          <t>325106410023</t>
        </is>
      </c>
      <c r="C30" s="79" t="inlineStr">
        <is>
          <t>SIVA SAI ANIRUDH MAMIDI</t>
        </is>
      </c>
      <c r="D30" s="78" t="inlineStr">
        <is>
          <t>—</t>
        </is>
      </c>
      <c r="E30" s="79" t="inlineStr">
        <is>
          <t>☑</t>
        </is>
      </c>
      <c r="F30" s="79" t="inlineStr">
        <is>
          <t>☑</t>
        </is>
      </c>
      <c r="G30" s="79" t="inlineStr">
        <is>
          <t>☑</t>
        </is>
      </c>
      <c r="H30" s="79" t="inlineStr">
        <is>
          <t>☑</t>
        </is>
      </c>
      <c r="I30" s="79" t="inlineStr">
        <is>
          <t>☑</t>
        </is>
      </c>
      <c r="J30" s="79" t="inlineStr">
        <is>
          <t>☑</t>
        </is>
      </c>
      <c r="K30" s="79" t="inlineStr">
        <is>
          <t>☑</t>
        </is>
      </c>
      <c r="L30" s="79" t="inlineStr">
        <is>
          <t>☑</t>
        </is>
      </c>
      <c r="M30" s="79" t="inlineStr">
        <is>
          <t>☑</t>
        </is>
      </c>
      <c r="N30" s="79" t="inlineStr">
        <is>
          <t>☑</t>
        </is>
      </c>
      <c r="O30" s="78" t="inlineStr">
        <is>
          <t>—</t>
        </is>
      </c>
      <c r="P30" s="79" t="inlineStr">
        <is>
          <t>☑</t>
        </is>
      </c>
      <c r="Q30" s="79" t="inlineStr">
        <is>
          <t>☑</t>
        </is>
      </c>
      <c r="R30" s="79" t="inlineStr">
        <is>
          <t>☑</t>
        </is>
      </c>
      <c r="S30" s="78" t="inlineStr">
        <is>
          <t>—</t>
        </is>
      </c>
      <c r="T30" s="79" t="inlineStr">
        <is>
          <t>☑</t>
        </is>
      </c>
      <c r="U30" s="79" t="inlineStr">
        <is>
          <t>☑</t>
        </is>
      </c>
      <c r="V30" s="79" t="inlineStr">
        <is>
          <t>☑</t>
        </is>
      </c>
      <c r="W30" s="79" t="inlineStr">
        <is>
          <t>☑</t>
        </is>
      </c>
      <c r="X30" s="79" t="inlineStr">
        <is>
          <t>☑</t>
        </is>
      </c>
      <c r="Y30" s="79" t="inlineStr">
        <is>
          <t>☑</t>
        </is>
      </c>
      <c r="Z30" s="79" t="inlineStr">
        <is>
          <t>☑</t>
        </is>
      </c>
      <c r="AA30" s="79" t="inlineStr">
        <is>
          <t>☑</t>
        </is>
      </c>
      <c r="AB30" s="79" t="inlineStr">
        <is>
          <t>☑</t>
        </is>
      </c>
      <c r="AC30" s="79" t="inlineStr">
        <is>
          <t>☑</t>
        </is>
      </c>
      <c r="AD30" s="78" t="inlineStr">
        <is>
          <t>—</t>
        </is>
      </c>
      <c r="AE30" s="79" t="inlineStr">
        <is>
          <t>☑</t>
        </is>
      </c>
      <c r="AF30" s="79" t="inlineStr">
        <is>
          <t>☑</t>
        </is>
      </c>
      <c r="AG30" s="79" t="inlineStr">
        <is>
          <t>☑</t>
        </is>
      </c>
      <c r="AH30" s="78" t="inlineStr">
        <is>
          <t>—</t>
        </is>
      </c>
      <c r="AI30" s="79" t="inlineStr">
        <is>
          <t>☑</t>
        </is>
      </c>
      <c r="AJ30" s="79" t="inlineStr">
        <is>
          <t>☑</t>
        </is>
      </c>
      <c r="AK30" s="79" t="inlineStr">
        <is>
          <t>☑</t>
        </is>
      </c>
      <c r="AL30" s="79" t="inlineStr">
        <is>
          <t>☑</t>
        </is>
      </c>
      <c r="AM30" s="79" t="inlineStr">
        <is>
          <t>☑</t>
        </is>
      </c>
      <c r="AN30" s="79" t="inlineStr">
        <is>
          <t>☑</t>
        </is>
      </c>
      <c r="AO30" s="79" t="inlineStr">
        <is>
          <t>☑</t>
        </is>
      </c>
      <c r="AP30" s="79" t="inlineStr">
        <is>
          <t>☑</t>
        </is>
      </c>
      <c r="AQ30" s="79" t="inlineStr">
        <is>
          <t>☑</t>
        </is>
      </c>
      <c r="AR30" s="79" t="inlineStr">
        <is>
          <t>☑</t>
        </is>
      </c>
      <c r="AS30" s="78" t="inlineStr">
        <is>
          <t>—</t>
        </is>
      </c>
      <c r="AT30" s="79" t="inlineStr">
        <is>
          <t>☑</t>
        </is>
      </c>
      <c r="AU30" s="79" t="inlineStr">
        <is>
          <t>☑</t>
        </is>
      </c>
      <c r="AV30" s="79" t="inlineStr">
        <is>
          <t>☑</t>
        </is>
      </c>
      <c r="AW30" s="78" t="inlineStr">
        <is>
          <t>—</t>
        </is>
      </c>
      <c r="AX30" s="79" t="inlineStr">
        <is>
          <t>☑</t>
        </is>
      </c>
      <c r="AY30" s="79" t="inlineStr">
        <is>
          <t>☑</t>
        </is>
      </c>
      <c r="AZ30" s="79" t="inlineStr">
        <is>
          <t>☑</t>
        </is>
      </c>
      <c r="BA30" s="79" t="inlineStr">
        <is>
          <t>☑</t>
        </is>
      </c>
      <c r="BB30" s="79" t="inlineStr">
        <is>
          <t>☑</t>
        </is>
      </c>
      <c r="BC30" s="79" t="inlineStr">
        <is>
          <t>☑</t>
        </is>
      </c>
      <c r="BD30" s="79" t="inlineStr">
        <is>
          <t>☑</t>
        </is>
      </c>
      <c r="BE30" s="79" t="inlineStr">
        <is>
          <t>☑</t>
        </is>
      </c>
      <c r="BF30" s="79" t="inlineStr">
        <is>
          <t>☑</t>
        </is>
      </c>
      <c r="BG30" s="79" t="inlineStr">
        <is>
          <t>☑</t>
        </is>
      </c>
      <c r="BH30" s="78" t="inlineStr">
        <is>
          <t>—</t>
        </is>
      </c>
      <c r="BI30" s="79" t="inlineStr">
        <is>
          <t>☑</t>
        </is>
      </c>
      <c r="BJ30" s="79" t="inlineStr">
        <is>
          <t>☑</t>
        </is>
      </c>
      <c r="BK30" s="79" t="inlineStr">
        <is>
          <t>☑</t>
        </is>
      </c>
      <c r="BL30" s="78" t="inlineStr">
        <is>
          <t>—</t>
        </is>
      </c>
      <c r="BM30" s="79" t="inlineStr">
        <is>
          <t>☑</t>
        </is>
      </c>
      <c r="BN30" s="79" t="inlineStr">
        <is>
          <t>☑</t>
        </is>
      </c>
      <c r="BO30" s="79" t="inlineStr">
        <is>
          <t>☑</t>
        </is>
      </c>
    </row>
    <row r="31">
      <c r="A31" s="79" t="n">
        <v>24</v>
      </c>
      <c r="B31" s="79" t="inlineStr">
        <is>
          <t>325106410024</t>
        </is>
      </c>
      <c r="C31" s="79" t="inlineStr">
        <is>
          <t>MUTYALA GAYATRI MANTHA</t>
        </is>
      </c>
      <c r="D31" s="78" t="inlineStr">
        <is>
          <t>—</t>
        </is>
      </c>
      <c r="E31" s="79" t="inlineStr">
        <is>
          <t>☑</t>
        </is>
      </c>
      <c r="F31" s="79" t="inlineStr">
        <is>
          <t>☑</t>
        </is>
      </c>
      <c r="G31" s="79" t="inlineStr">
        <is>
          <t>☑</t>
        </is>
      </c>
      <c r="H31" s="79" t="inlineStr">
        <is>
          <t>☑</t>
        </is>
      </c>
      <c r="I31" s="79" t="inlineStr">
        <is>
          <t>☑</t>
        </is>
      </c>
      <c r="J31" s="79" t="inlineStr">
        <is>
          <t>☑</t>
        </is>
      </c>
      <c r="K31" s="79" t="inlineStr">
        <is>
          <t>☑</t>
        </is>
      </c>
      <c r="L31" s="79" t="inlineStr">
        <is>
          <t>☑</t>
        </is>
      </c>
      <c r="M31" s="79" t="inlineStr">
        <is>
          <t>☑</t>
        </is>
      </c>
      <c r="N31" s="79" t="inlineStr">
        <is>
          <t>☑</t>
        </is>
      </c>
      <c r="O31" s="78" t="inlineStr">
        <is>
          <t>—</t>
        </is>
      </c>
      <c r="P31" s="79" t="inlineStr">
        <is>
          <t>☑</t>
        </is>
      </c>
      <c r="Q31" s="79" t="inlineStr">
        <is>
          <t>☑</t>
        </is>
      </c>
      <c r="R31" s="79" t="inlineStr">
        <is>
          <t>☑</t>
        </is>
      </c>
      <c r="S31" s="78" t="inlineStr">
        <is>
          <t>—</t>
        </is>
      </c>
      <c r="T31" s="79" t="inlineStr">
        <is>
          <t>☑</t>
        </is>
      </c>
      <c r="U31" s="79" t="inlineStr">
        <is>
          <t>☑</t>
        </is>
      </c>
      <c r="V31" s="79" t="inlineStr">
        <is>
          <t>☑</t>
        </is>
      </c>
      <c r="W31" s="79" t="inlineStr">
        <is>
          <t>☑</t>
        </is>
      </c>
      <c r="X31" s="79" t="inlineStr">
        <is>
          <t>☑</t>
        </is>
      </c>
      <c r="Y31" s="79" t="inlineStr">
        <is>
          <t>☑</t>
        </is>
      </c>
      <c r="Z31" s="79" t="inlineStr">
        <is>
          <t>☑</t>
        </is>
      </c>
      <c r="AA31" s="79" t="inlineStr">
        <is>
          <t>☑</t>
        </is>
      </c>
      <c r="AB31" s="79" t="inlineStr">
        <is>
          <t>☑</t>
        </is>
      </c>
      <c r="AC31" s="79" t="inlineStr">
        <is>
          <t>☑</t>
        </is>
      </c>
      <c r="AD31" s="78" t="inlineStr">
        <is>
          <t>—</t>
        </is>
      </c>
      <c r="AE31" s="79" t="inlineStr">
        <is>
          <t>☑</t>
        </is>
      </c>
      <c r="AF31" s="79" t="inlineStr">
        <is>
          <t>☑</t>
        </is>
      </c>
      <c r="AG31" s="79" t="inlineStr">
        <is>
          <t>☑</t>
        </is>
      </c>
      <c r="AH31" s="78" t="inlineStr">
        <is>
          <t>—</t>
        </is>
      </c>
      <c r="AI31" s="79" t="inlineStr">
        <is>
          <t>☑</t>
        </is>
      </c>
      <c r="AJ31" s="79" t="inlineStr">
        <is>
          <t>☑</t>
        </is>
      </c>
      <c r="AK31" s="79" t="inlineStr">
        <is>
          <t>☑</t>
        </is>
      </c>
      <c r="AL31" s="79" t="inlineStr">
        <is>
          <t>☑</t>
        </is>
      </c>
      <c r="AM31" s="79" t="inlineStr">
        <is>
          <t>☑</t>
        </is>
      </c>
      <c r="AN31" s="79" t="inlineStr">
        <is>
          <t>☑</t>
        </is>
      </c>
      <c r="AO31" s="79" t="inlineStr">
        <is>
          <t>☑</t>
        </is>
      </c>
      <c r="AP31" s="79" t="inlineStr">
        <is>
          <t>☑</t>
        </is>
      </c>
      <c r="AQ31" s="79" t="inlineStr">
        <is>
          <t>☑</t>
        </is>
      </c>
      <c r="AR31" s="79" t="inlineStr">
        <is>
          <t>☑</t>
        </is>
      </c>
      <c r="AS31" s="78" t="inlineStr">
        <is>
          <t>—</t>
        </is>
      </c>
      <c r="AT31" s="79" t="inlineStr">
        <is>
          <t>☑</t>
        </is>
      </c>
      <c r="AU31" s="79" t="inlineStr">
        <is>
          <t>☑</t>
        </is>
      </c>
      <c r="AV31" s="79" t="inlineStr">
        <is>
          <t>☑</t>
        </is>
      </c>
      <c r="AW31" s="78" t="inlineStr">
        <is>
          <t>—</t>
        </is>
      </c>
      <c r="AX31" s="79" t="inlineStr">
        <is>
          <t>☑</t>
        </is>
      </c>
      <c r="AY31" s="79" t="inlineStr">
        <is>
          <t>☑</t>
        </is>
      </c>
      <c r="AZ31" s="79" t="inlineStr">
        <is>
          <t>☑</t>
        </is>
      </c>
      <c r="BA31" s="79" t="inlineStr">
        <is>
          <t>☑</t>
        </is>
      </c>
      <c r="BB31" s="79" t="inlineStr">
        <is>
          <t>☑</t>
        </is>
      </c>
      <c r="BC31" s="79" t="inlineStr">
        <is>
          <t>☑</t>
        </is>
      </c>
      <c r="BD31" s="79" t="inlineStr">
        <is>
          <t>☑</t>
        </is>
      </c>
      <c r="BE31" s="79" t="inlineStr">
        <is>
          <t>☑</t>
        </is>
      </c>
      <c r="BF31" s="79" t="inlineStr">
        <is>
          <t>☑</t>
        </is>
      </c>
      <c r="BG31" s="79" t="inlineStr">
        <is>
          <t>☑</t>
        </is>
      </c>
      <c r="BH31" s="78" t="inlineStr">
        <is>
          <t>—</t>
        </is>
      </c>
      <c r="BI31" s="79" t="inlineStr">
        <is>
          <t>☑</t>
        </is>
      </c>
      <c r="BJ31" s="79" t="inlineStr">
        <is>
          <t>☑</t>
        </is>
      </c>
      <c r="BK31" s="79" t="inlineStr">
        <is>
          <t>☑</t>
        </is>
      </c>
      <c r="BL31" s="78" t="inlineStr">
        <is>
          <t>—</t>
        </is>
      </c>
      <c r="BM31" s="79" t="inlineStr">
        <is>
          <t>☑</t>
        </is>
      </c>
      <c r="BN31" s="79" t="inlineStr">
        <is>
          <t>☑</t>
        </is>
      </c>
      <c r="BO31" s="79" t="inlineStr">
        <is>
          <t>☑</t>
        </is>
      </c>
    </row>
    <row r="32">
      <c r="A32" s="79" t="n">
        <v>25</v>
      </c>
      <c r="B32" s="79" t="inlineStr">
        <is>
          <t>325106410025</t>
        </is>
      </c>
      <c r="C32" s="79" t="inlineStr">
        <is>
          <t>GAGANA SRI MANUPATI</t>
        </is>
      </c>
      <c r="D32" s="78" t="inlineStr">
        <is>
          <t>—</t>
        </is>
      </c>
      <c r="E32" s="79" t="inlineStr">
        <is>
          <t>☑</t>
        </is>
      </c>
      <c r="F32" s="79" t="inlineStr">
        <is>
          <t>☑</t>
        </is>
      </c>
      <c r="G32" s="79" t="inlineStr">
        <is>
          <t>☑</t>
        </is>
      </c>
      <c r="H32" s="79" t="inlineStr">
        <is>
          <t>☑</t>
        </is>
      </c>
      <c r="I32" s="79" t="inlineStr">
        <is>
          <t>☑</t>
        </is>
      </c>
      <c r="J32" s="79" t="inlineStr">
        <is>
          <t>☑</t>
        </is>
      </c>
      <c r="K32" s="79" t="inlineStr">
        <is>
          <t>☑</t>
        </is>
      </c>
      <c r="L32" s="79" t="inlineStr">
        <is>
          <t>☑</t>
        </is>
      </c>
      <c r="M32" s="79" t="inlineStr">
        <is>
          <t>☑</t>
        </is>
      </c>
      <c r="N32" s="79" t="inlineStr">
        <is>
          <t>☑</t>
        </is>
      </c>
      <c r="O32" s="78" t="inlineStr">
        <is>
          <t>—</t>
        </is>
      </c>
      <c r="P32" s="79" t="inlineStr">
        <is>
          <t>☑</t>
        </is>
      </c>
      <c r="Q32" s="79" t="inlineStr">
        <is>
          <t>☑</t>
        </is>
      </c>
      <c r="R32" s="79" t="inlineStr">
        <is>
          <t>☑</t>
        </is>
      </c>
      <c r="S32" s="78" t="inlineStr">
        <is>
          <t>—</t>
        </is>
      </c>
      <c r="T32" s="79" t="inlineStr">
        <is>
          <t>☑</t>
        </is>
      </c>
      <c r="U32" s="79" t="inlineStr">
        <is>
          <t>☑</t>
        </is>
      </c>
      <c r="V32" s="79" t="inlineStr">
        <is>
          <t>☑</t>
        </is>
      </c>
      <c r="W32" s="79" t="inlineStr">
        <is>
          <t>☑</t>
        </is>
      </c>
      <c r="X32" s="79" t="inlineStr">
        <is>
          <t>☑</t>
        </is>
      </c>
      <c r="Y32" s="79" t="inlineStr">
        <is>
          <t>☑</t>
        </is>
      </c>
      <c r="Z32" s="79" t="inlineStr">
        <is>
          <t>☑</t>
        </is>
      </c>
      <c r="AA32" s="79" t="inlineStr">
        <is>
          <t>☑</t>
        </is>
      </c>
      <c r="AB32" s="79" t="inlineStr">
        <is>
          <t>☑</t>
        </is>
      </c>
      <c r="AC32" s="79" t="inlineStr">
        <is>
          <t>☑</t>
        </is>
      </c>
      <c r="AD32" s="78" t="inlineStr">
        <is>
          <t>—</t>
        </is>
      </c>
      <c r="AE32" s="79" t="inlineStr">
        <is>
          <t>☑</t>
        </is>
      </c>
      <c r="AF32" s="79" t="inlineStr">
        <is>
          <t>☑</t>
        </is>
      </c>
      <c r="AG32" s="79" t="inlineStr">
        <is>
          <t>☑</t>
        </is>
      </c>
      <c r="AH32" s="78" t="inlineStr">
        <is>
          <t>—</t>
        </is>
      </c>
      <c r="AI32" s="79" t="inlineStr">
        <is>
          <t>☑</t>
        </is>
      </c>
      <c r="AJ32" s="79" t="inlineStr">
        <is>
          <t>☑</t>
        </is>
      </c>
      <c r="AK32" s="79" t="inlineStr">
        <is>
          <t>☑</t>
        </is>
      </c>
      <c r="AL32" s="79" t="inlineStr">
        <is>
          <t>☑</t>
        </is>
      </c>
      <c r="AM32" s="79" t="inlineStr">
        <is>
          <t>☑</t>
        </is>
      </c>
      <c r="AN32" s="79" t="inlineStr">
        <is>
          <t>☑</t>
        </is>
      </c>
      <c r="AO32" s="79" t="inlineStr">
        <is>
          <t>☑</t>
        </is>
      </c>
      <c r="AP32" s="79" t="inlineStr">
        <is>
          <t>☑</t>
        </is>
      </c>
      <c r="AQ32" s="79" t="inlineStr">
        <is>
          <t>☑</t>
        </is>
      </c>
      <c r="AR32" s="79" t="inlineStr">
        <is>
          <t>☑</t>
        </is>
      </c>
      <c r="AS32" s="78" t="inlineStr">
        <is>
          <t>—</t>
        </is>
      </c>
      <c r="AT32" s="79" t="inlineStr">
        <is>
          <t>☑</t>
        </is>
      </c>
      <c r="AU32" s="79" t="inlineStr">
        <is>
          <t>☑</t>
        </is>
      </c>
      <c r="AV32" s="79" t="inlineStr">
        <is>
          <t>☑</t>
        </is>
      </c>
      <c r="AW32" s="78" t="inlineStr">
        <is>
          <t>—</t>
        </is>
      </c>
      <c r="AX32" s="79" t="inlineStr">
        <is>
          <t>☑</t>
        </is>
      </c>
      <c r="AY32" s="79" t="inlineStr">
        <is>
          <t>☑</t>
        </is>
      </c>
      <c r="AZ32" s="79" t="inlineStr">
        <is>
          <t>☑</t>
        </is>
      </c>
      <c r="BA32" s="79" t="inlineStr">
        <is>
          <t>☑</t>
        </is>
      </c>
      <c r="BB32" s="79" t="inlineStr">
        <is>
          <t>☑</t>
        </is>
      </c>
      <c r="BC32" s="79" t="inlineStr">
        <is>
          <t>☑</t>
        </is>
      </c>
      <c r="BD32" s="79" t="inlineStr">
        <is>
          <t>☑</t>
        </is>
      </c>
      <c r="BE32" s="79" t="inlineStr">
        <is>
          <t>☑</t>
        </is>
      </c>
      <c r="BF32" s="79" t="inlineStr">
        <is>
          <t>☑</t>
        </is>
      </c>
      <c r="BG32" s="79" t="inlineStr">
        <is>
          <t>☑</t>
        </is>
      </c>
      <c r="BH32" s="78" t="inlineStr">
        <is>
          <t>—</t>
        </is>
      </c>
      <c r="BI32" s="79" t="inlineStr">
        <is>
          <t>☑</t>
        </is>
      </c>
      <c r="BJ32" s="79" t="inlineStr">
        <is>
          <t>☑</t>
        </is>
      </c>
      <c r="BK32" s="79" t="inlineStr">
        <is>
          <t>☑</t>
        </is>
      </c>
      <c r="BL32" s="78" t="inlineStr">
        <is>
          <t>—</t>
        </is>
      </c>
      <c r="BM32" s="79" t="inlineStr">
        <is>
          <t>☑</t>
        </is>
      </c>
      <c r="BN32" s="79" t="inlineStr">
        <is>
          <t>☑</t>
        </is>
      </c>
      <c r="BO32" s="79" t="inlineStr">
        <is>
          <t>☑</t>
        </is>
      </c>
    </row>
    <row r="33">
      <c r="A33" s="79" t="n">
        <v>26</v>
      </c>
      <c r="B33" s="79" t="inlineStr">
        <is>
          <t>325106410026</t>
        </is>
      </c>
      <c r="C33" s="79" t="inlineStr">
        <is>
          <t>RISHI NAVANTH MATTA</t>
        </is>
      </c>
      <c r="D33" s="78" t="inlineStr">
        <is>
          <t>—</t>
        </is>
      </c>
      <c r="E33" s="79" t="inlineStr">
        <is>
          <t>☑</t>
        </is>
      </c>
      <c r="F33" s="79" t="inlineStr">
        <is>
          <t>☑</t>
        </is>
      </c>
      <c r="G33" s="79" t="inlineStr">
        <is>
          <t>☑</t>
        </is>
      </c>
      <c r="H33" s="79" t="inlineStr">
        <is>
          <t>☑</t>
        </is>
      </c>
      <c r="I33" s="79" t="inlineStr">
        <is>
          <t>☑</t>
        </is>
      </c>
      <c r="J33" s="79" t="inlineStr">
        <is>
          <t>☑</t>
        </is>
      </c>
      <c r="K33" s="79" t="inlineStr">
        <is>
          <t>☑</t>
        </is>
      </c>
      <c r="L33" s="79" t="inlineStr">
        <is>
          <t>☑</t>
        </is>
      </c>
      <c r="M33" s="79" t="inlineStr">
        <is>
          <t>☑</t>
        </is>
      </c>
      <c r="N33" s="79" t="inlineStr">
        <is>
          <t>☑</t>
        </is>
      </c>
      <c r="O33" s="78" t="inlineStr">
        <is>
          <t>—</t>
        </is>
      </c>
      <c r="P33" s="79" t="inlineStr">
        <is>
          <t>☑</t>
        </is>
      </c>
      <c r="Q33" s="79" t="inlineStr">
        <is>
          <t>☑</t>
        </is>
      </c>
      <c r="R33" s="79" t="inlineStr">
        <is>
          <t>☑</t>
        </is>
      </c>
      <c r="S33" s="78" t="inlineStr">
        <is>
          <t>—</t>
        </is>
      </c>
      <c r="T33" s="79" t="inlineStr">
        <is>
          <t>☑</t>
        </is>
      </c>
      <c r="U33" s="79" t="inlineStr">
        <is>
          <t>☑</t>
        </is>
      </c>
      <c r="V33" s="79" t="inlineStr">
        <is>
          <t>☑</t>
        </is>
      </c>
      <c r="W33" s="79" t="inlineStr">
        <is>
          <t>☑</t>
        </is>
      </c>
      <c r="X33" s="79" t="inlineStr">
        <is>
          <t>☑</t>
        </is>
      </c>
      <c r="Y33" s="79" t="inlineStr">
        <is>
          <t>☑</t>
        </is>
      </c>
      <c r="Z33" s="79" t="inlineStr">
        <is>
          <t>☑</t>
        </is>
      </c>
      <c r="AA33" s="79" t="inlineStr">
        <is>
          <t>☑</t>
        </is>
      </c>
      <c r="AB33" s="79" t="inlineStr">
        <is>
          <t>☑</t>
        </is>
      </c>
      <c r="AC33" s="79" t="inlineStr">
        <is>
          <t>☑</t>
        </is>
      </c>
      <c r="AD33" s="78" t="inlineStr">
        <is>
          <t>—</t>
        </is>
      </c>
      <c r="AE33" s="79" t="inlineStr">
        <is>
          <t>☑</t>
        </is>
      </c>
      <c r="AF33" s="79" t="inlineStr">
        <is>
          <t>☑</t>
        </is>
      </c>
      <c r="AG33" s="79" t="inlineStr">
        <is>
          <t>☑</t>
        </is>
      </c>
      <c r="AH33" s="78" t="inlineStr">
        <is>
          <t>—</t>
        </is>
      </c>
      <c r="AI33" s="79" t="inlineStr">
        <is>
          <t>☑</t>
        </is>
      </c>
      <c r="AJ33" s="79" t="inlineStr">
        <is>
          <t>☑</t>
        </is>
      </c>
      <c r="AK33" s="79" t="inlineStr">
        <is>
          <t>☑</t>
        </is>
      </c>
      <c r="AL33" s="79" t="inlineStr">
        <is>
          <t>☑</t>
        </is>
      </c>
      <c r="AM33" s="79" t="inlineStr">
        <is>
          <t>☑</t>
        </is>
      </c>
      <c r="AN33" s="79" t="inlineStr">
        <is>
          <t>☑</t>
        </is>
      </c>
      <c r="AO33" s="79" t="inlineStr">
        <is>
          <t>☑</t>
        </is>
      </c>
      <c r="AP33" s="79" t="inlineStr">
        <is>
          <t>☑</t>
        </is>
      </c>
      <c r="AQ33" s="79" t="inlineStr">
        <is>
          <t>☑</t>
        </is>
      </c>
      <c r="AR33" s="79" t="inlineStr">
        <is>
          <t>☑</t>
        </is>
      </c>
      <c r="AS33" s="78" t="inlineStr">
        <is>
          <t>—</t>
        </is>
      </c>
      <c r="AT33" s="79" t="inlineStr">
        <is>
          <t>☑</t>
        </is>
      </c>
      <c r="AU33" s="79" t="inlineStr">
        <is>
          <t>☑</t>
        </is>
      </c>
      <c r="AV33" s="79" t="inlineStr">
        <is>
          <t>☑</t>
        </is>
      </c>
      <c r="AW33" s="78" t="inlineStr">
        <is>
          <t>—</t>
        </is>
      </c>
      <c r="AX33" s="79" t="inlineStr">
        <is>
          <t>☑</t>
        </is>
      </c>
      <c r="AY33" s="79" t="inlineStr">
        <is>
          <t>☑</t>
        </is>
      </c>
      <c r="AZ33" s="79" t="inlineStr">
        <is>
          <t>☑</t>
        </is>
      </c>
      <c r="BA33" s="79" t="inlineStr">
        <is>
          <t>☑</t>
        </is>
      </c>
      <c r="BB33" s="79" t="inlineStr">
        <is>
          <t>☑</t>
        </is>
      </c>
      <c r="BC33" s="79" t="inlineStr">
        <is>
          <t>☑</t>
        </is>
      </c>
      <c r="BD33" s="79" t="inlineStr">
        <is>
          <t>☑</t>
        </is>
      </c>
      <c r="BE33" s="79" t="inlineStr">
        <is>
          <t>☑</t>
        </is>
      </c>
      <c r="BF33" s="79" t="inlineStr">
        <is>
          <t>☑</t>
        </is>
      </c>
      <c r="BG33" s="79" t="inlineStr">
        <is>
          <t>☑</t>
        </is>
      </c>
      <c r="BH33" s="78" t="inlineStr">
        <is>
          <t>—</t>
        </is>
      </c>
      <c r="BI33" s="79" t="inlineStr">
        <is>
          <t>☑</t>
        </is>
      </c>
      <c r="BJ33" s="79" t="inlineStr">
        <is>
          <t>☑</t>
        </is>
      </c>
      <c r="BK33" s="79" t="inlineStr">
        <is>
          <t>☑</t>
        </is>
      </c>
      <c r="BL33" s="78" t="inlineStr">
        <is>
          <t>—</t>
        </is>
      </c>
      <c r="BM33" s="79" t="inlineStr">
        <is>
          <t>☑</t>
        </is>
      </c>
      <c r="BN33" s="79" t="inlineStr">
        <is>
          <t>☑</t>
        </is>
      </c>
      <c r="BO33" s="79" t="inlineStr">
        <is>
          <t>☑</t>
        </is>
      </c>
    </row>
    <row r="34">
      <c r="A34" s="79" t="n">
        <v>27</v>
      </c>
      <c r="B34" s="79" t="inlineStr">
        <is>
          <t>325106410027</t>
        </is>
      </c>
      <c r="C34" s="79" t="inlineStr">
        <is>
          <t>LOHITH SAI MEDA</t>
        </is>
      </c>
      <c r="D34" s="78" t="inlineStr">
        <is>
          <t>—</t>
        </is>
      </c>
      <c r="E34" s="79" t="inlineStr">
        <is>
          <t>☑</t>
        </is>
      </c>
      <c r="F34" s="79" t="inlineStr">
        <is>
          <t>☑</t>
        </is>
      </c>
      <c r="G34" s="79" t="inlineStr">
        <is>
          <t>☑</t>
        </is>
      </c>
      <c r="H34" s="79" t="inlineStr">
        <is>
          <t>☑</t>
        </is>
      </c>
      <c r="I34" s="79" t="inlineStr">
        <is>
          <t>☑</t>
        </is>
      </c>
      <c r="J34" s="79" t="inlineStr">
        <is>
          <t>☑</t>
        </is>
      </c>
      <c r="K34" s="79" t="inlineStr">
        <is>
          <t>☑</t>
        </is>
      </c>
      <c r="L34" s="79" t="inlineStr">
        <is>
          <t>☑</t>
        </is>
      </c>
      <c r="M34" s="79" t="inlineStr">
        <is>
          <t>☑</t>
        </is>
      </c>
      <c r="N34" s="79" t="inlineStr">
        <is>
          <t>☑</t>
        </is>
      </c>
      <c r="O34" s="78" t="inlineStr">
        <is>
          <t>—</t>
        </is>
      </c>
      <c r="P34" s="79" t="inlineStr">
        <is>
          <t>☑</t>
        </is>
      </c>
      <c r="Q34" s="79" t="inlineStr">
        <is>
          <t>☑</t>
        </is>
      </c>
      <c r="R34" s="79" t="inlineStr">
        <is>
          <t>☑</t>
        </is>
      </c>
      <c r="S34" s="78" t="inlineStr">
        <is>
          <t>—</t>
        </is>
      </c>
      <c r="T34" s="79" t="inlineStr">
        <is>
          <t>☑</t>
        </is>
      </c>
      <c r="U34" s="79" t="inlineStr">
        <is>
          <t>☑</t>
        </is>
      </c>
      <c r="V34" s="79" t="inlineStr">
        <is>
          <t>☑</t>
        </is>
      </c>
      <c r="W34" s="79" t="inlineStr">
        <is>
          <t>☑</t>
        </is>
      </c>
      <c r="X34" s="79" t="inlineStr">
        <is>
          <t>☑</t>
        </is>
      </c>
      <c r="Y34" s="79" t="inlineStr">
        <is>
          <t>☑</t>
        </is>
      </c>
      <c r="Z34" s="79" t="inlineStr">
        <is>
          <t>☑</t>
        </is>
      </c>
      <c r="AA34" s="79" t="inlineStr">
        <is>
          <t>☑</t>
        </is>
      </c>
      <c r="AB34" s="79" t="inlineStr">
        <is>
          <t>☑</t>
        </is>
      </c>
      <c r="AC34" s="79" t="inlineStr">
        <is>
          <t>☑</t>
        </is>
      </c>
      <c r="AD34" s="78" t="inlineStr">
        <is>
          <t>—</t>
        </is>
      </c>
      <c r="AE34" s="79" t="inlineStr">
        <is>
          <t>☑</t>
        </is>
      </c>
      <c r="AF34" s="79" t="inlineStr">
        <is>
          <t>☑</t>
        </is>
      </c>
      <c r="AG34" s="79" t="inlineStr">
        <is>
          <t>☑</t>
        </is>
      </c>
      <c r="AH34" s="78" t="inlineStr">
        <is>
          <t>—</t>
        </is>
      </c>
      <c r="AI34" s="79" t="inlineStr">
        <is>
          <t>☑</t>
        </is>
      </c>
      <c r="AJ34" s="79" t="inlineStr">
        <is>
          <t>☑</t>
        </is>
      </c>
      <c r="AK34" s="79" t="inlineStr">
        <is>
          <t>☑</t>
        </is>
      </c>
      <c r="AL34" s="79" t="inlineStr">
        <is>
          <t>☑</t>
        </is>
      </c>
      <c r="AM34" s="79" t="inlineStr">
        <is>
          <t>☑</t>
        </is>
      </c>
      <c r="AN34" s="79" t="inlineStr">
        <is>
          <t>☑</t>
        </is>
      </c>
      <c r="AO34" s="79" t="inlineStr">
        <is>
          <t>☑</t>
        </is>
      </c>
      <c r="AP34" s="79" t="inlineStr">
        <is>
          <t>☑</t>
        </is>
      </c>
      <c r="AQ34" s="79" t="inlineStr">
        <is>
          <t>☑</t>
        </is>
      </c>
      <c r="AR34" s="79" t="inlineStr">
        <is>
          <t>☑</t>
        </is>
      </c>
      <c r="AS34" s="78" t="inlineStr">
        <is>
          <t>—</t>
        </is>
      </c>
      <c r="AT34" s="79" t="inlineStr">
        <is>
          <t>☑</t>
        </is>
      </c>
      <c r="AU34" s="79" t="inlineStr">
        <is>
          <t>☑</t>
        </is>
      </c>
      <c r="AV34" s="79" t="inlineStr">
        <is>
          <t>☑</t>
        </is>
      </c>
      <c r="AW34" s="78" t="inlineStr">
        <is>
          <t>—</t>
        </is>
      </c>
      <c r="AX34" s="79" t="inlineStr">
        <is>
          <t>☑</t>
        </is>
      </c>
      <c r="AY34" s="79" t="inlineStr">
        <is>
          <t>☑</t>
        </is>
      </c>
      <c r="AZ34" s="79" t="inlineStr">
        <is>
          <t>☑</t>
        </is>
      </c>
      <c r="BA34" s="79" t="inlineStr">
        <is>
          <t>☑</t>
        </is>
      </c>
      <c r="BB34" s="79" t="inlineStr">
        <is>
          <t>☑</t>
        </is>
      </c>
      <c r="BC34" s="79" t="inlineStr">
        <is>
          <t>☑</t>
        </is>
      </c>
      <c r="BD34" s="79" t="inlineStr">
        <is>
          <t>☑</t>
        </is>
      </c>
      <c r="BE34" s="79" t="inlineStr">
        <is>
          <t>☑</t>
        </is>
      </c>
      <c r="BF34" s="79" t="inlineStr">
        <is>
          <t>☑</t>
        </is>
      </c>
      <c r="BG34" s="79" t="inlineStr">
        <is>
          <t>☑</t>
        </is>
      </c>
      <c r="BH34" s="78" t="inlineStr">
        <is>
          <t>—</t>
        </is>
      </c>
      <c r="BI34" s="79" t="inlineStr">
        <is>
          <t>☑</t>
        </is>
      </c>
      <c r="BJ34" s="79" t="inlineStr">
        <is>
          <t>☑</t>
        </is>
      </c>
      <c r="BK34" s="79" t="inlineStr">
        <is>
          <t>☑</t>
        </is>
      </c>
      <c r="BL34" s="78" t="inlineStr">
        <is>
          <t>—</t>
        </is>
      </c>
      <c r="BM34" s="79" t="inlineStr">
        <is>
          <t>☑</t>
        </is>
      </c>
      <c r="BN34" s="79" t="inlineStr">
        <is>
          <t>☑</t>
        </is>
      </c>
      <c r="BO34" s="79" t="inlineStr">
        <is>
          <t>☑</t>
        </is>
      </c>
    </row>
    <row r="35">
      <c r="A35" s="79" t="n">
        <v>28</v>
      </c>
      <c r="B35" s="79" t="inlineStr">
        <is>
          <t>325106410028</t>
        </is>
      </c>
      <c r="C35" s="79" t="inlineStr">
        <is>
          <t>HANUSRI VEERA VENKATA SANTOSH MIDATHA</t>
        </is>
      </c>
      <c r="D35" s="78" t="inlineStr">
        <is>
          <t>—</t>
        </is>
      </c>
      <c r="E35" s="79" t="inlineStr">
        <is>
          <t>☑</t>
        </is>
      </c>
      <c r="F35" s="79" t="inlineStr">
        <is>
          <t>☑</t>
        </is>
      </c>
      <c r="G35" s="79" t="inlineStr">
        <is>
          <t>☑</t>
        </is>
      </c>
      <c r="H35" s="79" t="inlineStr">
        <is>
          <t>☑</t>
        </is>
      </c>
      <c r="I35" s="79" t="inlineStr">
        <is>
          <t>☑</t>
        </is>
      </c>
      <c r="J35" s="79" t="inlineStr">
        <is>
          <t>☑</t>
        </is>
      </c>
      <c r="K35" s="79" t="inlineStr">
        <is>
          <t>☑</t>
        </is>
      </c>
      <c r="L35" s="79" t="inlineStr">
        <is>
          <t>☑</t>
        </is>
      </c>
      <c r="M35" s="79" t="inlineStr">
        <is>
          <t>☑</t>
        </is>
      </c>
      <c r="N35" s="79" t="inlineStr">
        <is>
          <t>☑</t>
        </is>
      </c>
      <c r="O35" s="78" t="inlineStr">
        <is>
          <t>—</t>
        </is>
      </c>
      <c r="P35" s="79" t="inlineStr">
        <is>
          <t>☑</t>
        </is>
      </c>
      <c r="Q35" s="79" t="inlineStr">
        <is>
          <t>☑</t>
        </is>
      </c>
      <c r="R35" s="79" t="inlineStr">
        <is>
          <t>☑</t>
        </is>
      </c>
      <c r="S35" s="78" t="inlineStr">
        <is>
          <t>—</t>
        </is>
      </c>
      <c r="T35" s="79" t="inlineStr">
        <is>
          <t>☑</t>
        </is>
      </c>
      <c r="U35" s="79" t="inlineStr">
        <is>
          <t>☑</t>
        </is>
      </c>
      <c r="V35" s="79" t="inlineStr">
        <is>
          <t>☑</t>
        </is>
      </c>
      <c r="W35" s="79" t="inlineStr">
        <is>
          <t>☑</t>
        </is>
      </c>
      <c r="X35" s="79" t="inlineStr">
        <is>
          <t>☑</t>
        </is>
      </c>
      <c r="Y35" s="79" t="inlineStr">
        <is>
          <t>☑</t>
        </is>
      </c>
      <c r="Z35" s="79" t="inlineStr">
        <is>
          <t>☑</t>
        </is>
      </c>
      <c r="AA35" s="79" t="inlineStr">
        <is>
          <t>☑</t>
        </is>
      </c>
      <c r="AB35" s="79" t="inlineStr">
        <is>
          <t>☑</t>
        </is>
      </c>
      <c r="AC35" s="79" t="inlineStr">
        <is>
          <t>☑</t>
        </is>
      </c>
      <c r="AD35" s="78" t="inlineStr">
        <is>
          <t>—</t>
        </is>
      </c>
      <c r="AE35" s="79" t="inlineStr">
        <is>
          <t>☑</t>
        </is>
      </c>
      <c r="AF35" s="79" t="inlineStr">
        <is>
          <t>☑</t>
        </is>
      </c>
      <c r="AG35" s="79" t="inlineStr">
        <is>
          <t>☑</t>
        </is>
      </c>
      <c r="AH35" s="78" t="inlineStr">
        <is>
          <t>—</t>
        </is>
      </c>
      <c r="AI35" s="79" t="inlineStr">
        <is>
          <t>☑</t>
        </is>
      </c>
      <c r="AJ35" s="79" t="inlineStr">
        <is>
          <t>☑</t>
        </is>
      </c>
      <c r="AK35" s="79" t="inlineStr">
        <is>
          <t>☑</t>
        </is>
      </c>
      <c r="AL35" s="79" t="inlineStr">
        <is>
          <t>☑</t>
        </is>
      </c>
      <c r="AM35" s="79" t="inlineStr">
        <is>
          <t>☑</t>
        </is>
      </c>
      <c r="AN35" s="79" t="inlineStr">
        <is>
          <t>☑</t>
        </is>
      </c>
      <c r="AO35" s="79" t="inlineStr">
        <is>
          <t>☑</t>
        </is>
      </c>
      <c r="AP35" s="79" t="inlineStr">
        <is>
          <t>☑</t>
        </is>
      </c>
      <c r="AQ35" s="79" t="inlineStr">
        <is>
          <t>☑</t>
        </is>
      </c>
      <c r="AR35" s="79" t="inlineStr">
        <is>
          <t>☑</t>
        </is>
      </c>
      <c r="AS35" s="78" t="inlineStr">
        <is>
          <t>—</t>
        </is>
      </c>
      <c r="AT35" s="79" t="inlineStr">
        <is>
          <t>☑</t>
        </is>
      </c>
      <c r="AU35" s="79" t="inlineStr">
        <is>
          <t>☑</t>
        </is>
      </c>
      <c r="AV35" s="79" t="inlineStr">
        <is>
          <t>☑</t>
        </is>
      </c>
      <c r="AW35" s="78" t="inlineStr">
        <is>
          <t>—</t>
        </is>
      </c>
      <c r="AX35" s="79" t="inlineStr">
        <is>
          <t>☑</t>
        </is>
      </c>
      <c r="AY35" s="79" t="inlineStr">
        <is>
          <t>☑</t>
        </is>
      </c>
      <c r="AZ35" s="79" t="inlineStr">
        <is>
          <t>☑</t>
        </is>
      </c>
      <c r="BA35" s="79" t="inlineStr">
        <is>
          <t>☑</t>
        </is>
      </c>
      <c r="BB35" s="79" t="inlineStr">
        <is>
          <t>☑</t>
        </is>
      </c>
      <c r="BC35" s="79" t="inlineStr">
        <is>
          <t>☑</t>
        </is>
      </c>
      <c r="BD35" s="79" t="inlineStr">
        <is>
          <t>☑</t>
        </is>
      </c>
      <c r="BE35" s="79" t="inlineStr">
        <is>
          <t>☑</t>
        </is>
      </c>
      <c r="BF35" s="79" t="inlineStr">
        <is>
          <t>☑</t>
        </is>
      </c>
      <c r="BG35" s="79" t="inlineStr">
        <is>
          <t>☑</t>
        </is>
      </c>
      <c r="BH35" s="78" t="inlineStr">
        <is>
          <t>—</t>
        </is>
      </c>
      <c r="BI35" s="79" t="inlineStr">
        <is>
          <t>☑</t>
        </is>
      </c>
      <c r="BJ35" s="79" t="inlineStr">
        <is>
          <t>☑</t>
        </is>
      </c>
      <c r="BK35" s="79" t="inlineStr">
        <is>
          <t>☑</t>
        </is>
      </c>
      <c r="BL35" s="78" t="inlineStr">
        <is>
          <t>—</t>
        </is>
      </c>
      <c r="BM35" s="79" t="inlineStr">
        <is>
          <t>☑</t>
        </is>
      </c>
      <c r="BN35" s="79" t="inlineStr">
        <is>
          <t>☑</t>
        </is>
      </c>
      <c r="BO35" s="79" t="inlineStr">
        <is>
          <t>☑</t>
        </is>
      </c>
    </row>
    <row r="36">
      <c r="A36" s="79" t="n">
        <v>29</v>
      </c>
      <c r="B36" s="79" t="inlineStr">
        <is>
          <t>325106410029</t>
        </is>
      </c>
      <c r="C36" s="79" t="inlineStr">
        <is>
          <t>SYAM KISHORE MOGILI</t>
        </is>
      </c>
      <c r="D36" s="78" t="inlineStr">
        <is>
          <t>—</t>
        </is>
      </c>
      <c r="E36" s="79" t="inlineStr">
        <is>
          <t>☑</t>
        </is>
      </c>
      <c r="F36" s="79" t="inlineStr">
        <is>
          <t>☑</t>
        </is>
      </c>
      <c r="G36" s="79" t="inlineStr">
        <is>
          <t>☑</t>
        </is>
      </c>
      <c r="H36" s="79" t="inlineStr">
        <is>
          <t>☑</t>
        </is>
      </c>
      <c r="I36" s="79" t="inlineStr">
        <is>
          <t>☑</t>
        </is>
      </c>
      <c r="J36" s="79" t="inlineStr">
        <is>
          <t>☑</t>
        </is>
      </c>
      <c r="K36" s="79" t="inlineStr">
        <is>
          <t>☑</t>
        </is>
      </c>
      <c r="L36" s="79" t="inlineStr">
        <is>
          <t>☑</t>
        </is>
      </c>
      <c r="M36" s="79" t="inlineStr">
        <is>
          <t>☑</t>
        </is>
      </c>
      <c r="N36" s="79" t="inlineStr">
        <is>
          <t>☑</t>
        </is>
      </c>
      <c r="O36" s="78" t="inlineStr">
        <is>
          <t>—</t>
        </is>
      </c>
      <c r="P36" s="79" t="inlineStr">
        <is>
          <t>☑</t>
        </is>
      </c>
      <c r="Q36" s="79" t="inlineStr">
        <is>
          <t>☑</t>
        </is>
      </c>
      <c r="R36" s="79" t="inlineStr">
        <is>
          <t>☑</t>
        </is>
      </c>
      <c r="S36" s="78" t="inlineStr">
        <is>
          <t>—</t>
        </is>
      </c>
      <c r="T36" s="79" t="inlineStr">
        <is>
          <t>☑</t>
        </is>
      </c>
      <c r="U36" s="79" t="inlineStr">
        <is>
          <t>☑</t>
        </is>
      </c>
      <c r="V36" s="79" t="inlineStr">
        <is>
          <t>☑</t>
        </is>
      </c>
      <c r="W36" s="79" t="inlineStr">
        <is>
          <t>☑</t>
        </is>
      </c>
      <c r="X36" s="79" t="inlineStr">
        <is>
          <t>☑</t>
        </is>
      </c>
      <c r="Y36" s="79" t="inlineStr">
        <is>
          <t>☑</t>
        </is>
      </c>
      <c r="Z36" s="79" t="inlineStr">
        <is>
          <t>☑</t>
        </is>
      </c>
      <c r="AA36" s="79" t="inlineStr">
        <is>
          <t>☑</t>
        </is>
      </c>
      <c r="AB36" s="79" t="inlineStr">
        <is>
          <t>☑</t>
        </is>
      </c>
      <c r="AC36" s="79" t="inlineStr">
        <is>
          <t>☑</t>
        </is>
      </c>
      <c r="AD36" s="78" t="inlineStr">
        <is>
          <t>—</t>
        </is>
      </c>
      <c r="AE36" s="79" t="inlineStr">
        <is>
          <t>☑</t>
        </is>
      </c>
      <c r="AF36" s="79" t="inlineStr">
        <is>
          <t>☑</t>
        </is>
      </c>
      <c r="AG36" s="79" t="inlineStr">
        <is>
          <t>☑</t>
        </is>
      </c>
      <c r="AH36" s="78" t="inlineStr">
        <is>
          <t>—</t>
        </is>
      </c>
      <c r="AI36" s="79" t="inlineStr">
        <is>
          <t>☑</t>
        </is>
      </c>
      <c r="AJ36" s="79" t="inlineStr">
        <is>
          <t>☑</t>
        </is>
      </c>
      <c r="AK36" s="79" t="inlineStr">
        <is>
          <t>☑</t>
        </is>
      </c>
      <c r="AL36" s="79" t="inlineStr">
        <is>
          <t>☑</t>
        </is>
      </c>
      <c r="AM36" s="79" t="inlineStr">
        <is>
          <t>☑</t>
        </is>
      </c>
      <c r="AN36" s="79" t="inlineStr">
        <is>
          <t>☑</t>
        </is>
      </c>
      <c r="AO36" s="79" t="inlineStr">
        <is>
          <t>☑</t>
        </is>
      </c>
      <c r="AP36" s="79" t="inlineStr">
        <is>
          <t>☑</t>
        </is>
      </c>
      <c r="AQ36" s="79" t="inlineStr">
        <is>
          <t>☑</t>
        </is>
      </c>
      <c r="AR36" s="79" t="inlineStr">
        <is>
          <t>☑</t>
        </is>
      </c>
      <c r="AS36" s="78" t="inlineStr">
        <is>
          <t>—</t>
        </is>
      </c>
      <c r="AT36" s="79" t="inlineStr">
        <is>
          <t>☑</t>
        </is>
      </c>
      <c r="AU36" s="79" t="inlineStr">
        <is>
          <t>☑</t>
        </is>
      </c>
      <c r="AV36" s="79" t="inlineStr">
        <is>
          <t>☑</t>
        </is>
      </c>
      <c r="AW36" s="78" t="inlineStr">
        <is>
          <t>—</t>
        </is>
      </c>
      <c r="AX36" s="79" t="inlineStr">
        <is>
          <t>☑</t>
        </is>
      </c>
      <c r="AY36" s="79" t="inlineStr">
        <is>
          <t>☑</t>
        </is>
      </c>
      <c r="AZ36" s="79" t="inlineStr">
        <is>
          <t>☑</t>
        </is>
      </c>
      <c r="BA36" s="79" t="inlineStr">
        <is>
          <t>☑</t>
        </is>
      </c>
      <c r="BB36" s="79" t="inlineStr">
        <is>
          <t>☑</t>
        </is>
      </c>
      <c r="BC36" s="79" t="inlineStr">
        <is>
          <t>☑</t>
        </is>
      </c>
      <c r="BD36" s="79" t="inlineStr">
        <is>
          <t>☑</t>
        </is>
      </c>
      <c r="BE36" s="79" t="inlineStr">
        <is>
          <t>☑</t>
        </is>
      </c>
      <c r="BF36" s="79" t="inlineStr">
        <is>
          <t>☑</t>
        </is>
      </c>
      <c r="BG36" s="79" t="inlineStr">
        <is>
          <t>☑</t>
        </is>
      </c>
      <c r="BH36" s="78" t="inlineStr">
        <is>
          <t>—</t>
        </is>
      </c>
      <c r="BI36" s="79" t="inlineStr">
        <is>
          <t>☑</t>
        </is>
      </c>
      <c r="BJ36" s="79" t="inlineStr">
        <is>
          <t>☑</t>
        </is>
      </c>
      <c r="BK36" s="79" t="inlineStr">
        <is>
          <t>☑</t>
        </is>
      </c>
      <c r="BL36" s="78" t="inlineStr">
        <is>
          <t>—</t>
        </is>
      </c>
      <c r="BM36" s="79" t="inlineStr">
        <is>
          <t>☑</t>
        </is>
      </c>
      <c r="BN36" s="79" t="inlineStr">
        <is>
          <t>☑</t>
        </is>
      </c>
      <c r="BO36" s="79" t="inlineStr">
        <is>
          <t>☑</t>
        </is>
      </c>
    </row>
    <row r="37">
      <c r="A37" s="79" t="n">
        <v>30</v>
      </c>
      <c r="B37" s="79" t="inlineStr">
        <is>
          <t>325106410030</t>
        </is>
      </c>
      <c r="C37" s="79" t="inlineStr">
        <is>
          <t>CHARAN TEJA MUDADLA</t>
        </is>
      </c>
      <c r="D37" s="78" t="inlineStr">
        <is>
          <t>—</t>
        </is>
      </c>
      <c r="E37" s="79" t="inlineStr">
        <is>
          <t>☑</t>
        </is>
      </c>
      <c r="F37" s="79" t="inlineStr">
        <is>
          <t>☑</t>
        </is>
      </c>
      <c r="G37" s="79" t="inlineStr">
        <is>
          <t>☑</t>
        </is>
      </c>
      <c r="H37" s="79" t="inlineStr">
        <is>
          <t>☑</t>
        </is>
      </c>
      <c r="I37" s="79" t="inlineStr">
        <is>
          <t>☑</t>
        </is>
      </c>
      <c r="J37" s="79" t="inlineStr">
        <is>
          <t>☑</t>
        </is>
      </c>
      <c r="K37" s="79" t="inlineStr">
        <is>
          <t>☑</t>
        </is>
      </c>
      <c r="L37" s="79" t="inlineStr">
        <is>
          <t>☑</t>
        </is>
      </c>
      <c r="M37" s="79" t="inlineStr">
        <is>
          <t>☑</t>
        </is>
      </c>
      <c r="N37" s="79" t="inlineStr">
        <is>
          <t>☑</t>
        </is>
      </c>
      <c r="O37" s="78" t="inlineStr">
        <is>
          <t>—</t>
        </is>
      </c>
      <c r="P37" s="79" t="inlineStr">
        <is>
          <t>☑</t>
        </is>
      </c>
      <c r="Q37" s="79" t="inlineStr">
        <is>
          <t>☑</t>
        </is>
      </c>
      <c r="R37" s="79" t="inlineStr">
        <is>
          <t>☑</t>
        </is>
      </c>
      <c r="S37" s="78" t="inlineStr">
        <is>
          <t>—</t>
        </is>
      </c>
      <c r="T37" s="79" t="inlineStr">
        <is>
          <t>☑</t>
        </is>
      </c>
      <c r="U37" s="79" t="inlineStr">
        <is>
          <t>☑</t>
        </is>
      </c>
      <c r="V37" s="79" t="inlineStr">
        <is>
          <t>☑</t>
        </is>
      </c>
      <c r="W37" s="79" t="inlineStr">
        <is>
          <t>☑</t>
        </is>
      </c>
      <c r="X37" s="79" t="inlineStr">
        <is>
          <t>☑</t>
        </is>
      </c>
      <c r="Y37" s="79" t="inlineStr">
        <is>
          <t>☑</t>
        </is>
      </c>
      <c r="Z37" s="79" t="inlineStr">
        <is>
          <t>☑</t>
        </is>
      </c>
      <c r="AA37" s="79" t="inlineStr">
        <is>
          <t>☑</t>
        </is>
      </c>
      <c r="AB37" s="79" t="inlineStr">
        <is>
          <t>☑</t>
        </is>
      </c>
      <c r="AC37" s="79" t="inlineStr">
        <is>
          <t>☑</t>
        </is>
      </c>
      <c r="AD37" s="78" t="inlineStr">
        <is>
          <t>—</t>
        </is>
      </c>
      <c r="AE37" s="79" t="inlineStr">
        <is>
          <t>☑</t>
        </is>
      </c>
      <c r="AF37" s="79" t="inlineStr">
        <is>
          <t>☑</t>
        </is>
      </c>
      <c r="AG37" s="79" t="inlineStr">
        <is>
          <t>☑</t>
        </is>
      </c>
      <c r="AH37" s="78" t="inlineStr">
        <is>
          <t>—</t>
        </is>
      </c>
      <c r="AI37" s="79" t="inlineStr">
        <is>
          <t>☑</t>
        </is>
      </c>
      <c r="AJ37" s="79" t="inlineStr">
        <is>
          <t>☑</t>
        </is>
      </c>
      <c r="AK37" s="79" t="inlineStr">
        <is>
          <t>☑</t>
        </is>
      </c>
      <c r="AL37" s="79" t="inlineStr">
        <is>
          <t>☑</t>
        </is>
      </c>
      <c r="AM37" s="79" t="inlineStr">
        <is>
          <t>☑</t>
        </is>
      </c>
      <c r="AN37" s="79" t="inlineStr">
        <is>
          <t>☑</t>
        </is>
      </c>
      <c r="AO37" s="79" t="inlineStr">
        <is>
          <t>☑</t>
        </is>
      </c>
      <c r="AP37" s="79" t="inlineStr">
        <is>
          <t>☑</t>
        </is>
      </c>
      <c r="AQ37" s="79" t="inlineStr">
        <is>
          <t>☑</t>
        </is>
      </c>
      <c r="AR37" s="79" t="inlineStr">
        <is>
          <t>☑</t>
        </is>
      </c>
      <c r="AS37" s="78" t="inlineStr">
        <is>
          <t>—</t>
        </is>
      </c>
      <c r="AT37" s="79" t="inlineStr">
        <is>
          <t>☑</t>
        </is>
      </c>
      <c r="AU37" s="79" t="inlineStr">
        <is>
          <t>☑</t>
        </is>
      </c>
      <c r="AV37" s="79" t="inlineStr">
        <is>
          <t>☑</t>
        </is>
      </c>
      <c r="AW37" s="78" t="inlineStr">
        <is>
          <t>—</t>
        </is>
      </c>
      <c r="AX37" s="79" t="inlineStr">
        <is>
          <t>☑</t>
        </is>
      </c>
      <c r="AY37" s="79" t="inlineStr">
        <is>
          <t>☑</t>
        </is>
      </c>
      <c r="AZ37" s="79" t="inlineStr">
        <is>
          <t>☑</t>
        </is>
      </c>
      <c r="BA37" s="79" t="inlineStr">
        <is>
          <t>☑</t>
        </is>
      </c>
      <c r="BB37" s="79" t="inlineStr">
        <is>
          <t>☑</t>
        </is>
      </c>
      <c r="BC37" s="79" t="inlineStr">
        <is>
          <t>☑</t>
        </is>
      </c>
      <c r="BD37" s="79" t="inlineStr">
        <is>
          <t>☑</t>
        </is>
      </c>
      <c r="BE37" s="79" t="inlineStr">
        <is>
          <t>☑</t>
        </is>
      </c>
      <c r="BF37" s="79" t="inlineStr">
        <is>
          <t>☑</t>
        </is>
      </c>
      <c r="BG37" s="79" t="inlineStr">
        <is>
          <t>☑</t>
        </is>
      </c>
      <c r="BH37" s="78" t="inlineStr">
        <is>
          <t>—</t>
        </is>
      </c>
      <c r="BI37" s="79" t="inlineStr">
        <is>
          <t>☑</t>
        </is>
      </c>
      <c r="BJ37" s="79" t="inlineStr">
        <is>
          <t>☑</t>
        </is>
      </c>
      <c r="BK37" s="79" t="inlineStr">
        <is>
          <t>☑</t>
        </is>
      </c>
      <c r="BL37" s="78" t="inlineStr">
        <is>
          <t>—</t>
        </is>
      </c>
      <c r="BM37" s="79" t="inlineStr">
        <is>
          <t>☑</t>
        </is>
      </c>
      <c r="BN37" s="79" t="inlineStr">
        <is>
          <t>☑</t>
        </is>
      </c>
      <c r="BO37" s="79" t="inlineStr">
        <is>
          <t>☑</t>
        </is>
      </c>
    </row>
    <row r="38">
      <c r="A38" s="79" t="n">
        <v>31</v>
      </c>
      <c r="B38" s="79" t="inlineStr">
        <is>
          <t>325106410031</t>
        </is>
      </c>
      <c r="C38" s="79" t="inlineStr">
        <is>
          <t>LAKSHMI PRATHYUSHA MUDIYAM</t>
        </is>
      </c>
      <c r="D38" s="78" t="inlineStr">
        <is>
          <t>—</t>
        </is>
      </c>
      <c r="E38" s="79" t="inlineStr">
        <is>
          <t>☑</t>
        </is>
      </c>
      <c r="F38" s="79" t="inlineStr">
        <is>
          <t>☑</t>
        </is>
      </c>
      <c r="G38" s="79" t="inlineStr">
        <is>
          <t>☑</t>
        </is>
      </c>
      <c r="H38" s="79" t="inlineStr">
        <is>
          <t>☑</t>
        </is>
      </c>
      <c r="I38" s="79" t="inlineStr">
        <is>
          <t>☑</t>
        </is>
      </c>
      <c r="J38" s="79" t="inlineStr">
        <is>
          <t>☑</t>
        </is>
      </c>
      <c r="K38" s="79" t="inlineStr">
        <is>
          <t>☑</t>
        </is>
      </c>
      <c r="L38" s="79" t="inlineStr">
        <is>
          <t>☑</t>
        </is>
      </c>
      <c r="M38" s="79" t="inlineStr">
        <is>
          <t>☑</t>
        </is>
      </c>
      <c r="N38" s="79" t="inlineStr">
        <is>
          <t>☑</t>
        </is>
      </c>
      <c r="O38" s="78" t="inlineStr">
        <is>
          <t>—</t>
        </is>
      </c>
      <c r="P38" s="79" t="inlineStr">
        <is>
          <t>☑</t>
        </is>
      </c>
      <c r="Q38" s="79" t="inlineStr">
        <is>
          <t>☑</t>
        </is>
      </c>
      <c r="R38" s="79" t="inlineStr">
        <is>
          <t>☑</t>
        </is>
      </c>
      <c r="S38" s="78" t="inlineStr">
        <is>
          <t>—</t>
        </is>
      </c>
      <c r="T38" s="79" t="inlineStr">
        <is>
          <t>☑</t>
        </is>
      </c>
      <c r="U38" s="79" t="inlineStr">
        <is>
          <t>☑</t>
        </is>
      </c>
      <c r="V38" s="79" t="inlineStr">
        <is>
          <t>☑</t>
        </is>
      </c>
      <c r="W38" s="79" t="inlineStr">
        <is>
          <t>☑</t>
        </is>
      </c>
      <c r="X38" s="79" t="inlineStr">
        <is>
          <t>☑</t>
        </is>
      </c>
      <c r="Y38" s="79" t="inlineStr">
        <is>
          <t>☑</t>
        </is>
      </c>
      <c r="Z38" s="79" t="inlineStr">
        <is>
          <t>☑</t>
        </is>
      </c>
      <c r="AA38" s="79" t="inlineStr">
        <is>
          <t>☑</t>
        </is>
      </c>
      <c r="AB38" s="79" t="inlineStr">
        <is>
          <t>☑</t>
        </is>
      </c>
      <c r="AC38" s="79" t="inlineStr">
        <is>
          <t>☑</t>
        </is>
      </c>
      <c r="AD38" s="78" t="inlineStr">
        <is>
          <t>—</t>
        </is>
      </c>
      <c r="AE38" s="79" t="inlineStr">
        <is>
          <t>☑</t>
        </is>
      </c>
      <c r="AF38" s="79" t="inlineStr">
        <is>
          <t>☑</t>
        </is>
      </c>
      <c r="AG38" s="79" t="inlineStr">
        <is>
          <t>☑</t>
        </is>
      </c>
      <c r="AH38" s="78" t="inlineStr">
        <is>
          <t>—</t>
        </is>
      </c>
      <c r="AI38" s="79" t="inlineStr">
        <is>
          <t>☑</t>
        </is>
      </c>
      <c r="AJ38" s="79" t="inlineStr">
        <is>
          <t>☑</t>
        </is>
      </c>
      <c r="AK38" s="79" t="inlineStr">
        <is>
          <t>☑</t>
        </is>
      </c>
      <c r="AL38" s="79" t="inlineStr">
        <is>
          <t>☑</t>
        </is>
      </c>
      <c r="AM38" s="79" t="inlineStr">
        <is>
          <t>☑</t>
        </is>
      </c>
      <c r="AN38" s="79" t="inlineStr">
        <is>
          <t>☑</t>
        </is>
      </c>
      <c r="AO38" s="79" t="inlineStr">
        <is>
          <t>☑</t>
        </is>
      </c>
      <c r="AP38" s="79" t="inlineStr">
        <is>
          <t>☑</t>
        </is>
      </c>
      <c r="AQ38" s="79" t="inlineStr">
        <is>
          <t>☑</t>
        </is>
      </c>
      <c r="AR38" s="79" t="inlineStr">
        <is>
          <t>☑</t>
        </is>
      </c>
      <c r="AS38" s="78" t="inlineStr">
        <is>
          <t>—</t>
        </is>
      </c>
      <c r="AT38" s="79" t="inlineStr">
        <is>
          <t>☑</t>
        </is>
      </c>
      <c r="AU38" s="79" t="inlineStr">
        <is>
          <t>☑</t>
        </is>
      </c>
      <c r="AV38" s="79" t="inlineStr">
        <is>
          <t>☑</t>
        </is>
      </c>
      <c r="AW38" s="78" t="inlineStr">
        <is>
          <t>—</t>
        </is>
      </c>
      <c r="AX38" s="79" t="inlineStr">
        <is>
          <t>☑</t>
        </is>
      </c>
      <c r="AY38" s="79" t="inlineStr">
        <is>
          <t>☑</t>
        </is>
      </c>
      <c r="AZ38" s="79" t="inlineStr">
        <is>
          <t>☑</t>
        </is>
      </c>
      <c r="BA38" s="79" t="inlineStr">
        <is>
          <t>☑</t>
        </is>
      </c>
      <c r="BB38" s="79" t="inlineStr">
        <is>
          <t>☑</t>
        </is>
      </c>
      <c r="BC38" s="79" t="inlineStr">
        <is>
          <t>☑</t>
        </is>
      </c>
      <c r="BD38" s="79" t="inlineStr">
        <is>
          <t>☑</t>
        </is>
      </c>
      <c r="BE38" s="79" t="inlineStr">
        <is>
          <t>☑</t>
        </is>
      </c>
      <c r="BF38" s="79" t="inlineStr">
        <is>
          <t>☑</t>
        </is>
      </c>
      <c r="BG38" s="79" t="inlineStr">
        <is>
          <t>☑</t>
        </is>
      </c>
      <c r="BH38" s="78" t="inlineStr">
        <is>
          <t>—</t>
        </is>
      </c>
      <c r="BI38" s="79" t="inlineStr">
        <is>
          <t>☑</t>
        </is>
      </c>
      <c r="BJ38" s="79" t="inlineStr">
        <is>
          <t>☑</t>
        </is>
      </c>
      <c r="BK38" s="79" t="inlineStr">
        <is>
          <t>☑</t>
        </is>
      </c>
      <c r="BL38" s="78" t="inlineStr">
        <is>
          <t>—</t>
        </is>
      </c>
      <c r="BM38" s="79" t="inlineStr">
        <is>
          <t>☑</t>
        </is>
      </c>
      <c r="BN38" s="79" t="inlineStr">
        <is>
          <t>☑</t>
        </is>
      </c>
      <c r="BO38" s="79" t="inlineStr">
        <is>
          <t>☑</t>
        </is>
      </c>
    </row>
    <row r="39">
      <c r="A39" s="79" t="n">
        <v>32</v>
      </c>
      <c r="B39" s="79" t="inlineStr">
        <is>
          <t>325106410032</t>
        </is>
      </c>
      <c r="C39" s="79" t="inlineStr">
        <is>
          <t>LAKSHMI NARASIMHA SATHWIK MUDUNURU</t>
        </is>
      </c>
      <c r="D39" s="78" t="inlineStr">
        <is>
          <t>—</t>
        </is>
      </c>
      <c r="E39" s="79" t="inlineStr">
        <is>
          <t>☑</t>
        </is>
      </c>
      <c r="F39" s="79" t="inlineStr">
        <is>
          <t>☑</t>
        </is>
      </c>
      <c r="G39" s="79" t="inlineStr">
        <is>
          <t>☑</t>
        </is>
      </c>
      <c r="H39" s="79" t="inlineStr">
        <is>
          <t>☑</t>
        </is>
      </c>
      <c r="I39" s="79" t="inlineStr">
        <is>
          <t>☑</t>
        </is>
      </c>
      <c r="J39" s="79" t="inlineStr">
        <is>
          <t>☑</t>
        </is>
      </c>
      <c r="K39" s="79" t="inlineStr">
        <is>
          <t>☑</t>
        </is>
      </c>
      <c r="L39" s="79" t="inlineStr">
        <is>
          <t>☑</t>
        </is>
      </c>
      <c r="M39" s="79" t="inlineStr">
        <is>
          <t>☑</t>
        </is>
      </c>
      <c r="N39" s="79" t="inlineStr">
        <is>
          <t>☑</t>
        </is>
      </c>
      <c r="O39" s="78" t="inlineStr">
        <is>
          <t>—</t>
        </is>
      </c>
      <c r="P39" s="79" t="inlineStr">
        <is>
          <t>☑</t>
        </is>
      </c>
      <c r="Q39" s="79" t="inlineStr">
        <is>
          <t>☑</t>
        </is>
      </c>
      <c r="R39" s="79" t="inlineStr">
        <is>
          <t>☑</t>
        </is>
      </c>
      <c r="S39" s="78" t="inlineStr">
        <is>
          <t>—</t>
        </is>
      </c>
      <c r="T39" s="79" t="inlineStr">
        <is>
          <t>☑</t>
        </is>
      </c>
      <c r="U39" s="79" t="inlineStr">
        <is>
          <t>☑</t>
        </is>
      </c>
      <c r="V39" s="79" t="inlineStr">
        <is>
          <t>☑</t>
        </is>
      </c>
      <c r="W39" s="79" t="inlineStr">
        <is>
          <t>☑</t>
        </is>
      </c>
      <c r="X39" s="79" t="inlineStr">
        <is>
          <t>☑</t>
        </is>
      </c>
      <c r="Y39" s="79" t="inlineStr">
        <is>
          <t>☑</t>
        </is>
      </c>
      <c r="Z39" s="79" t="inlineStr">
        <is>
          <t>☑</t>
        </is>
      </c>
      <c r="AA39" s="79" t="inlineStr">
        <is>
          <t>☑</t>
        </is>
      </c>
      <c r="AB39" s="79" t="inlineStr">
        <is>
          <t>☑</t>
        </is>
      </c>
      <c r="AC39" s="79" t="inlineStr">
        <is>
          <t>☑</t>
        </is>
      </c>
      <c r="AD39" s="78" t="inlineStr">
        <is>
          <t>—</t>
        </is>
      </c>
      <c r="AE39" s="79" t="inlineStr">
        <is>
          <t>☑</t>
        </is>
      </c>
      <c r="AF39" s="79" t="inlineStr">
        <is>
          <t>☑</t>
        </is>
      </c>
      <c r="AG39" s="79" t="inlineStr">
        <is>
          <t>☑</t>
        </is>
      </c>
      <c r="AH39" s="78" t="inlineStr">
        <is>
          <t>—</t>
        </is>
      </c>
      <c r="AI39" s="79" t="inlineStr">
        <is>
          <t>☑</t>
        </is>
      </c>
      <c r="AJ39" s="79" t="inlineStr">
        <is>
          <t>☑</t>
        </is>
      </c>
      <c r="AK39" s="79" t="inlineStr">
        <is>
          <t>☑</t>
        </is>
      </c>
      <c r="AL39" s="79" t="inlineStr">
        <is>
          <t>☑</t>
        </is>
      </c>
      <c r="AM39" s="79" t="inlineStr">
        <is>
          <t>☑</t>
        </is>
      </c>
      <c r="AN39" s="79" t="inlineStr">
        <is>
          <t>☑</t>
        </is>
      </c>
      <c r="AO39" s="79" t="inlineStr">
        <is>
          <t>☑</t>
        </is>
      </c>
      <c r="AP39" s="79" t="inlineStr">
        <is>
          <t>☑</t>
        </is>
      </c>
      <c r="AQ39" s="79" t="inlineStr">
        <is>
          <t>☑</t>
        </is>
      </c>
      <c r="AR39" s="79" t="inlineStr">
        <is>
          <t>☑</t>
        </is>
      </c>
      <c r="AS39" s="78" t="inlineStr">
        <is>
          <t>—</t>
        </is>
      </c>
      <c r="AT39" s="79" t="inlineStr">
        <is>
          <t>☑</t>
        </is>
      </c>
      <c r="AU39" s="79" t="inlineStr">
        <is>
          <t>☑</t>
        </is>
      </c>
      <c r="AV39" s="79" t="inlineStr">
        <is>
          <t>☑</t>
        </is>
      </c>
      <c r="AW39" s="78" t="inlineStr">
        <is>
          <t>—</t>
        </is>
      </c>
      <c r="AX39" s="79" t="inlineStr">
        <is>
          <t>☑</t>
        </is>
      </c>
      <c r="AY39" s="79" t="inlineStr">
        <is>
          <t>☑</t>
        </is>
      </c>
      <c r="AZ39" s="79" t="inlineStr">
        <is>
          <t>☑</t>
        </is>
      </c>
      <c r="BA39" s="79" t="inlineStr">
        <is>
          <t>☑</t>
        </is>
      </c>
      <c r="BB39" s="79" t="inlineStr">
        <is>
          <t>☑</t>
        </is>
      </c>
      <c r="BC39" s="79" t="inlineStr">
        <is>
          <t>☑</t>
        </is>
      </c>
      <c r="BD39" s="79" t="inlineStr">
        <is>
          <t>☑</t>
        </is>
      </c>
      <c r="BE39" s="79" t="inlineStr">
        <is>
          <t>☑</t>
        </is>
      </c>
      <c r="BF39" s="79" t="inlineStr">
        <is>
          <t>☑</t>
        </is>
      </c>
      <c r="BG39" s="79" t="inlineStr">
        <is>
          <t>☑</t>
        </is>
      </c>
      <c r="BH39" s="78" t="inlineStr">
        <is>
          <t>—</t>
        </is>
      </c>
      <c r="BI39" s="79" t="inlineStr">
        <is>
          <t>☑</t>
        </is>
      </c>
      <c r="BJ39" s="79" t="inlineStr">
        <is>
          <t>☑</t>
        </is>
      </c>
      <c r="BK39" s="79" t="inlineStr">
        <is>
          <t>☑</t>
        </is>
      </c>
      <c r="BL39" s="78" t="inlineStr">
        <is>
          <t>—</t>
        </is>
      </c>
      <c r="BM39" s="79" t="inlineStr">
        <is>
          <t>☑</t>
        </is>
      </c>
      <c r="BN39" s="79" t="inlineStr">
        <is>
          <t>☑</t>
        </is>
      </c>
      <c r="BO39" s="79" t="inlineStr">
        <is>
          <t>☑</t>
        </is>
      </c>
    </row>
    <row r="40">
      <c r="A40" s="79" t="n">
        <v>33</v>
      </c>
      <c r="B40" s="79" t="inlineStr">
        <is>
          <t>325106410033</t>
        </is>
      </c>
      <c r="C40" s="79" t="inlineStr">
        <is>
          <t>VEERA VENKATA SHALINI DEVI SRI MUMMANA</t>
        </is>
      </c>
      <c r="D40" s="78" t="inlineStr">
        <is>
          <t>—</t>
        </is>
      </c>
      <c r="E40" s="79" t="inlineStr">
        <is>
          <t>☑</t>
        </is>
      </c>
      <c r="F40" s="79" t="inlineStr">
        <is>
          <t>☑</t>
        </is>
      </c>
      <c r="G40" s="79" t="inlineStr">
        <is>
          <t>☑</t>
        </is>
      </c>
      <c r="H40" s="79" t="inlineStr">
        <is>
          <t>☑</t>
        </is>
      </c>
      <c r="I40" s="79" t="inlineStr">
        <is>
          <t>☑</t>
        </is>
      </c>
      <c r="J40" s="79" t="inlineStr">
        <is>
          <t>☑</t>
        </is>
      </c>
      <c r="K40" s="79" t="inlineStr">
        <is>
          <t>☑</t>
        </is>
      </c>
      <c r="L40" s="79" t="inlineStr">
        <is>
          <t>☑</t>
        </is>
      </c>
      <c r="M40" s="79" t="inlineStr">
        <is>
          <t>☑</t>
        </is>
      </c>
      <c r="N40" s="79" t="inlineStr">
        <is>
          <t>☑</t>
        </is>
      </c>
      <c r="O40" s="78" t="inlineStr">
        <is>
          <t>—</t>
        </is>
      </c>
      <c r="P40" s="79" t="inlineStr">
        <is>
          <t>☑</t>
        </is>
      </c>
      <c r="Q40" s="79" t="inlineStr">
        <is>
          <t>☑</t>
        </is>
      </c>
      <c r="R40" s="79" t="inlineStr">
        <is>
          <t>☑</t>
        </is>
      </c>
      <c r="S40" s="78" t="inlineStr">
        <is>
          <t>—</t>
        </is>
      </c>
      <c r="T40" s="79" t="inlineStr">
        <is>
          <t>☑</t>
        </is>
      </c>
      <c r="U40" s="79" t="inlineStr">
        <is>
          <t>☑</t>
        </is>
      </c>
      <c r="V40" s="79" t="inlineStr">
        <is>
          <t>☑</t>
        </is>
      </c>
      <c r="W40" s="79" t="inlineStr">
        <is>
          <t>☑</t>
        </is>
      </c>
      <c r="X40" s="79" t="inlineStr">
        <is>
          <t>☑</t>
        </is>
      </c>
      <c r="Y40" s="79" t="inlineStr">
        <is>
          <t>☑</t>
        </is>
      </c>
      <c r="Z40" s="79" t="inlineStr">
        <is>
          <t>☑</t>
        </is>
      </c>
      <c r="AA40" s="79" t="inlineStr">
        <is>
          <t>☑</t>
        </is>
      </c>
      <c r="AB40" s="79" t="inlineStr">
        <is>
          <t>☑</t>
        </is>
      </c>
      <c r="AC40" s="79" t="inlineStr">
        <is>
          <t>☑</t>
        </is>
      </c>
      <c r="AD40" s="78" t="inlineStr">
        <is>
          <t>—</t>
        </is>
      </c>
      <c r="AE40" s="79" t="inlineStr">
        <is>
          <t>☑</t>
        </is>
      </c>
      <c r="AF40" s="79" t="inlineStr">
        <is>
          <t>☑</t>
        </is>
      </c>
      <c r="AG40" s="79" t="inlineStr">
        <is>
          <t>☑</t>
        </is>
      </c>
      <c r="AH40" s="78" t="inlineStr">
        <is>
          <t>—</t>
        </is>
      </c>
      <c r="AI40" s="79" t="inlineStr">
        <is>
          <t>☑</t>
        </is>
      </c>
      <c r="AJ40" s="79" t="inlineStr">
        <is>
          <t>☑</t>
        </is>
      </c>
      <c r="AK40" s="79" t="inlineStr">
        <is>
          <t>☑</t>
        </is>
      </c>
      <c r="AL40" s="79" t="inlineStr">
        <is>
          <t>☑</t>
        </is>
      </c>
      <c r="AM40" s="79" t="inlineStr">
        <is>
          <t>☑</t>
        </is>
      </c>
      <c r="AN40" s="79" t="inlineStr">
        <is>
          <t>☑</t>
        </is>
      </c>
      <c r="AO40" s="79" t="inlineStr">
        <is>
          <t>☑</t>
        </is>
      </c>
      <c r="AP40" s="79" t="inlineStr">
        <is>
          <t>☑</t>
        </is>
      </c>
      <c r="AQ40" s="79" t="inlineStr">
        <is>
          <t>☑</t>
        </is>
      </c>
      <c r="AR40" s="79" t="inlineStr">
        <is>
          <t>☑</t>
        </is>
      </c>
      <c r="AS40" s="78" t="inlineStr">
        <is>
          <t>—</t>
        </is>
      </c>
      <c r="AT40" s="79" t="inlineStr">
        <is>
          <t>☑</t>
        </is>
      </c>
      <c r="AU40" s="79" t="inlineStr">
        <is>
          <t>☑</t>
        </is>
      </c>
      <c r="AV40" s="79" t="inlineStr">
        <is>
          <t>☑</t>
        </is>
      </c>
      <c r="AW40" s="78" t="inlineStr">
        <is>
          <t>—</t>
        </is>
      </c>
      <c r="AX40" s="79" t="inlineStr">
        <is>
          <t>☑</t>
        </is>
      </c>
      <c r="AY40" s="79" t="inlineStr">
        <is>
          <t>☑</t>
        </is>
      </c>
      <c r="AZ40" s="79" t="inlineStr">
        <is>
          <t>☑</t>
        </is>
      </c>
      <c r="BA40" s="79" t="inlineStr">
        <is>
          <t>☑</t>
        </is>
      </c>
      <c r="BB40" s="79" t="inlineStr">
        <is>
          <t>☑</t>
        </is>
      </c>
      <c r="BC40" s="79" t="inlineStr">
        <is>
          <t>☑</t>
        </is>
      </c>
      <c r="BD40" s="79" t="inlineStr">
        <is>
          <t>☑</t>
        </is>
      </c>
      <c r="BE40" s="79" t="inlineStr">
        <is>
          <t>☑</t>
        </is>
      </c>
      <c r="BF40" s="79" t="inlineStr">
        <is>
          <t>☑</t>
        </is>
      </c>
      <c r="BG40" s="79" t="inlineStr">
        <is>
          <t>☑</t>
        </is>
      </c>
      <c r="BH40" s="78" t="inlineStr">
        <is>
          <t>—</t>
        </is>
      </c>
      <c r="BI40" s="79" t="inlineStr">
        <is>
          <t>☑</t>
        </is>
      </c>
      <c r="BJ40" s="79" t="inlineStr">
        <is>
          <t>☑</t>
        </is>
      </c>
      <c r="BK40" s="79" t="inlineStr">
        <is>
          <t>☑</t>
        </is>
      </c>
      <c r="BL40" s="78" t="inlineStr">
        <is>
          <t>—</t>
        </is>
      </c>
      <c r="BM40" s="79" t="inlineStr">
        <is>
          <t>☑</t>
        </is>
      </c>
      <c r="BN40" s="79" t="inlineStr">
        <is>
          <t>☑</t>
        </is>
      </c>
      <c r="BO40" s="79" t="inlineStr">
        <is>
          <t>☑</t>
        </is>
      </c>
    </row>
    <row r="41">
      <c r="A41" s="79" t="n">
        <v>34</v>
      </c>
      <c r="B41" s="79" t="inlineStr">
        <is>
          <t>325106410034</t>
        </is>
      </c>
      <c r="C41" s="79" t="inlineStr">
        <is>
          <t>NAGABHUSHANA KARTHIK BALIVADA</t>
        </is>
      </c>
      <c r="D41" s="78" t="inlineStr">
        <is>
          <t>—</t>
        </is>
      </c>
      <c r="E41" s="79" t="inlineStr">
        <is>
          <t>☑</t>
        </is>
      </c>
      <c r="F41" s="79" t="inlineStr">
        <is>
          <t>☑</t>
        </is>
      </c>
      <c r="G41" s="79" t="inlineStr">
        <is>
          <t>☑</t>
        </is>
      </c>
      <c r="H41" s="79" t="inlineStr">
        <is>
          <t>☑</t>
        </is>
      </c>
      <c r="I41" s="79" t="inlineStr">
        <is>
          <t>☑</t>
        </is>
      </c>
      <c r="J41" s="79" t="inlineStr">
        <is>
          <t>☑</t>
        </is>
      </c>
      <c r="K41" s="79" t="inlineStr">
        <is>
          <t>☑</t>
        </is>
      </c>
      <c r="L41" s="79" t="inlineStr">
        <is>
          <t>☑</t>
        </is>
      </c>
      <c r="M41" s="79" t="inlineStr">
        <is>
          <t>☑</t>
        </is>
      </c>
      <c r="N41" s="79" t="inlineStr">
        <is>
          <t>☑</t>
        </is>
      </c>
      <c r="O41" s="78" t="inlineStr">
        <is>
          <t>—</t>
        </is>
      </c>
      <c r="P41" s="79" t="inlineStr">
        <is>
          <t>☑</t>
        </is>
      </c>
      <c r="Q41" s="79" t="inlineStr">
        <is>
          <t>☑</t>
        </is>
      </c>
      <c r="R41" s="79" t="inlineStr">
        <is>
          <t>☑</t>
        </is>
      </c>
      <c r="S41" s="78" t="inlineStr">
        <is>
          <t>—</t>
        </is>
      </c>
      <c r="T41" s="79" t="inlineStr">
        <is>
          <t>☑</t>
        </is>
      </c>
      <c r="U41" s="79" t="inlineStr">
        <is>
          <t>☑</t>
        </is>
      </c>
      <c r="V41" s="79" t="inlineStr">
        <is>
          <t>☑</t>
        </is>
      </c>
      <c r="W41" s="79" t="inlineStr">
        <is>
          <t>☑</t>
        </is>
      </c>
      <c r="X41" s="79" t="inlineStr">
        <is>
          <t>☑</t>
        </is>
      </c>
      <c r="Y41" s="79" t="inlineStr">
        <is>
          <t>☑</t>
        </is>
      </c>
      <c r="Z41" s="79" t="inlineStr">
        <is>
          <t>☑</t>
        </is>
      </c>
      <c r="AA41" s="79" t="inlineStr">
        <is>
          <t>☑</t>
        </is>
      </c>
      <c r="AB41" s="79" t="inlineStr">
        <is>
          <t>☑</t>
        </is>
      </c>
      <c r="AC41" s="79" t="inlineStr">
        <is>
          <t>☑</t>
        </is>
      </c>
      <c r="AD41" s="78" t="inlineStr">
        <is>
          <t>—</t>
        </is>
      </c>
      <c r="AE41" s="79" t="inlineStr">
        <is>
          <t>☑</t>
        </is>
      </c>
      <c r="AF41" s="79" t="inlineStr">
        <is>
          <t>☑</t>
        </is>
      </c>
      <c r="AG41" s="79" t="inlineStr">
        <is>
          <t>☑</t>
        </is>
      </c>
      <c r="AH41" s="78" t="inlineStr">
        <is>
          <t>—</t>
        </is>
      </c>
      <c r="AI41" s="79" t="inlineStr">
        <is>
          <t>☑</t>
        </is>
      </c>
      <c r="AJ41" s="79" t="inlineStr">
        <is>
          <t>☑</t>
        </is>
      </c>
      <c r="AK41" s="79" t="inlineStr">
        <is>
          <t>☑</t>
        </is>
      </c>
      <c r="AL41" s="79" t="inlineStr">
        <is>
          <t>☑</t>
        </is>
      </c>
      <c r="AM41" s="79" t="inlineStr">
        <is>
          <t>☑</t>
        </is>
      </c>
      <c r="AN41" s="79" t="inlineStr">
        <is>
          <t>☑</t>
        </is>
      </c>
      <c r="AO41" s="79" t="inlineStr">
        <is>
          <t>☑</t>
        </is>
      </c>
      <c r="AP41" s="79" t="inlineStr">
        <is>
          <t>☑</t>
        </is>
      </c>
      <c r="AQ41" s="79" t="inlineStr">
        <is>
          <t>☑</t>
        </is>
      </c>
      <c r="AR41" s="79" t="inlineStr">
        <is>
          <t>☑</t>
        </is>
      </c>
      <c r="AS41" s="78" t="inlineStr">
        <is>
          <t>—</t>
        </is>
      </c>
      <c r="AT41" s="79" t="inlineStr">
        <is>
          <t>☑</t>
        </is>
      </c>
      <c r="AU41" s="79" t="inlineStr">
        <is>
          <t>☑</t>
        </is>
      </c>
      <c r="AV41" s="79" t="inlineStr">
        <is>
          <t>☑</t>
        </is>
      </c>
      <c r="AW41" s="78" t="inlineStr">
        <is>
          <t>—</t>
        </is>
      </c>
      <c r="AX41" s="79" t="inlineStr">
        <is>
          <t>☑</t>
        </is>
      </c>
      <c r="AY41" s="79" t="inlineStr">
        <is>
          <t>☑</t>
        </is>
      </c>
      <c r="AZ41" s="79" t="inlineStr">
        <is>
          <t>☑</t>
        </is>
      </c>
      <c r="BA41" s="79" t="inlineStr">
        <is>
          <t>☑</t>
        </is>
      </c>
      <c r="BB41" s="79" t="inlineStr">
        <is>
          <t>☑</t>
        </is>
      </c>
      <c r="BC41" s="79" t="inlineStr">
        <is>
          <t>☑</t>
        </is>
      </c>
      <c r="BD41" s="79" t="inlineStr">
        <is>
          <t>☑</t>
        </is>
      </c>
      <c r="BE41" s="79" t="inlineStr">
        <is>
          <t>☑</t>
        </is>
      </c>
      <c r="BF41" s="79" t="inlineStr">
        <is>
          <t>☑</t>
        </is>
      </c>
      <c r="BG41" s="79" t="inlineStr">
        <is>
          <t>☑</t>
        </is>
      </c>
      <c r="BH41" s="78" t="inlineStr">
        <is>
          <t>—</t>
        </is>
      </c>
      <c r="BI41" s="79" t="inlineStr">
        <is>
          <t>☑</t>
        </is>
      </c>
      <c r="BJ41" s="79" t="inlineStr">
        <is>
          <t>☑</t>
        </is>
      </c>
      <c r="BK41" s="79" t="inlineStr">
        <is>
          <t>☑</t>
        </is>
      </c>
      <c r="BL41" s="78" t="inlineStr">
        <is>
          <t>—</t>
        </is>
      </c>
      <c r="BM41" s="79" t="inlineStr">
        <is>
          <t>☑</t>
        </is>
      </c>
      <c r="BN41" s="79" t="inlineStr">
        <is>
          <t>☑</t>
        </is>
      </c>
      <c r="BO41" s="79" t="inlineStr">
        <is>
          <t>☑</t>
        </is>
      </c>
    </row>
    <row r="42">
      <c r="A42" s="79" t="n">
        <v>35</v>
      </c>
      <c r="B42" s="79" t="inlineStr">
        <is>
          <t>325106410035</t>
        </is>
      </c>
      <c r="C42" s="79" t="inlineStr">
        <is>
          <t>SAI PRASANNA PALLA</t>
        </is>
      </c>
      <c r="D42" s="78" t="inlineStr">
        <is>
          <t>—</t>
        </is>
      </c>
      <c r="E42" s="79" t="inlineStr">
        <is>
          <t>☑</t>
        </is>
      </c>
      <c r="F42" s="79" t="inlineStr">
        <is>
          <t>☑</t>
        </is>
      </c>
      <c r="G42" s="79" t="inlineStr">
        <is>
          <t>☑</t>
        </is>
      </c>
      <c r="H42" s="79" t="inlineStr">
        <is>
          <t>☑</t>
        </is>
      </c>
      <c r="I42" s="79" t="inlineStr">
        <is>
          <t>☑</t>
        </is>
      </c>
      <c r="J42" s="79" t="inlineStr">
        <is>
          <t>☑</t>
        </is>
      </c>
      <c r="K42" s="79" t="inlineStr">
        <is>
          <t>☑</t>
        </is>
      </c>
      <c r="L42" s="79" t="inlineStr">
        <is>
          <t>☑</t>
        </is>
      </c>
      <c r="M42" s="79" t="inlineStr">
        <is>
          <t>☑</t>
        </is>
      </c>
      <c r="N42" s="79" t="inlineStr">
        <is>
          <t>☑</t>
        </is>
      </c>
      <c r="O42" s="78" t="inlineStr">
        <is>
          <t>—</t>
        </is>
      </c>
      <c r="P42" s="79" t="inlineStr">
        <is>
          <t>☑</t>
        </is>
      </c>
      <c r="Q42" s="79" t="inlineStr">
        <is>
          <t>☑</t>
        </is>
      </c>
      <c r="R42" s="79" t="inlineStr">
        <is>
          <t>☑</t>
        </is>
      </c>
      <c r="S42" s="78" t="inlineStr">
        <is>
          <t>—</t>
        </is>
      </c>
      <c r="T42" s="79" t="inlineStr">
        <is>
          <t>☑</t>
        </is>
      </c>
      <c r="U42" s="79" t="inlineStr">
        <is>
          <t>☑</t>
        </is>
      </c>
      <c r="V42" s="79" t="inlineStr">
        <is>
          <t>☑</t>
        </is>
      </c>
      <c r="W42" s="79" t="inlineStr">
        <is>
          <t>☑</t>
        </is>
      </c>
      <c r="X42" s="79" t="inlineStr">
        <is>
          <t>☑</t>
        </is>
      </c>
      <c r="Y42" s="79" t="inlineStr">
        <is>
          <t>☑</t>
        </is>
      </c>
      <c r="Z42" s="79" t="inlineStr">
        <is>
          <t>☑</t>
        </is>
      </c>
      <c r="AA42" s="79" t="inlineStr">
        <is>
          <t>☑</t>
        </is>
      </c>
      <c r="AB42" s="79" t="inlineStr">
        <is>
          <t>☑</t>
        </is>
      </c>
      <c r="AC42" s="79" t="inlineStr">
        <is>
          <t>☑</t>
        </is>
      </c>
      <c r="AD42" s="78" t="inlineStr">
        <is>
          <t>—</t>
        </is>
      </c>
      <c r="AE42" s="79" t="inlineStr">
        <is>
          <t>☑</t>
        </is>
      </c>
      <c r="AF42" s="79" t="inlineStr">
        <is>
          <t>☑</t>
        </is>
      </c>
      <c r="AG42" s="79" t="inlineStr">
        <is>
          <t>☑</t>
        </is>
      </c>
      <c r="AH42" s="78" t="inlineStr">
        <is>
          <t>—</t>
        </is>
      </c>
      <c r="AI42" s="79" t="inlineStr">
        <is>
          <t>☑</t>
        </is>
      </c>
      <c r="AJ42" s="79" t="inlineStr">
        <is>
          <t>☑</t>
        </is>
      </c>
      <c r="AK42" s="79" t="inlineStr">
        <is>
          <t>☑</t>
        </is>
      </c>
      <c r="AL42" s="79" t="inlineStr">
        <is>
          <t>☑</t>
        </is>
      </c>
      <c r="AM42" s="79" t="inlineStr">
        <is>
          <t>☑</t>
        </is>
      </c>
      <c r="AN42" s="79" t="inlineStr">
        <is>
          <t>☑</t>
        </is>
      </c>
      <c r="AO42" s="79" t="inlineStr">
        <is>
          <t>☑</t>
        </is>
      </c>
      <c r="AP42" s="79" t="inlineStr">
        <is>
          <t>☑</t>
        </is>
      </c>
      <c r="AQ42" s="79" t="inlineStr">
        <is>
          <t>☑</t>
        </is>
      </c>
      <c r="AR42" s="79" t="inlineStr">
        <is>
          <t>☑</t>
        </is>
      </c>
      <c r="AS42" s="78" t="inlineStr">
        <is>
          <t>—</t>
        </is>
      </c>
      <c r="AT42" s="79" t="inlineStr">
        <is>
          <t>☑</t>
        </is>
      </c>
      <c r="AU42" s="79" t="inlineStr">
        <is>
          <t>☑</t>
        </is>
      </c>
      <c r="AV42" s="79" t="inlineStr">
        <is>
          <t>☑</t>
        </is>
      </c>
      <c r="AW42" s="78" t="inlineStr">
        <is>
          <t>—</t>
        </is>
      </c>
      <c r="AX42" s="79" t="inlineStr">
        <is>
          <t>☑</t>
        </is>
      </c>
      <c r="AY42" s="79" t="inlineStr">
        <is>
          <t>☑</t>
        </is>
      </c>
      <c r="AZ42" s="79" t="inlineStr">
        <is>
          <t>☑</t>
        </is>
      </c>
      <c r="BA42" s="79" t="inlineStr">
        <is>
          <t>☑</t>
        </is>
      </c>
      <c r="BB42" s="79" t="inlineStr">
        <is>
          <t>☑</t>
        </is>
      </c>
      <c r="BC42" s="79" t="inlineStr">
        <is>
          <t>☑</t>
        </is>
      </c>
      <c r="BD42" s="79" t="inlineStr">
        <is>
          <t>☑</t>
        </is>
      </c>
      <c r="BE42" s="79" t="inlineStr">
        <is>
          <t>☑</t>
        </is>
      </c>
      <c r="BF42" s="79" t="inlineStr">
        <is>
          <t>☑</t>
        </is>
      </c>
      <c r="BG42" s="79" t="inlineStr">
        <is>
          <t>☑</t>
        </is>
      </c>
      <c r="BH42" s="78" t="inlineStr">
        <is>
          <t>—</t>
        </is>
      </c>
      <c r="BI42" s="79" t="inlineStr">
        <is>
          <t>☑</t>
        </is>
      </c>
      <c r="BJ42" s="79" t="inlineStr">
        <is>
          <t>☑</t>
        </is>
      </c>
      <c r="BK42" s="79" t="inlineStr">
        <is>
          <t>☑</t>
        </is>
      </c>
      <c r="BL42" s="78" t="inlineStr">
        <is>
          <t>—</t>
        </is>
      </c>
      <c r="BM42" s="79" t="inlineStr">
        <is>
          <t>☑</t>
        </is>
      </c>
      <c r="BN42" s="79" t="inlineStr">
        <is>
          <t>☑</t>
        </is>
      </c>
      <c r="BO42" s="79" t="inlineStr">
        <is>
          <t>☑</t>
        </is>
      </c>
    </row>
    <row r="43">
      <c r="A43" s="79" t="n">
        <v>36</v>
      </c>
      <c r="B43" s="79" t="inlineStr">
        <is>
          <t>325106410036</t>
        </is>
      </c>
      <c r="C43" s="79" t="inlineStr">
        <is>
          <t>OBEDU PALLE</t>
        </is>
      </c>
      <c r="D43" s="78" t="inlineStr">
        <is>
          <t>—</t>
        </is>
      </c>
      <c r="E43" s="79" t="inlineStr">
        <is>
          <t>☑</t>
        </is>
      </c>
      <c r="F43" s="79" t="inlineStr">
        <is>
          <t>☑</t>
        </is>
      </c>
      <c r="G43" s="79" t="inlineStr">
        <is>
          <t>☑</t>
        </is>
      </c>
      <c r="H43" s="79" t="inlineStr">
        <is>
          <t>☑</t>
        </is>
      </c>
      <c r="I43" s="79" t="inlineStr">
        <is>
          <t>☑</t>
        </is>
      </c>
      <c r="J43" s="79" t="inlineStr">
        <is>
          <t>☑</t>
        </is>
      </c>
      <c r="K43" s="79" t="inlineStr">
        <is>
          <t>☑</t>
        </is>
      </c>
      <c r="L43" s="79" t="inlineStr">
        <is>
          <t>☑</t>
        </is>
      </c>
      <c r="M43" s="79" t="inlineStr">
        <is>
          <t>☑</t>
        </is>
      </c>
      <c r="N43" s="79" t="inlineStr">
        <is>
          <t>☑</t>
        </is>
      </c>
      <c r="O43" s="78" t="inlineStr">
        <is>
          <t>—</t>
        </is>
      </c>
      <c r="P43" s="79" t="inlineStr">
        <is>
          <t>☑</t>
        </is>
      </c>
      <c r="Q43" s="79" t="inlineStr">
        <is>
          <t>☑</t>
        </is>
      </c>
      <c r="R43" s="79" t="inlineStr">
        <is>
          <t>☑</t>
        </is>
      </c>
      <c r="S43" s="78" t="inlineStr">
        <is>
          <t>—</t>
        </is>
      </c>
      <c r="T43" s="79" t="inlineStr">
        <is>
          <t>☑</t>
        </is>
      </c>
      <c r="U43" s="79" t="inlineStr">
        <is>
          <t>☑</t>
        </is>
      </c>
      <c r="V43" s="79" t="inlineStr">
        <is>
          <t>☑</t>
        </is>
      </c>
      <c r="W43" s="79" t="inlineStr">
        <is>
          <t>☑</t>
        </is>
      </c>
      <c r="X43" s="79" t="inlineStr">
        <is>
          <t>☑</t>
        </is>
      </c>
      <c r="Y43" s="79" t="inlineStr">
        <is>
          <t>☑</t>
        </is>
      </c>
      <c r="Z43" s="79" t="inlineStr">
        <is>
          <t>☑</t>
        </is>
      </c>
      <c r="AA43" s="79" t="inlineStr">
        <is>
          <t>☑</t>
        </is>
      </c>
      <c r="AB43" s="79" t="inlineStr">
        <is>
          <t>☑</t>
        </is>
      </c>
      <c r="AC43" s="79" t="inlineStr">
        <is>
          <t>☑</t>
        </is>
      </c>
      <c r="AD43" s="78" t="inlineStr">
        <is>
          <t>—</t>
        </is>
      </c>
      <c r="AE43" s="79" t="inlineStr">
        <is>
          <t>☑</t>
        </is>
      </c>
      <c r="AF43" s="79" t="inlineStr">
        <is>
          <t>☑</t>
        </is>
      </c>
      <c r="AG43" s="79" t="inlineStr">
        <is>
          <t>☑</t>
        </is>
      </c>
      <c r="AH43" s="78" t="inlineStr">
        <is>
          <t>—</t>
        </is>
      </c>
      <c r="AI43" s="79" t="inlineStr">
        <is>
          <t>☑</t>
        </is>
      </c>
      <c r="AJ43" s="79" t="inlineStr">
        <is>
          <t>☑</t>
        </is>
      </c>
      <c r="AK43" s="79" t="inlineStr">
        <is>
          <t>☑</t>
        </is>
      </c>
      <c r="AL43" s="79" t="inlineStr">
        <is>
          <t>☑</t>
        </is>
      </c>
      <c r="AM43" s="79" t="inlineStr">
        <is>
          <t>☑</t>
        </is>
      </c>
      <c r="AN43" s="79" t="inlineStr">
        <is>
          <t>☑</t>
        </is>
      </c>
      <c r="AO43" s="79" t="inlineStr">
        <is>
          <t>☑</t>
        </is>
      </c>
      <c r="AP43" s="79" t="inlineStr">
        <is>
          <t>☑</t>
        </is>
      </c>
      <c r="AQ43" s="79" t="inlineStr">
        <is>
          <t>☑</t>
        </is>
      </c>
      <c r="AR43" s="79" t="inlineStr">
        <is>
          <t>☑</t>
        </is>
      </c>
      <c r="AS43" s="78" t="inlineStr">
        <is>
          <t>—</t>
        </is>
      </c>
      <c r="AT43" s="79" t="inlineStr">
        <is>
          <t>☑</t>
        </is>
      </c>
      <c r="AU43" s="79" t="inlineStr">
        <is>
          <t>☑</t>
        </is>
      </c>
      <c r="AV43" s="79" t="inlineStr">
        <is>
          <t>☑</t>
        </is>
      </c>
      <c r="AW43" s="78" t="inlineStr">
        <is>
          <t>—</t>
        </is>
      </c>
      <c r="AX43" s="79" t="inlineStr">
        <is>
          <t>☑</t>
        </is>
      </c>
      <c r="AY43" s="79" t="inlineStr">
        <is>
          <t>☑</t>
        </is>
      </c>
      <c r="AZ43" s="79" t="inlineStr">
        <is>
          <t>☑</t>
        </is>
      </c>
      <c r="BA43" s="79" t="inlineStr">
        <is>
          <t>☑</t>
        </is>
      </c>
      <c r="BB43" s="79" t="inlineStr">
        <is>
          <t>☑</t>
        </is>
      </c>
      <c r="BC43" s="79" t="inlineStr">
        <is>
          <t>☑</t>
        </is>
      </c>
      <c r="BD43" s="79" t="inlineStr">
        <is>
          <t>☑</t>
        </is>
      </c>
      <c r="BE43" s="79" t="inlineStr">
        <is>
          <t>☑</t>
        </is>
      </c>
      <c r="BF43" s="79" t="inlineStr">
        <is>
          <t>☑</t>
        </is>
      </c>
      <c r="BG43" s="79" t="inlineStr">
        <is>
          <t>☑</t>
        </is>
      </c>
      <c r="BH43" s="78" t="inlineStr">
        <is>
          <t>—</t>
        </is>
      </c>
      <c r="BI43" s="79" t="inlineStr">
        <is>
          <t>☑</t>
        </is>
      </c>
      <c r="BJ43" s="79" t="inlineStr">
        <is>
          <t>☑</t>
        </is>
      </c>
      <c r="BK43" s="79" t="inlineStr">
        <is>
          <t>☑</t>
        </is>
      </c>
      <c r="BL43" s="78" t="inlineStr">
        <is>
          <t>—</t>
        </is>
      </c>
      <c r="BM43" s="79" t="inlineStr">
        <is>
          <t>☑</t>
        </is>
      </c>
      <c r="BN43" s="79" t="inlineStr">
        <is>
          <t>☑</t>
        </is>
      </c>
      <c r="BO43" s="79" t="inlineStr">
        <is>
          <t>☑</t>
        </is>
      </c>
    </row>
    <row r="44">
      <c r="A44" s="79" t="n">
        <v>37</v>
      </c>
      <c r="B44" s="79" t="inlineStr">
        <is>
          <t>325106410037</t>
        </is>
      </c>
      <c r="C44" s="79" t="inlineStr">
        <is>
          <t>VINAY KUMAR PANCHADI</t>
        </is>
      </c>
      <c r="D44" s="78" t="inlineStr">
        <is>
          <t>—</t>
        </is>
      </c>
      <c r="E44" s="79" t="inlineStr">
        <is>
          <t>☑</t>
        </is>
      </c>
      <c r="F44" s="79" t="inlineStr">
        <is>
          <t>☑</t>
        </is>
      </c>
      <c r="G44" s="79" t="inlineStr">
        <is>
          <t>☑</t>
        </is>
      </c>
      <c r="H44" s="79" t="inlineStr">
        <is>
          <t>☑</t>
        </is>
      </c>
      <c r="I44" s="79" t="inlineStr">
        <is>
          <t>☑</t>
        </is>
      </c>
      <c r="J44" s="79" t="inlineStr">
        <is>
          <t>☑</t>
        </is>
      </c>
      <c r="K44" s="79" t="inlineStr">
        <is>
          <t>☑</t>
        </is>
      </c>
      <c r="L44" s="79" t="inlineStr">
        <is>
          <t>☑</t>
        </is>
      </c>
      <c r="M44" s="79" t="inlineStr">
        <is>
          <t>☑</t>
        </is>
      </c>
      <c r="N44" s="79" t="inlineStr">
        <is>
          <t>☑</t>
        </is>
      </c>
      <c r="O44" s="78" t="inlineStr">
        <is>
          <t>—</t>
        </is>
      </c>
      <c r="P44" s="79" t="inlineStr">
        <is>
          <t>☑</t>
        </is>
      </c>
      <c r="Q44" s="79" t="inlineStr">
        <is>
          <t>☑</t>
        </is>
      </c>
      <c r="R44" s="79" t="inlineStr">
        <is>
          <t>☑</t>
        </is>
      </c>
      <c r="S44" s="78" t="inlineStr">
        <is>
          <t>—</t>
        </is>
      </c>
      <c r="T44" s="79" t="inlineStr">
        <is>
          <t>☑</t>
        </is>
      </c>
      <c r="U44" s="79" t="inlineStr">
        <is>
          <t>☑</t>
        </is>
      </c>
      <c r="V44" s="79" t="inlineStr">
        <is>
          <t>☑</t>
        </is>
      </c>
      <c r="W44" s="79" t="inlineStr">
        <is>
          <t>☑</t>
        </is>
      </c>
      <c r="X44" s="79" t="inlineStr">
        <is>
          <t>☑</t>
        </is>
      </c>
      <c r="Y44" s="79" t="inlineStr">
        <is>
          <t>☑</t>
        </is>
      </c>
      <c r="Z44" s="79" t="inlineStr">
        <is>
          <t>☑</t>
        </is>
      </c>
      <c r="AA44" s="79" t="inlineStr">
        <is>
          <t>☑</t>
        </is>
      </c>
      <c r="AB44" s="79" t="inlineStr">
        <is>
          <t>☑</t>
        </is>
      </c>
      <c r="AC44" s="79" t="inlineStr">
        <is>
          <t>☑</t>
        </is>
      </c>
      <c r="AD44" s="78" t="inlineStr">
        <is>
          <t>—</t>
        </is>
      </c>
      <c r="AE44" s="79" t="inlineStr">
        <is>
          <t>☑</t>
        </is>
      </c>
      <c r="AF44" s="79" t="inlineStr">
        <is>
          <t>☑</t>
        </is>
      </c>
      <c r="AG44" s="79" t="inlineStr">
        <is>
          <t>☑</t>
        </is>
      </c>
      <c r="AH44" s="78" t="inlineStr">
        <is>
          <t>—</t>
        </is>
      </c>
      <c r="AI44" s="79" t="inlineStr">
        <is>
          <t>☑</t>
        </is>
      </c>
      <c r="AJ44" s="79" t="inlineStr">
        <is>
          <t>☑</t>
        </is>
      </c>
      <c r="AK44" s="79" t="inlineStr">
        <is>
          <t>☑</t>
        </is>
      </c>
      <c r="AL44" s="79" t="inlineStr">
        <is>
          <t>☑</t>
        </is>
      </c>
      <c r="AM44" s="79" t="inlineStr">
        <is>
          <t>☑</t>
        </is>
      </c>
      <c r="AN44" s="79" t="inlineStr">
        <is>
          <t>☑</t>
        </is>
      </c>
      <c r="AO44" s="79" t="inlineStr">
        <is>
          <t>☑</t>
        </is>
      </c>
      <c r="AP44" s="79" t="inlineStr">
        <is>
          <t>☑</t>
        </is>
      </c>
      <c r="AQ44" s="79" t="inlineStr">
        <is>
          <t>☑</t>
        </is>
      </c>
      <c r="AR44" s="79" t="inlineStr">
        <is>
          <t>☑</t>
        </is>
      </c>
      <c r="AS44" s="78" t="inlineStr">
        <is>
          <t>—</t>
        </is>
      </c>
      <c r="AT44" s="79" t="inlineStr">
        <is>
          <t>☑</t>
        </is>
      </c>
      <c r="AU44" s="79" t="inlineStr">
        <is>
          <t>☑</t>
        </is>
      </c>
      <c r="AV44" s="79" t="inlineStr">
        <is>
          <t>☑</t>
        </is>
      </c>
      <c r="AW44" s="78" t="inlineStr">
        <is>
          <t>—</t>
        </is>
      </c>
      <c r="AX44" s="79" t="inlineStr">
        <is>
          <t>☑</t>
        </is>
      </c>
      <c r="AY44" s="79" t="inlineStr">
        <is>
          <t>☑</t>
        </is>
      </c>
      <c r="AZ44" s="79" t="inlineStr">
        <is>
          <t>☑</t>
        </is>
      </c>
      <c r="BA44" s="79" t="inlineStr">
        <is>
          <t>☑</t>
        </is>
      </c>
      <c r="BB44" s="79" t="inlineStr">
        <is>
          <t>☑</t>
        </is>
      </c>
      <c r="BC44" s="79" t="inlineStr">
        <is>
          <t>☑</t>
        </is>
      </c>
      <c r="BD44" s="79" t="inlineStr">
        <is>
          <t>☑</t>
        </is>
      </c>
      <c r="BE44" s="79" t="inlineStr">
        <is>
          <t>☑</t>
        </is>
      </c>
      <c r="BF44" s="79" t="inlineStr">
        <is>
          <t>☑</t>
        </is>
      </c>
      <c r="BG44" s="79" t="inlineStr">
        <is>
          <t>☑</t>
        </is>
      </c>
      <c r="BH44" s="78" t="inlineStr">
        <is>
          <t>—</t>
        </is>
      </c>
      <c r="BI44" s="79" t="inlineStr">
        <is>
          <t>☑</t>
        </is>
      </c>
      <c r="BJ44" s="79" t="inlineStr">
        <is>
          <t>☑</t>
        </is>
      </c>
      <c r="BK44" s="79" t="inlineStr">
        <is>
          <t>☑</t>
        </is>
      </c>
      <c r="BL44" s="78" t="inlineStr">
        <is>
          <t>—</t>
        </is>
      </c>
      <c r="BM44" s="79" t="inlineStr">
        <is>
          <t>☑</t>
        </is>
      </c>
      <c r="BN44" s="79" t="inlineStr">
        <is>
          <t>☑</t>
        </is>
      </c>
      <c r="BO44" s="79" t="inlineStr">
        <is>
          <t>☑</t>
        </is>
      </c>
    </row>
    <row r="45">
      <c r="A45" s="79" t="n">
        <v>38</v>
      </c>
      <c r="B45" s="79" t="inlineStr">
        <is>
          <t>325106410038</t>
        </is>
      </c>
      <c r="C45" s="79" t="inlineStr">
        <is>
          <t>KARTIKA HEMANTH REDDY POTAMSETTY</t>
        </is>
      </c>
      <c r="D45" s="78" t="inlineStr">
        <is>
          <t>—</t>
        </is>
      </c>
      <c r="E45" s="79" t="inlineStr">
        <is>
          <t>☑</t>
        </is>
      </c>
      <c r="F45" s="79" t="inlineStr">
        <is>
          <t>☑</t>
        </is>
      </c>
      <c r="G45" s="79" t="inlineStr">
        <is>
          <t>☑</t>
        </is>
      </c>
      <c r="H45" s="79" t="inlineStr">
        <is>
          <t>☑</t>
        </is>
      </c>
      <c r="I45" s="79" t="inlineStr">
        <is>
          <t>☑</t>
        </is>
      </c>
      <c r="J45" s="79" t="inlineStr">
        <is>
          <t>☑</t>
        </is>
      </c>
      <c r="K45" s="79" t="inlineStr">
        <is>
          <t>☑</t>
        </is>
      </c>
      <c r="L45" s="79" t="inlineStr">
        <is>
          <t>☑</t>
        </is>
      </c>
      <c r="M45" s="79" t="inlineStr">
        <is>
          <t>☑</t>
        </is>
      </c>
      <c r="N45" s="79" t="inlineStr">
        <is>
          <t>☑</t>
        </is>
      </c>
      <c r="O45" s="78" t="inlineStr">
        <is>
          <t>—</t>
        </is>
      </c>
      <c r="P45" s="79" t="inlineStr">
        <is>
          <t>☑</t>
        </is>
      </c>
      <c r="Q45" s="79" t="inlineStr">
        <is>
          <t>☑</t>
        </is>
      </c>
      <c r="R45" s="79" t="inlineStr">
        <is>
          <t>☑</t>
        </is>
      </c>
      <c r="S45" s="78" t="inlineStr">
        <is>
          <t>—</t>
        </is>
      </c>
      <c r="T45" s="79" t="inlineStr">
        <is>
          <t>☑</t>
        </is>
      </c>
      <c r="U45" s="79" t="inlineStr">
        <is>
          <t>☑</t>
        </is>
      </c>
      <c r="V45" s="79" t="inlineStr">
        <is>
          <t>☑</t>
        </is>
      </c>
      <c r="W45" s="79" t="inlineStr">
        <is>
          <t>☑</t>
        </is>
      </c>
      <c r="X45" s="79" t="inlineStr">
        <is>
          <t>☑</t>
        </is>
      </c>
      <c r="Y45" s="79" t="inlineStr">
        <is>
          <t>☑</t>
        </is>
      </c>
      <c r="Z45" s="79" t="inlineStr">
        <is>
          <t>☑</t>
        </is>
      </c>
      <c r="AA45" s="79" t="inlineStr">
        <is>
          <t>☑</t>
        </is>
      </c>
      <c r="AB45" s="79" t="inlineStr">
        <is>
          <t>☑</t>
        </is>
      </c>
      <c r="AC45" s="79" t="inlineStr">
        <is>
          <t>☑</t>
        </is>
      </c>
      <c r="AD45" s="78" t="inlineStr">
        <is>
          <t>—</t>
        </is>
      </c>
      <c r="AE45" s="79" t="inlineStr">
        <is>
          <t>☑</t>
        </is>
      </c>
      <c r="AF45" s="79" t="inlineStr">
        <is>
          <t>☑</t>
        </is>
      </c>
      <c r="AG45" s="79" t="inlineStr">
        <is>
          <t>☑</t>
        </is>
      </c>
      <c r="AH45" s="78" t="inlineStr">
        <is>
          <t>—</t>
        </is>
      </c>
      <c r="AI45" s="79" t="inlineStr">
        <is>
          <t>☑</t>
        </is>
      </c>
      <c r="AJ45" s="79" t="inlineStr">
        <is>
          <t>☑</t>
        </is>
      </c>
      <c r="AK45" s="79" t="inlineStr">
        <is>
          <t>☑</t>
        </is>
      </c>
      <c r="AL45" s="79" t="inlineStr">
        <is>
          <t>☑</t>
        </is>
      </c>
      <c r="AM45" s="79" t="inlineStr">
        <is>
          <t>☑</t>
        </is>
      </c>
      <c r="AN45" s="79" t="inlineStr">
        <is>
          <t>☑</t>
        </is>
      </c>
      <c r="AO45" s="79" t="inlineStr">
        <is>
          <t>☑</t>
        </is>
      </c>
      <c r="AP45" s="79" t="inlineStr">
        <is>
          <t>☑</t>
        </is>
      </c>
      <c r="AQ45" s="79" t="inlineStr">
        <is>
          <t>☑</t>
        </is>
      </c>
      <c r="AR45" s="79" t="inlineStr">
        <is>
          <t>☑</t>
        </is>
      </c>
      <c r="AS45" s="78" t="inlineStr">
        <is>
          <t>—</t>
        </is>
      </c>
      <c r="AT45" s="79" t="inlineStr">
        <is>
          <t>☑</t>
        </is>
      </c>
      <c r="AU45" s="79" t="inlineStr">
        <is>
          <t>☑</t>
        </is>
      </c>
      <c r="AV45" s="79" t="inlineStr">
        <is>
          <t>☑</t>
        </is>
      </c>
      <c r="AW45" s="78" t="inlineStr">
        <is>
          <t>—</t>
        </is>
      </c>
      <c r="AX45" s="79" t="inlineStr">
        <is>
          <t>☑</t>
        </is>
      </c>
      <c r="AY45" s="79" t="inlineStr">
        <is>
          <t>☑</t>
        </is>
      </c>
      <c r="AZ45" s="79" t="inlineStr">
        <is>
          <t>☑</t>
        </is>
      </c>
      <c r="BA45" s="79" t="inlineStr">
        <is>
          <t>☑</t>
        </is>
      </c>
      <c r="BB45" s="79" t="inlineStr">
        <is>
          <t>☑</t>
        </is>
      </c>
      <c r="BC45" s="79" t="inlineStr">
        <is>
          <t>☑</t>
        </is>
      </c>
      <c r="BD45" s="79" t="inlineStr">
        <is>
          <t>☑</t>
        </is>
      </c>
      <c r="BE45" s="79" t="inlineStr">
        <is>
          <t>☑</t>
        </is>
      </c>
      <c r="BF45" s="79" t="inlineStr">
        <is>
          <t>☑</t>
        </is>
      </c>
      <c r="BG45" s="79" t="inlineStr">
        <is>
          <t>☑</t>
        </is>
      </c>
      <c r="BH45" s="78" t="inlineStr">
        <is>
          <t>—</t>
        </is>
      </c>
      <c r="BI45" s="79" t="inlineStr">
        <is>
          <t>☑</t>
        </is>
      </c>
      <c r="BJ45" s="79" t="inlineStr">
        <is>
          <t>☑</t>
        </is>
      </c>
      <c r="BK45" s="79" t="inlineStr">
        <is>
          <t>☑</t>
        </is>
      </c>
      <c r="BL45" s="78" t="inlineStr">
        <is>
          <t>—</t>
        </is>
      </c>
      <c r="BM45" s="79" t="inlineStr">
        <is>
          <t>☑</t>
        </is>
      </c>
      <c r="BN45" s="79" t="inlineStr">
        <is>
          <t>☑</t>
        </is>
      </c>
      <c r="BO45" s="79" t="inlineStr">
        <is>
          <t>☑</t>
        </is>
      </c>
    </row>
    <row r="46">
      <c r="A46" s="79" t="n">
        <v>39</v>
      </c>
      <c r="B46" s="79" t="inlineStr">
        <is>
          <t>325106410039</t>
        </is>
      </c>
      <c r="C46" s="79" t="inlineStr">
        <is>
          <t>PRUDHVI POTUPUREDDI</t>
        </is>
      </c>
      <c r="D46" s="78" t="inlineStr">
        <is>
          <t>—</t>
        </is>
      </c>
      <c r="E46" s="79" t="inlineStr">
        <is>
          <t>☑</t>
        </is>
      </c>
      <c r="F46" s="79" t="inlineStr">
        <is>
          <t>☑</t>
        </is>
      </c>
      <c r="G46" s="79" t="inlineStr">
        <is>
          <t>☑</t>
        </is>
      </c>
      <c r="H46" s="79" t="inlineStr">
        <is>
          <t>☑</t>
        </is>
      </c>
      <c r="I46" s="79" t="inlineStr">
        <is>
          <t>☑</t>
        </is>
      </c>
      <c r="J46" s="79" t="inlineStr">
        <is>
          <t>☑</t>
        </is>
      </c>
      <c r="K46" s="79" t="inlineStr">
        <is>
          <t>☑</t>
        </is>
      </c>
      <c r="L46" s="79" t="inlineStr">
        <is>
          <t>☑</t>
        </is>
      </c>
      <c r="M46" s="79" t="inlineStr">
        <is>
          <t>☑</t>
        </is>
      </c>
      <c r="N46" s="79" t="inlineStr">
        <is>
          <t>☑</t>
        </is>
      </c>
      <c r="O46" s="78" t="inlineStr">
        <is>
          <t>—</t>
        </is>
      </c>
      <c r="P46" s="79" t="inlineStr">
        <is>
          <t>☑</t>
        </is>
      </c>
      <c r="Q46" s="79" t="inlineStr">
        <is>
          <t>☑</t>
        </is>
      </c>
      <c r="R46" s="79" t="inlineStr">
        <is>
          <t>☑</t>
        </is>
      </c>
      <c r="S46" s="78" t="inlineStr">
        <is>
          <t>—</t>
        </is>
      </c>
      <c r="T46" s="79" t="inlineStr">
        <is>
          <t>☑</t>
        </is>
      </c>
      <c r="U46" s="79" t="inlineStr">
        <is>
          <t>☑</t>
        </is>
      </c>
      <c r="V46" s="79" t="inlineStr">
        <is>
          <t>☑</t>
        </is>
      </c>
      <c r="W46" s="79" t="inlineStr">
        <is>
          <t>☑</t>
        </is>
      </c>
      <c r="X46" s="79" t="inlineStr">
        <is>
          <t>☑</t>
        </is>
      </c>
      <c r="Y46" s="79" t="inlineStr">
        <is>
          <t>☑</t>
        </is>
      </c>
      <c r="Z46" s="79" t="inlineStr">
        <is>
          <t>☑</t>
        </is>
      </c>
      <c r="AA46" s="79" t="inlineStr">
        <is>
          <t>☑</t>
        </is>
      </c>
      <c r="AB46" s="79" t="inlineStr">
        <is>
          <t>☑</t>
        </is>
      </c>
      <c r="AC46" s="79" t="inlineStr">
        <is>
          <t>☑</t>
        </is>
      </c>
      <c r="AD46" s="78" t="inlineStr">
        <is>
          <t>—</t>
        </is>
      </c>
      <c r="AE46" s="79" t="inlineStr">
        <is>
          <t>☑</t>
        </is>
      </c>
      <c r="AF46" s="79" t="inlineStr">
        <is>
          <t>☑</t>
        </is>
      </c>
      <c r="AG46" s="79" t="inlineStr">
        <is>
          <t>☑</t>
        </is>
      </c>
      <c r="AH46" s="78" t="inlineStr">
        <is>
          <t>—</t>
        </is>
      </c>
      <c r="AI46" s="79" t="inlineStr">
        <is>
          <t>☑</t>
        </is>
      </c>
      <c r="AJ46" s="79" t="inlineStr">
        <is>
          <t>☑</t>
        </is>
      </c>
      <c r="AK46" s="79" t="inlineStr">
        <is>
          <t>☑</t>
        </is>
      </c>
      <c r="AL46" s="79" t="inlineStr">
        <is>
          <t>☑</t>
        </is>
      </c>
      <c r="AM46" s="79" t="inlineStr">
        <is>
          <t>☑</t>
        </is>
      </c>
      <c r="AN46" s="79" t="inlineStr">
        <is>
          <t>☑</t>
        </is>
      </c>
      <c r="AO46" s="79" t="inlineStr">
        <is>
          <t>☑</t>
        </is>
      </c>
      <c r="AP46" s="79" t="inlineStr">
        <is>
          <t>☑</t>
        </is>
      </c>
      <c r="AQ46" s="79" t="inlineStr">
        <is>
          <t>☑</t>
        </is>
      </c>
      <c r="AR46" s="79" t="inlineStr">
        <is>
          <t>☑</t>
        </is>
      </c>
      <c r="AS46" s="78" t="inlineStr">
        <is>
          <t>—</t>
        </is>
      </c>
      <c r="AT46" s="79" t="inlineStr">
        <is>
          <t>☑</t>
        </is>
      </c>
      <c r="AU46" s="79" t="inlineStr">
        <is>
          <t>☑</t>
        </is>
      </c>
      <c r="AV46" s="79" t="inlineStr">
        <is>
          <t>☑</t>
        </is>
      </c>
      <c r="AW46" s="78" t="inlineStr">
        <is>
          <t>—</t>
        </is>
      </c>
      <c r="AX46" s="79" t="inlineStr">
        <is>
          <t>☑</t>
        </is>
      </c>
      <c r="AY46" s="79" t="inlineStr">
        <is>
          <t>☑</t>
        </is>
      </c>
      <c r="AZ46" s="79" t="inlineStr">
        <is>
          <t>☑</t>
        </is>
      </c>
      <c r="BA46" s="79" t="inlineStr">
        <is>
          <t>☑</t>
        </is>
      </c>
      <c r="BB46" s="79" t="inlineStr">
        <is>
          <t>☑</t>
        </is>
      </c>
      <c r="BC46" s="79" t="inlineStr">
        <is>
          <t>☑</t>
        </is>
      </c>
      <c r="BD46" s="79" t="inlineStr">
        <is>
          <t>☑</t>
        </is>
      </c>
      <c r="BE46" s="79" t="inlineStr">
        <is>
          <t>☑</t>
        </is>
      </c>
      <c r="BF46" s="79" t="inlineStr">
        <is>
          <t>☑</t>
        </is>
      </c>
      <c r="BG46" s="79" t="inlineStr">
        <is>
          <t>☑</t>
        </is>
      </c>
      <c r="BH46" s="78" t="inlineStr">
        <is>
          <t>—</t>
        </is>
      </c>
      <c r="BI46" s="79" t="inlineStr">
        <is>
          <t>☑</t>
        </is>
      </c>
      <c r="BJ46" s="79" t="inlineStr">
        <is>
          <t>☑</t>
        </is>
      </c>
      <c r="BK46" s="79" t="inlineStr">
        <is>
          <t>☑</t>
        </is>
      </c>
      <c r="BL46" s="78" t="inlineStr">
        <is>
          <t>—</t>
        </is>
      </c>
      <c r="BM46" s="79" t="inlineStr">
        <is>
          <t>☑</t>
        </is>
      </c>
      <c r="BN46" s="79" t="inlineStr">
        <is>
          <t>☑</t>
        </is>
      </c>
      <c r="BO46" s="79" t="inlineStr">
        <is>
          <t>☑</t>
        </is>
      </c>
    </row>
    <row r="47">
      <c r="A47" s="79" t="n">
        <v>40</v>
      </c>
      <c r="B47" s="79" t="inlineStr">
        <is>
          <t>325106410040</t>
        </is>
      </c>
      <c r="C47" s="79" t="inlineStr">
        <is>
          <t>JAYANTH PRATTIPATI</t>
        </is>
      </c>
      <c r="D47" s="78" t="inlineStr">
        <is>
          <t>—</t>
        </is>
      </c>
      <c r="E47" s="79" t="inlineStr">
        <is>
          <t>☑</t>
        </is>
      </c>
      <c r="F47" s="79" t="inlineStr">
        <is>
          <t>☑</t>
        </is>
      </c>
      <c r="G47" s="79" t="inlineStr">
        <is>
          <t>☑</t>
        </is>
      </c>
      <c r="H47" s="79" t="inlineStr">
        <is>
          <t>☑</t>
        </is>
      </c>
      <c r="I47" s="79" t="inlineStr">
        <is>
          <t>☑</t>
        </is>
      </c>
      <c r="J47" s="79" t="inlineStr">
        <is>
          <t>☑</t>
        </is>
      </c>
      <c r="K47" s="79" t="inlineStr">
        <is>
          <t>☑</t>
        </is>
      </c>
      <c r="L47" s="79" t="inlineStr">
        <is>
          <t>☑</t>
        </is>
      </c>
      <c r="M47" s="79" t="inlineStr">
        <is>
          <t>☑</t>
        </is>
      </c>
      <c r="N47" s="79" t="inlineStr">
        <is>
          <t>☑</t>
        </is>
      </c>
      <c r="O47" s="78" t="inlineStr">
        <is>
          <t>—</t>
        </is>
      </c>
      <c r="P47" s="79" t="inlineStr">
        <is>
          <t>☑</t>
        </is>
      </c>
      <c r="Q47" s="79" t="inlineStr">
        <is>
          <t>☑</t>
        </is>
      </c>
      <c r="R47" s="79" t="inlineStr">
        <is>
          <t>☑</t>
        </is>
      </c>
      <c r="S47" s="78" t="inlineStr">
        <is>
          <t>—</t>
        </is>
      </c>
      <c r="T47" s="79" t="inlineStr">
        <is>
          <t>☑</t>
        </is>
      </c>
      <c r="U47" s="79" t="inlineStr">
        <is>
          <t>☑</t>
        </is>
      </c>
      <c r="V47" s="79" t="inlineStr">
        <is>
          <t>☑</t>
        </is>
      </c>
      <c r="W47" s="79" t="inlineStr">
        <is>
          <t>☑</t>
        </is>
      </c>
      <c r="X47" s="79" t="inlineStr">
        <is>
          <t>☑</t>
        </is>
      </c>
      <c r="Y47" s="79" t="inlineStr">
        <is>
          <t>☑</t>
        </is>
      </c>
      <c r="Z47" s="79" t="inlineStr">
        <is>
          <t>☑</t>
        </is>
      </c>
      <c r="AA47" s="79" t="inlineStr">
        <is>
          <t>☑</t>
        </is>
      </c>
      <c r="AB47" s="79" t="inlineStr">
        <is>
          <t>☑</t>
        </is>
      </c>
      <c r="AC47" s="79" t="inlineStr">
        <is>
          <t>☑</t>
        </is>
      </c>
      <c r="AD47" s="78" t="inlineStr">
        <is>
          <t>—</t>
        </is>
      </c>
      <c r="AE47" s="79" t="inlineStr">
        <is>
          <t>☑</t>
        </is>
      </c>
      <c r="AF47" s="79" t="inlineStr">
        <is>
          <t>☑</t>
        </is>
      </c>
      <c r="AG47" s="79" t="inlineStr">
        <is>
          <t>☑</t>
        </is>
      </c>
      <c r="AH47" s="78" t="inlineStr">
        <is>
          <t>—</t>
        </is>
      </c>
      <c r="AI47" s="79" t="inlineStr">
        <is>
          <t>☑</t>
        </is>
      </c>
      <c r="AJ47" s="79" t="inlineStr">
        <is>
          <t>☑</t>
        </is>
      </c>
      <c r="AK47" s="79" t="inlineStr">
        <is>
          <t>☑</t>
        </is>
      </c>
      <c r="AL47" s="79" t="inlineStr">
        <is>
          <t>☑</t>
        </is>
      </c>
      <c r="AM47" s="79" t="inlineStr">
        <is>
          <t>☑</t>
        </is>
      </c>
      <c r="AN47" s="79" t="inlineStr">
        <is>
          <t>☑</t>
        </is>
      </c>
      <c r="AO47" s="79" t="inlineStr">
        <is>
          <t>☑</t>
        </is>
      </c>
      <c r="AP47" s="79" t="inlineStr">
        <is>
          <t>☑</t>
        </is>
      </c>
      <c r="AQ47" s="79" t="inlineStr">
        <is>
          <t>☑</t>
        </is>
      </c>
      <c r="AR47" s="79" t="inlineStr">
        <is>
          <t>☑</t>
        </is>
      </c>
      <c r="AS47" s="78" t="inlineStr">
        <is>
          <t>—</t>
        </is>
      </c>
      <c r="AT47" s="79" t="inlineStr">
        <is>
          <t>☑</t>
        </is>
      </c>
      <c r="AU47" s="79" t="inlineStr">
        <is>
          <t>☑</t>
        </is>
      </c>
      <c r="AV47" s="79" t="inlineStr">
        <is>
          <t>☑</t>
        </is>
      </c>
      <c r="AW47" s="78" t="inlineStr">
        <is>
          <t>—</t>
        </is>
      </c>
      <c r="AX47" s="79" t="inlineStr">
        <is>
          <t>☑</t>
        </is>
      </c>
      <c r="AY47" s="79" t="inlineStr">
        <is>
          <t>☑</t>
        </is>
      </c>
      <c r="AZ47" s="79" t="inlineStr">
        <is>
          <t>☑</t>
        </is>
      </c>
      <c r="BA47" s="79" t="inlineStr">
        <is>
          <t>☑</t>
        </is>
      </c>
      <c r="BB47" s="79" t="inlineStr">
        <is>
          <t>☑</t>
        </is>
      </c>
      <c r="BC47" s="79" t="inlineStr">
        <is>
          <t>☑</t>
        </is>
      </c>
      <c r="BD47" s="79" t="inlineStr">
        <is>
          <t>☑</t>
        </is>
      </c>
      <c r="BE47" s="79" t="inlineStr">
        <is>
          <t>☑</t>
        </is>
      </c>
      <c r="BF47" s="79" t="inlineStr">
        <is>
          <t>☑</t>
        </is>
      </c>
      <c r="BG47" s="79" t="inlineStr">
        <is>
          <t>☑</t>
        </is>
      </c>
      <c r="BH47" s="78" t="inlineStr">
        <is>
          <t>—</t>
        </is>
      </c>
      <c r="BI47" s="79" t="inlineStr">
        <is>
          <t>☑</t>
        </is>
      </c>
      <c r="BJ47" s="79" t="inlineStr">
        <is>
          <t>☑</t>
        </is>
      </c>
      <c r="BK47" s="79" t="inlineStr">
        <is>
          <t>☑</t>
        </is>
      </c>
      <c r="BL47" s="78" t="inlineStr">
        <is>
          <t>—</t>
        </is>
      </c>
      <c r="BM47" s="79" t="inlineStr">
        <is>
          <t>☑</t>
        </is>
      </c>
      <c r="BN47" s="79" t="inlineStr">
        <is>
          <t>☑</t>
        </is>
      </c>
      <c r="BO47" s="79" t="inlineStr">
        <is>
          <t>☑</t>
        </is>
      </c>
    </row>
    <row r="48">
      <c r="A48" s="79" t="n">
        <v>41</v>
      </c>
      <c r="B48" s="79" t="inlineStr">
        <is>
          <t>325106410041</t>
        </is>
      </c>
      <c r="C48" s="79" t="inlineStr">
        <is>
          <t>PAVAN SAI PUVVALA</t>
        </is>
      </c>
      <c r="D48" s="78" t="inlineStr">
        <is>
          <t>—</t>
        </is>
      </c>
      <c r="E48" s="79" t="inlineStr">
        <is>
          <t>☑</t>
        </is>
      </c>
      <c r="F48" s="79" t="inlineStr">
        <is>
          <t>☑</t>
        </is>
      </c>
      <c r="G48" s="79" t="inlineStr">
        <is>
          <t>☑</t>
        </is>
      </c>
      <c r="H48" s="79" t="inlineStr">
        <is>
          <t>☑</t>
        </is>
      </c>
      <c r="I48" s="79" t="inlineStr">
        <is>
          <t>☑</t>
        </is>
      </c>
      <c r="J48" s="79" t="inlineStr">
        <is>
          <t>☑</t>
        </is>
      </c>
      <c r="K48" s="79" t="inlineStr">
        <is>
          <t>☑</t>
        </is>
      </c>
      <c r="L48" s="79" t="inlineStr">
        <is>
          <t>☑</t>
        </is>
      </c>
      <c r="M48" s="79" t="inlineStr">
        <is>
          <t>☑</t>
        </is>
      </c>
      <c r="N48" s="79" t="inlineStr">
        <is>
          <t>☑</t>
        </is>
      </c>
      <c r="O48" s="78" t="inlineStr">
        <is>
          <t>—</t>
        </is>
      </c>
      <c r="P48" s="79" t="inlineStr">
        <is>
          <t>☑</t>
        </is>
      </c>
      <c r="Q48" s="79" t="inlineStr">
        <is>
          <t>☑</t>
        </is>
      </c>
      <c r="R48" s="79" t="inlineStr">
        <is>
          <t>☑</t>
        </is>
      </c>
      <c r="S48" s="78" t="inlineStr">
        <is>
          <t>—</t>
        </is>
      </c>
      <c r="T48" s="79" t="inlineStr">
        <is>
          <t>☑</t>
        </is>
      </c>
      <c r="U48" s="79" t="inlineStr">
        <is>
          <t>☑</t>
        </is>
      </c>
      <c r="V48" s="79" t="inlineStr">
        <is>
          <t>☑</t>
        </is>
      </c>
      <c r="W48" s="79" t="inlineStr">
        <is>
          <t>☑</t>
        </is>
      </c>
      <c r="X48" s="79" t="inlineStr">
        <is>
          <t>☑</t>
        </is>
      </c>
      <c r="Y48" s="79" t="inlineStr">
        <is>
          <t>☑</t>
        </is>
      </c>
      <c r="Z48" s="79" t="inlineStr">
        <is>
          <t>☑</t>
        </is>
      </c>
      <c r="AA48" s="79" t="inlineStr">
        <is>
          <t>☑</t>
        </is>
      </c>
      <c r="AB48" s="79" t="inlineStr">
        <is>
          <t>☑</t>
        </is>
      </c>
      <c r="AC48" s="79" t="inlineStr">
        <is>
          <t>☑</t>
        </is>
      </c>
      <c r="AD48" s="78" t="inlineStr">
        <is>
          <t>—</t>
        </is>
      </c>
      <c r="AE48" s="79" t="inlineStr">
        <is>
          <t>☑</t>
        </is>
      </c>
      <c r="AF48" s="79" t="inlineStr">
        <is>
          <t>☑</t>
        </is>
      </c>
      <c r="AG48" s="79" t="inlineStr">
        <is>
          <t>☑</t>
        </is>
      </c>
      <c r="AH48" s="78" t="inlineStr">
        <is>
          <t>—</t>
        </is>
      </c>
      <c r="AI48" s="79" t="inlineStr">
        <is>
          <t>☑</t>
        </is>
      </c>
      <c r="AJ48" s="79" t="inlineStr">
        <is>
          <t>☑</t>
        </is>
      </c>
      <c r="AK48" s="79" t="inlineStr">
        <is>
          <t>☑</t>
        </is>
      </c>
      <c r="AL48" s="79" t="inlineStr">
        <is>
          <t>☑</t>
        </is>
      </c>
      <c r="AM48" s="79" t="inlineStr">
        <is>
          <t>☑</t>
        </is>
      </c>
      <c r="AN48" s="79" t="inlineStr">
        <is>
          <t>☑</t>
        </is>
      </c>
      <c r="AO48" s="79" t="inlineStr">
        <is>
          <t>☑</t>
        </is>
      </c>
      <c r="AP48" s="79" t="inlineStr">
        <is>
          <t>☑</t>
        </is>
      </c>
      <c r="AQ48" s="79" t="inlineStr">
        <is>
          <t>☑</t>
        </is>
      </c>
      <c r="AR48" s="79" t="inlineStr">
        <is>
          <t>☑</t>
        </is>
      </c>
      <c r="AS48" s="78" t="inlineStr">
        <is>
          <t>—</t>
        </is>
      </c>
      <c r="AT48" s="79" t="inlineStr">
        <is>
          <t>☑</t>
        </is>
      </c>
      <c r="AU48" s="79" t="inlineStr">
        <is>
          <t>☑</t>
        </is>
      </c>
      <c r="AV48" s="79" t="inlineStr">
        <is>
          <t>☑</t>
        </is>
      </c>
      <c r="AW48" s="78" t="inlineStr">
        <is>
          <t>—</t>
        </is>
      </c>
      <c r="AX48" s="79" t="inlineStr">
        <is>
          <t>☑</t>
        </is>
      </c>
      <c r="AY48" s="79" t="inlineStr">
        <is>
          <t>☑</t>
        </is>
      </c>
      <c r="AZ48" s="79" t="inlineStr">
        <is>
          <t>☑</t>
        </is>
      </c>
      <c r="BA48" s="79" t="inlineStr">
        <is>
          <t>☑</t>
        </is>
      </c>
      <c r="BB48" s="79" t="inlineStr">
        <is>
          <t>☑</t>
        </is>
      </c>
      <c r="BC48" s="79" t="inlineStr">
        <is>
          <t>☑</t>
        </is>
      </c>
      <c r="BD48" s="79" t="inlineStr">
        <is>
          <t>☑</t>
        </is>
      </c>
      <c r="BE48" s="79" t="inlineStr">
        <is>
          <t>☑</t>
        </is>
      </c>
      <c r="BF48" s="79" t="inlineStr">
        <is>
          <t>☑</t>
        </is>
      </c>
      <c r="BG48" s="79" t="inlineStr">
        <is>
          <t>☑</t>
        </is>
      </c>
      <c r="BH48" s="78" t="inlineStr">
        <is>
          <t>—</t>
        </is>
      </c>
      <c r="BI48" s="79" t="inlineStr">
        <is>
          <t>☑</t>
        </is>
      </c>
      <c r="BJ48" s="79" t="inlineStr">
        <is>
          <t>☑</t>
        </is>
      </c>
      <c r="BK48" s="79" t="inlineStr">
        <is>
          <t>☑</t>
        </is>
      </c>
      <c r="BL48" s="78" t="inlineStr">
        <is>
          <t>—</t>
        </is>
      </c>
      <c r="BM48" s="79" t="inlineStr">
        <is>
          <t>☑</t>
        </is>
      </c>
      <c r="BN48" s="79" t="inlineStr">
        <is>
          <t>☑</t>
        </is>
      </c>
      <c r="BO48" s="79" t="inlineStr">
        <is>
          <t>☑</t>
        </is>
      </c>
    </row>
    <row r="49">
      <c r="A49" s="79" t="n">
        <v>42</v>
      </c>
      <c r="B49" s="79" t="inlineStr">
        <is>
          <t>325106410042</t>
        </is>
      </c>
      <c r="C49" s="79" t="inlineStr">
        <is>
          <t>SHANMUKHA RAO REDDI</t>
        </is>
      </c>
      <c r="D49" s="78" t="inlineStr">
        <is>
          <t>—</t>
        </is>
      </c>
      <c r="E49" s="79" t="inlineStr">
        <is>
          <t>☑</t>
        </is>
      </c>
      <c r="F49" s="79" t="inlineStr">
        <is>
          <t>☑</t>
        </is>
      </c>
      <c r="G49" s="79" t="inlineStr">
        <is>
          <t>☑</t>
        </is>
      </c>
      <c r="H49" s="79" t="inlineStr">
        <is>
          <t>☑</t>
        </is>
      </c>
      <c r="I49" s="79" t="inlineStr">
        <is>
          <t>☑</t>
        </is>
      </c>
      <c r="J49" s="79" t="inlineStr">
        <is>
          <t>☑</t>
        </is>
      </c>
      <c r="K49" s="79" t="inlineStr">
        <is>
          <t>☑</t>
        </is>
      </c>
      <c r="L49" s="79" t="inlineStr">
        <is>
          <t>☑</t>
        </is>
      </c>
      <c r="M49" s="78" t="inlineStr">
        <is>
          <t>☑</t>
        </is>
      </c>
      <c r="N49" s="79" t="inlineStr">
        <is>
          <t>☑</t>
        </is>
      </c>
      <c r="O49" s="79" t="inlineStr">
        <is>
          <t>☑</t>
        </is>
      </c>
      <c r="P49" s="78" t="inlineStr">
        <is>
          <t>☑</t>
        </is>
      </c>
      <c r="Q49" s="79" t="inlineStr">
        <is>
          <t>☑</t>
        </is>
      </c>
      <c r="R49" s="78" t="inlineStr">
        <is>
          <t>—</t>
        </is>
      </c>
      <c r="S49" s="78" t="inlineStr">
        <is>
          <t>—</t>
        </is>
      </c>
      <c r="T49" s="79" t="inlineStr">
        <is>
          <t>☑</t>
        </is>
      </c>
      <c r="U49" s="79" t="inlineStr">
        <is>
          <t>☑</t>
        </is>
      </c>
      <c r="V49" s="79" t="inlineStr">
        <is>
          <t>☑</t>
        </is>
      </c>
      <c r="W49" s="79" t="inlineStr">
        <is>
          <t>☑</t>
        </is>
      </c>
      <c r="X49" s="79" t="inlineStr">
        <is>
          <t>☑</t>
        </is>
      </c>
      <c r="Y49" s="79" t="inlineStr">
        <is>
          <t>☑</t>
        </is>
      </c>
      <c r="Z49" s="79" t="inlineStr">
        <is>
          <t>☑</t>
        </is>
      </c>
      <c r="AA49" s="79" t="inlineStr">
        <is>
          <t>☑</t>
        </is>
      </c>
      <c r="AB49" s="78" t="inlineStr">
        <is>
          <t>☑</t>
        </is>
      </c>
      <c r="AC49" s="79" t="inlineStr">
        <is>
          <t>☑</t>
        </is>
      </c>
      <c r="AD49" s="79" t="inlineStr">
        <is>
          <t>☑</t>
        </is>
      </c>
      <c r="AE49" s="78" t="inlineStr">
        <is>
          <t>☑</t>
        </is>
      </c>
      <c r="AF49" s="79" t="inlineStr">
        <is>
          <t>☑</t>
        </is>
      </c>
      <c r="AG49" s="78" t="inlineStr">
        <is>
          <t>—</t>
        </is>
      </c>
      <c r="AH49" s="78" t="inlineStr">
        <is>
          <t>—</t>
        </is>
      </c>
      <c r="AI49" s="79" t="inlineStr">
        <is>
          <t>☑</t>
        </is>
      </c>
      <c r="AJ49" s="79" t="inlineStr">
        <is>
          <t>☑</t>
        </is>
      </c>
      <c r="AK49" s="79" t="inlineStr">
        <is>
          <t>☑</t>
        </is>
      </c>
      <c r="AL49" s="79" t="inlineStr">
        <is>
          <t>☑</t>
        </is>
      </c>
      <c r="AM49" s="79" t="inlineStr">
        <is>
          <t>☑</t>
        </is>
      </c>
      <c r="AN49" s="79" t="inlineStr">
        <is>
          <t>☑</t>
        </is>
      </c>
      <c r="AO49" s="79" t="inlineStr">
        <is>
          <t>☑</t>
        </is>
      </c>
      <c r="AP49" s="79" t="inlineStr">
        <is>
          <t>☑</t>
        </is>
      </c>
      <c r="AQ49" s="78" t="inlineStr">
        <is>
          <t>☑</t>
        </is>
      </c>
      <c r="AR49" s="79" t="inlineStr">
        <is>
          <t>☑</t>
        </is>
      </c>
      <c r="AS49" s="79" t="inlineStr">
        <is>
          <t>☑</t>
        </is>
      </c>
      <c r="AT49" s="78" t="inlineStr">
        <is>
          <t>☑</t>
        </is>
      </c>
      <c r="AU49" s="79" t="inlineStr">
        <is>
          <t>☑</t>
        </is>
      </c>
      <c r="AV49" s="78" t="inlineStr">
        <is>
          <t>—</t>
        </is>
      </c>
      <c r="AW49" s="78" t="inlineStr">
        <is>
          <t>—</t>
        </is>
      </c>
      <c r="AX49" s="79" t="inlineStr">
        <is>
          <t>☑</t>
        </is>
      </c>
      <c r="AY49" s="79" t="inlineStr">
        <is>
          <t>☑</t>
        </is>
      </c>
      <c r="AZ49" s="79" t="inlineStr">
        <is>
          <t>☑</t>
        </is>
      </c>
      <c r="BA49" s="79" t="inlineStr">
        <is>
          <t>☑</t>
        </is>
      </c>
      <c r="BB49" s="79" t="inlineStr">
        <is>
          <t>☑</t>
        </is>
      </c>
      <c r="BC49" s="79" t="inlineStr">
        <is>
          <t>☑</t>
        </is>
      </c>
      <c r="BD49" s="79" t="inlineStr">
        <is>
          <t>☑</t>
        </is>
      </c>
      <c r="BE49" s="79" t="inlineStr">
        <is>
          <t>☑</t>
        </is>
      </c>
      <c r="BF49" s="78" t="inlineStr">
        <is>
          <t>☑</t>
        </is>
      </c>
      <c r="BG49" s="79" t="inlineStr">
        <is>
          <t>☑</t>
        </is>
      </c>
      <c r="BH49" s="79" t="inlineStr">
        <is>
          <t>☑</t>
        </is>
      </c>
      <c r="BI49" s="78" t="inlineStr">
        <is>
          <t>☑</t>
        </is>
      </c>
      <c r="BJ49" s="79" t="inlineStr">
        <is>
          <t>☑</t>
        </is>
      </c>
      <c r="BK49" s="78" t="inlineStr">
        <is>
          <t>—</t>
        </is>
      </c>
      <c r="BL49" s="78" t="inlineStr">
        <is>
          <t>—</t>
        </is>
      </c>
      <c r="BM49" s="79" t="inlineStr">
        <is>
          <t>☑</t>
        </is>
      </c>
      <c r="BN49" s="79" t="inlineStr">
        <is>
          <t>☑</t>
        </is>
      </c>
      <c r="BO49" s="79" t="inlineStr">
        <is>
          <t>☑</t>
        </is>
      </c>
    </row>
    <row r="50">
      <c r="A50" s="79" t="n">
        <v>43</v>
      </c>
      <c r="B50" s="79" t="inlineStr">
        <is>
          <t>325106410043</t>
        </is>
      </c>
      <c r="C50" s="79" t="inlineStr">
        <is>
          <t>YASWANTH DURGA PRAVEEN REVADI</t>
        </is>
      </c>
      <c r="D50" s="78" t="inlineStr">
        <is>
          <t>—</t>
        </is>
      </c>
      <c r="E50" s="79" t="inlineStr">
        <is>
          <t>☑</t>
        </is>
      </c>
      <c r="F50" s="79" t="inlineStr">
        <is>
          <t>☑</t>
        </is>
      </c>
      <c r="G50" s="79" t="inlineStr">
        <is>
          <t>☑</t>
        </is>
      </c>
      <c r="H50" s="79" t="inlineStr">
        <is>
          <t>☑</t>
        </is>
      </c>
      <c r="I50" s="79" t="inlineStr">
        <is>
          <t>☑</t>
        </is>
      </c>
      <c r="J50" s="79" t="inlineStr">
        <is>
          <t>☑</t>
        </is>
      </c>
      <c r="K50" s="79" t="inlineStr">
        <is>
          <t>☑</t>
        </is>
      </c>
      <c r="L50" s="79" t="inlineStr">
        <is>
          <t>☑</t>
        </is>
      </c>
      <c r="M50" s="78" t="inlineStr">
        <is>
          <t>☑</t>
        </is>
      </c>
      <c r="N50" s="79" t="inlineStr">
        <is>
          <t>☑</t>
        </is>
      </c>
      <c r="O50" s="79" t="inlineStr">
        <is>
          <t>☑</t>
        </is>
      </c>
      <c r="P50" s="78" t="inlineStr">
        <is>
          <t>☑</t>
        </is>
      </c>
      <c r="Q50" s="79" t="inlineStr">
        <is>
          <t>☑</t>
        </is>
      </c>
      <c r="R50" s="78" t="inlineStr">
        <is>
          <t>—</t>
        </is>
      </c>
      <c r="S50" s="78" t="inlineStr">
        <is>
          <t>—</t>
        </is>
      </c>
      <c r="T50" s="79" t="inlineStr">
        <is>
          <t>☑</t>
        </is>
      </c>
      <c r="U50" s="79" t="inlineStr">
        <is>
          <t>☑</t>
        </is>
      </c>
      <c r="V50" s="79" t="inlineStr">
        <is>
          <t>☑</t>
        </is>
      </c>
      <c r="W50" s="79" t="inlineStr">
        <is>
          <t>☑</t>
        </is>
      </c>
      <c r="X50" s="79" t="inlineStr">
        <is>
          <t>☑</t>
        </is>
      </c>
      <c r="Y50" s="79" t="inlineStr">
        <is>
          <t>☑</t>
        </is>
      </c>
      <c r="Z50" s="79" t="inlineStr">
        <is>
          <t>☑</t>
        </is>
      </c>
      <c r="AA50" s="79" t="inlineStr">
        <is>
          <t>☑</t>
        </is>
      </c>
      <c r="AB50" s="78" t="inlineStr">
        <is>
          <t>☑</t>
        </is>
      </c>
      <c r="AC50" s="79" t="inlineStr">
        <is>
          <t>☑</t>
        </is>
      </c>
      <c r="AD50" s="79" t="inlineStr">
        <is>
          <t>☑</t>
        </is>
      </c>
      <c r="AE50" s="78" t="inlineStr">
        <is>
          <t>☑</t>
        </is>
      </c>
      <c r="AF50" s="79" t="inlineStr">
        <is>
          <t>☑</t>
        </is>
      </c>
      <c r="AG50" s="78" t="inlineStr">
        <is>
          <t>—</t>
        </is>
      </c>
      <c r="AH50" s="78" t="inlineStr">
        <is>
          <t>—</t>
        </is>
      </c>
      <c r="AI50" s="79" t="inlineStr">
        <is>
          <t>☑</t>
        </is>
      </c>
      <c r="AJ50" s="79" t="inlineStr">
        <is>
          <t>☑</t>
        </is>
      </c>
      <c r="AK50" s="79" t="inlineStr">
        <is>
          <t>☑</t>
        </is>
      </c>
      <c r="AL50" s="79" t="inlineStr">
        <is>
          <t>☑</t>
        </is>
      </c>
      <c r="AM50" s="79" t="inlineStr">
        <is>
          <t>☑</t>
        </is>
      </c>
      <c r="AN50" s="79" t="inlineStr">
        <is>
          <t>☑</t>
        </is>
      </c>
      <c r="AO50" s="79" t="inlineStr">
        <is>
          <t>☑</t>
        </is>
      </c>
      <c r="AP50" s="79" t="inlineStr">
        <is>
          <t>☑</t>
        </is>
      </c>
      <c r="AQ50" s="78" t="inlineStr">
        <is>
          <t>☑</t>
        </is>
      </c>
      <c r="AR50" s="79" t="inlineStr">
        <is>
          <t>☑</t>
        </is>
      </c>
      <c r="AS50" s="79" t="inlineStr">
        <is>
          <t>☑</t>
        </is>
      </c>
      <c r="AT50" s="78" t="inlineStr">
        <is>
          <t>☑</t>
        </is>
      </c>
      <c r="AU50" s="79" t="inlineStr">
        <is>
          <t>☑</t>
        </is>
      </c>
      <c r="AV50" s="78" t="inlineStr">
        <is>
          <t>—</t>
        </is>
      </c>
      <c r="AW50" s="78" t="inlineStr">
        <is>
          <t>—</t>
        </is>
      </c>
      <c r="AX50" s="79" t="inlineStr">
        <is>
          <t>☑</t>
        </is>
      </c>
      <c r="AY50" s="79" t="inlineStr">
        <is>
          <t>☑</t>
        </is>
      </c>
      <c r="AZ50" s="79" t="inlineStr">
        <is>
          <t>☑</t>
        </is>
      </c>
      <c r="BA50" s="79" t="inlineStr">
        <is>
          <t>☑</t>
        </is>
      </c>
      <c r="BB50" s="79" t="inlineStr">
        <is>
          <t>☑</t>
        </is>
      </c>
      <c r="BC50" s="79" t="inlineStr">
        <is>
          <t>☑</t>
        </is>
      </c>
      <c r="BD50" s="79" t="inlineStr">
        <is>
          <t>☑</t>
        </is>
      </c>
      <c r="BE50" s="79" t="inlineStr">
        <is>
          <t>☑</t>
        </is>
      </c>
      <c r="BF50" s="78" t="inlineStr">
        <is>
          <t>☑</t>
        </is>
      </c>
      <c r="BG50" s="79" t="inlineStr">
        <is>
          <t>☑</t>
        </is>
      </c>
      <c r="BH50" s="79" t="inlineStr">
        <is>
          <t>☑</t>
        </is>
      </c>
      <c r="BI50" s="78" t="inlineStr">
        <is>
          <t>☑</t>
        </is>
      </c>
      <c r="BJ50" s="79" t="inlineStr">
        <is>
          <t>☑</t>
        </is>
      </c>
      <c r="BK50" s="78" t="inlineStr">
        <is>
          <t>—</t>
        </is>
      </c>
      <c r="BL50" s="78" t="inlineStr">
        <is>
          <t>—</t>
        </is>
      </c>
      <c r="BM50" s="79" t="inlineStr">
        <is>
          <t>☑</t>
        </is>
      </c>
      <c r="BN50" s="79" t="inlineStr">
        <is>
          <t>☑</t>
        </is>
      </c>
      <c r="BO50" s="79" t="inlineStr">
        <is>
          <t>☑</t>
        </is>
      </c>
    </row>
    <row r="51">
      <c r="A51" s="79" t="n">
        <v>44</v>
      </c>
      <c r="B51" s="79" t="inlineStr">
        <is>
          <t>325106410044</t>
        </is>
      </c>
      <c r="C51" s="79" t="inlineStr">
        <is>
          <t>TANUSREE ROUTHU</t>
        </is>
      </c>
      <c r="D51" s="78" t="inlineStr">
        <is>
          <t>—</t>
        </is>
      </c>
      <c r="E51" s="79" t="inlineStr">
        <is>
          <t>☑</t>
        </is>
      </c>
      <c r="F51" s="79" t="inlineStr">
        <is>
          <t>☑</t>
        </is>
      </c>
      <c r="G51" s="79" t="inlineStr">
        <is>
          <t>☑</t>
        </is>
      </c>
      <c r="H51" s="79" t="inlineStr">
        <is>
          <t>☑</t>
        </is>
      </c>
      <c r="I51" s="79" t="inlineStr">
        <is>
          <t>☑</t>
        </is>
      </c>
      <c r="J51" s="79" t="inlineStr">
        <is>
          <t>☑</t>
        </is>
      </c>
      <c r="K51" s="79" t="inlineStr">
        <is>
          <t>☑</t>
        </is>
      </c>
      <c r="L51" s="79" t="inlineStr">
        <is>
          <t>☑</t>
        </is>
      </c>
      <c r="M51" s="78" t="inlineStr">
        <is>
          <t>☑</t>
        </is>
      </c>
      <c r="N51" s="79" t="inlineStr">
        <is>
          <t>☑</t>
        </is>
      </c>
      <c r="O51" s="79" t="inlineStr">
        <is>
          <t>☑</t>
        </is>
      </c>
      <c r="P51" s="78" t="inlineStr">
        <is>
          <t>☑</t>
        </is>
      </c>
      <c r="Q51" s="79" t="inlineStr">
        <is>
          <t>☑</t>
        </is>
      </c>
      <c r="R51" s="78" t="inlineStr">
        <is>
          <t>—</t>
        </is>
      </c>
      <c r="S51" s="78" t="inlineStr">
        <is>
          <t>—</t>
        </is>
      </c>
      <c r="T51" s="79" t="inlineStr">
        <is>
          <t>☑</t>
        </is>
      </c>
      <c r="U51" s="79" t="inlineStr">
        <is>
          <t>☑</t>
        </is>
      </c>
      <c r="V51" s="79" t="inlineStr">
        <is>
          <t>☑</t>
        </is>
      </c>
      <c r="W51" s="79" t="inlineStr">
        <is>
          <t>☑</t>
        </is>
      </c>
      <c r="X51" s="79" t="inlineStr">
        <is>
          <t>☑</t>
        </is>
      </c>
      <c r="Y51" s="79" t="inlineStr">
        <is>
          <t>☑</t>
        </is>
      </c>
      <c r="Z51" s="79" t="inlineStr">
        <is>
          <t>☑</t>
        </is>
      </c>
      <c r="AA51" s="79" t="inlineStr">
        <is>
          <t>☑</t>
        </is>
      </c>
      <c r="AB51" s="78" t="inlineStr">
        <is>
          <t>☑</t>
        </is>
      </c>
      <c r="AC51" s="79" t="inlineStr">
        <is>
          <t>☑</t>
        </is>
      </c>
      <c r="AD51" s="79" t="inlineStr">
        <is>
          <t>☑</t>
        </is>
      </c>
      <c r="AE51" s="78" t="inlineStr">
        <is>
          <t>☑</t>
        </is>
      </c>
      <c r="AF51" s="79" t="inlineStr">
        <is>
          <t>☑</t>
        </is>
      </c>
      <c r="AG51" s="78" t="inlineStr">
        <is>
          <t>—</t>
        </is>
      </c>
      <c r="AH51" s="78" t="inlineStr">
        <is>
          <t>—</t>
        </is>
      </c>
      <c r="AI51" s="79" t="inlineStr">
        <is>
          <t>☑</t>
        </is>
      </c>
      <c r="AJ51" s="79" t="inlineStr">
        <is>
          <t>☑</t>
        </is>
      </c>
      <c r="AK51" s="79" t="inlineStr">
        <is>
          <t>☑</t>
        </is>
      </c>
      <c r="AL51" s="79" t="inlineStr">
        <is>
          <t>☑</t>
        </is>
      </c>
      <c r="AM51" s="79" t="inlineStr">
        <is>
          <t>☑</t>
        </is>
      </c>
      <c r="AN51" s="79" t="inlineStr">
        <is>
          <t>☑</t>
        </is>
      </c>
      <c r="AO51" s="79" t="inlineStr">
        <is>
          <t>☑</t>
        </is>
      </c>
      <c r="AP51" s="79" t="inlineStr">
        <is>
          <t>☑</t>
        </is>
      </c>
      <c r="AQ51" s="78" t="inlineStr">
        <is>
          <t>☑</t>
        </is>
      </c>
      <c r="AR51" s="79" t="inlineStr">
        <is>
          <t>☑</t>
        </is>
      </c>
      <c r="AS51" s="79" t="inlineStr">
        <is>
          <t>☑</t>
        </is>
      </c>
      <c r="AT51" s="78" t="inlineStr">
        <is>
          <t>☑</t>
        </is>
      </c>
      <c r="AU51" s="79" t="inlineStr">
        <is>
          <t>☑</t>
        </is>
      </c>
      <c r="AV51" s="78" t="inlineStr">
        <is>
          <t>—</t>
        </is>
      </c>
      <c r="AW51" s="78" t="inlineStr">
        <is>
          <t>—</t>
        </is>
      </c>
      <c r="AX51" s="79" t="inlineStr">
        <is>
          <t>☑</t>
        </is>
      </c>
      <c r="AY51" s="79" t="inlineStr">
        <is>
          <t>☑</t>
        </is>
      </c>
      <c r="AZ51" s="79" t="inlineStr">
        <is>
          <t>☑</t>
        </is>
      </c>
      <c r="BA51" s="79" t="inlineStr">
        <is>
          <t>☑</t>
        </is>
      </c>
      <c r="BB51" s="79" t="inlineStr">
        <is>
          <t>☑</t>
        </is>
      </c>
      <c r="BC51" s="79" t="inlineStr">
        <is>
          <t>☑</t>
        </is>
      </c>
      <c r="BD51" s="79" t="inlineStr">
        <is>
          <t>☑</t>
        </is>
      </c>
      <c r="BE51" s="79" t="inlineStr">
        <is>
          <t>☑</t>
        </is>
      </c>
      <c r="BF51" s="78" t="inlineStr">
        <is>
          <t>☑</t>
        </is>
      </c>
      <c r="BG51" s="79" t="inlineStr">
        <is>
          <t>☑</t>
        </is>
      </c>
      <c r="BH51" s="79" t="inlineStr">
        <is>
          <t>☑</t>
        </is>
      </c>
      <c r="BI51" s="78" t="inlineStr">
        <is>
          <t>☑</t>
        </is>
      </c>
      <c r="BJ51" s="79" t="inlineStr">
        <is>
          <t>☑</t>
        </is>
      </c>
      <c r="BK51" s="78" t="inlineStr">
        <is>
          <t>—</t>
        </is>
      </c>
      <c r="BL51" s="78" t="inlineStr">
        <is>
          <t>—</t>
        </is>
      </c>
      <c r="BM51" s="79" t="inlineStr">
        <is>
          <t>☑</t>
        </is>
      </c>
      <c r="BN51" s="79" t="inlineStr">
        <is>
          <t>☑</t>
        </is>
      </c>
      <c r="BO51" s="79" t="inlineStr">
        <is>
          <t>☑</t>
        </is>
      </c>
    </row>
    <row r="52">
      <c r="A52" s="79" t="n">
        <v>45</v>
      </c>
      <c r="B52" s="79" t="inlineStr">
        <is>
          <t>325106410045</t>
        </is>
      </c>
      <c r="C52" s="79" t="inlineStr">
        <is>
          <t>MOHANA LASYA SABBAVARAPU</t>
        </is>
      </c>
      <c r="D52" s="78" t="inlineStr">
        <is>
          <t>—</t>
        </is>
      </c>
      <c r="E52" s="79" t="inlineStr">
        <is>
          <t>☑</t>
        </is>
      </c>
      <c r="F52" s="79" t="inlineStr">
        <is>
          <t>☑</t>
        </is>
      </c>
      <c r="G52" s="79" t="inlineStr">
        <is>
          <t>☑</t>
        </is>
      </c>
      <c r="H52" s="79" t="inlineStr">
        <is>
          <t>☑</t>
        </is>
      </c>
      <c r="I52" s="79" t="inlineStr">
        <is>
          <t>☑</t>
        </is>
      </c>
      <c r="J52" s="79" t="inlineStr">
        <is>
          <t>☑</t>
        </is>
      </c>
      <c r="K52" s="79" t="inlineStr">
        <is>
          <t>☑</t>
        </is>
      </c>
      <c r="L52" s="79" t="inlineStr">
        <is>
          <t>☑</t>
        </is>
      </c>
      <c r="M52" s="78" t="inlineStr">
        <is>
          <t>☑</t>
        </is>
      </c>
      <c r="N52" s="79" t="inlineStr">
        <is>
          <t>☑</t>
        </is>
      </c>
      <c r="O52" s="79" t="inlineStr">
        <is>
          <t>☑</t>
        </is>
      </c>
      <c r="P52" s="78" t="inlineStr">
        <is>
          <t>☑</t>
        </is>
      </c>
      <c r="Q52" s="79" t="inlineStr">
        <is>
          <t>☑</t>
        </is>
      </c>
      <c r="R52" s="78" t="inlineStr">
        <is>
          <t>—</t>
        </is>
      </c>
      <c r="S52" s="78" t="inlineStr">
        <is>
          <t>—</t>
        </is>
      </c>
      <c r="T52" s="79" t="inlineStr">
        <is>
          <t>☑</t>
        </is>
      </c>
      <c r="U52" s="79" t="inlineStr">
        <is>
          <t>☑</t>
        </is>
      </c>
      <c r="V52" s="79" t="inlineStr">
        <is>
          <t>☑</t>
        </is>
      </c>
      <c r="W52" s="79" t="inlineStr">
        <is>
          <t>☑</t>
        </is>
      </c>
      <c r="X52" s="79" t="inlineStr">
        <is>
          <t>☑</t>
        </is>
      </c>
      <c r="Y52" s="79" t="inlineStr">
        <is>
          <t>☑</t>
        </is>
      </c>
      <c r="Z52" s="79" t="inlineStr">
        <is>
          <t>☑</t>
        </is>
      </c>
      <c r="AA52" s="79" t="inlineStr">
        <is>
          <t>☑</t>
        </is>
      </c>
      <c r="AB52" s="78" t="inlineStr">
        <is>
          <t>☑</t>
        </is>
      </c>
      <c r="AC52" s="79" t="inlineStr">
        <is>
          <t>☑</t>
        </is>
      </c>
      <c r="AD52" s="79" t="inlineStr">
        <is>
          <t>☑</t>
        </is>
      </c>
      <c r="AE52" s="78" t="inlineStr">
        <is>
          <t>☑</t>
        </is>
      </c>
      <c r="AF52" s="79" t="inlineStr">
        <is>
          <t>☑</t>
        </is>
      </c>
      <c r="AG52" s="78" t="inlineStr">
        <is>
          <t>—</t>
        </is>
      </c>
      <c r="AH52" s="78" t="inlineStr">
        <is>
          <t>—</t>
        </is>
      </c>
      <c r="AI52" s="79" t="inlineStr">
        <is>
          <t>☑</t>
        </is>
      </c>
      <c r="AJ52" s="79" t="inlineStr">
        <is>
          <t>☑</t>
        </is>
      </c>
      <c r="AK52" s="79" t="inlineStr">
        <is>
          <t>☑</t>
        </is>
      </c>
      <c r="AL52" s="79" t="inlineStr">
        <is>
          <t>☑</t>
        </is>
      </c>
      <c r="AM52" s="79" t="inlineStr">
        <is>
          <t>☑</t>
        </is>
      </c>
      <c r="AN52" s="79" t="inlineStr">
        <is>
          <t>☑</t>
        </is>
      </c>
      <c r="AO52" s="79" t="inlineStr">
        <is>
          <t>☑</t>
        </is>
      </c>
      <c r="AP52" s="79" t="inlineStr">
        <is>
          <t>☑</t>
        </is>
      </c>
      <c r="AQ52" s="78" t="inlineStr">
        <is>
          <t>☑</t>
        </is>
      </c>
      <c r="AR52" s="79" t="inlineStr">
        <is>
          <t>☑</t>
        </is>
      </c>
      <c r="AS52" s="79" t="inlineStr">
        <is>
          <t>☑</t>
        </is>
      </c>
      <c r="AT52" s="78" t="inlineStr">
        <is>
          <t>☑</t>
        </is>
      </c>
      <c r="AU52" s="79" t="inlineStr">
        <is>
          <t>☑</t>
        </is>
      </c>
      <c r="AV52" s="78" t="inlineStr">
        <is>
          <t>—</t>
        </is>
      </c>
      <c r="AW52" s="78" t="inlineStr">
        <is>
          <t>—</t>
        </is>
      </c>
      <c r="AX52" s="79" t="inlineStr">
        <is>
          <t>☑</t>
        </is>
      </c>
      <c r="AY52" s="79" t="inlineStr">
        <is>
          <t>☑</t>
        </is>
      </c>
      <c r="AZ52" s="79" t="inlineStr">
        <is>
          <t>☑</t>
        </is>
      </c>
      <c r="BA52" s="79" t="inlineStr">
        <is>
          <t>☑</t>
        </is>
      </c>
      <c r="BB52" s="79" t="inlineStr">
        <is>
          <t>☑</t>
        </is>
      </c>
      <c r="BC52" s="79" t="inlineStr">
        <is>
          <t>☑</t>
        </is>
      </c>
      <c r="BD52" s="79" t="inlineStr">
        <is>
          <t>☑</t>
        </is>
      </c>
      <c r="BE52" s="79" t="inlineStr">
        <is>
          <t>☑</t>
        </is>
      </c>
      <c r="BF52" s="78" t="inlineStr">
        <is>
          <t>☑</t>
        </is>
      </c>
      <c r="BG52" s="79" t="inlineStr">
        <is>
          <t>☑</t>
        </is>
      </c>
      <c r="BH52" s="79" t="inlineStr">
        <is>
          <t>☑</t>
        </is>
      </c>
      <c r="BI52" s="78" t="inlineStr">
        <is>
          <t>☑</t>
        </is>
      </c>
      <c r="BJ52" s="79" t="inlineStr">
        <is>
          <t>☑</t>
        </is>
      </c>
      <c r="BK52" s="78" t="inlineStr">
        <is>
          <t>—</t>
        </is>
      </c>
      <c r="BL52" s="78" t="inlineStr">
        <is>
          <t>—</t>
        </is>
      </c>
      <c r="BM52" s="79" t="inlineStr">
        <is>
          <t>☑</t>
        </is>
      </c>
      <c r="BN52" s="79" t="inlineStr">
        <is>
          <t>☑</t>
        </is>
      </c>
      <c r="BO52" s="79" t="inlineStr">
        <is>
          <t>☑</t>
        </is>
      </c>
    </row>
    <row r="53">
      <c r="A53" s="79" t="n">
        <v>46</v>
      </c>
      <c r="B53" s="79" t="inlineStr">
        <is>
          <t>325106410046</t>
        </is>
      </c>
      <c r="C53" s="79" t="inlineStr">
        <is>
          <t>RONY JOEL</t>
        </is>
      </c>
      <c r="D53" s="78" t="inlineStr">
        <is>
          <t>—</t>
        </is>
      </c>
      <c r="E53" s="79" t="inlineStr">
        <is>
          <t>☑</t>
        </is>
      </c>
      <c r="F53" s="79" t="inlineStr">
        <is>
          <t>☑</t>
        </is>
      </c>
      <c r="G53" s="79" t="inlineStr">
        <is>
          <t>☑</t>
        </is>
      </c>
      <c r="H53" s="79" t="inlineStr">
        <is>
          <t>☑</t>
        </is>
      </c>
      <c r="I53" s="79" t="inlineStr">
        <is>
          <t>☑</t>
        </is>
      </c>
      <c r="J53" s="79" t="inlineStr">
        <is>
          <t>☑</t>
        </is>
      </c>
      <c r="K53" s="79" t="inlineStr">
        <is>
          <t>☑</t>
        </is>
      </c>
      <c r="L53" s="79" t="inlineStr">
        <is>
          <t>☑</t>
        </is>
      </c>
      <c r="M53" s="78" t="inlineStr">
        <is>
          <t>☑</t>
        </is>
      </c>
      <c r="N53" s="79" t="inlineStr">
        <is>
          <t>☑</t>
        </is>
      </c>
      <c r="O53" s="79" t="inlineStr">
        <is>
          <t>☑</t>
        </is>
      </c>
      <c r="P53" s="78" t="inlineStr">
        <is>
          <t>☑</t>
        </is>
      </c>
      <c r="Q53" s="79" t="inlineStr">
        <is>
          <t>☑</t>
        </is>
      </c>
      <c r="R53" s="78" t="inlineStr">
        <is>
          <t>—</t>
        </is>
      </c>
      <c r="S53" s="78" t="inlineStr">
        <is>
          <t>—</t>
        </is>
      </c>
      <c r="T53" s="79" t="inlineStr">
        <is>
          <t>☑</t>
        </is>
      </c>
      <c r="U53" s="79" t="inlineStr">
        <is>
          <t>☑</t>
        </is>
      </c>
      <c r="V53" s="79" t="inlineStr">
        <is>
          <t>☑</t>
        </is>
      </c>
      <c r="W53" s="79" t="inlineStr">
        <is>
          <t>☑</t>
        </is>
      </c>
      <c r="X53" s="79" t="inlineStr">
        <is>
          <t>☑</t>
        </is>
      </c>
      <c r="Y53" s="79" t="inlineStr">
        <is>
          <t>☑</t>
        </is>
      </c>
      <c r="Z53" s="79" t="inlineStr">
        <is>
          <t>☑</t>
        </is>
      </c>
      <c r="AA53" s="79" t="inlineStr">
        <is>
          <t>☑</t>
        </is>
      </c>
      <c r="AB53" s="78" t="inlineStr">
        <is>
          <t>☑</t>
        </is>
      </c>
      <c r="AC53" s="79" t="inlineStr">
        <is>
          <t>☑</t>
        </is>
      </c>
      <c r="AD53" s="79" t="inlineStr">
        <is>
          <t>☑</t>
        </is>
      </c>
      <c r="AE53" s="78" t="inlineStr">
        <is>
          <t>☑</t>
        </is>
      </c>
      <c r="AF53" s="79" t="inlineStr">
        <is>
          <t>☑</t>
        </is>
      </c>
      <c r="AG53" s="78" t="inlineStr">
        <is>
          <t>—</t>
        </is>
      </c>
      <c r="AH53" s="78" t="inlineStr">
        <is>
          <t>—</t>
        </is>
      </c>
      <c r="AI53" s="79" t="inlineStr">
        <is>
          <t>☑</t>
        </is>
      </c>
      <c r="AJ53" s="79" t="inlineStr">
        <is>
          <t>☑</t>
        </is>
      </c>
      <c r="AK53" s="79" t="inlineStr">
        <is>
          <t>☑</t>
        </is>
      </c>
      <c r="AL53" s="79" t="inlineStr">
        <is>
          <t>☑</t>
        </is>
      </c>
      <c r="AM53" s="79" t="inlineStr">
        <is>
          <t>☑</t>
        </is>
      </c>
      <c r="AN53" s="79" t="inlineStr">
        <is>
          <t>☑</t>
        </is>
      </c>
      <c r="AO53" s="79" t="inlineStr">
        <is>
          <t>☑</t>
        </is>
      </c>
      <c r="AP53" s="79" t="inlineStr">
        <is>
          <t>☑</t>
        </is>
      </c>
      <c r="AQ53" s="78" t="inlineStr">
        <is>
          <t>☑</t>
        </is>
      </c>
      <c r="AR53" s="79" t="inlineStr">
        <is>
          <t>☑</t>
        </is>
      </c>
      <c r="AS53" s="79" t="inlineStr">
        <is>
          <t>☑</t>
        </is>
      </c>
      <c r="AT53" s="78" t="inlineStr">
        <is>
          <t>☑</t>
        </is>
      </c>
      <c r="AU53" s="79" t="inlineStr">
        <is>
          <t>☑</t>
        </is>
      </c>
      <c r="AV53" s="78" t="inlineStr">
        <is>
          <t>—</t>
        </is>
      </c>
      <c r="AW53" s="78" t="inlineStr">
        <is>
          <t>—</t>
        </is>
      </c>
      <c r="AX53" s="79" t="inlineStr">
        <is>
          <t>☑</t>
        </is>
      </c>
      <c r="AY53" s="79" t="inlineStr">
        <is>
          <t>☑</t>
        </is>
      </c>
      <c r="AZ53" s="79" t="inlineStr">
        <is>
          <t>☑</t>
        </is>
      </c>
      <c r="BA53" s="79" t="inlineStr">
        <is>
          <t>☑</t>
        </is>
      </c>
      <c r="BB53" s="79" t="inlineStr">
        <is>
          <t>☑</t>
        </is>
      </c>
      <c r="BC53" s="79" t="inlineStr">
        <is>
          <t>☑</t>
        </is>
      </c>
      <c r="BD53" s="79" t="inlineStr">
        <is>
          <t>☑</t>
        </is>
      </c>
      <c r="BE53" s="79" t="inlineStr">
        <is>
          <t>☑</t>
        </is>
      </c>
      <c r="BF53" s="78" t="inlineStr">
        <is>
          <t>☑</t>
        </is>
      </c>
      <c r="BG53" s="79" t="inlineStr">
        <is>
          <t>☑</t>
        </is>
      </c>
      <c r="BH53" s="79" t="inlineStr">
        <is>
          <t>☑</t>
        </is>
      </c>
      <c r="BI53" s="78" t="inlineStr">
        <is>
          <t>☑</t>
        </is>
      </c>
      <c r="BJ53" s="79" t="inlineStr">
        <is>
          <t>☑</t>
        </is>
      </c>
      <c r="BK53" s="78" t="inlineStr">
        <is>
          <t>—</t>
        </is>
      </c>
      <c r="BL53" s="78" t="inlineStr">
        <is>
          <t>—</t>
        </is>
      </c>
      <c r="BM53" s="79" t="inlineStr">
        <is>
          <t>☑</t>
        </is>
      </c>
      <c r="BN53" s="79" t="inlineStr">
        <is>
          <t>☑</t>
        </is>
      </c>
      <c r="BO53" s="79" t="inlineStr">
        <is>
          <t>☑</t>
        </is>
      </c>
    </row>
    <row r="54">
      <c r="A54" s="79" t="n">
        <v>47</v>
      </c>
      <c r="B54" s="79" t="inlineStr">
        <is>
          <t>325106410047</t>
        </is>
      </c>
      <c r="C54" s="79" t="inlineStr">
        <is>
          <t>NAGA HASINI SAYIMPU</t>
        </is>
      </c>
      <c r="D54" s="78" t="inlineStr">
        <is>
          <t>—</t>
        </is>
      </c>
      <c r="E54" s="79" t="inlineStr">
        <is>
          <t>☑</t>
        </is>
      </c>
      <c r="F54" s="79" t="inlineStr">
        <is>
          <t>☑</t>
        </is>
      </c>
      <c r="G54" s="79" t="inlineStr">
        <is>
          <t>☑</t>
        </is>
      </c>
      <c r="H54" s="79" t="inlineStr">
        <is>
          <t>☑</t>
        </is>
      </c>
      <c r="I54" s="79" t="inlineStr">
        <is>
          <t>☑</t>
        </is>
      </c>
      <c r="J54" s="79" t="inlineStr">
        <is>
          <t>☑</t>
        </is>
      </c>
      <c r="K54" s="79" t="inlineStr">
        <is>
          <t>☑</t>
        </is>
      </c>
      <c r="L54" s="79" t="inlineStr">
        <is>
          <t>☑</t>
        </is>
      </c>
      <c r="M54" s="78" t="inlineStr">
        <is>
          <t>☑</t>
        </is>
      </c>
      <c r="N54" s="79" t="inlineStr">
        <is>
          <t>☑</t>
        </is>
      </c>
      <c r="O54" s="79" t="inlineStr">
        <is>
          <t>☑</t>
        </is>
      </c>
      <c r="P54" s="78" t="inlineStr">
        <is>
          <t>☑</t>
        </is>
      </c>
      <c r="Q54" s="79" t="inlineStr">
        <is>
          <t>☑</t>
        </is>
      </c>
      <c r="R54" s="78" t="inlineStr">
        <is>
          <t>—</t>
        </is>
      </c>
      <c r="S54" s="78" t="inlineStr">
        <is>
          <t>—</t>
        </is>
      </c>
      <c r="T54" s="79" t="inlineStr">
        <is>
          <t>☑</t>
        </is>
      </c>
      <c r="U54" s="79" t="inlineStr">
        <is>
          <t>☑</t>
        </is>
      </c>
      <c r="V54" s="79" t="inlineStr">
        <is>
          <t>☑</t>
        </is>
      </c>
      <c r="W54" s="79" t="inlineStr">
        <is>
          <t>☑</t>
        </is>
      </c>
      <c r="X54" s="79" t="inlineStr">
        <is>
          <t>☑</t>
        </is>
      </c>
      <c r="Y54" s="79" t="inlineStr">
        <is>
          <t>☑</t>
        </is>
      </c>
      <c r="Z54" s="79" t="inlineStr">
        <is>
          <t>☑</t>
        </is>
      </c>
      <c r="AA54" s="79" t="inlineStr">
        <is>
          <t>☑</t>
        </is>
      </c>
      <c r="AB54" s="78" t="inlineStr">
        <is>
          <t>☑</t>
        </is>
      </c>
      <c r="AC54" s="79" t="inlineStr">
        <is>
          <t>☑</t>
        </is>
      </c>
      <c r="AD54" s="79" t="inlineStr">
        <is>
          <t>☑</t>
        </is>
      </c>
      <c r="AE54" s="78" t="inlineStr">
        <is>
          <t>☑</t>
        </is>
      </c>
      <c r="AF54" s="79" t="inlineStr">
        <is>
          <t>☑</t>
        </is>
      </c>
      <c r="AG54" s="78" t="inlineStr">
        <is>
          <t>—</t>
        </is>
      </c>
      <c r="AH54" s="78" t="inlineStr">
        <is>
          <t>—</t>
        </is>
      </c>
      <c r="AI54" s="79" t="inlineStr">
        <is>
          <t>☑</t>
        </is>
      </c>
      <c r="AJ54" s="79" t="inlineStr">
        <is>
          <t>☑</t>
        </is>
      </c>
      <c r="AK54" s="79" t="inlineStr">
        <is>
          <t>☑</t>
        </is>
      </c>
      <c r="AL54" s="79" t="inlineStr">
        <is>
          <t>☑</t>
        </is>
      </c>
      <c r="AM54" s="79" t="inlineStr">
        <is>
          <t>☑</t>
        </is>
      </c>
      <c r="AN54" s="79" t="inlineStr">
        <is>
          <t>☑</t>
        </is>
      </c>
      <c r="AO54" s="79" t="inlineStr">
        <is>
          <t>☑</t>
        </is>
      </c>
      <c r="AP54" s="79" t="inlineStr">
        <is>
          <t>☑</t>
        </is>
      </c>
      <c r="AQ54" s="78" t="inlineStr">
        <is>
          <t>☑</t>
        </is>
      </c>
      <c r="AR54" s="79" t="inlineStr">
        <is>
          <t>☑</t>
        </is>
      </c>
      <c r="AS54" s="79" t="inlineStr">
        <is>
          <t>☑</t>
        </is>
      </c>
      <c r="AT54" s="78" t="inlineStr">
        <is>
          <t>☑</t>
        </is>
      </c>
      <c r="AU54" s="79" t="inlineStr">
        <is>
          <t>☑</t>
        </is>
      </c>
      <c r="AV54" s="78" t="inlineStr">
        <is>
          <t>—</t>
        </is>
      </c>
      <c r="AW54" s="78" t="inlineStr">
        <is>
          <t>—</t>
        </is>
      </c>
      <c r="AX54" s="79" t="inlineStr">
        <is>
          <t>☑</t>
        </is>
      </c>
      <c r="AY54" s="79" t="inlineStr">
        <is>
          <t>☑</t>
        </is>
      </c>
      <c r="AZ54" s="79" t="inlineStr">
        <is>
          <t>☑</t>
        </is>
      </c>
      <c r="BA54" s="79" t="inlineStr">
        <is>
          <t>☑</t>
        </is>
      </c>
      <c r="BB54" s="79" t="inlineStr">
        <is>
          <t>☑</t>
        </is>
      </c>
      <c r="BC54" s="79" t="inlineStr">
        <is>
          <t>☑</t>
        </is>
      </c>
      <c r="BD54" s="79" t="inlineStr">
        <is>
          <t>☑</t>
        </is>
      </c>
      <c r="BE54" s="79" t="inlineStr">
        <is>
          <t>☑</t>
        </is>
      </c>
      <c r="BF54" s="78" t="inlineStr">
        <is>
          <t>☑</t>
        </is>
      </c>
      <c r="BG54" s="79" t="inlineStr">
        <is>
          <t>☑</t>
        </is>
      </c>
      <c r="BH54" s="79" t="inlineStr">
        <is>
          <t>☑</t>
        </is>
      </c>
      <c r="BI54" s="78" t="inlineStr">
        <is>
          <t>☑</t>
        </is>
      </c>
      <c r="BJ54" s="79" t="inlineStr">
        <is>
          <t>☑</t>
        </is>
      </c>
      <c r="BK54" s="78" t="inlineStr">
        <is>
          <t>—</t>
        </is>
      </c>
      <c r="BL54" s="78" t="inlineStr">
        <is>
          <t>—</t>
        </is>
      </c>
      <c r="BM54" s="79" t="inlineStr">
        <is>
          <t>☑</t>
        </is>
      </c>
      <c r="BN54" s="79" t="inlineStr">
        <is>
          <t>☑</t>
        </is>
      </c>
      <c r="BO54" s="79" t="inlineStr">
        <is>
          <t>☑</t>
        </is>
      </c>
    </row>
    <row r="55">
      <c r="A55" s="79" t="n">
        <v>48</v>
      </c>
      <c r="B55" s="79" t="inlineStr">
        <is>
          <t>325106410048</t>
        </is>
      </c>
      <c r="C55" s="79" t="inlineStr">
        <is>
          <t>SHEHNAAZ BEGUM SHAIK</t>
        </is>
      </c>
      <c r="D55" s="78" t="inlineStr">
        <is>
          <t>—</t>
        </is>
      </c>
      <c r="E55" s="79" t="inlineStr">
        <is>
          <t>☑</t>
        </is>
      </c>
      <c r="F55" s="79" t="inlineStr">
        <is>
          <t>☑</t>
        </is>
      </c>
      <c r="G55" s="79" t="inlineStr">
        <is>
          <t>☑</t>
        </is>
      </c>
      <c r="H55" s="79" t="inlineStr">
        <is>
          <t>☑</t>
        </is>
      </c>
      <c r="I55" s="79" t="inlineStr">
        <is>
          <t>☑</t>
        </is>
      </c>
      <c r="J55" s="79" t="inlineStr">
        <is>
          <t>☑</t>
        </is>
      </c>
      <c r="K55" s="79" t="inlineStr">
        <is>
          <t>☑</t>
        </is>
      </c>
      <c r="L55" s="79" t="inlineStr">
        <is>
          <t>☑</t>
        </is>
      </c>
      <c r="M55" s="78" t="inlineStr">
        <is>
          <t>☑</t>
        </is>
      </c>
      <c r="N55" s="79" t="inlineStr">
        <is>
          <t>☑</t>
        </is>
      </c>
      <c r="O55" s="79" t="inlineStr">
        <is>
          <t>☑</t>
        </is>
      </c>
      <c r="P55" s="78" t="inlineStr">
        <is>
          <t>☑</t>
        </is>
      </c>
      <c r="Q55" s="79" t="inlineStr">
        <is>
          <t>☑</t>
        </is>
      </c>
      <c r="R55" s="78" t="inlineStr">
        <is>
          <t>—</t>
        </is>
      </c>
      <c r="S55" s="78" t="inlineStr">
        <is>
          <t>—</t>
        </is>
      </c>
      <c r="T55" s="79" t="inlineStr">
        <is>
          <t>☑</t>
        </is>
      </c>
      <c r="U55" s="79" t="inlineStr">
        <is>
          <t>☑</t>
        </is>
      </c>
      <c r="V55" s="79" t="inlineStr">
        <is>
          <t>☑</t>
        </is>
      </c>
      <c r="W55" s="79" t="inlineStr">
        <is>
          <t>☑</t>
        </is>
      </c>
      <c r="X55" s="79" t="inlineStr">
        <is>
          <t>☑</t>
        </is>
      </c>
      <c r="Y55" s="79" t="inlineStr">
        <is>
          <t>☑</t>
        </is>
      </c>
      <c r="Z55" s="79" t="inlineStr">
        <is>
          <t>☑</t>
        </is>
      </c>
      <c r="AA55" s="79" t="inlineStr">
        <is>
          <t>☑</t>
        </is>
      </c>
      <c r="AB55" s="78" t="inlineStr">
        <is>
          <t>☑</t>
        </is>
      </c>
      <c r="AC55" s="79" t="inlineStr">
        <is>
          <t>☑</t>
        </is>
      </c>
      <c r="AD55" s="79" t="inlineStr">
        <is>
          <t>☑</t>
        </is>
      </c>
      <c r="AE55" s="78" t="inlineStr">
        <is>
          <t>☑</t>
        </is>
      </c>
      <c r="AF55" s="79" t="inlineStr">
        <is>
          <t>☑</t>
        </is>
      </c>
      <c r="AG55" s="78" t="inlineStr">
        <is>
          <t>—</t>
        </is>
      </c>
      <c r="AH55" s="78" t="inlineStr">
        <is>
          <t>—</t>
        </is>
      </c>
      <c r="AI55" s="79" t="inlineStr">
        <is>
          <t>☑</t>
        </is>
      </c>
      <c r="AJ55" s="79" t="inlineStr">
        <is>
          <t>☑</t>
        </is>
      </c>
      <c r="AK55" s="79" t="inlineStr">
        <is>
          <t>☑</t>
        </is>
      </c>
      <c r="AL55" s="79" t="inlineStr">
        <is>
          <t>☑</t>
        </is>
      </c>
      <c r="AM55" s="79" t="inlineStr">
        <is>
          <t>☑</t>
        </is>
      </c>
      <c r="AN55" s="79" t="inlineStr">
        <is>
          <t>☑</t>
        </is>
      </c>
      <c r="AO55" s="79" t="inlineStr">
        <is>
          <t>☑</t>
        </is>
      </c>
      <c r="AP55" s="79" t="inlineStr">
        <is>
          <t>☑</t>
        </is>
      </c>
      <c r="AQ55" s="78" t="inlineStr">
        <is>
          <t>☑</t>
        </is>
      </c>
      <c r="AR55" s="79" t="inlineStr">
        <is>
          <t>☑</t>
        </is>
      </c>
      <c r="AS55" s="79" t="inlineStr">
        <is>
          <t>☑</t>
        </is>
      </c>
      <c r="AT55" s="78" t="inlineStr">
        <is>
          <t>☑</t>
        </is>
      </c>
      <c r="AU55" s="79" t="inlineStr">
        <is>
          <t>☑</t>
        </is>
      </c>
      <c r="AV55" s="78" t="inlineStr">
        <is>
          <t>—</t>
        </is>
      </c>
      <c r="AW55" s="78" t="inlineStr">
        <is>
          <t>—</t>
        </is>
      </c>
      <c r="AX55" s="79" t="inlineStr">
        <is>
          <t>☑</t>
        </is>
      </c>
      <c r="AY55" s="79" t="inlineStr">
        <is>
          <t>☑</t>
        </is>
      </c>
      <c r="AZ55" s="79" t="inlineStr">
        <is>
          <t>☑</t>
        </is>
      </c>
      <c r="BA55" s="79" t="inlineStr">
        <is>
          <t>☑</t>
        </is>
      </c>
      <c r="BB55" s="79" t="inlineStr">
        <is>
          <t>☑</t>
        </is>
      </c>
      <c r="BC55" s="79" t="inlineStr">
        <is>
          <t>☑</t>
        </is>
      </c>
      <c r="BD55" s="79" t="inlineStr">
        <is>
          <t>☑</t>
        </is>
      </c>
      <c r="BE55" s="79" t="inlineStr">
        <is>
          <t>☑</t>
        </is>
      </c>
      <c r="BF55" s="78" t="inlineStr">
        <is>
          <t>☑</t>
        </is>
      </c>
      <c r="BG55" s="79" t="inlineStr">
        <is>
          <t>☑</t>
        </is>
      </c>
      <c r="BH55" s="79" t="inlineStr">
        <is>
          <t>☑</t>
        </is>
      </c>
      <c r="BI55" s="78" t="inlineStr">
        <is>
          <t>☑</t>
        </is>
      </c>
      <c r="BJ55" s="79" t="inlineStr">
        <is>
          <t>☑</t>
        </is>
      </c>
      <c r="BK55" s="78" t="inlineStr">
        <is>
          <t>—</t>
        </is>
      </c>
      <c r="BL55" s="78" t="inlineStr">
        <is>
          <t>—</t>
        </is>
      </c>
      <c r="BM55" s="79" t="inlineStr">
        <is>
          <t>☑</t>
        </is>
      </c>
      <c r="BN55" s="79" t="inlineStr">
        <is>
          <t>☑</t>
        </is>
      </c>
      <c r="BO55" s="79" t="inlineStr">
        <is>
          <t>☑</t>
        </is>
      </c>
    </row>
    <row r="56">
      <c r="A56" s="79" t="n">
        <v>49</v>
      </c>
      <c r="B56" s="79" t="inlineStr">
        <is>
          <t>325106410049</t>
        </is>
      </c>
      <c r="C56" s="79" t="inlineStr">
        <is>
          <t>SONALI SIMHADRI</t>
        </is>
      </c>
      <c r="D56" s="78" t="inlineStr">
        <is>
          <t>—</t>
        </is>
      </c>
      <c r="E56" s="79" t="inlineStr">
        <is>
          <t>☑</t>
        </is>
      </c>
      <c r="F56" s="79" t="inlineStr">
        <is>
          <t>☑</t>
        </is>
      </c>
      <c r="G56" s="79" t="inlineStr">
        <is>
          <t>☑</t>
        </is>
      </c>
      <c r="H56" s="79" t="inlineStr">
        <is>
          <t>☑</t>
        </is>
      </c>
      <c r="I56" s="79" t="inlineStr">
        <is>
          <t>☑</t>
        </is>
      </c>
      <c r="J56" s="79" t="inlineStr">
        <is>
          <t>☑</t>
        </is>
      </c>
      <c r="K56" s="79" t="inlineStr">
        <is>
          <t>☑</t>
        </is>
      </c>
      <c r="L56" s="79" t="inlineStr">
        <is>
          <t>☑</t>
        </is>
      </c>
      <c r="M56" s="78" t="inlineStr">
        <is>
          <t>☑</t>
        </is>
      </c>
      <c r="N56" s="79" t="inlineStr">
        <is>
          <t>☑</t>
        </is>
      </c>
      <c r="O56" s="79" t="inlineStr">
        <is>
          <t>☑</t>
        </is>
      </c>
      <c r="P56" s="78" t="inlineStr">
        <is>
          <t>☑</t>
        </is>
      </c>
      <c r="Q56" s="79" t="inlineStr">
        <is>
          <t>☑</t>
        </is>
      </c>
      <c r="R56" s="78" t="inlineStr">
        <is>
          <t>—</t>
        </is>
      </c>
      <c r="S56" s="78" t="inlineStr">
        <is>
          <t>—</t>
        </is>
      </c>
      <c r="T56" s="79" t="inlineStr">
        <is>
          <t>☑</t>
        </is>
      </c>
      <c r="U56" s="79" t="inlineStr">
        <is>
          <t>☑</t>
        </is>
      </c>
      <c r="V56" s="79" t="inlineStr">
        <is>
          <t>☑</t>
        </is>
      </c>
      <c r="W56" s="79" t="inlineStr">
        <is>
          <t>☑</t>
        </is>
      </c>
      <c r="X56" s="79" t="inlineStr">
        <is>
          <t>☑</t>
        </is>
      </c>
      <c r="Y56" s="79" t="inlineStr">
        <is>
          <t>☑</t>
        </is>
      </c>
      <c r="Z56" s="79" t="inlineStr">
        <is>
          <t>☑</t>
        </is>
      </c>
      <c r="AA56" s="79" t="inlineStr">
        <is>
          <t>☑</t>
        </is>
      </c>
      <c r="AB56" s="78" t="inlineStr">
        <is>
          <t>☑</t>
        </is>
      </c>
      <c r="AC56" s="79" t="inlineStr">
        <is>
          <t>☑</t>
        </is>
      </c>
      <c r="AD56" s="79" t="inlineStr">
        <is>
          <t>☑</t>
        </is>
      </c>
      <c r="AE56" s="78" t="inlineStr">
        <is>
          <t>☑</t>
        </is>
      </c>
      <c r="AF56" s="79" t="inlineStr">
        <is>
          <t>☑</t>
        </is>
      </c>
      <c r="AG56" s="78" t="inlineStr">
        <is>
          <t>—</t>
        </is>
      </c>
      <c r="AH56" s="78" t="inlineStr">
        <is>
          <t>—</t>
        </is>
      </c>
      <c r="AI56" s="79" t="inlineStr">
        <is>
          <t>☑</t>
        </is>
      </c>
      <c r="AJ56" s="79" t="inlineStr">
        <is>
          <t>☑</t>
        </is>
      </c>
      <c r="AK56" s="79" t="inlineStr">
        <is>
          <t>☑</t>
        </is>
      </c>
      <c r="AL56" s="79" t="inlineStr">
        <is>
          <t>☑</t>
        </is>
      </c>
      <c r="AM56" s="79" t="inlineStr">
        <is>
          <t>☑</t>
        </is>
      </c>
      <c r="AN56" s="79" t="inlineStr">
        <is>
          <t>☑</t>
        </is>
      </c>
      <c r="AO56" s="79" t="inlineStr">
        <is>
          <t>☑</t>
        </is>
      </c>
      <c r="AP56" s="79" t="inlineStr">
        <is>
          <t>☑</t>
        </is>
      </c>
      <c r="AQ56" s="78" t="inlineStr">
        <is>
          <t>☑</t>
        </is>
      </c>
      <c r="AR56" s="79" t="inlineStr">
        <is>
          <t>☑</t>
        </is>
      </c>
      <c r="AS56" s="79" t="inlineStr">
        <is>
          <t>☑</t>
        </is>
      </c>
      <c r="AT56" s="78" t="inlineStr">
        <is>
          <t>☑</t>
        </is>
      </c>
      <c r="AU56" s="79" t="inlineStr">
        <is>
          <t>☑</t>
        </is>
      </c>
      <c r="AV56" s="78" t="inlineStr">
        <is>
          <t>—</t>
        </is>
      </c>
      <c r="AW56" s="78" t="inlineStr">
        <is>
          <t>—</t>
        </is>
      </c>
      <c r="AX56" s="79" t="inlineStr">
        <is>
          <t>☑</t>
        </is>
      </c>
      <c r="AY56" s="79" t="inlineStr">
        <is>
          <t>☑</t>
        </is>
      </c>
      <c r="AZ56" s="79" t="inlineStr">
        <is>
          <t>☑</t>
        </is>
      </c>
      <c r="BA56" s="79" t="inlineStr">
        <is>
          <t>☑</t>
        </is>
      </c>
      <c r="BB56" s="79" t="inlineStr">
        <is>
          <t>☑</t>
        </is>
      </c>
      <c r="BC56" s="79" t="inlineStr">
        <is>
          <t>☑</t>
        </is>
      </c>
      <c r="BD56" s="79" t="inlineStr">
        <is>
          <t>☑</t>
        </is>
      </c>
      <c r="BE56" s="79" t="inlineStr">
        <is>
          <t>☑</t>
        </is>
      </c>
      <c r="BF56" s="78" t="inlineStr">
        <is>
          <t>☑</t>
        </is>
      </c>
      <c r="BG56" s="79" t="inlineStr">
        <is>
          <t>☑</t>
        </is>
      </c>
      <c r="BH56" s="79" t="inlineStr">
        <is>
          <t>☑</t>
        </is>
      </c>
      <c r="BI56" s="78" t="inlineStr">
        <is>
          <t>☑</t>
        </is>
      </c>
      <c r="BJ56" s="79" t="inlineStr">
        <is>
          <t>☑</t>
        </is>
      </c>
      <c r="BK56" s="78" t="inlineStr">
        <is>
          <t>—</t>
        </is>
      </c>
      <c r="BL56" s="78" t="inlineStr">
        <is>
          <t>—</t>
        </is>
      </c>
      <c r="BM56" s="79" t="inlineStr">
        <is>
          <t>☑</t>
        </is>
      </c>
      <c r="BN56" s="79" t="inlineStr">
        <is>
          <t>☑</t>
        </is>
      </c>
      <c r="BO56" s="79" t="inlineStr">
        <is>
          <t>☑</t>
        </is>
      </c>
    </row>
    <row r="57">
      <c r="A57" s="79" t="n">
        <v>50</v>
      </c>
      <c r="B57" s="79" t="inlineStr">
        <is>
          <t>325106410050</t>
        </is>
      </c>
      <c r="C57" s="79" t="inlineStr">
        <is>
          <t>MOHAN TEJA TALUPULA</t>
        </is>
      </c>
      <c r="D57" s="78" t="inlineStr">
        <is>
          <t>—</t>
        </is>
      </c>
      <c r="E57" s="79" t="inlineStr">
        <is>
          <t>☑</t>
        </is>
      </c>
      <c r="F57" s="79" t="inlineStr">
        <is>
          <t>☑</t>
        </is>
      </c>
      <c r="G57" s="79" t="inlineStr">
        <is>
          <t>☑</t>
        </is>
      </c>
      <c r="H57" s="79" t="inlineStr">
        <is>
          <t>☑</t>
        </is>
      </c>
      <c r="I57" s="79" t="inlineStr">
        <is>
          <t>☑</t>
        </is>
      </c>
      <c r="J57" s="79" t="inlineStr">
        <is>
          <t>☑</t>
        </is>
      </c>
      <c r="K57" s="79" t="inlineStr">
        <is>
          <t>☑</t>
        </is>
      </c>
      <c r="L57" s="79" t="inlineStr">
        <is>
          <t>☑</t>
        </is>
      </c>
      <c r="M57" s="78" t="inlineStr">
        <is>
          <t>☑</t>
        </is>
      </c>
      <c r="N57" s="79" t="inlineStr">
        <is>
          <t>☑</t>
        </is>
      </c>
      <c r="O57" s="79" t="inlineStr">
        <is>
          <t>☑</t>
        </is>
      </c>
      <c r="P57" s="78" t="inlineStr">
        <is>
          <t>☑</t>
        </is>
      </c>
      <c r="Q57" s="79" t="inlineStr">
        <is>
          <t>☑</t>
        </is>
      </c>
      <c r="R57" s="78" t="inlineStr">
        <is>
          <t>—</t>
        </is>
      </c>
      <c r="S57" s="78" t="inlineStr">
        <is>
          <t>—</t>
        </is>
      </c>
      <c r="T57" s="79" t="inlineStr">
        <is>
          <t>☑</t>
        </is>
      </c>
      <c r="U57" s="79" t="inlineStr">
        <is>
          <t>☑</t>
        </is>
      </c>
      <c r="V57" s="79" t="inlineStr">
        <is>
          <t>☑</t>
        </is>
      </c>
      <c r="W57" s="79" t="inlineStr">
        <is>
          <t>☑</t>
        </is>
      </c>
      <c r="X57" s="79" t="inlineStr">
        <is>
          <t>☑</t>
        </is>
      </c>
      <c r="Y57" s="79" t="inlineStr">
        <is>
          <t>☑</t>
        </is>
      </c>
      <c r="Z57" s="79" t="inlineStr">
        <is>
          <t>☑</t>
        </is>
      </c>
      <c r="AA57" s="79" t="inlineStr">
        <is>
          <t>☑</t>
        </is>
      </c>
      <c r="AB57" s="78" t="inlineStr">
        <is>
          <t>☑</t>
        </is>
      </c>
      <c r="AC57" s="79" t="inlineStr">
        <is>
          <t>☑</t>
        </is>
      </c>
      <c r="AD57" s="79" t="inlineStr">
        <is>
          <t>☑</t>
        </is>
      </c>
      <c r="AE57" s="78" t="inlineStr">
        <is>
          <t>☑</t>
        </is>
      </c>
      <c r="AF57" s="79" t="inlineStr">
        <is>
          <t>☑</t>
        </is>
      </c>
      <c r="AG57" s="78" t="inlineStr">
        <is>
          <t>—</t>
        </is>
      </c>
      <c r="AH57" s="78" t="inlineStr">
        <is>
          <t>—</t>
        </is>
      </c>
      <c r="AI57" s="79" t="inlineStr">
        <is>
          <t>☑</t>
        </is>
      </c>
      <c r="AJ57" s="79" t="inlineStr">
        <is>
          <t>☑</t>
        </is>
      </c>
      <c r="AK57" s="79" t="inlineStr">
        <is>
          <t>☑</t>
        </is>
      </c>
      <c r="AL57" s="79" t="inlineStr">
        <is>
          <t>☑</t>
        </is>
      </c>
      <c r="AM57" s="79" t="inlineStr">
        <is>
          <t>☑</t>
        </is>
      </c>
      <c r="AN57" s="79" t="inlineStr">
        <is>
          <t>☑</t>
        </is>
      </c>
      <c r="AO57" s="79" t="inlineStr">
        <is>
          <t>☑</t>
        </is>
      </c>
      <c r="AP57" s="79" t="inlineStr">
        <is>
          <t>☑</t>
        </is>
      </c>
      <c r="AQ57" s="78" t="inlineStr">
        <is>
          <t>☑</t>
        </is>
      </c>
      <c r="AR57" s="79" t="inlineStr">
        <is>
          <t>☑</t>
        </is>
      </c>
      <c r="AS57" s="79" t="inlineStr">
        <is>
          <t>☑</t>
        </is>
      </c>
      <c r="AT57" s="78" t="inlineStr">
        <is>
          <t>☑</t>
        </is>
      </c>
      <c r="AU57" s="79" t="inlineStr">
        <is>
          <t>☑</t>
        </is>
      </c>
      <c r="AV57" s="78" t="inlineStr">
        <is>
          <t>—</t>
        </is>
      </c>
      <c r="AW57" s="78" t="inlineStr">
        <is>
          <t>—</t>
        </is>
      </c>
      <c r="AX57" s="79" t="inlineStr">
        <is>
          <t>☑</t>
        </is>
      </c>
      <c r="AY57" s="79" t="inlineStr">
        <is>
          <t>☑</t>
        </is>
      </c>
      <c r="AZ57" s="79" t="inlineStr">
        <is>
          <t>☑</t>
        </is>
      </c>
      <c r="BA57" s="79" t="inlineStr">
        <is>
          <t>☑</t>
        </is>
      </c>
      <c r="BB57" s="79" t="inlineStr">
        <is>
          <t>☑</t>
        </is>
      </c>
      <c r="BC57" s="79" t="inlineStr">
        <is>
          <t>☑</t>
        </is>
      </c>
      <c r="BD57" s="79" t="inlineStr">
        <is>
          <t>☑</t>
        </is>
      </c>
      <c r="BE57" s="79" t="inlineStr">
        <is>
          <t>☑</t>
        </is>
      </c>
      <c r="BF57" s="78" t="inlineStr">
        <is>
          <t>☑</t>
        </is>
      </c>
      <c r="BG57" s="79" t="inlineStr">
        <is>
          <t>☑</t>
        </is>
      </c>
      <c r="BH57" s="79" t="inlineStr">
        <is>
          <t>☑</t>
        </is>
      </c>
      <c r="BI57" s="78" t="inlineStr">
        <is>
          <t>☑</t>
        </is>
      </c>
      <c r="BJ57" s="79" t="inlineStr">
        <is>
          <t>☑</t>
        </is>
      </c>
      <c r="BK57" s="78" t="inlineStr">
        <is>
          <t>—</t>
        </is>
      </c>
      <c r="BL57" s="78" t="inlineStr">
        <is>
          <t>—</t>
        </is>
      </c>
      <c r="BM57" s="79" t="inlineStr">
        <is>
          <t>☑</t>
        </is>
      </c>
      <c r="BN57" s="79" t="inlineStr">
        <is>
          <t>☑</t>
        </is>
      </c>
      <c r="BO57" s="79" t="inlineStr">
        <is>
          <t>☑</t>
        </is>
      </c>
    </row>
    <row r="58">
      <c r="A58" s="79" t="n">
        <v>51</v>
      </c>
      <c r="B58" s="79" t="inlineStr">
        <is>
          <t>325106410051</t>
        </is>
      </c>
      <c r="C58" s="79" t="inlineStr">
        <is>
          <t>VINEETHKUMAR THENNETI</t>
        </is>
      </c>
      <c r="D58" s="78" t="inlineStr">
        <is>
          <t>—</t>
        </is>
      </c>
      <c r="E58" s="79" t="inlineStr">
        <is>
          <t>☑</t>
        </is>
      </c>
      <c r="F58" s="79" t="inlineStr">
        <is>
          <t>☑</t>
        </is>
      </c>
      <c r="G58" s="79" t="inlineStr">
        <is>
          <t>☑</t>
        </is>
      </c>
      <c r="H58" s="79" t="inlineStr">
        <is>
          <t>☑</t>
        </is>
      </c>
      <c r="I58" s="79" t="inlineStr">
        <is>
          <t>☑</t>
        </is>
      </c>
      <c r="J58" s="79" t="inlineStr">
        <is>
          <t>☑</t>
        </is>
      </c>
      <c r="K58" s="79" t="inlineStr">
        <is>
          <t>☑</t>
        </is>
      </c>
      <c r="L58" s="79" t="inlineStr">
        <is>
          <t>☑</t>
        </is>
      </c>
      <c r="M58" s="78" t="inlineStr">
        <is>
          <t>☑</t>
        </is>
      </c>
      <c r="N58" s="79" t="inlineStr">
        <is>
          <t>☑</t>
        </is>
      </c>
      <c r="O58" s="79" t="inlineStr">
        <is>
          <t>☑</t>
        </is>
      </c>
      <c r="P58" s="78" t="inlineStr">
        <is>
          <t>☑</t>
        </is>
      </c>
      <c r="Q58" s="79" t="inlineStr">
        <is>
          <t>☑</t>
        </is>
      </c>
      <c r="R58" s="78" t="inlineStr">
        <is>
          <t>—</t>
        </is>
      </c>
      <c r="S58" s="78" t="inlineStr">
        <is>
          <t>—</t>
        </is>
      </c>
      <c r="T58" s="79" t="inlineStr">
        <is>
          <t>☑</t>
        </is>
      </c>
      <c r="U58" s="79" t="inlineStr">
        <is>
          <t>☑</t>
        </is>
      </c>
      <c r="V58" s="79" t="inlineStr">
        <is>
          <t>☑</t>
        </is>
      </c>
      <c r="W58" s="79" t="inlineStr">
        <is>
          <t>☑</t>
        </is>
      </c>
      <c r="X58" s="79" t="inlineStr">
        <is>
          <t>☑</t>
        </is>
      </c>
      <c r="Y58" s="79" t="inlineStr">
        <is>
          <t>☑</t>
        </is>
      </c>
      <c r="Z58" s="79" t="inlineStr">
        <is>
          <t>☑</t>
        </is>
      </c>
      <c r="AA58" s="79" t="inlineStr">
        <is>
          <t>☑</t>
        </is>
      </c>
      <c r="AB58" s="78" t="inlineStr">
        <is>
          <t>☑</t>
        </is>
      </c>
      <c r="AC58" s="79" t="inlineStr">
        <is>
          <t>☑</t>
        </is>
      </c>
      <c r="AD58" s="79" t="inlineStr">
        <is>
          <t>☑</t>
        </is>
      </c>
      <c r="AE58" s="78" t="inlineStr">
        <is>
          <t>☑</t>
        </is>
      </c>
      <c r="AF58" s="79" t="inlineStr">
        <is>
          <t>☑</t>
        </is>
      </c>
      <c r="AG58" s="78" t="inlineStr">
        <is>
          <t>—</t>
        </is>
      </c>
      <c r="AH58" s="78" t="inlineStr">
        <is>
          <t>—</t>
        </is>
      </c>
      <c r="AI58" s="79" t="inlineStr">
        <is>
          <t>☑</t>
        </is>
      </c>
      <c r="AJ58" s="79" t="inlineStr">
        <is>
          <t>☑</t>
        </is>
      </c>
      <c r="AK58" s="79" t="inlineStr">
        <is>
          <t>☑</t>
        </is>
      </c>
      <c r="AL58" s="79" t="inlineStr">
        <is>
          <t>☑</t>
        </is>
      </c>
      <c r="AM58" s="79" t="inlineStr">
        <is>
          <t>☑</t>
        </is>
      </c>
      <c r="AN58" s="79" t="inlineStr">
        <is>
          <t>☑</t>
        </is>
      </c>
      <c r="AO58" s="79" t="inlineStr">
        <is>
          <t>☑</t>
        </is>
      </c>
      <c r="AP58" s="79" t="inlineStr">
        <is>
          <t>☑</t>
        </is>
      </c>
      <c r="AQ58" s="78" t="inlineStr">
        <is>
          <t>☑</t>
        </is>
      </c>
      <c r="AR58" s="79" t="inlineStr">
        <is>
          <t>☑</t>
        </is>
      </c>
      <c r="AS58" s="79" t="inlineStr">
        <is>
          <t>☑</t>
        </is>
      </c>
      <c r="AT58" s="78" t="inlineStr">
        <is>
          <t>☑</t>
        </is>
      </c>
      <c r="AU58" s="79" t="inlineStr">
        <is>
          <t>☑</t>
        </is>
      </c>
      <c r="AV58" s="78" t="inlineStr">
        <is>
          <t>—</t>
        </is>
      </c>
      <c r="AW58" s="78" t="inlineStr">
        <is>
          <t>—</t>
        </is>
      </c>
      <c r="AX58" s="79" t="inlineStr">
        <is>
          <t>☑</t>
        </is>
      </c>
      <c r="AY58" s="79" t="inlineStr">
        <is>
          <t>☑</t>
        </is>
      </c>
      <c r="AZ58" s="79" t="inlineStr">
        <is>
          <t>☑</t>
        </is>
      </c>
      <c r="BA58" s="79" t="inlineStr">
        <is>
          <t>☑</t>
        </is>
      </c>
      <c r="BB58" s="79" t="inlineStr">
        <is>
          <t>☑</t>
        </is>
      </c>
      <c r="BC58" s="79" t="inlineStr">
        <is>
          <t>☑</t>
        </is>
      </c>
      <c r="BD58" s="79" t="inlineStr">
        <is>
          <t>☑</t>
        </is>
      </c>
      <c r="BE58" s="79" t="inlineStr">
        <is>
          <t>☑</t>
        </is>
      </c>
      <c r="BF58" s="78" t="inlineStr">
        <is>
          <t>☑</t>
        </is>
      </c>
      <c r="BG58" s="79" t="inlineStr">
        <is>
          <t>☑</t>
        </is>
      </c>
      <c r="BH58" s="79" t="inlineStr">
        <is>
          <t>☑</t>
        </is>
      </c>
      <c r="BI58" s="78" t="inlineStr">
        <is>
          <t>☑</t>
        </is>
      </c>
      <c r="BJ58" s="79" t="inlineStr">
        <is>
          <t>☑</t>
        </is>
      </c>
      <c r="BK58" s="78" t="inlineStr">
        <is>
          <t>—</t>
        </is>
      </c>
      <c r="BL58" s="78" t="inlineStr">
        <is>
          <t>—</t>
        </is>
      </c>
      <c r="BM58" s="79" t="inlineStr">
        <is>
          <t>☑</t>
        </is>
      </c>
      <c r="BN58" s="79" t="inlineStr">
        <is>
          <t>☑</t>
        </is>
      </c>
      <c r="BO58" s="79" t="inlineStr">
        <is>
          <t>☑</t>
        </is>
      </c>
    </row>
    <row r="59">
      <c r="A59" s="79" t="n">
        <v>52</v>
      </c>
      <c r="B59" s="79" t="inlineStr">
        <is>
          <t>325106410052</t>
        </is>
      </c>
      <c r="C59" s="79" t="inlineStr">
        <is>
          <t>GAYATRI TIPPANA</t>
        </is>
      </c>
      <c r="D59" s="78" t="inlineStr">
        <is>
          <t>—</t>
        </is>
      </c>
      <c r="E59" s="79" t="inlineStr">
        <is>
          <t>☑</t>
        </is>
      </c>
      <c r="F59" s="79" t="inlineStr">
        <is>
          <t>☑</t>
        </is>
      </c>
      <c r="G59" s="79" t="inlineStr">
        <is>
          <t>☑</t>
        </is>
      </c>
      <c r="H59" s="79" t="inlineStr">
        <is>
          <t>☑</t>
        </is>
      </c>
      <c r="I59" s="79" t="inlineStr">
        <is>
          <t>☑</t>
        </is>
      </c>
      <c r="J59" s="79" t="inlineStr">
        <is>
          <t>☑</t>
        </is>
      </c>
      <c r="K59" s="79" t="inlineStr">
        <is>
          <t>☑</t>
        </is>
      </c>
      <c r="L59" s="79" t="inlineStr">
        <is>
          <t>☑</t>
        </is>
      </c>
      <c r="M59" s="78" t="inlineStr">
        <is>
          <t>☑</t>
        </is>
      </c>
      <c r="N59" s="79" t="inlineStr">
        <is>
          <t>☑</t>
        </is>
      </c>
      <c r="O59" s="79" t="inlineStr">
        <is>
          <t>☑</t>
        </is>
      </c>
      <c r="P59" s="78" t="inlineStr">
        <is>
          <t>☑</t>
        </is>
      </c>
      <c r="Q59" s="79" t="inlineStr">
        <is>
          <t>☑</t>
        </is>
      </c>
      <c r="R59" s="78" t="inlineStr">
        <is>
          <t>—</t>
        </is>
      </c>
      <c r="S59" s="78" t="inlineStr">
        <is>
          <t>—</t>
        </is>
      </c>
      <c r="T59" s="79" t="inlineStr">
        <is>
          <t>☑</t>
        </is>
      </c>
      <c r="U59" s="79" t="inlineStr">
        <is>
          <t>☑</t>
        </is>
      </c>
      <c r="V59" s="79" t="inlineStr">
        <is>
          <t>☑</t>
        </is>
      </c>
      <c r="W59" s="79" t="inlineStr">
        <is>
          <t>☑</t>
        </is>
      </c>
      <c r="X59" s="79" t="inlineStr">
        <is>
          <t>☑</t>
        </is>
      </c>
      <c r="Y59" s="79" t="inlineStr">
        <is>
          <t>☑</t>
        </is>
      </c>
      <c r="Z59" s="79" t="inlineStr">
        <is>
          <t>☑</t>
        </is>
      </c>
      <c r="AA59" s="79" t="inlineStr">
        <is>
          <t>☑</t>
        </is>
      </c>
      <c r="AB59" s="78" t="inlineStr">
        <is>
          <t>☑</t>
        </is>
      </c>
      <c r="AC59" s="79" t="inlineStr">
        <is>
          <t>☑</t>
        </is>
      </c>
      <c r="AD59" s="79" t="inlineStr">
        <is>
          <t>☑</t>
        </is>
      </c>
      <c r="AE59" s="78" t="inlineStr">
        <is>
          <t>☑</t>
        </is>
      </c>
      <c r="AF59" s="79" t="inlineStr">
        <is>
          <t>☑</t>
        </is>
      </c>
      <c r="AG59" s="78" t="inlineStr">
        <is>
          <t>—</t>
        </is>
      </c>
      <c r="AH59" s="78" t="inlineStr">
        <is>
          <t>—</t>
        </is>
      </c>
      <c r="AI59" s="79" t="inlineStr">
        <is>
          <t>☑</t>
        </is>
      </c>
      <c r="AJ59" s="79" t="inlineStr">
        <is>
          <t>☑</t>
        </is>
      </c>
      <c r="AK59" s="79" t="inlineStr">
        <is>
          <t>☑</t>
        </is>
      </c>
      <c r="AL59" s="79" t="inlineStr">
        <is>
          <t>☑</t>
        </is>
      </c>
      <c r="AM59" s="79" t="inlineStr">
        <is>
          <t>☑</t>
        </is>
      </c>
      <c r="AN59" s="79" t="inlineStr">
        <is>
          <t>☑</t>
        </is>
      </c>
      <c r="AO59" s="79" t="inlineStr">
        <is>
          <t>☑</t>
        </is>
      </c>
      <c r="AP59" s="79" t="inlineStr">
        <is>
          <t>☑</t>
        </is>
      </c>
      <c r="AQ59" s="78" t="inlineStr">
        <is>
          <t>☑</t>
        </is>
      </c>
      <c r="AR59" s="79" t="inlineStr">
        <is>
          <t>☑</t>
        </is>
      </c>
      <c r="AS59" s="79" t="inlineStr">
        <is>
          <t>☑</t>
        </is>
      </c>
      <c r="AT59" s="78" t="inlineStr">
        <is>
          <t>☑</t>
        </is>
      </c>
      <c r="AU59" s="79" t="inlineStr">
        <is>
          <t>☑</t>
        </is>
      </c>
      <c r="AV59" s="78" t="inlineStr">
        <is>
          <t>—</t>
        </is>
      </c>
      <c r="AW59" s="78" t="inlineStr">
        <is>
          <t>—</t>
        </is>
      </c>
      <c r="AX59" s="79" t="inlineStr">
        <is>
          <t>☑</t>
        </is>
      </c>
      <c r="AY59" s="79" t="inlineStr">
        <is>
          <t>☑</t>
        </is>
      </c>
      <c r="AZ59" s="79" t="inlineStr">
        <is>
          <t>☑</t>
        </is>
      </c>
      <c r="BA59" s="79" t="inlineStr">
        <is>
          <t>☑</t>
        </is>
      </c>
      <c r="BB59" s="79" t="inlineStr">
        <is>
          <t>☑</t>
        </is>
      </c>
      <c r="BC59" s="79" t="inlineStr">
        <is>
          <t>☑</t>
        </is>
      </c>
      <c r="BD59" s="79" t="inlineStr">
        <is>
          <t>☑</t>
        </is>
      </c>
      <c r="BE59" s="79" t="inlineStr">
        <is>
          <t>☑</t>
        </is>
      </c>
      <c r="BF59" s="78" t="inlineStr">
        <is>
          <t>☑</t>
        </is>
      </c>
      <c r="BG59" s="79" t="inlineStr">
        <is>
          <t>☑</t>
        </is>
      </c>
      <c r="BH59" s="79" t="inlineStr">
        <is>
          <t>☑</t>
        </is>
      </c>
      <c r="BI59" s="78" t="inlineStr">
        <is>
          <t>☑</t>
        </is>
      </c>
      <c r="BJ59" s="79" t="inlineStr">
        <is>
          <t>☑</t>
        </is>
      </c>
      <c r="BK59" s="78" t="inlineStr">
        <is>
          <t>—</t>
        </is>
      </c>
      <c r="BL59" s="78" t="inlineStr">
        <is>
          <t>—</t>
        </is>
      </c>
      <c r="BM59" s="79" t="inlineStr">
        <is>
          <t>☑</t>
        </is>
      </c>
      <c r="BN59" s="79" t="inlineStr">
        <is>
          <t>☑</t>
        </is>
      </c>
      <c r="BO59" s="79" t="inlineStr">
        <is>
          <t>☑</t>
        </is>
      </c>
    </row>
    <row r="60">
      <c r="A60" s="79" t="n">
        <v>53</v>
      </c>
      <c r="B60" s="79" t="inlineStr">
        <is>
          <t>325106410053</t>
        </is>
      </c>
      <c r="C60" s="79" t="inlineStr">
        <is>
          <t>SURYA VENKATA SRINIVAS TIRANDI</t>
        </is>
      </c>
      <c r="D60" s="78" t="inlineStr">
        <is>
          <t>—</t>
        </is>
      </c>
      <c r="E60" s="79" t="inlineStr">
        <is>
          <t>☑</t>
        </is>
      </c>
      <c r="F60" s="79" t="inlineStr">
        <is>
          <t>☑</t>
        </is>
      </c>
      <c r="G60" s="79" t="inlineStr">
        <is>
          <t>☑</t>
        </is>
      </c>
      <c r="H60" s="79" t="inlineStr">
        <is>
          <t>☑</t>
        </is>
      </c>
      <c r="I60" s="79" t="inlineStr">
        <is>
          <t>☑</t>
        </is>
      </c>
      <c r="J60" s="79" t="inlineStr">
        <is>
          <t>☑</t>
        </is>
      </c>
      <c r="K60" s="79" t="inlineStr">
        <is>
          <t>☑</t>
        </is>
      </c>
      <c r="L60" s="79" t="inlineStr">
        <is>
          <t>☑</t>
        </is>
      </c>
      <c r="M60" s="78" t="inlineStr">
        <is>
          <t>☑</t>
        </is>
      </c>
      <c r="N60" s="79" t="inlineStr">
        <is>
          <t>☑</t>
        </is>
      </c>
      <c r="O60" s="79" t="inlineStr">
        <is>
          <t>☑</t>
        </is>
      </c>
      <c r="P60" s="78" t="inlineStr">
        <is>
          <t>☑</t>
        </is>
      </c>
      <c r="Q60" s="79" t="inlineStr">
        <is>
          <t>☑</t>
        </is>
      </c>
      <c r="R60" s="78" t="inlineStr">
        <is>
          <t>—</t>
        </is>
      </c>
      <c r="S60" s="78" t="inlineStr">
        <is>
          <t>—</t>
        </is>
      </c>
      <c r="T60" s="79" t="inlineStr">
        <is>
          <t>☑</t>
        </is>
      </c>
      <c r="U60" s="79" t="inlineStr">
        <is>
          <t>☑</t>
        </is>
      </c>
      <c r="V60" s="79" t="inlineStr">
        <is>
          <t>☑</t>
        </is>
      </c>
      <c r="W60" s="79" t="inlineStr">
        <is>
          <t>☑</t>
        </is>
      </c>
      <c r="X60" s="79" t="inlineStr">
        <is>
          <t>☑</t>
        </is>
      </c>
      <c r="Y60" s="79" t="inlineStr">
        <is>
          <t>☑</t>
        </is>
      </c>
      <c r="Z60" s="79" t="inlineStr">
        <is>
          <t>☑</t>
        </is>
      </c>
      <c r="AA60" s="79" t="inlineStr">
        <is>
          <t>☑</t>
        </is>
      </c>
      <c r="AB60" s="78" t="inlineStr">
        <is>
          <t>☑</t>
        </is>
      </c>
      <c r="AC60" s="79" t="inlineStr">
        <is>
          <t>☑</t>
        </is>
      </c>
      <c r="AD60" s="79" t="inlineStr">
        <is>
          <t>☑</t>
        </is>
      </c>
      <c r="AE60" s="78" t="inlineStr">
        <is>
          <t>☑</t>
        </is>
      </c>
      <c r="AF60" s="79" t="inlineStr">
        <is>
          <t>☑</t>
        </is>
      </c>
      <c r="AG60" s="78" t="inlineStr">
        <is>
          <t>—</t>
        </is>
      </c>
      <c r="AH60" s="78" t="inlineStr">
        <is>
          <t>—</t>
        </is>
      </c>
      <c r="AI60" s="79" t="inlineStr">
        <is>
          <t>☑</t>
        </is>
      </c>
      <c r="AJ60" s="79" t="inlineStr">
        <is>
          <t>☑</t>
        </is>
      </c>
      <c r="AK60" s="79" t="inlineStr">
        <is>
          <t>☑</t>
        </is>
      </c>
      <c r="AL60" s="79" t="inlineStr">
        <is>
          <t>☑</t>
        </is>
      </c>
      <c r="AM60" s="79" t="inlineStr">
        <is>
          <t>☑</t>
        </is>
      </c>
      <c r="AN60" s="79" t="inlineStr">
        <is>
          <t>☑</t>
        </is>
      </c>
      <c r="AO60" s="79" t="inlineStr">
        <is>
          <t>☑</t>
        </is>
      </c>
      <c r="AP60" s="79" t="inlineStr">
        <is>
          <t>☑</t>
        </is>
      </c>
      <c r="AQ60" s="78" t="inlineStr">
        <is>
          <t>☑</t>
        </is>
      </c>
      <c r="AR60" s="79" t="inlineStr">
        <is>
          <t>☑</t>
        </is>
      </c>
      <c r="AS60" s="79" t="inlineStr">
        <is>
          <t>☑</t>
        </is>
      </c>
      <c r="AT60" s="78" t="inlineStr">
        <is>
          <t>☑</t>
        </is>
      </c>
      <c r="AU60" s="79" t="inlineStr">
        <is>
          <t>☑</t>
        </is>
      </c>
      <c r="AV60" s="78" t="inlineStr">
        <is>
          <t>—</t>
        </is>
      </c>
      <c r="AW60" s="78" t="inlineStr">
        <is>
          <t>—</t>
        </is>
      </c>
      <c r="AX60" s="79" t="inlineStr">
        <is>
          <t>☑</t>
        </is>
      </c>
      <c r="AY60" s="79" t="inlineStr">
        <is>
          <t>☑</t>
        </is>
      </c>
      <c r="AZ60" s="79" t="inlineStr">
        <is>
          <t>☑</t>
        </is>
      </c>
      <c r="BA60" s="79" t="inlineStr">
        <is>
          <t>☑</t>
        </is>
      </c>
      <c r="BB60" s="79" t="inlineStr">
        <is>
          <t>☑</t>
        </is>
      </c>
      <c r="BC60" s="79" t="inlineStr">
        <is>
          <t>☑</t>
        </is>
      </c>
      <c r="BD60" s="79" t="inlineStr">
        <is>
          <t>☑</t>
        </is>
      </c>
      <c r="BE60" s="79" t="inlineStr">
        <is>
          <t>☑</t>
        </is>
      </c>
      <c r="BF60" s="78" t="inlineStr">
        <is>
          <t>☑</t>
        </is>
      </c>
      <c r="BG60" s="79" t="inlineStr">
        <is>
          <t>☑</t>
        </is>
      </c>
      <c r="BH60" s="79" t="inlineStr">
        <is>
          <t>☑</t>
        </is>
      </c>
      <c r="BI60" s="78" t="inlineStr">
        <is>
          <t>☑</t>
        </is>
      </c>
      <c r="BJ60" s="79" t="inlineStr">
        <is>
          <t>☑</t>
        </is>
      </c>
      <c r="BK60" s="78" t="inlineStr">
        <is>
          <t>—</t>
        </is>
      </c>
      <c r="BL60" s="78" t="inlineStr">
        <is>
          <t>—</t>
        </is>
      </c>
      <c r="BM60" s="79" t="inlineStr">
        <is>
          <t>☑</t>
        </is>
      </c>
      <c r="BN60" s="79" t="inlineStr">
        <is>
          <t>☑</t>
        </is>
      </c>
      <c r="BO60" s="79" t="inlineStr">
        <is>
          <t>☑</t>
        </is>
      </c>
    </row>
    <row r="61">
      <c r="A61" s="79" t="n">
        <v>54</v>
      </c>
      <c r="B61" s="79" t="inlineStr">
        <is>
          <t>325106410054</t>
        </is>
      </c>
      <c r="C61" s="79" t="inlineStr">
        <is>
          <t>PRANAVI V</t>
        </is>
      </c>
      <c r="D61" s="78" t="inlineStr">
        <is>
          <t>—</t>
        </is>
      </c>
      <c r="E61" s="79" t="inlineStr">
        <is>
          <t>☑</t>
        </is>
      </c>
      <c r="F61" s="79" t="inlineStr">
        <is>
          <t>☑</t>
        </is>
      </c>
      <c r="G61" s="79" t="inlineStr">
        <is>
          <t>☑</t>
        </is>
      </c>
      <c r="H61" s="79" t="inlineStr">
        <is>
          <t>☑</t>
        </is>
      </c>
      <c r="I61" s="79" t="inlineStr">
        <is>
          <t>☑</t>
        </is>
      </c>
      <c r="J61" s="79" t="inlineStr">
        <is>
          <t>☑</t>
        </is>
      </c>
      <c r="K61" s="79" t="inlineStr">
        <is>
          <t>☑</t>
        </is>
      </c>
      <c r="L61" s="79" t="inlineStr">
        <is>
          <t>☑</t>
        </is>
      </c>
      <c r="M61" s="78" t="inlineStr">
        <is>
          <t>☑</t>
        </is>
      </c>
      <c r="N61" s="79" t="inlineStr">
        <is>
          <t>☑</t>
        </is>
      </c>
      <c r="O61" s="79" t="inlineStr">
        <is>
          <t>☑</t>
        </is>
      </c>
      <c r="P61" s="78" t="inlineStr">
        <is>
          <t>☑</t>
        </is>
      </c>
      <c r="Q61" s="79" t="inlineStr">
        <is>
          <t>☑</t>
        </is>
      </c>
      <c r="R61" s="78" t="inlineStr">
        <is>
          <t>—</t>
        </is>
      </c>
      <c r="S61" s="78" t="inlineStr">
        <is>
          <t>—</t>
        </is>
      </c>
      <c r="T61" s="79" t="inlineStr">
        <is>
          <t>☑</t>
        </is>
      </c>
      <c r="U61" s="79" t="inlineStr">
        <is>
          <t>☑</t>
        </is>
      </c>
      <c r="V61" s="79" t="inlineStr">
        <is>
          <t>☑</t>
        </is>
      </c>
      <c r="W61" s="79" t="inlineStr">
        <is>
          <t>☑</t>
        </is>
      </c>
      <c r="X61" s="79" t="inlineStr">
        <is>
          <t>☑</t>
        </is>
      </c>
      <c r="Y61" s="79" t="inlineStr">
        <is>
          <t>☑</t>
        </is>
      </c>
      <c r="Z61" s="79" t="inlineStr">
        <is>
          <t>☑</t>
        </is>
      </c>
      <c r="AA61" s="79" t="inlineStr">
        <is>
          <t>☑</t>
        </is>
      </c>
      <c r="AB61" s="78" t="inlineStr">
        <is>
          <t>☑</t>
        </is>
      </c>
      <c r="AC61" s="79" t="inlineStr">
        <is>
          <t>☑</t>
        </is>
      </c>
      <c r="AD61" s="79" t="inlineStr">
        <is>
          <t>☑</t>
        </is>
      </c>
      <c r="AE61" s="78" t="inlineStr">
        <is>
          <t>☑</t>
        </is>
      </c>
      <c r="AF61" s="79" t="inlineStr">
        <is>
          <t>☑</t>
        </is>
      </c>
      <c r="AG61" s="78" t="inlineStr">
        <is>
          <t>—</t>
        </is>
      </c>
      <c r="AH61" s="78" t="inlineStr">
        <is>
          <t>—</t>
        </is>
      </c>
      <c r="AI61" s="79" t="inlineStr">
        <is>
          <t>☑</t>
        </is>
      </c>
      <c r="AJ61" s="79" t="inlineStr">
        <is>
          <t>☑</t>
        </is>
      </c>
      <c r="AK61" s="79" t="inlineStr">
        <is>
          <t>☑</t>
        </is>
      </c>
      <c r="AL61" s="79" t="inlineStr">
        <is>
          <t>☑</t>
        </is>
      </c>
      <c r="AM61" s="79" t="inlineStr">
        <is>
          <t>☑</t>
        </is>
      </c>
      <c r="AN61" s="79" t="inlineStr">
        <is>
          <t>☑</t>
        </is>
      </c>
      <c r="AO61" s="79" t="inlineStr">
        <is>
          <t>☑</t>
        </is>
      </c>
      <c r="AP61" s="79" t="inlineStr">
        <is>
          <t>☑</t>
        </is>
      </c>
      <c r="AQ61" s="78" t="inlineStr">
        <is>
          <t>☑</t>
        </is>
      </c>
      <c r="AR61" s="79" t="inlineStr">
        <is>
          <t>☑</t>
        </is>
      </c>
      <c r="AS61" s="79" t="inlineStr">
        <is>
          <t>☑</t>
        </is>
      </c>
      <c r="AT61" s="78" t="inlineStr">
        <is>
          <t>☑</t>
        </is>
      </c>
      <c r="AU61" s="79" t="inlineStr">
        <is>
          <t>☑</t>
        </is>
      </c>
      <c r="AV61" s="78" t="inlineStr">
        <is>
          <t>—</t>
        </is>
      </c>
      <c r="AW61" s="78" t="inlineStr">
        <is>
          <t>—</t>
        </is>
      </c>
      <c r="AX61" s="79" t="inlineStr">
        <is>
          <t>☑</t>
        </is>
      </c>
      <c r="AY61" s="79" t="inlineStr">
        <is>
          <t>☑</t>
        </is>
      </c>
      <c r="AZ61" s="79" t="inlineStr">
        <is>
          <t>☑</t>
        </is>
      </c>
      <c r="BA61" s="79" t="inlineStr">
        <is>
          <t>☑</t>
        </is>
      </c>
      <c r="BB61" s="79" t="inlineStr">
        <is>
          <t>☑</t>
        </is>
      </c>
      <c r="BC61" s="79" t="inlineStr">
        <is>
          <t>☑</t>
        </is>
      </c>
      <c r="BD61" s="79" t="inlineStr">
        <is>
          <t>☑</t>
        </is>
      </c>
      <c r="BE61" s="79" t="inlineStr">
        <is>
          <t>☑</t>
        </is>
      </c>
      <c r="BF61" s="78" t="inlineStr">
        <is>
          <t>☑</t>
        </is>
      </c>
      <c r="BG61" s="79" t="inlineStr">
        <is>
          <t>☑</t>
        </is>
      </c>
      <c r="BH61" s="79" t="inlineStr">
        <is>
          <t>☑</t>
        </is>
      </c>
      <c r="BI61" s="78" t="inlineStr">
        <is>
          <t>☑</t>
        </is>
      </c>
      <c r="BJ61" s="79" t="inlineStr">
        <is>
          <t>☑</t>
        </is>
      </c>
      <c r="BK61" s="78" t="inlineStr">
        <is>
          <t>—</t>
        </is>
      </c>
      <c r="BL61" s="78" t="inlineStr">
        <is>
          <t>—</t>
        </is>
      </c>
      <c r="BM61" s="79" t="inlineStr">
        <is>
          <t>☑</t>
        </is>
      </c>
      <c r="BN61" s="79" t="inlineStr">
        <is>
          <t>☑</t>
        </is>
      </c>
      <c r="BO61" s="79" t="inlineStr">
        <is>
          <t>☑</t>
        </is>
      </c>
    </row>
    <row r="62">
      <c r="A62" s="79" t="n">
        <v>55</v>
      </c>
      <c r="B62" s="79" t="inlineStr">
        <is>
          <t>325106410055</t>
        </is>
      </c>
      <c r="C62" s="79" t="inlineStr">
        <is>
          <t>JAYANTH RAM ACHYUTH VALLABASETTI</t>
        </is>
      </c>
      <c r="D62" s="78" t="inlineStr">
        <is>
          <t>—</t>
        </is>
      </c>
      <c r="E62" s="79" t="inlineStr">
        <is>
          <t>☑</t>
        </is>
      </c>
      <c r="F62" s="79" t="inlineStr">
        <is>
          <t>☑</t>
        </is>
      </c>
      <c r="G62" s="79" t="inlineStr">
        <is>
          <t>☑</t>
        </is>
      </c>
      <c r="H62" s="79" t="inlineStr">
        <is>
          <t>☑</t>
        </is>
      </c>
      <c r="I62" s="79" t="inlineStr">
        <is>
          <t>☑</t>
        </is>
      </c>
      <c r="J62" s="79" t="inlineStr">
        <is>
          <t>☑</t>
        </is>
      </c>
      <c r="K62" s="79" t="inlineStr">
        <is>
          <t>☑</t>
        </is>
      </c>
      <c r="L62" s="79" t="inlineStr">
        <is>
          <t>☑</t>
        </is>
      </c>
      <c r="M62" s="78" t="inlineStr">
        <is>
          <t>☑</t>
        </is>
      </c>
      <c r="N62" s="79" t="inlineStr">
        <is>
          <t>☑</t>
        </is>
      </c>
      <c r="O62" s="79" t="inlineStr">
        <is>
          <t>☑</t>
        </is>
      </c>
      <c r="P62" s="78" t="inlineStr">
        <is>
          <t>☑</t>
        </is>
      </c>
      <c r="Q62" s="79" t="inlineStr">
        <is>
          <t>☑</t>
        </is>
      </c>
      <c r="R62" s="78" t="inlineStr">
        <is>
          <t>—</t>
        </is>
      </c>
      <c r="S62" s="78" t="inlineStr">
        <is>
          <t>—</t>
        </is>
      </c>
      <c r="T62" s="79" t="inlineStr">
        <is>
          <t>☑</t>
        </is>
      </c>
      <c r="U62" s="79" t="inlineStr">
        <is>
          <t>☑</t>
        </is>
      </c>
      <c r="V62" s="79" t="inlineStr">
        <is>
          <t>☑</t>
        </is>
      </c>
      <c r="W62" s="79" t="inlineStr">
        <is>
          <t>☑</t>
        </is>
      </c>
      <c r="X62" s="79" t="inlineStr">
        <is>
          <t>☑</t>
        </is>
      </c>
      <c r="Y62" s="79" t="inlineStr">
        <is>
          <t>☑</t>
        </is>
      </c>
      <c r="Z62" s="79" t="inlineStr">
        <is>
          <t>☑</t>
        </is>
      </c>
      <c r="AA62" s="79" t="inlineStr">
        <is>
          <t>☑</t>
        </is>
      </c>
      <c r="AB62" s="78" t="inlineStr">
        <is>
          <t>☑</t>
        </is>
      </c>
      <c r="AC62" s="79" t="inlineStr">
        <is>
          <t>☑</t>
        </is>
      </c>
      <c r="AD62" s="79" t="inlineStr">
        <is>
          <t>☑</t>
        </is>
      </c>
      <c r="AE62" s="78" t="inlineStr">
        <is>
          <t>☑</t>
        </is>
      </c>
      <c r="AF62" s="79" t="inlineStr">
        <is>
          <t>☑</t>
        </is>
      </c>
      <c r="AG62" s="78" t="inlineStr">
        <is>
          <t>—</t>
        </is>
      </c>
      <c r="AH62" s="78" t="inlineStr">
        <is>
          <t>—</t>
        </is>
      </c>
      <c r="AI62" s="79" t="inlineStr">
        <is>
          <t>☑</t>
        </is>
      </c>
      <c r="AJ62" s="79" t="inlineStr">
        <is>
          <t>☑</t>
        </is>
      </c>
      <c r="AK62" s="79" t="inlineStr">
        <is>
          <t>☑</t>
        </is>
      </c>
      <c r="AL62" s="79" t="inlineStr">
        <is>
          <t>☑</t>
        </is>
      </c>
      <c r="AM62" s="79" t="inlineStr">
        <is>
          <t>☑</t>
        </is>
      </c>
      <c r="AN62" s="79" t="inlineStr">
        <is>
          <t>☑</t>
        </is>
      </c>
      <c r="AO62" s="79" t="inlineStr">
        <is>
          <t>☑</t>
        </is>
      </c>
      <c r="AP62" s="79" t="inlineStr">
        <is>
          <t>☑</t>
        </is>
      </c>
      <c r="AQ62" s="78" t="inlineStr">
        <is>
          <t>☑</t>
        </is>
      </c>
      <c r="AR62" s="79" t="inlineStr">
        <is>
          <t>☑</t>
        </is>
      </c>
      <c r="AS62" s="79" t="inlineStr">
        <is>
          <t>☑</t>
        </is>
      </c>
      <c r="AT62" s="78" t="inlineStr">
        <is>
          <t>☑</t>
        </is>
      </c>
      <c r="AU62" s="79" t="inlineStr">
        <is>
          <t>☑</t>
        </is>
      </c>
      <c r="AV62" s="78" t="inlineStr">
        <is>
          <t>—</t>
        </is>
      </c>
      <c r="AW62" s="78" t="inlineStr">
        <is>
          <t>—</t>
        </is>
      </c>
      <c r="AX62" s="79" t="inlineStr">
        <is>
          <t>☑</t>
        </is>
      </c>
      <c r="AY62" s="79" t="inlineStr">
        <is>
          <t>☑</t>
        </is>
      </c>
      <c r="AZ62" s="79" t="inlineStr">
        <is>
          <t>☑</t>
        </is>
      </c>
      <c r="BA62" s="79" t="inlineStr">
        <is>
          <t>☑</t>
        </is>
      </c>
      <c r="BB62" s="79" t="inlineStr">
        <is>
          <t>☑</t>
        </is>
      </c>
      <c r="BC62" s="79" t="inlineStr">
        <is>
          <t>☑</t>
        </is>
      </c>
      <c r="BD62" s="79" t="inlineStr">
        <is>
          <t>☑</t>
        </is>
      </c>
      <c r="BE62" s="79" t="inlineStr">
        <is>
          <t>☑</t>
        </is>
      </c>
      <c r="BF62" s="78" t="inlineStr">
        <is>
          <t>☑</t>
        </is>
      </c>
      <c r="BG62" s="79" t="inlineStr">
        <is>
          <t>☑</t>
        </is>
      </c>
      <c r="BH62" s="79" t="inlineStr">
        <is>
          <t>☑</t>
        </is>
      </c>
      <c r="BI62" s="78" t="inlineStr">
        <is>
          <t>☑</t>
        </is>
      </c>
      <c r="BJ62" s="79" t="inlineStr">
        <is>
          <t>☑</t>
        </is>
      </c>
      <c r="BK62" s="78" t="inlineStr">
        <is>
          <t>—</t>
        </is>
      </c>
      <c r="BL62" s="78" t="inlineStr">
        <is>
          <t>—</t>
        </is>
      </c>
      <c r="BM62" s="79" t="inlineStr">
        <is>
          <t>☑</t>
        </is>
      </c>
      <c r="BN62" s="79" t="inlineStr">
        <is>
          <t>☑</t>
        </is>
      </c>
      <c r="BO62" s="79" t="inlineStr">
        <is>
          <t>☑</t>
        </is>
      </c>
    </row>
    <row r="63">
      <c r="A63" s="79" t="n">
        <v>56</v>
      </c>
      <c r="B63" s="79" t="inlineStr">
        <is>
          <t>325106410056</t>
        </is>
      </c>
      <c r="C63" s="79" t="inlineStr">
        <is>
          <t>RAKESH VANIMINA</t>
        </is>
      </c>
      <c r="D63" s="78" t="inlineStr">
        <is>
          <t>—</t>
        </is>
      </c>
      <c r="E63" s="79" t="inlineStr">
        <is>
          <t>☑</t>
        </is>
      </c>
      <c r="F63" s="79" t="inlineStr">
        <is>
          <t>☑</t>
        </is>
      </c>
      <c r="G63" s="79" t="inlineStr">
        <is>
          <t>☑</t>
        </is>
      </c>
      <c r="H63" s="79" t="inlineStr">
        <is>
          <t>☑</t>
        </is>
      </c>
      <c r="I63" s="79" t="inlineStr">
        <is>
          <t>☑</t>
        </is>
      </c>
      <c r="J63" s="79" t="inlineStr">
        <is>
          <t>☑</t>
        </is>
      </c>
      <c r="K63" s="79" t="inlineStr">
        <is>
          <t>☑</t>
        </is>
      </c>
      <c r="L63" s="79" t="inlineStr">
        <is>
          <t>☑</t>
        </is>
      </c>
      <c r="M63" s="78" t="inlineStr">
        <is>
          <t>☑</t>
        </is>
      </c>
      <c r="N63" s="79" t="inlineStr">
        <is>
          <t>☑</t>
        </is>
      </c>
      <c r="O63" s="79" t="inlineStr">
        <is>
          <t>☑</t>
        </is>
      </c>
      <c r="P63" s="78" t="inlineStr">
        <is>
          <t>☑</t>
        </is>
      </c>
      <c r="Q63" s="79" t="inlineStr">
        <is>
          <t>☑</t>
        </is>
      </c>
      <c r="R63" s="78" t="inlineStr">
        <is>
          <t>—</t>
        </is>
      </c>
      <c r="S63" s="78" t="inlineStr">
        <is>
          <t>—</t>
        </is>
      </c>
      <c r="T63" s="79" t="inlineStr">
        <is>
          <t>☑</t>
        </is>
      </c>
      <c r="U63" s="79" t="inlineStr">
        <is>
          <t>☑</t>
        </is>
      </c>
      <c r="V63" s="79" t="inlineStr">
        <is>
          <t>☑</t>
        </is>
      </c>
      <c r="W63" s="79" t="inlineStr">
        <is>
          <t>☑</t>
        </is>
      </c>
      <c r="X63" s="79" t="inlineStr">
        <is>
          <t>☑</t>
        </is>
      </c>
      <c r="Y63" s="79" t="inlineStr">
        <is>
          <t>☑</t>
        </is>
      </c>
      <c r="Z63" s="79" t="inlineStr">
        <is>
          <t>☑</t>
        </is>
      </c>
      <c r="AA63" s="79" t="inlineStr">
        <is>
          <t>☑</t>
        </is>
      </c>
      <c r="AB63" s="78" t="inlineStr">
        <is>
          <t>☑</t>
        </is>
      </c>
      <c r="AC63" s="79" t="inlineStr">
        <is>
          <t>☑</t>
        </is>
      </c>
      <c r="AD63" s="79" t="inlineStr">
        <is>
          <t>☑</t>
        </is>
      </c>
      <c r="AE63" s="78" t="inlineStr">
        <is>
          <t>☑</t>
        </is>
      </c>
      <c r="AF63" s="79" t="inlineStr">
        <is>
          <t>☑</t>
        </is>
      </c>
      <c r="AG63" s="78" t="inlineStr">
        <is>
          <t>—</t>
        </is>
      </c>
      <c r="AH63" s="78" t="inlineStr">
        <is>
          <t>—</t>
        </is>
      </c>
      <c r="AI63" s="79" t="inlineStr">
        <is>
          <t>☑</t>
        </is>
      </c>
      <c r="AJ63" s="79" t="inlineStr">
        <is>
          <t>☑</t>
        </is>
      </c>
      <c r="AK63" s="79" t="inlineStr">
        <is>
          <t>☑</t>
        </is>
      </c>
      <c r="AL63" s="79" t="inlineStr">
        <is>
          <t>☑</t>
        </is>
      </c>
      <c r="AM63" s="79" t="inlineStr">
        <is>
          <t>☑</t>
        </is>
      </c>
      <c r="AN63" s="79" t="inlineStr">
        <is>
          <t>☑</t>
        </is>
      </c>
      <c r="AO63" s="79" t="inlineStr">
        <is>
          <t>☑</t>
        </is>
      </c>
      <c r="AP63" s="79" t="inlineStr">
        <is>
          <t>☑</t>
        </is>
      </c>
      <c r="AQ63" s="78" t="inlineStr">
        <is>
          <t>☑</t>
        </is>
      </c>
      <c r="AR63" s="79" t="inlineStr">
        <is>
          <t>☑</t>
        </is>
      </c>
      <c r="AS63" s="79" t="inlineStr">
        <is>
          <t>☑</t>
        </is>
      </c>
      <c r="AT63" s="78" t="inlineStr">
        <is>
          <t>☑</t>
        </is>
      </c>
      <c r="AU63" s="79" t="inlineStr">
        <is>
          <t>☑</t>
        </is>
      </c>
      <c r="AV63" s="78" t="inlineStr">
        <is>
          <t>—</t>
        </is>
      </c>
      <c r="AW63" s="78" t="inlineStr">
        <is>
          <t>—</t>
        </is>
      </c>
      <c r="AX63" s="79" t="inlineStr">
        <is>
          <t>☑</t>
        </is>
      </c>
      <c r="AY63" s="79" t="inlineStr">
        <is>
          <t>☑</t>
        </is>
      </c>
      <c r="AZ63" s="79" t="inlineStr">
        <is>
          <t>☑</t>
        </is>
      </c>
      <c r="BA63" s="79" t="inlineStr">
        <is>
          <t>☑</t>
        </is>
      </c>
      <c r="BB63" s="79" t="inlineStr">
        <is>
          <t>☑</t>
        </is>
      </c>
      <c r="BC63" s="79" t="inlineStr">
        <is>
          <t>☑</t>
        </is>
      </c>
      <c r="BD63" s="79" t="inlineStr">
        <is>
          <t>☑</t>
        </is>
      </c>
      <c r="BE63" s="79" t="inlineStr">
        <is>
          <t>☑</t>
        </is>
      </c>
      <c r="BF63" s="78" t="inlineStr">
        <is>
          <t>☑</t>
        </is>
      </c>
      <c r="BG63" s="79" t="inlineStr">
        <is>
          <t>☑</t>
        </is>
      </c>
      <c r="BH63" s="79" t="inlineStr">
        <is>
          <t>☑</t>
        </is>
      </c>
      <c r="BI63" s="78" t="inlineStr">
        <is>
          <t>☑</t>
        </is>
      </c>
      <c r="BJ63" s="79" t="inlineStr">
        <is>
          <t>☑</t>
        </is>
      </c>
      <c r="BK63" s="78" t="inlineStr">
        <is>
          <t>—</t>
        </is>
      </c>
      <c r="BL63" s="78" t="inlineStr">
        <is>
          <t>—</t>
        </is>
      </c>
      <c r="BM63" s="79" t="inlineStr">
        <is>
          <t>☑</t>
        </is>
      </c>
      <c r="BN63" s="79" t="inlineStr">
        <is>
          <t>☑</t>
        </is>
      </c>
      <c r="BO63" s="79" t="inlineStr">
        <is>
          <t>☑</t>
        </is>
      </c>
    </row>
    <row r="64">
      <c r="A64" s="79" t="n">
        <v>57</v>
      </c>
      <c r="B64" s="79" t="inlineStr">
        <is>
          <t>325106410057</t>
        </is>
      </c>
      <c r="C64" s="79" t="inlineStr">
        <is>
          <t>YASWANTH MANIKANTA VATTIPROLU</t>
        </is>
      </c>
      <c r="D64" s="78" t="inlineStr">
        <is>
          <t>—</t>
        </is>
      </c>
      <c r="E64" s="79" t="inlineStr">
        <is>
          <t>☑</t>
        </is>
      </c>
      <c r="F64" s="79" t="inlineStr">
        <is>
          <t>☑</t>
        </is>
      </c>
      <c r="G64" s="79" t="inlineStr">
        <is>
          <t>☑</t>
        </is>
      </c>
      <c r="H64" s="79" t="inlineStr">
        <is>
          <t>☑</t>
        </is>
      </c>
      <c r="I64" s="79" t="inlineStr">
        <is>
          <t>☑</t>
        </is>
      </c>
      <c r="J64" s="79" t="inlineStr">
        <is>
          <t>☑</t>
        </is>
      </c>
      <c r="K64" s="79" t="inlineStr">
        <is>
          <t>☑</t>
        </is>
      </c>
      <c r="L64" s="79" t="inlineStr">
        <is>
          <t>☑</t>
        </is>
      </c>
      <c r="M64" s="78" t="inlineStr">
        <is>
          <t>☑</t>
        </is>
      </c>
      <c r="N64" s="79" t="inlineStr">
        <is>
          <t>☑</t>
        </is>
      </c>
      <c r="O64" s="79" t="inlineStr">
        <is>
          <t>☑</t>
        </is>
      </c>
      <c r="P64" s="78" t="inlineStr">
        <is>
          <t>☑</t>
        </is>
      </c>
      <c r="Q64" s="79" t="inlineStr">
        <is>
          <t>☑</t>
        </is>
      </c>
      <c r="R64" s="78" t="inlineStr">
        <is>
          <t>—</t>
        </is>
      </c>
      <c r="S64" s="78" t="inlineStr">
        <is>
          <t>—</t>
        </is>
      </c>
      <c r="T64" s="79" t="inlineStr">
        <is>
          <t>☑</t>
        </is>
      </c>
      <c r="U64" s="79" t="inlineStr">
        <is>
          <t>☑</t>
        </is>
      </c>
      <c r="V64" s="79" t="inlineStr">
        <is>
          <t>☑</t>
        </is>
      </c>
      <c r="W64" s="79" t="inlineStr">
        <is>
          <t>☑</t>
        </is>
      </c>
      <c r="X64" s="79" t="inlineStr">
        <is>
          <t>☑</t>
        </is>
      </c>
      <c r="Y64" s="79" t="inlineStr">
        <is>
          <t>☑</t>
        </is>
      </c>
      <c r="Z64" s="79" t="inlineStr">
        <is>
          <t>☑</t>
        </is>
      </c>
      <c r="AA64" s="79" t="inlineStr">
        <is>
          <t>☑</t>
        </is>
      </c>
      <c r="AB64" s="78" t="inlineStr">
        <is>
          <t>☑</t>
        </is>
      </c>
      <c r="AC64" s="79" t="inlineStr">
        <is>
          <t>☑</t>
        </is>
      </c>
      <c r="AD64" s="79" t="inlineStr">
        <is>
          <t>☑</t>
        </is>
      </c>
      <c r="AE64" s="78" t="inlineStr">
        <is>
          <t>☑</t>
        </is>
      </c>
      <c r="AF64" s="79" t="inlineStr">
        <is>
          <t>☑</t>
        </is>
      </c>
      <c r="AG64" s="78" t="inlineStr">
        <is>
          <t>—</t>
        </is>
      </c>
      <c r="AH64" s="78" t="inlineStr">
        <is>
          <t>—</t>
        </is>
      </c>
      <c r="AI64" s="79" t="inlineStr">
        <is>
          <t>☑</t>
        </is>
      </c>
      <c r="AJ64" s="79" t="inlineStr">
        <is>
          <t>☑</t>
        </is>
      </c>
      <c r="AK64" s="79" t="inlineStr">
        <is>
          <t>☑</t>
        </is>
      </c>
      <c r="AL64" s="79" t="inlineStr">
        <is>
          <t>☑</t>
        </is>
      </c>
      <c r="AM64" s="79" t="inlineStr">
        <is>
          <t>☑</t>
        </is>
      </c>
      <c r="AN64" s="79" t="inlineStr">
        <is>
          <t>☑</t>
        </is>
      </c>
      <c r="AO64" s="79" t="inlineStr">
        <is>
          <t>☑</t>
        </is>
      </c>
      <c r="AP64" s="79" t="inlineStr">
        <is>
          <t>☑</t>
        </is>
      </c>
      <c r="AQ64" s="78" t="inlineStr">
        <is>
          <t>☑</t>
        </is>
      </c>
      <c r="AR64" s="79" t="inlineStr">
        <is>
          <t>☑</t>
        </is>
      </c>
      <c r="AS64" s="79" t="inlineStr">
        <is>
          <t>☑</t>
        </is>
      </c>
      <c r="AT64" s="78" t="inlineStr">
        <is>
          <t>☑</t>
        </is>
      </c>
      <c r="AU64" s="79" t="inlineStr">
        <is>
          <t>☑</t>
        </is>
      </c>
      <c r="AV64" s="78" t="inlineStr">
        <is>
          <t>—</t>
        </is>
      </c>
      <c r="AW64" s="78" t="inlineStr">
        <is>
          <t>—</t>
        </is>
      </c>
      <c r="AX64" s="79" t="inlineStr">
        <is>
          <t>☑</t>
        </is>
      </c>
      <c r="AY64" s="79" t="inlineStr">
        <is>
          <t>☑</t>
        </is>
      </c>
      <c r="AZ64" s="79" t="inlineStr">
        <is>
          <t>☑</t>
        </is>
      </c>
      <c r="BA64" s="79" t="inlineStr">
        <is>
          <t>☑</t>
        </is>
      </c>
      <c r="BB64" s="79" t="inlineStr">
        <is>
          <t>☑</t>
        </is>
      </c>
      <c r="BC64" s="79" t="inlineStr">
        <is>
          <t>☑</t>
        </is>
      </c>
      <c r="BD64" s="79" t="inlineStr">
        <is>
          <t>☑</t>
        </is>
      </c>
      <c r="BE64" s="79" t="inlineStr">
        <is>
          <t>☑</t>
        </is>
      </c>
      <c r="BF64" s="78" t="inlineStr">
        <is>
          <t>☑</t>
        </is>
      </c>
      <c r="BG64" s="79" t="inlineStr">
        <is>
          <t>☑</t>
        </is>
      </c>
      <c r="BH64" s="79" t="inlineStr">
        <is>
          <t>☑</t>
        </is>
      </c>
      <c r="BI64" s="78" t="inlineStr">
        <is>
          <t>☑</t>
        </is>
      </c>
      <c r="BJ64" s="79" t="inlineStr">
        <is>
          <t>☑</t>
        </is>
      </c>
      <c r="BK64" s="78" t="inlineStr">
        <is>
          <t>—</t>
        </is>
      </c>
      <c r="BL64" s="78" t="inlineStr">
        <is>
          <t>—</t>
        </is>
      </c>
      <c r="BM64" s="79" t="inlineStr">
        <is>
          <t>☑</t>
        </is>
      </c>
      <c r="BN64" s="79" t="inlineStr">
        <is>
          <t>☑</t>
        </is>
      </c>
      <c r="BO64" s="79" t="inlineStr">
        <is>
          <t>☑</t>
        </is>
      </c>
    </row>
    <row r="65">
      <c r="A65" s="79" t="n">
        <v>58</v>
      </c>
      <c r="B65" s="79" t="inlineStr">
        <is>
          <t>325106410058</t>
        </is>
      </c>
      <c r="C65" s="79" t="inlineStr">
        <is>
          <t>VEDA VARSHIT GOKAVARAPU</t>
        </is>
      </c>
      <c r="D65" s="78" t="inlineStr">
        <is>
          <t>—</t>
        </is>
      </c>
      <c r="E65" s="79" t="inlineStr">
        <is>
          <t>☑</t>
        </is>
      </c>
      <c r="F65" s="79" t="inlineStr">
        <is>
          <t>☑</t>
        </is>
      </c>
      <c r="G65" s="79" t="inlineStr">
        <is>
          <t>☑</t>
        </is>
      </c>
      <c r="H65" s="79" t="inlineStr">
        <is>
          <t>☑</t>
        </is>
      </c>
      <c r="I65" s="79" t="inlineStr">
        <is>
          <t>☑</t>
        </is>
      </c>
      <c r="J65" s="79" t="inlineStr">
        <is>
          <t>☑</t>
        </is>
      </c>
      <c r="K65" s="79" t="inlineStr">
        <is>
          <t>☑</t>
        </is>
      </c>
      <c r="L65" s="79" t="inlineStr">
        <is>
          <t>☑</t>
        </is>
      </c>
      <c r="M65" s="78" t="inlineStr">
        <is>
          <t>☑</t>
        </is>
      </c>
      <c r="N65" s="79" t="inlineStr">
        <is>
          <t>☑</t>
        </is>
      </c>
      <c r="O65" s="79" t="inlineStr">
        <is>
          <t>☑</t>
        </is>
      </c>
      <c r="P65" s="78" t="inlineStr">
        <is>
          <t>☑</t>
        </is>
      </c>
      <c r="Q65" s="79" t="inlineStr">
        <is>
          <t>☑</t>
        </is>
      </c>
      <c r="R65" s="78" t="inlineStr">
        <is>
          <t>—</t>
        </is>
      </c>
      <c r="S65" s="78" t="inlineStr">
        <is>
          <t>—</t>
        </is>
      </c>
      <c r="T65" s="79" t="inlineStr">
        <is>
          <t>☑</t>
        </is>
      </c>
      <c r="U65" s="79" t="inlineStr">
        <is>
          <t>☑</t>
        </is>
      </c>
      <c r="V65" s="79" t="inlineStr">
        <is>
          <t>☑</t>
        </is>
      </c>
      <c r="W65" s="79" t="inlineStr">
        <is>
          <t>☑</t>
        </is>
      </c>
      <c r="X65" s="79" t="inlineStr">
        <is>
          <t>☑</t>
        </is>
      </c>
      <c r="Y65" s="79" t="inlineStr">
        <is>
          <t>☑</t>
        </is>
      </c>
      <c r="Z65" s="79" t="inlineStr">
        <is>
          <t>☑</t>
        </is>
      </c>
      <c r="AA65" s="79" t="inlineStr">
        <is>
          <t>☑</t>
        </is>
      </c>
      <c r="AB65" s="78" t="inlineStr">
        <is>
          <t>☑</t>
        </is>
      </c>
      <c r="AC65" s="79" t="inlineStr">
        <is>
          <t>☑</t>
        </is>
      </c>
      <c r="AD65" s="79" t="inlineStr">
        <is>
          <t>☑</t>
        </is>
      </c>
      <c r="AE65" s="78" t="inlineStr">
        <is>
          <t>☑</t>
        </is>
      </c>
      <c r="AF65" s="79" t="inlineStr">
        <is>
          <t>☑</t>
        </is>
      </c>
      <c r="AG65" s="78" t="inlineStr">
        <is>
          <t>—</t>
        </is>
      </c>
      <c r="AH65" s="78" t="inlineStr">
        <is>
          <t>—</t>
        </is>
      </c>
      <c r="AI65" s="79" t="inlineStr">
        <is>
          <t>☑</t>
        </is>
      </c>
      <c r="AJ65" s="79" t="inlineStr">
        <is>
          <t>☑</t>
        </is>
      </c>
      <c r="AK65" s="79" t="inlineStr">
        <is>
          <t>☑</t>
        </is>
      </c>
      <c r="AL65" s="79" t="inlineStr">
        <is>
          <t>☑</t>
        </is>
      </c>
      <c r="AM65" s="79" t="inlineStr">
        <is>
          <t>☑</t>
        </is>
      </c>
      <c r="AN65" s="79" t="inlineStr">
        <is>
          <t>☑</t>
        </is>
      </c>
      <c r="AO65" s="79" t="inlineStr">
        <is>
          <t>☑</t>
        </is>
      </c>
      <c r="AP65" s="79" t="inlineStr">
        <is>
          <t>☑</t>
        </is>
      </c>
      <c r="AQ65" s="78" t="inlineStr">
        <is>
          <t>☑</t>
        </is>
      </c>
      <c r="AR65" s="79" t="inlineStr">
        <is>
          <t>☑</t>
        </is>
      </c>
      <c r="AS65" s="79" t="inlineStr">
        <is>
          <t>☑</t>
        </is>
      </c>
      <c r="AT65" s="78" t="inlineStr">
        <is>
          <t>☑</t>
        </is>
      </c>
      <c r="AU65" s="79" t="inlineStr">
        <is>
          <t>☑</t>
        </is>
      </c>
      <c r="AV65" s="78" t="inlineStr">
        <is>
          <t>—</t>
        </is>
      </c>
      <c r="AW65" s="78" t="inlineStr">
        <is>
          <t>—</t>
        </is>
      </c>
      <c r="AX65" s="79" t="inlineStr">
        <is>
          <t>☑</t>
        </is>
      </c>
      <c r="AY65" s="79" t="inlineStr">
        <is>
          <t>☑</t>
        </is>
      </c>
      <c r="AZ65" s="79" t="inlineStr">
        <is>
          <t>☑</t>
        </is>
      </c>
      <c r="BA65" s="79" t="inlineStr">
        <is>
          <t>☑</t>
        </is>
      </c>
      <c r="BB65" s="79" t="inlineStr">
        <is>
          <t>☑</t>
        </is>
      </c>
      <c r="BC65" s="79" t="inlineStr">
        <is>
          <t>☑</t>
        </is>
      </c>
      <c r="BD65" s="79" t="inlineStr">
        <is>
          <t>☑</t>
        </is>
      </c>
      <c r="BE65" s="79" t="inlineStr">
        <is>
          <t>☑</t>
        </is>
      </c>
      <c r="BF65" s="78" t="inlineStr">
        <is>
          <t>☑</t>
        </is>
      </c>
      <c r="BG65" s="79" t="inlineStr">
        <is>
          <t>☑</t>
        </is>
      </c>
      <c r="BH65" s="79" t="inlineStr">
        <is>
          <t>☑</t>
        </is>
      </c>
      <c r="BI65" s="78" t="inlineStr">
        <is>
          <t>☑</t>
        </is>
      </c>
      <c r="BJ65" s="79" t="inlineStr">
        <is>
          <t>☑</t>
        </is>
      </c>
      <c r="BK65" s="78" t="inlineStr">
        <is>
          <t>—</t>
        </is>
      </c>
      <c r="BL65" s="78" t="inlineStr">
        <is>
          <t>—</t>
        </is>
      </c>
      <c r="BM65" s="79" t="inlineStr">
        <is>
          <t>☑</t>
        </is>
      </c>
      <c r="BN65" s="79" t="inlineStr">
        <is>
          <t>☑</t>
        </is>
      </c>
      <c r="BO65" s="79" t="inlineStr">
        <is>
          <t>☑</t>
        </is>
      </c>
    </row>
    <row r="66">
      <c r="A66" s="79" t="n">
        <v>59</v>
      </c>
      <c r="B66" s="79" t="inlineStr">
        <is>
          <t>325106410059</t>
        </is>
      </c>
      <c r="C66" s="79" t="inlineStr">
        <is>
          <t>SAI KEERTHANA VEMURI</t>
        </is>
      </c>
      <c r="D66" s="78" t="inlineStr">
        <is>
          <t>—</t>
        </is>
      </c>
      <c r="E66" s="79" t="inlineStr">
        <is>
          <t>☑</t>
        </is>
      </c>
      <c r="F66" s="79" t="inlineStr">
        <is>
          <t>☑</t>
        </is>
      </c>
      <c r="G66" s="79" t="inlineStr">
        <is>
          <t>☑</t>
        </is>
      </c>
      <c r="H66" s="79" t="inlineStr">
        <is>
          <t>☑</t>
        </is>
      </c>
      <c r="I66" s="79" t="inlineStr">
        <is>
          <t>☑</t>
        </is>
      </c>
      <c r="J66" s="79" t="inlineStr">
        <is>
          <t>☑</t>
        </is>
      </c>
      <c r="K66" s="79" t="inlineStr">
        <is>
          <t>☑</t>
        </is>
      </c>
      <c r="L66" s="79" t="inlineStr">
        <is>
          <t>☑</t>
        </is>
      </c>
      <c r="M66" s="78" t="inlineStr">
        <is>
          <t>☑</t>
        </is>
      </c>
      <c r="N66" s="79" t="inlineStr">
        <is>
          <t>☑</t>
        </is>
      </c>
      <c r="O66" s="79" t="inlineStr">
        <is>
          <t>☑</t>
        </is>
      </c>
      <c r="P66" s="78" t="inlineStr">
        <is>
          <t>☑</t>
        </is>
      </c>
      <c r="Q66" s="79" t="inlineStr">
        <is>
          <t>☑</t>
        </is>
      </c>
      <c r="R66" s="78" t="inlineStr">
        <is>
          <t>—</t>
        </is>
      </c>
      <c r="S66" s="78" t="inlineStr">
        <is>
          <t>—</t>
        </is>
      </c>
      <c r="T66" s="79" t="inlineStr">
        <is>
          <t>☑</t>
        </is>
      </c>
      <c r="U66" s="79" t="inlineStr">
        <is>
          <t>☑</t>
        </is>
      </c>
      <c r="V66" s="79" t="inlineStr">
        <is>
          <t>☑</t>
        </is>
      </c>
      <c r="W66" s="79" t="inlineStr">
        <is>
          <t>☑</t>
        </is>
      </c>
      <c r="X66" s="79" t="inlineStr">
        <is>
          <t>☑</t>
        </is>
      </c>
      <c r="Y66" s="79" t="inlineStr">
        <is>
          <t>☑</t>
        </is>
      </c>
      <c r="Z66" s="79" t="inlineStr">
        <is>
          <t>☑</t>
        </is>
      </c>
      <c r="AA66" s="79" t="inlineStr">
        <is>
          <t>☑</t>
        </is>
      </c>
      <c r="AB66" s="78" t="inlineStr">
        <is>
          <t>☑</t>
        </is>
      </c>
      <c r="AC66" s="79" t="inlineStr">
        <is>
          <t>☑</t>
        </is>
      </c>
      <c r="AD66" s="79" t="inlineStr">
        <is>
          <t>☑</t>
        </is>
      </c>
      <c r="AE66" s="78" t="inlineStr">
        <is>
          <t>☑</t>
        </is>
      </c>
      <c r="AF66" s="79" t="inlineStr">
        <is>
          <t>☑</t>
        </is>
      </c>
      <c r="AG66" s="78" t="inlineStr">
        <is>
          <t>—</t>
        </is>
      </c>
      <c r="AH66" s="78" t="inlineStr">
        <is>
          <t>—</t>
        </is>
      </c>
      <c r="AI66" s="79" t="inlineStr">
        <is>
          <t>☑</t>
        </is>
      </c>
      <c r="AJ66" s="79" t="inlineStr">
        <is>
          <t>☑</t>
        </is>
      </c>
      <c r="AK66" s="79" t="inlineStr">
        <is>
          <t>☑</t>
        </is>
      </c>
      <c r="AL66" s="79" t="inlineStr">
        <is>
          <t>☑</t>
        </is>
      </c>
      <c r="AM66" s="79" t="inlineStr">
        <is>
          <t>☑</t>
        </is>
      </c>
      <c r="AN66" s="79" t="inlineStr">
        <is>
          <t>☑</t>
        </is>
      </c>
      <c r="AO66" s="79" t="inlineStr">
        <is>
          <t>☑</t>
        </is>
      </c>
      <c r="AP66" s="79" t="inlineStr">
        <is>
          <t>☑</t>
        </is>
      </c>
      <c r="AQ66" s="78" t="inlineStr">
        <is>
          <t>☑</t>
        </is>
      </c>
      <c r="AR66" s="79" t="inlineStr">
        <is>
          <t>☑</t>
        </is>
      </c>
      <c r="AS66" s="79" t="inlineStr">
        <is>
          <t>☑</t>
        </is>
      </c>
      <c r="AT66" s="78" t="inlineStr">
        <is>
          <t>☑</t>
        </is>
      </c>
      <c r="AU66" s="79" t="inlineStr">
        <is>
          <t>☑</t>
        </is>
      </c>
      <c r="AV66" s="78" t="inlineStr">
        <is>
          <t>—</t>
        </is>
      </c>
      <c r="AW66" s="78" t="inlineStr">
        <is>
          <t>—</t>
        </is>
      </c>
      <c r="AX66" s="79" t="inlineStr">
        <is>
          <t>☑</t>
        </is>
      </c>
      <c r="AY66" s="79" t="inlineStr">
        <is>
          <t>☑</t>
        </is>
      </c>
      <c r="AZ66" s="79" t="inlineStr">
        <is>
          <t>☑</t>
        </is>
      </c>
      <c r="BA66" s="79" t="inlineStr">
        <is>
          <t>☑</t>
        </is>
      </c>
      <c r="BB66" s="79" t="inlineStr">
        <is>
          <t>☑</t>
        </is>
      </c>
      <c r="BC66" s="79" t="inlineStr">
        <is>
          <t>☑</t>
        </is>
      </c>
      <c r="BD66" s="79" t="inlineStr">
        <is>
          <t>☑</t>
        </is>
      </c>
      <c r="BE66" s="79" t="inlineStr">
        <is>
          <t>☑</t>
        </is>
      </c>
      <c r="BF66" s="78" t="inlineStr">
        <is>
          <t>☑</t>
        </is>
      </c>
      <c r="BG66" s="79" t="inlineStr">
        <is>
          <t>☑</t>
        </is>
      </c>
      <c r="BH66" s="79" t="inlineStr">
        <is>
          <t>☑</t>
        </is>
      </c>
      <c r="BI66" s="78" t="inlineStr">
        <is>
          <t>☑</t>
        </is>
      </c>
      <c r="BJ66" s="79" t="inlineStr">
        <is>
          <t>☑</t>
        </is>
      </c>
      <c r="BK66" s="78" t="inlineStr">
        <is>
          <t>—</t>
        </is>
      </c>
      <c r="BL66" s="78" t="inlineStr">
        <is>
          <t>—</t>
        </is>
      </c>
      <c r="BM66" s="79" t="inlineStr">
        <is>
          <t>☑</t>
        </is>
      </c>
      <c r="BN66" s="79" t="inlineStr">
        <is>
          <t>☑</t>
        </is>
      </c>
      <c r="BO66" s="79" t="inlineStr">
        <is>
          <t>☑</t>
        </is>
      </c>
    </row>
    <row r="67">
      <c r="A67" s="79" t="n">
        <v>60</v>
      </c>
      <c r="B67" s="79" t="inlineStr">
        <is>
          <t>325106410060</t>
        </is>
      </c>
      <c r="C67" s="79" t="inlineStr">
        <is>
          <t>MANJULA VENGALA</t>
        </is>
      </c>
      <c r="D67" s="78" t="inlineStr">
        <is>
          <t>—</t>
        </is>
      </c>
      <c r="E67" s="79" t="inlineStr">
        <is>
          <t>☑</t>
        </is>
      </c>
      <c r="F67" s="79" t="inlineStr">
        <is>
          <t>☑</t>
        </is>
      </c>
      <c r="G67" s="79" t="inlineStr">
        <is>
          <t>☑</t>
        </is>
      </c>
      <c r="H67" s="79" t="inlineStr">
        <is>
          <t>☑</t>
        </is>
      </c>
      <c r="I67" s="79" t="inlineStr">
        <is>
          <t>☑</t>
        </is>
      </c>
      <c r="J67" s="79" t="inlineStr">
        <is>
          <t>☑</t>
        </is>
      </c>
      <c r="K67" s="79" t="inlineStr">
        <is>
          <t>☑</t>
        </is>
      </c>
      <c r="L67" s="79" t="inlineStr">
        <is>
          <t>☑</t>
        </is>
      </c>
      <c r="M67" s="78" t="inlineStr">
        <is>
          <t>☑</t>
        </is>
      </c>
      <c r="N67" s="79" t="inlineStr">
        <is>
          <t>☑</t>
        </is>
      </c>
      <c r="O67" s="79" t="inlineStr">
        <is>
          <t>☑</t>
        </is>
      </c>
      <c r="P67" s="78" t="inlineStr">
        <is>
          <t>☑</t>
        </is>
      </c>
      <c r="Q67" s="79" t="inlineStr">
        <is>
          <t>☑</t>
        </is>
      </c>
      <c r="R67" s="78" t="inlineStr">
        <is>
          <t>—</t>
        </is>
      </c>
      <c r="S67" s="78" t="inlineStr">
        <is>
          <t>—</t>
        </is>
      </c>
      <c r="T67" s="79" t="inlineStr">
        <is>
          <t>☑</t>
        </is>
      </c>
      <c r="U67" s="79" t="inlineStr">
        <is>
          <t>☑</t>
        </is>
      </c>
      <c r="V67" s="79" t="inlineStr">
        <is>
          <t>☑</t>
        </is>
      </c>
      <c r="W67" s="79" t="inlineStr">
        <is>
          <t>☑</t>
        </is>
      </c>
      <c r="X67" s="79" t="inlineStr">
        <is>
          <t>☑</t>
        </is>
      </c>
      <c r="Y67" s="79" t="inlineStr">
        <is>
          <t>☑</t>
        </is>
      </c>
      <c r="Z67" s="79" t="inlineStr">
        <is>
          <t>☑</t>
        </is>
      </c>
      <c r="AA67" s="79" t="inlineStr">
        <is>
          <t>☑</t>
        </is>
      </c>
      <c r="AB67" s="78" t="inlineStr">
        <is>
          <t>☑</t>
        </is>
      </c>
      <c r="AC67" s="79" t="inlineStr">
        <is>
          <t>☑</t>
        </is>
      </c>
      <c r="AD67" s="79" t="inlineStr">
        <is>
          <t>☑</t>
        </is>
      </c>
      <c r="AE67" s="78" t="inlineStr">
        <is>
          <t>☑</t>
        </is>
      </c>
      <c r="AF67" s="79" t="inlineStr">
        <is>
          <t>☑</t>
        </is>
      </c>
      <c r="AG67" s="78" t="inlineStr">
        <is>
          <t>—</t>
        </is>
      </c>
      <c r="AH67" s="78" t="inlineStr">
        <is>
          <t>—</t>
        </is>
      </c>
      <c r="AI67" s="79" t="inlineStr">
        <is>
          <t>☑</t>
        </is>
      </c>
      <c r="AJ67" s="79" t="inlineStr">
        <is>
          <t>☑</t>
        </is>
      </c>
      <c r="AK67" s="79" t="inlineStr">
        <is>
          <t>☑</t>
        </is>
      </c>
      <c r="AL67" s="79" t="inlineStr">
        <is>
          <t>☑</t>
        </is>
      </c>
      <c r="AM67" s="79" t="inlineStr">
        <is>
          <t>☑</t>
        </is>
      </c>
      <c r="AN67" s="79" t="inlineStr">
        <is>
          <t>☑</t>
        </is>
      </c>
      <c r="AO67" s="79" t="inlineStr">
        <is>
          <t>☑</t>
        </is>
      </c>
      <c r="AP67" s="79" t="inlineStr">
        <is>
          <t>☑</t>
        </is>
      </c>
      <c r="AQ67" s="78" t="inlineStr">
        <is>
          <t>☑</t>
        </is>
      </c>
      <c r="AR67" s="79" t="inlineStr">
        <is>
          <t>☑</t>
        </is>
      </c>
      <c r="AS67" s="79" t="inlineStr">
        <is>
          <t>☑</t>
        </is>
      </c>
      <c r="AT67" s="78" t="inlineStr">
        <is>
          <t>☑</t>
        </is>
      </c>
      <c r="AU67" s="79" t="inlineStr">
        <is>
          <t>☑</t>
        </is>
      </c>
      <c r="AV67" s="78" t="inlineStr">
        <is>
          <t>—</t>
        </is>
      </c>
      <c r="AW67" s="78" t="inlineStr">
        <is>
          <t>—</t>
        </is>
      </c>
      <c r="AX67" s="79" t="inlineStr">
        <is>
          <t>☑</t>
        </is>
      </c>
      <c r="AY67" s="79" t="inlineStr">
        <is>
          <t>☑</t>
        </is>
      </c>
      <c r="AZ67" s="79" t="inlineStr">
        <is>
          <t>☑</t>
        </is>
      </c>
      <c r="BA67" s="79" t="inlineStr">
        <is>
          <t>☑</t>
        </is>
      </c>
      <c r="BB67" s="79" t="inlineStr">
        <is>
          <t>☑</t>
        </is>
      </c>
      <c r="BC67" s="79" t="inlineStr">
        <is>
          <t>☑</t>
        </is>
      </c>
      <c r="BD67" s="79" t="inlineStr">
        <is>
          <t>☑</t>
        </is>
      </c>
      <c r="BE67" s="79" t="inlineStr">
        <is>
          <t>☑</t>
        </is>
      </c>
      <c r="BF67" s="78" t="inlineStr">
        <is>
          <t>☑</t>
        </is>
      </c>
      <c r="BG67" s="79" t="inlineStr">
        <is>
          <t>☑</t>
        </is>
      </c>
      <c r="BH67" s="79" t="inlineStr">
        <is>
          <t>☑</t>
        </is>
      </c>
      <c r="BI67" s="78" t="inlineStr">
        <is>
          <t>☑</t>
        </is>
      </c>
      <c r="BJ67" s="79" t="inlineStr">
        <is>
          <t>☑</t>
        </is>
      </c>
      <c r="BK67" s="78" t="inlineStr">
        <is>
          <t>—</t>
        </is>
      </c>
      <c r="BL67" s="78" t="inlineStr">
        <is>
          <t>—</t>
        </is>
      </c>
      <c r="BM67" s="79" t="inlineStr">
        <is>
          <t>☑</t>
        </is>
      </c>
      <c r="BN67" s="79" t="inlineStr">
        <is>
          <t>☑</t>
        </is>
      </c>
      <c r="BO67" s="79" t="inlineStr">
        <is>
          <t>☑</t>
        </is>
      </c>
    </row>
    <row r="68">
      <c r="A68" s="79" t="n">
        <v>61</v>
      </c>
      <c r="B68" s="79" t="inlineStr">
        <is>
          <t>325106410061</t>
        </is>
      </c>
      <c r="C68" s="79" t="inlineStr">
        <is>
          <t>GOKUL SAI YANNAMANENI</t>
        </is>
      </c>
      <c r="D68" s="78" t="inlineStr">
        <is>
          <t>—</t>
        </is>
      </c>
      <c r="E68" s="79" t="inlineStr">
        <is>
          <t>☑</t>
        </is>
      </c>
      <c r="F68" s="79" t="inlineStr">
        <is>
          <t>☑</t>
        </is>
      </c>
      <c r="G68" s="79" t="inlineStr">
        <is>
          <t>☑</t>
        </is>
      </c>
      <c r="H68" s="79" t="inlineStr">
        <is>
          <t>☑</t>
        </is>
      </c>
      <c r="I68" s="79" t="inlineStr">
        <is>
          <t>☑</t>
        </is>
      </c>
      <c r="J68" s="79" t="inlineStr">
        <is>
          <t>☑</t>
        </is>
      </c>
      <c r="K68" s="79" t="inlineStr">
        <is>
          <t>☑</t>
        </is>
      </c>
      <c r="L68" s="79" t="inlineStr">
        <is>
          <t>☑</t>
        </is>
      </c>
      <c r="M68" s="78" t="inlineStr">
        <is>
          <t>☑</t>
        </is>
      </c>
      <c r="N68" s="79" t="inlineStr">
        <is>
          <t>☑</t>
        </is>
      </c>
      <c r="O68" s="79" t="inlineStr">
        <is>
          <t>☑</t>
        </is>
      </c>
      <c r="P68" s="78" t="inlineStr">
        <is>
          <t>☑</t>
        </is>
      </c>
      <c r="Q68" s="79" t="inlineStr">
        <is>
          <t>☑</t>
        </is>
      </c>
      <c r="R68" s="78" t="inlineStr">
        <is>
          <t>—</t>
        </is>
      </c>
      <c r="S68" s="78" t="inlineStr">
        <is>
          <t>—</t>
        </is>
      </c>
      <c r="T68" s="79" t="inlineStr">
        <is>
          <t>☑</t>
        </is>
      </c>
      <c r="U68" s="79" t="inlineStr">
        <is>
          <t>☑</t>
        </is>
      </c>
      <c r="V68" s="79" t="inlineStr">
        <is>
          <t>☑</t>
        </is>
      </c>
      <c r="W68" s="79" t="inlineStr">
        <is>
          <t>☑</t>
        </is>
      </c>
      <c r="X68" s="79" t="inlineStr">
        <is>
          <t>☑</t>
        </is>
      </c>
      <c r="Y68" s="79" t="inlineStr">
        <is>
          <t>☑</t>
        </is>
      </c>
      <c r="Z68" s="79" t="inlineStr">
        <is>
          <t>☑</t>
        </is>
      </c>
      <c r="AA68" s="79" t="inlineStr">
        <is>
          <t>☑</t>
        </is>
      </c>
      <c r="AB68" s="78" t="inlineStr">
        <is>
          <t>☑</t>
        </is>
      </c>
      <c r="AC68" s="79" t="inlineStr">
        <is>
          <t>☑</t>
        </is>
      </c>
      <c r="AD68" s="79" t="inlineStr">
        <is>
          <t>☑</t>
        </is>
      </c>
      <c r="AE68" s="78" t="inlineStr">
        <is>
          <t>☑</t>
        </is>
      </c>
      <c r="AF68" s="79" t="inlineStr">
        <is>
          <t>☑</t>
        </is>
      </c>
      <c r="AG68" s="78" t="inlineStr">
        <is>
          <t>—</t>
        </is>
      </c>
      <c r="AH68" s="78" t="inlineStr">
        <is>
          <t>—</t>
        </is>
      </c>
      <c r="AI68" s="79" t="inlineStr">
        <is>
          <t>☑</t>
        </is>
      </c>
      <c r="AJ68" s="79" t="inlineStr">
        <is>
          <t>☑</t>
        </is>
      </c>
      <c r="AK68" s="79" t="inlineStr">
        <is>
          <t>☑</t>
        </is>
      </c>
      <c r="AL68" s="79" t="inlineStr">
        <is>
          <t>☑</t>
        </is>
      </c>
      <c r="AM68" s="79" t="inlineStr">
        <is>
          <t>☑</t>
        </is>
      </c>
      <c r="AN68" s="79" t="inlineStr">
        <is>
          <t>☑</t>
        </is>
      </c>
      <c r="AO68" s="79" t="inlineStr">
        <is>
          <t>☑</t>
        </is>
      </c>
      <c r="AP68" s="79" t="inlineStr">
        <is>
          <t>☑</t>
        </is>
      </c>
      <c r="AQ68" s="78" t="inlineStr">
        <is>
          <t>☑</t>
        </is>
      </c>
      <c r="AR68" s="79" t="inlineStr">
        <is>
          <t>☑</t>
        </is>
      </c>
      <c r="AS68" s="79" t="inlineStr">
        <is>
          <t>☑</t>
        </is>
      </c>
      <c r="AT68" s="78" t="inlineStr">
        <is>
          <t>☑</t>
        </is>
      </c>
      <c r="AU68" s="79" t="inlineStr">
        <is>
          <t>☑</t>
        </is>
      </c>
      <c r="AV68" s="78" t="inlineStr">
        <is>
          <t>—</t>
        </is>
      </c>
      <c r="AW68" s="78" t="inlineStr">
        <is>
          <t>—</t>
        </is>
      </c>
      <c r="AX68" s="79" t="inlineStr">
        <is>
          <t>☑</t>
        </is>
      </c>
      <c r="AY68" s="79" t="inlineStr">
        <is>
          <t>☑</t>
        </is>
      </c>
      <c r="AZ68" s="79" t="inlineStr">
        <is>
          <t>☑</t>
        </is>
      </c>
      <c r="BA68" s="79" t="inlineStr">
        <is>
          <t>☑</t>
        </is>
      </c>
      <c r="BB68" s="79" t="inlineStr">
        <is>
          <t>☑</t>
        </is>
      </c>
      <c r="BC68" s="79" t="inlineStr">
        <is>
          <t>☑</t>
        </is>
      </c>
      <c r="BD68" s="79" t="inlineStr">
        <is>
          <t>☑</t>
        </is>
      </c>
      <c r="BE68" s="79" t="inlineStr">
        <is>
          <t>☑</t>
        </is>
      </c>
      <c r="BF68" s="78" t="inlineStr">
        <is>
          <t>☑</t>
        </is>
      </c>
      <c r="BG68" s="79" t="inlineStr">
        <is>
          <t>☑</t>
        </is>
      </c>
      <c r="BH68" s="79" t="inlineStr">
        <is>
          <t>☑</t>
        </is>
      </c>
      <c r="BI68" s="78" t="inlineStr">
        <is>
          <t>☑</t>
        </is>
      </c>
      <c r="BJ68" s="79" t="inlineStr">
        <is>
          <t>☑</t>
        </is>
      </c>
      <c r="BK68" s="78" t="inlineStr">
        <is>
          <t>—</t>
        </is>
      </c>
      <c r="BL68" s="78" t="inlineStr">
        <is>
          <t>—</t>
        </is>
      </c>
      <c r="BM68" s="79" t="inlineStr">
        <is>
          <t>☑</t>
        </is>
      </c>
      <c r="BN68" s="79" t="inlineStr">
        <is>
          <t>☑</t>
        </is>
      </c>
      <c r="BO68" s="79" t="inlineStr">
        <is>
          <t>☑</t>
        </is>
      </c>
    </row>
    <row r="69">
      <c r="A69" s="79" t="n">
        <v>62</v>
      </c>
      <c r="B69" s="79" t="inlineStr">
        <is>
          <t>325106410062</t>
        </is>
      </c>
      <c r="C69" s="79" t="inlineStr">
        <is>
          <t>SRI AKSHITH YELLAI</t>
        </is>
      </c>
      <c r="D69" s="78" t="inlineStr">
        <is>
          <t>—</t>
        </is>
      </c>
      <c r="E69" s="79" t="inlineStr">
        <is>
          <t>☑</t>
        </is>
      </c>
      <c r="F69" s="79" t="inlineStr">
        <is>
          <t>☑</t>
        </is>
      </c>
      <c r="G69" s="79" t="inlineStr">
        <is>
          <t>☑</t>
        </is>
      </c>
      <c r="H69" s="79" t="inlineStr">
        <is>
          <t>☑</t>
        </is>
      </c>
      <c r="I69" s="79" t="inlineStr">
        <is>
          <t>☑</t>
        </is>
      </c>
      <c r="J69" s="79" t="inlineStr">
        <is>
          <t>☑</t>
        </is>
      </c>
      <c r="K69" s="79" t="inlineStr">
        <is>
          <t>☑</t>
        </is>
      </c>
      <c r="L69" s="79" t="inlineStr">
        <is>
          <t>☑</t>
        </is>
      </c>
      <c r="M69" s="78" t="inlineStr">
        <is>
          <t>☑</t>
        </is>
      </c>
      <c r="N69" s="79" t="inlineStr">
        <is>
          <t>☑</t>
        </is>
      </c>
      <c r="O69" s="79" t="inlineStr">
        <is>
          <t>☑</t>
        </is>
      </c>
      <c r="P69" s="78" t="inlineStr">
        <is>
          <t>☑</t>
        </is>
      </c>
      <c r="Q69" s="79" t="inlineStr">
        <is>
          <t>☑</t>
        </is>
      </c>
      <c r="R69" s="78" t="inlineStr">
        <is>
          <t>—</t>
        </is>
      </c>
      <c r="S69" s="78" t="inlineStr">
        <is>
          <t>—</t>
        </is>
      </c>
      <c r="T69" s="79" t="inlineStr">
        <is>
          <t>☑</t>
        </is>
      </c>
      <c r="U69" s="79" t="inlineStr">
        <is>
          <t>☑</t>
        </is>
      </c>
      <c r="V69" s="79" t="inlineStr">
        <is>
          <t>☑</t>
        </is>
      </c>
      <c r="W69" s="79" t="inlineStr">
        <is>
          <t>☑</t>
        </is>
      </c>
      <c r="X69" s="79" t="inlineStr">
        <is>
          <t>☑</t>
        </is>
      </c>
      <c r="Y69" s="79" t="inlineStr">
        <is>
          <t>☑</t>
        </is>
      </c>
      <c r="Z69" s="79" t="inlineStr">
        <is>
          <t>☑</t>
        </is>
      </c>
      <c r="AA69" s="79" t="inlineStr">
        <is>
          <t>☑</t>
        </is>
      </c>
      <c r="AB69" s="78" t="inlineStr">
        <is>
          <t>☑</t>
        </is>
      </c>
      <c r="AC69" s="79" t="inlineStr">
        <is>
          <t>☑</t>
        </is>
      </c>
      <c r="AD69" s="79" t="inlineStr">
        <is>
          <t>☑</t>
        </is>
      </c>
      <c r="AE69" s="78" t="inlineStr">
        <is>
          <t>☑</t>
        </is>
      </c>
      <c r="AF69" s="79" t="inlineStr">
        <is>
          <t>☑</t>
        </is>
      </c>
      <c r="AG69" s="78" t="inlineStr">
        <is>
          <t>—</t>
        </is>
      </c>
      <c r="AH69" s="78" t="inlineStr">
        <is>
          <t>—</t>
        </is>
      </c>
      <c r="AI69" s="79" t="inlineStr">
        <is>
          <t>☑</t>
        </is>
      </c>
      <c r="AJ69" s="79" t="inlineStr">
        <is>
          <t>☑</t>
        </is>
      </c>
      <c r="AK69" s="79" t="inlineStr">
        <is>
          <t>☑</t>
        </is>
      </c>
      <c r="AL69" s="79" t="inlineStr">
        <is>
          <t>☑</t>
        </is>
      </c>
      <c r="AM69" s="79" t="inlineStr">
        <is>
          <t>☑</t>
        </is>
      </c>
      <c r="AN69" s="79" t="inlineStr">
        <is>
          <t>☑</t>
        </is>
      </c>
      <c r="AO69" s="79" t="inlineStr">
        <is>
          <t>☑</t>
        </is>
      </c>
      <c r="AP69" s="79" t="inlineStr">
        <is>
          <t>☑</t>
        </is>
      </c>
      <c r="AQ69" s="78" t="inlineStr">
        <is>
          <t>☑</t>
        </is>
      </c>
      <c r="AR69" s="79" t="inlineStr">
        <is>
          <t>☑</t>
        </is>
      </c>
      <c r="AS69" s="79" t="inlineStr">
        <is>
          <t>☑</t>
        </is>
      </c>
      <c r="AT69" s="78" t="inlineStr">
        <is>
          <t>☑</t>
        </is>
      </c>
      <c r="AU69" s="79" t="inlineStr">
        <is>
          <t>☑</t>
        </is>
      </c>
      <c r="AV69" s="78" t="inlineStr">
        <is>
          <t>—</t>
        </is>
      </c>
      <c r="AW69" s="78" t="inlineStr">
        <is>
          <t>—</t>
        </is>
      </c>
      <c r="AX69" s="79" t="inlineStr">
        <is>
          <t>☑</t>
        </is>
      </c>
      <c r="AY69" s="79" t="inlineStr">
        <is>
          <t>☑</t>
        </is>
      </c>
      <c r="AZ69" s="79" t="inlineStr">
        <is>
          <t>☑</t>
        </is>
      </c>
      <c r="BA69" s="79" t="inlineStr">
        <is>
          <t>☑</t>
        </is>
      </c>
      <c r="BB69" s="79" t="inlineStr">
        <is>
          <t>☑</t>
        </is>
      </c>
      <c r="BC69" s="79" t="inlineStr">
        <is>
          <t>☑</t>
        </is>
      </c>
      <c r="BD69" s="79" t="inlineStr">
        <is>
          <t>☑</t>
        </is>
      </c>
      <c r="BE69" s="79" t="inlineStr">
        <is>
          <t>☑</t>
        </is>
      </c>
      <c r="BF69" s="78" t="inlineStr">
        <is>
          <t>☑</t>
        </is>
      </c>
      <c r="BG69" s="79" t="inlineStr">
        <is>
          <t>☑</t>
        </is>
      </c>
      <c r="BH69" s="79" t="inlineStr">
        <is>
          <t>☑</t>
        </is>
      </c>
      <c r="BI69" s="78" t="inlineStr">
        <is>
          <t>☑</t>
        </is>
      </c>
      <c r="BJ69" s="79" t="inlineStr">
        <is>
          <t>☑</t>
        </is>
      </c>
      <c r="BK69" s="78" t="inlineStr">
        <is>
          <t>—</t>
        </is>
      </c>
      <c r="BL69" s="78" t="inlineStr">
        <is>
          <t>—</t>
        </is>
      </c>
      <c r="BM69" s="79" t="inlineStr">
        <is>
          <t>☑</t>
        </is>
      </c>
      <c r="BN69" s="79" t="inlineStr">
        <is>
          <t>☑</t>
        </is>
      </c>
      <c r="BO69" s="79" t="inlineStr">
        <is>
          <t>☑</t>
        </is>
      </c>
    </row>
    <row r="70">
      <c r="A70" s="79" t="n">
        <v>63</v>
      </c>
      <c r="B70" s="79" t="inlineStr">
        <is>
          <t>325106410063</t>
        </is>
      </c>
      <c r="C70" s="79" t="inlineStr">
        <is>
          <t>VARSHA</t>
        </is>
      </c>
      <c r="D70" s="78" t="inlineStr">
        <is>
          <t>—</t>
        </is>
      </c>
      <c r="E70" s="79" t="inlineStr">
        <is>
          <t>☑</t>
        </is>
      </c>
      <c r="F70" s="79" t="inlineStr">
        <is>
          <t>☑</t>
        </is>
      </c>
      <c r="G70" s="79" t="inlineStr">
        <is>
          <t>☑</t>
        </is>
      </c>
      <c r="H70" s="79" t="inlineStr">
        <is>
          <t>☑</t>
        </is>
      </c>
      <c r="I70" s="79" t="inlineStr">
        <is>
          <t>☑</t>
        </is>
      </c>
      <c r="J70" s="79" t="inlineStr">
        <is>
          <t>☑</t>
        </is>
      </c>
      <c r="K70" s="79" t="inlineStr">
        <is>
          <t>☑</t>
        </is>
      </c>
      <c r="L70" s="79" t="inlineStr">
        <is>
          <t>☑</t>
        </is>
      </c>
      <c r="M70" s="78" t="inlineStr">
        <is>
          <t>☑</t>
        </is>
      </c>
      <c r="N70" s="79" t="inlineStr">
        <is>
          <t>☑</t>
        </is>
      </c>
      <c r="O70" s="79" t="inlineStr">
        <is>
          <t>☑</t>
        </is>
      </c>
      <c r="P70" s="78" t="inlineStr">
        <is>
          <t>☑</t>
        </is>
      </c>
      <c r="Q70" s="79" t="inlineStr">
        <is>
          <t>☑</t>
        </is>
      </c>
      <c r="R70" s="78" t="inlineStr">
        <is>
          <t>—</t>
        </is>
      </c>
      <c r="S70" s="78" t="inlineStr">
        <is>
          <t>—</t>
        </is>
      </c>
      <c r="T70" s="79" t="inlineStr">
        <is>
          <t>☑</t>
        </is>
      </c>
      <c r="U70" s="79" t="inlineStr">
        <is>
          <t>☑</t>
        </is>
      </c>
      <c r="V70" s="79" t="inlineStr">
        <is>
          <t>☑</t>
        </is>
      </c>
      <c r="W70" s="79" t="inlineStr">
        <is>
          <t>☑</t>
        </is>
      </c>
      <c r="X70" s="79" t="inlineStr">
        <is>
          <t>☑</t>
        </is>
      </c>
      <c r="Y70" s="79" t="inlineStr">
        <is>
          <t>☑</t>
        </is>
      </c>
      <c r="Z70" s="79" t="inlineStr">
        <is>
          <t>☑</t>
        </is>
      </c>
      <c r="AA70" s="79" t="inlineStr">
        <is>
          <t>☑</t>
        </is>
      </c>
      <c r="AB70" s="78" t="inlineStr">
        <is>
          <t>☑</t>
        </is>
      </c>
      <c r="AC70" s="79" t="inlineStr">
        <is>
          <t>☑</t>
        </is>
      </c>
      <c r="AD70" s="79" t="inlineStr">
        <is>
          <t>☑</t>
        </is>
      </c>
      <c r="AE70" s="78" t="inlineStr">
        <is>
          <t>☑</t>
        </is>
      </c>
      <c r="AF70" s="79" t="inlineStr">
        <is>
          <t>☑</t>
        </is>
      </c>
      <c r="AG70" s="78" t="inlineStr">
        <is>
          <t>—</t>
        </is>
      </c>
      <c r="AH70" s="78" t="inlineStr">
        <is>
          <t>—</t>
        </is>
      </c>
      <c r="AI70" s="79" t="inlineStr">
        <is>
          <t>☑</t>
        </is>
      </c>
      <c r="AJ70" s="79" t="inlineStr">
        <is>
          <t>☑</t>
        </is>
      </c>
      <c r="AK70" s="79" t="inlineStr">
        <is>
          <t>☑</t>
        </is>
      </c>
      <c r="AL70" s="79" t="inlineStr">
        <is>
          <t>☑</t>
        </is>
      </c>
      <c r="AM70" s="79" t="inlineStr">
        <is>
          <t>☑</t>
        </is>
      </c>
      <c r="AN70" s="79" t="inlineStr">
        <is>
          <t>☑</t>
        </is>
      </c>
      <c r="AO70" s="79" t="inlineStr">
        <is>
          <t>☑</t>
        </is>
      </c>
      <c r="AP70" s="79" t="inlineStr">
        <is>
          <t>☑</t>
        </is>
      </c>
      <c r="AQ70" s="78" t="inlineStr">
        <is>
          <t>☑</t>
        </is>
      </c>
      <c r="AR70" s="79" t="inlineStr">
        <is>
          <t>☑</t>
        </is>
      </c>
      <c r="AS70" s="79" t="inlineStr">
        <is>
          <t>☑</t>
        </is>
      </c>
      <c r="AT70" s="78" t="inlineStr">
        <is>
          <t>☑</t>
        </is>
      </c>
      <c r="AU70" s="79" t="inlineStr">
        <is>
          <t>☑</t>
        </is>
      </c>
      <c r="AV70" s="78" t="inlineStr">
        <is>
          <t>—</t>
        </is>
      </c>
      <c r="AW70" s="78" t="inlineStr">
        <is>
          <t>—</t>
        </is>
      </c>
      <c r="AX70" s="79" t="inlineStr">
        <is>
          <t>☑</t>
        </is>
      </c>
      <c r="AY70" s="79" t="inlineStr">
        <is>
          <t>☑</t>
        </is>
      </c>
      <c r="AZ70" s="79" t="inlineStr">
        <is>
          <t>☑</t>
        </is>
      </c>
      <c r="BA70" s="79" t="inlineStr">
        <is>
          <t>☑</t>
        </is>
      </c>
      <c r="BB70" s="79" t="inlineStr">
        <is>
          <t>☑</t>
        </is>
      </c>
      <c r="BC70" s="79" t="inlineStr">
        <is>
          <t>☑</t>
        </is>
      </c>
      <c r="BD70" s="79" t="inlineStr">
        <is>
          <t>☑</t>
        </is>
      </c>
      <c r="BE70" s="79" t="inlineStr">
        <is>
          <t>☑</t>
        </is>
      </c>
      <c r="BF70" s="78" t="inlineStr">
        <is>
          <t>☑</t>
        </is>
      </c>
      <c r="BG70" s="79" t="inlineStr">
        <is>
          <t>☑</t>
        </is>
      </c>
      <c r="BH70" s="79" t="inlineStr">
        <is>
          <t>☑</t>
        </is>
      </c>
      <c r="BI70" s="78" t="inlineStr">
        <is>
          <t>☑</t>
        </is>
      </c>
      <c r="BJ70" s="79" t="inlineStr">
        <is>
          <t>☑</t>
        </is>
      </c>
      <c r="BK70" s="78" t="inlineStr">
        <is>
          <t>—</t>
        </is>
      </c>
      <c r="BL70" s="78" t="inlineStr">
        <is>
          <t>—</t>
        </is>
      </c>
      <c r="BM70" s="79" t="inlineStr">
        <is>
          <t>☑</t>
        </is>
      </c>
      <c r="BN70" s="79" t="inlineStr">
        <is>
          <t>☑</t>
        </is>
      </c>
      <c r="BO70" s="79" t="inlineStr">
        <is>
          <t>☑</t>
        </is>
      </c>
    </row>
    <row r="71">
      <c r="A71" s="79" t="n">
        <v>64</v>
      </c>
      <c r="B71" s="79" t="inlineStr">
        <is>
          <t>325106410064</t>
        </is>
      </c>
      <c r="C71" s="79" t="inlineStr">
        <is>
          <t>KARTHIKEYA KOLANUKUDURU</t>
        </is>
      </c>
      <c r="D71" s="78" t="inlineStr">
        <is>
          <t>—</t>
        </is>
      </c>
      <c r="E71" s="79" t="inlineStr">
        <is>
          <t>☑</t>
        </is>
      </c>
      <c r="F71" s="79" t="inlineStr">
        <is>
          <t>☑</t>
        </is>
      </c>
      <c r="G71" s="79" t="inlineStr">
        <is>
          <t>☑</t>
        </is>
      </c>
      <c r="H71" s="79" t="inlineStr">
        <is>
          <t>☑</t>
        </is>
      </c>
      <c r="I71" s="79" t="inlineStr">
        <is>
          <t>☑</t>
        </is>
      </c>
      <c r="J71" s="79" t="inlineStr">
        <is>
          <t>☑</t>
        </is>
      </c>
      <c r="K71" s="79" t="inlineStr">
        <is>
          <t>☑</t>
        </is>
      </c>
      <c r="L71" s="79" t="inlineStr">
        <is>
          <t>☑</t>
        </is>
      </c>
      <c r="M71" s="78" t="inlineStr">
        <is>
          <t>☑</t>
        </is>
      </c>
      <c r="N71" s="79" t="inlineStr">
        <is>
          <t>☑</t>
        </is>
      </c>
      <c r="O71" s="79" t="inlineStr">
        <is>
          <t>☑</t>
        </is>
      </c>
      <c r="P71" s="78" t="inlineStr">
        <is>
          <t>☑</t>
        </is>
      </c>
      <c r="Q71" s="79" t="inlineStr">
        <is>
          <t>☑</t>
        </is>
      </c>
      <c r="R71" s="78" t="inlineStr">
        <is>
          <t>—</t>
        </is>
      </c>
      <c r="S71" s="78" t="inlineStr">
        <is>
          <t>—</t>
        </is>
      </c>
      <c r="T71" s="79" t="inlineStr">
        <is>
          <t>☑</t>
        </is>
      </c>
      <c r="U71" s="79" t="inlineStr">
        <is>
          <t>☑</t>
        </is>
      </c>
      <c r="V71" s="79" t="inlineStr">
        <is>
          <t>☑</t>
        </is>
      </c>
      <c r="W71" s="79" t="inlineStr">
        <is>
          <t>☑</t>
        </is>
      </c>
      <c r="X71" s="79" t="inlineStr">
        <is>
          <t>☑</t>
        </is>
      </c>
      <c r="Y71" s="79" t="inlineStr">
        <is>
          <t>☑</t>
        </is>
      </c>
      <c r="Z71" s="79" t="inlineStr">
        <is>
          <t>☑</t>
        </is>
      </c>
      <c r="AA71" s="79" t="inlineStr">
        <is>
          <t>☑</t>
        </is>
      </c>
      <c r="AB71" s="78" t="inlineStr">
        <is>
          <t>☑</t>
        </is>
      </c>
      <c r="AC71" s="79" t="inlineStr">
        <is>
          <t>☑</t>
        </is>
      </c>
      <c r="AD71" s="79" t="inlineStr">
        <is>
          <t>☑</t>
        </is>
      </c>
      <c r="AE71" s="78" t="inlineStr">
        <is>
          <t>☑</t>
        </is>
      </c>
      <c r="AF71" s="79" t="inlineStr">
        <is>
          <t>☑</t>
        </is>
      </c>
      <c r="AG71" s="78" t="inlineStr">
        <is>
          <t>—</t>
        </is>
      </c>
      <c r="AH71" s="78" t="inlineStr">
        <is>
          <t>—</t>
        </is>
      </c>
      <c r="AI71" s="79" t="inlineStr">
        <is>
          <t>☑</t>
        </is>
      </c>
      <c r="AJ71" s="79" t="inlineStr">
        <is>
          <t>☑</t>
        </is>
      </c>
      <c r="AK71" s="79" t="inlineStr">
        <is>
          <t>☑</t>
        </is>
      </c>
      <c r="AL71" s="79" t="inlineStr">
        <is>
          <t>☑</t>
        </is>
      </c>
      <c r="AM71" s="79" t="inlineStr">
        <is>
          <t>☑</t>
        </is>
      </c>
      <c r="AN71" s="79" t="inlineStr">
        <is>
          <t>☑</t>
        </is>
      </c>
      <c r="AO71" s="79" t="inlineStr">
        <is>
          <t>☑</t>
        </is>
      </c>
      <c r="AP71" s="79" t="inlineStr">
        <is>
          <t>☑</t>
        </is>
      </c>
      <c r="AQ71" s="78" t="inlineStr">
        <is>
          <t>☑</t>
        </is>
      </c>
      <c r="AR71" s="79" t="inlineStr">
        <is>
          <t>☑</t>
        </is>
      </c>
      <c r="AS71" s="79" t="inlineStr">
        <is>
          <t>☑</t>
        </is>
      </c>
      <c r="AT71" s="78" t="inlineStr">
        <is>
          <t>☑</t>
        </is>
      </c>
      <c r="AU71" s="79" t="inlineStr">
        <is>
          <t>☑</t>
        </is>
      </c>
      <c r="AV71" s="78" t="inlineStr">
        <is>
          <t>—</t>
        </is>
      </c>
      <c r="AW71" s="78" t="inlineStr">
        <is>
          <t>—</t>
        </is>
      </c>
      <c r="AX71" s="79" t="inlineStr">
        <is>
          <t>☑</t>
        </is>
      </c>
      <c r="AY71" s="79" t="inlineStr">
        <is>
          <t>☑</t>
        </is>
      </c>
      <c r="AZ71" s="79" t="inlineStr">
        <is>
          <t>☑</t>
        </is>
      </c>
      <c r="BA71" s="79" t="inlineStr">
        <is>
          <t>☑</t>
        </is>
      </c>
      <c r="BB71" s="79" t="inlineStr">
        <is>
          <t>☑</t>
        </is>
      </c>
      <c r="BC71" s="79" t="inlineStr">
        <is>
          <t>☑</t>
        </is>
      </c>
      <c r="BD71" s="79" t="inlineStr">
        <is>
          <t>☑</t>
        </is>
      </c>
      <c r="BE71" s="79" t="inlineStr">
        <is>
          <t>☑</t>
        </is>
      </c>
      <c r="BF71" s="78" t="inlineStr">
        <is>
          <t>☑</t>
        </is>
      </c>
      <c r="BG71" s="79" t="inlineStr">
        <is>
          <t>☑</t>
        </is>
      </c>
      <c r="BH71" s="79" t="inlineStr">
        <is>
          <t>☑</t>
        </is>
      </c>
      <c r="BI71" s="78" t="inlineStr">
        <is>
          <t>☑</t>
        </is>
      </c>
      <c r="BJ71" s="79" t="inlineStr">
        <is>
          <t>☑</t>
        </is>
      </c>
      <c r="BK71" s="78" t="inlineStr">
        <is>
          <t>—</t>
        </is>
      </c>
      <c r="BL71" s="78" t="inlineStr">
        <is>
          <t>—</t>
        </is>
      </c>
      <c r="BM71" s="79" t="inlineStr">
        <is>
          <t>☑</t>
        </is>
      </c>
      <c r="BN71" s="79" t="inlineStr">
        <is>
          <t>☑</t>
        </is>
      </c>
      <c r="BO71" s="79" t="inlineStr">
        <is>
          <t>☑</t>
        </is>
      </c>
    </row>
    <row r="72">
      <c r="A72" s="79" t="n">
        <v>65</v>
      </c>
      <c r="B72" s="79" t="inlineStr">
        <is>
          <t>325106410065</t>
        </is>
      </c>
      <c r="C72" s="79" t="inlineStr">
        <is>
          <t>IBRAHIM SAHR KABBA</t>
        </is>
      </c>
      <c r="D72" s="78" t="inlineStr">
        <is>
          <t>—</t>
        </is>
      </c>
      <c r="E72" s="79" t="inlineStr">
        <is>
          <t>☑</t>
        </is>
      </c>
      <c r="F72" s="79" t="inlineStr">
        <is>
          <t>☑</t>
        </is>
      </c>
      <c r="G72" s="79" t="inlineStr">
        <is>
          <t>☑</t>
        </is>
      </c>
      <c r="H72" s="79" t="inlineStr">
        <is>
          <t>☑</t>
        </is>
      </c>
      <c r="I72" s="79" t="inlineStr">
        <is>
          <t>☑</t>
        </is>
      </c>
      <c r="J72" s="79" t="inlineStr">
        <is>
          <t>☑</t>
        </is>
      </c>
      <c r="K72" s="79" t="inlineStr">
        <is>
          <t>☑</t>
        </is>
      </c>
      <c r="L72" s="79" t="inlineStr">
        <is>
          <t>☑</t>
        </is>
      </c>
      <c r="M72" s="78" t="inlineStr">
        <is>
          <t>☑</t>
        </is>
      </c>
      <c r="N72" s="79" t="inlineStr">
        <is>
          <t>☑</t>
        </is>
      </c>
      <c r="O72" s="79" t="inlineStr">
        <is>
          <t>☑</t>
        </is>
      </c>
      <c r="P72" s="78" t="inlineStr">
        <is>
          <t>☑</t>
        </is>
      </c>
      <c r="Q72" s="79" t="inlineStr">
        <is>
          <t>☑</t>
        </is>
      </c>
      <c r="R72" s="78" t="inlineStr">
        <is>
          <t>—</t>
        </is>
      </c>
      <c r="S72" s="78" t="inlineStr">
        <is>
          <t>—</t>
        </is>
      </c>
      <c r="T72" s="79" t="inlineStr">
        <is>
          <t>☑</t>
        </is>
      </c>
      <c r="U72" s="79" t="inlineStr">
        <is>
          <t>☑</t>
        </is>
      </c>
      <c r="V72" s="79" t="inlineStr">
        <is>
          <t>☑</t>
        </is>
      </c>
      <c r="W72" s="79" t="inlineStr">
        <is>
          <t>☑</t>
        </is>
      </c>
      <c r="X72" s="79" t="inlineStr">
        <is>
          <t>☑</t>
        </is>
      </c>
      <c r="Y72" s="79" t="inlineStr">
        <is>
          <t>☑</t>
        </is>
      </c>
      <c r="Z72" s="79" t="inlineStr">
        <is>
          <t>☑</t>
        </is>
      </c>
      <c r="AA72" s="79" t="inlineStr">
        <is>
          <t>☑</t>
        </is>
      </c>
      <c r="AB72" s="78" t="inlineStr">
        <is>
          <t>☑</t>
        </is>
      </c>
      <c r="AC72" s="79" t="inlineStr">
        <is>
          <t>☑</t>
        </is>
      </c>
      <c r="AD72" s="79" t="inlineStr">
        <is>
          <t>☑</t>
        </is>
      </c>
      <c r="AE72" s="78" t="inlineStr">
        <is>
          <t>☑</t>
        </is>
      </c>
      <c r="AF72" s="79" t="inlineStr">
        <is>
          <t>☑</t>
        </is>
      </c>
      <c r="AG72" s="78" t="inlineStr">
        <is>
          <t>—</t>
        </is>
      </c>
      <c r="AH72" s="78" t="inlineStr">
        <is>
          <t>—</t>
        </is>
      </c>
      <c r="AI72" s="79" t="inlineStr">
        <is>
          <t>☑</t>
        </is>
      </c>
      <c r="AJ72" s="79" t="inlineStr">
        <is>
          <t>☑</t>
        </is>
      </c>
      <c r="AK72" s="79" t="inlineStr">
        <is>
          <t>☑</t>
        </is>
      </c>
      <c r="AL72" s="79" t="inlineStr">
        <is>
          <t>☑</t>
        </is>
      </c>
      <c r="AM72" s="79" t="inlineStr">
        <is>
          <t>☑</t>
        </is>
      </c>
      <c r="AN72" s="79" t="inlineStr">
        <is>
          <t>☑</t>
        </is>
      </c>
      <c r="AO72" s="79" t="inlineStr">
        <is>
          <t>☑</t>
        </is>
      </c>
      <c r="AP72" s="79" t="inlineStr">
        <is>
          <t>☑</t>
        </is>
      </c>
      <c r="AQ72" s="78" t="inlineStr">
        <is>
          <t>☑</t>
        </is>
      </c>
      <c r="AR72" s="79" t="inlineStr">
        <is>
          <t>☑</t>
        </is>
      </c>
      <c r="AS72" s="79" t="inlineStr">
        <is>
          <t>☑</t>
        </is>
      </c>
      <c r="AT72" s="78" t="inlineStr">
        <is>
          <t>☑</t>
        </is>
      </c>
      <c r="AU72" s="79" t="inlineStr">
        <is>
          <t>☑</t>
        </is>
      </c>
      <c r="AV72" s="78" t="inlineStr">
        <is>
          <t>—</t>
        </is>
      </c>
      <c r="AW72" s="78" t="inlineStr">
        <is>
          <t>—</t>
        </is>
      </c>
      <c r="AX72" s="79" t="inlineStr">
        <is>
          <t>☑</t>
        </is>
      </c>
      <c r="AY72" s="79" t="inlineStr">
        <is>
          <t>☑</t>
        </is>
      </c>
      <c r="AZ72" s="79" t="inlineStr">
        <is>
          <t>☑</t>
        </is>
      </c>
      <c r="BA72" s="79" t="inlineStr">
        <is>
          <t>☑</t>
        </is>
      </c>
      <c r="BB72" s="79" t="inlineStr">
        <is>
          <t>☑</t>
        </is>
      </c>
      <c r="BC72" s="79" t="inlineStr">
        <is>
          <t>☑</t>
        </is>
      </c>
      <c r="BD72" s="79" t="inlineStr">
        <is>
          <t>☑</t>
        </is>
      </c>
      <c r="BE72" s="79" t="inlineStr">
        <is>
          <t>☑</t>
        </is>
      </c>
      <c r="BF72" s="78" t="inlineStr">
        <is>
          <t>☑</t>
        </is>
      </c>
      <c r="BG72" s="79" t="inlineStr">
        <is>
          <t>☑</t>
        </is>
      </c>
      <c r="BH72" s="79" t="inlineStr">
        <is>
          <t>☑</t>
        </is>
      </c>
      <c r="BI72" s="78" t="inlineStr">
        <is>
          <t>☑</t>
        </is>
      </c>
      <c r="BJ72" s="79" t="inlineStr">
        <is>
          <t>☑</t>
        </is>
      </c>
      <c r="BK72" s="78" t="inlineStr">
        <is>
          <t>—</t>
        </is>
      </c>
      <c r="BL72" s="78" t="inlineStr">
        <is>
          <t>—</t>
        </is>
      </c>
      <c r="BM72" s="79" t="inlineStr">
        <is>
          <t>☑</t>
        </is>
      </c>
      <c r="BN72" s="79" t="inlineStr">
        <is>
          <t>☑</t>
        </is>
      </c>
      <c r="BO72" s="79" t="inlineStr">
        <is>
          <t>☑</t>
        </is>
      </c>
    </row>
    <row r="73">
      <c r="A73" s="79" t="n">
        <v>66</v>
      </c>
      <c r="B73" s="79" t="inlineStr">
        <is>
          <t>325106410066</t>
        </is>
      </c>
      <c r="C73" s="79" t="inlineStr">
        <is>
          <t>ABDISAMIC YASIN ABDIRAHMAN</t>
        </is>
      </c>
      <c r="D73" s="78" t="inlineStr">
        <is>
          <t>—</t>
        </is>
      </c>
      <c r="E73" s="79" t="inlineStr">
        <is>
          <t>☑</t>
        </is>
      </c>
      <c r="F73" s="79" t="inlineStr">
        <is>
          <t>☑</t>
        </is>
      </c>
      <c r="G73" s="79" t="inlineStr">
        <is>
          <t>☑</t>
        </is>
      </c>
      <c r="H73" s="79" t="inlineStr">
        <is>
          <t>☑</t>
        </is>
      </c>
      <c r="I73" s="79" t="inlineStr">
        <is>
          <t>☑</t>
        </is>
      </c>
      <c r="J73" s="79" t="inlineStr">
        <is>
          <t>☑</t>
        </is>
      </c>
      <c r="K73" s="79" t="inlineStr">
        <is>
          <t>☑</t>
        </is>
      </c>
      <c r="L73" s="79" t="inlineStr">
        <is>
          <t>☑</t>
        </is>
      </c>
      <c r="M73" s="78" t="inlineStr">
        <is>
          <t>☑</t>
        </is>
      </c>
      <c r="N73" s="79" t="inlineStr">
        <is>
          <t>☑</t>
        </is>
      </c>
      <c r="O73" s="79" t="inlineStr">
        <is>
          <t>☑</t>
        </is>
      </c>
      <c r="P73" s="78" t="inlineStr">
        <is>
          <t>☑</t>
        </is>
      </c>
      <c r="Q73" s="79" t="inlineStr">
        <is>
          <t>☑</t>
        </is>
      </c>
      <c r="R73" s="78" t="inlineStr">
        <is>
          <t>—</t>
        </is>
      </c>
      <c r="S73" s="78" t="inlineStr">
        <is>
          <t>—</t>
        </is>
      </c>
      <c r="T73" s="79" t="inlineStr">
        <is>
          <t>☑</t>
        </is>
      </c>
      <c r="U73" s="79" t="inlineStr">
        <is>
          <t>☑</t>
        </is>
      </c>
      <c r="V73" s="79" t="inlineStr">
        <is>
          <t>☑</t>
        </is>
      </c>
      <c r="W73" s="79" t="inlineStr">
        <is>
          <t>☑</t>
        </is>
      </c>
      <c r="X73" s="79" t="inlineStr">
        <is>
          <t>☑</t>
        </is>
      </c>
      <c r="Y73" s="79" t="inlineStr">
        <is>
          <t>☑</t>
        </is>
      </c>
      <c r="Z73" s="79" t="inlineStr">
        <is>
          <t>☑</t>
        </is>
      </c>
      <c r="AA73" s="79" t="inlineStr">
        <is>
          <t>☑</t>
        </is>
      </c>
      <c r="AB73" s="78" t="inlineStr">
        <is>
          <t>☑</t>
        </is>
      </c>
      <c r="AC73" s="79" t="inlineStr">
        <is>
          <t>☑</t>
        </is>
      </c>
      <c r="AD73" s="79" t="inlineStr">
        <is>
          <t>☑</t>
        </is>
      </c>
      <c r="AE73" s="78" t="inlineStr">
        <is>
          <t>☑</t>
        </is>
      </c>
      <c r="AF73" s="79" t="inlineStr">
        <is>
          <t>☑</t>
        </is>
      </c>
      <c r="AG73" s="78" t="inlineStr">
        <is>
          <t>—</t>
        </is>
      </c>
      <c r="AH73" s="78" t="inlineStr">
        <is>
          <t>—</t>
        </is>
      </c>
      <c r="AI73" s="79" t="inlineStr">
        <is>
          <t>☑</t>
        </is>
      </c>
      <c r="AJ73" s="79" t="inlineStr">
        <is>
          <t>☑</t>
        </is>
      </c>
      <c r="AK73" s="79" t="inlineStr">
        <is>
          <t>☑</t>
        </is>
      </c>
      <c r="AL73" s="79" t="inlineStr">
        <is>
          <t>☑</t>
        </is>
      </c>
      <c r="AM73" s="79" t="inlineStr">
        <is>
          <t>☑</t>
        </is>
      </c>
      <c r="AN73" s="79" t="inlineStr">
        <is>
          <t>☑</t>
        </is>
      </c>
      <c r="AO73" s="79" t="inlineStr">
        <is>
          <t>☑</t>
        </is>
      </c>
      <c r="AP73" s="79" t="inlineStr">
        <is>
          <t>☑</t>
        </is>
      </c>
      <c r="AQ73" s="78" t="inlineStr">
        <is>
          <t>☑</t>
        </is>
      </c>
      <c r="AR73" s="79" t="inlineStr">
        <is>
          <t>☑</t>
        </is>
      </c>
      <c r="AS73" s="79" t="inlineStr">
        <is>
          <t>☑</t>
        </is>
      </c>
      <c r="AT73" s="78" t="inlineStr">
        <is>
          <t>☑</t>
        </is>
      </c>
      <c r="AU73" s="79" t="inlineStr">
        <is>
          <t>☑</t>
        </is>
      </c>
      <c r="AV73" s="78" t="inlineStr">
        <is>
          <t>—</t>
        </is>
      </c>
      <c r="AW73" s="78" t="inlineStr">
        <is>
          <t>—</t>
        </is>
      </c>
      <c r="AX73" s="79" t="inlineStr">
        <is>
          <t>☑</t>
        </is>
      </c>
      <c r="AY73" s="79" t="inlineStr">
        <is>
          <t>☑</t>
        </is>
      </c>
      <c r="AZ73" s="79" t="inlineStr">
        <is>
          <t>☑</t>
        </is>
      </c>
      <c r="BA73" s="79" t="inlineStr">
        <is>
          <t>☑</t>
        </is>
      </c>
      <c r="BB73" s="79" t="inlineStr">
        <is>
          <t>☑</t>
        </is>
      </c>
      <c r="BC73" s="79" t="inlineStr">
        <is>
          <t>☑</t>
        </is>
      </c>
      <c r="BD73" s="79" t="inlineStr">
        <is>
          <t>☑</t>
        </is>
      </c>
      <c r="BE73" s="79" t="inlineStr">
        <is>
          <t>☑</t>
        </is>
      </c>
      <c r="BF73" s="78" t="inlineStr">
        <is>
          <t>☑</t>
        </is>
      </c>
      <c r="BG73" s="79" t="inlineStr">
        <is>
          <t>☑</t>
        </is>
      </c>
      <c r="BH73" s="79" t="inlineStr">
        <is>
          <t>☑</t>
        </is>
      </c>
      <c r="BI73" s="78" t="inlineStr">
        <is>
          <t>☑</t>
        </is>
      </c>
      <c r="BJ73" s="79" t="inlineStr">
        <is>
          <t>☑</t>
        </is>
      </c>
      <c r="BK73" s="78" t="inlineStr">
        <is>
          <t>—</t>
        </is>
      </c>
      <c r="BL73" s="78" t="inlineStr">
        <is>
          <t>—</t>
        </is>
      </c>
      <c r="BM73" s="79" t="inlineStr">
        <is>
          <t>☑</t>
        </is>
      </c>
      <c r="BN73" s="79" t="inlineStr">
        <is>
          <t>☑</t>
        </is>
      </c>
      <c r="BO73" s="79" t="inlineStr">
        <is>
          <t>☑</t>
        </is>
      </c>
    </row>
    <row r="74">
      <c r="A74" s="79" t="n">
        <v>67</v>
      </c>
      <c r="B74" s="79" t="inlineStr">
        <is>
          <t>325106410067</t>
        </is>
      </c>
      <c r="C74" s="79" t="inlineStr">
        <is>
          <t>AHMED ABDHULAHI</t>
        </is>
      </c>
      <c r="D74" s="78" t="inlineStr">
        <is>
          <t>—</t>
        </is>
      </c>
      <c r="E74" s="79" t="inlineStr">
        <is>
          <t>☑</t>
        </is>
      </c>
      <c r="F74" s="79" t="inlineStr">
        <is>
          <t>☑</t>
        </is>
      </c>
      <c r="G74" s="79" t="inlineStr">
        <is>
          <t>☑</t>
        </is>
      </c>
      <c r="H74" s="79" t="inlineStr">
        <is>
          <t>☑</t>
        </is>
      </c>
      <c r="I74" s="79" t="inlineStr">
        <is>
          <t>☑</t>
        </is>
      </c>
      <c r="J74" s="79" t="inlineStr">
        <is>
          <t>☑</t>
        </is>
      </c>
      <c r="K74" s="79" t="inlineStr">
        <is>
          <t>☑</t>
        </is>
      </c>
      <c r="L74" s="79" t="inlineStr">
        <is>
          <t>☑</t>
        </is>
      </c>
      <c r="M74" s="78" t="inlineStr">
        <is>
          <t>☑</t>
        </is>
      </c>
      <c r="N74" s="79" t="inlineStr">
        <is>
          <t>☑</t>
        </is>
      </c>
      <c r="O74" s="79" t="inlineStr">
        <is>
          <t>☑</t>
        </is>
      </c>
      <c r="P74" s="78" t="inlineStr">
        <is>
          <t>☑</t>
        </is>
      </c>
      <c r="Q74" s="79" t="inlineStr">
        <is>
          <t>☑</t>
        </is>
      </c>
      <c r="R74" s="78" t="inlineStr">
        <is>
          <t>—</t>
        </is>
      </c>
      <c r="S74" s="78" t="inlineStr">
        <is>
          <t>—</t>
        </is>
      </c>
      <c r="T74" s="79" t="inlineStr">
        <is>
          <t>☑</t>
        </is>
      </c>
      <c r="U74" s="79" t="inlineStr">
        <is>
          <t>☑</t>
        </is>
      </c>
      <c r="V74" s="79" t="inlineStr">
        <is>
          <t>☑</t>
        </is>
      </c>
      <c r="W74" s="79" t="inlineStr">
        <is>
          <t>☑</t>
        </is>
      </c>
      <c r="X74" s="79" t="inlineStr">
        <is>
          <t>☑</t>
        </is>
      </c>
      <c r="Y74" s="79" t="inlineStr">
        <is>
          <t>☑</t>
        </is>
      </c>
      <c r="Z74" s="79" t="inlineStr">
        <is>
          <t>☑</t>
        </is>
      </c>
      <c r="AA74" s="79" t="inlineStr">
        <is>
          <t>☑</t>
        </is>
      </c>
      <c r="AB74" s="78" t="inlineStr">
        <is>
          <t>☑</t>
        </is>
      </c>
      <c r="AC74" s="79" t="inlineStr">
        <is>
          <t>☑</t>
        </is>
      </c>
      <c r="AD74" s="79" t="inlineStr">
        <is>
          <t>☑</t>
        </is>
      </c>
      <c r="AE74" s="78" t="inlineStr">
        <is>
          <t>☑</t>
        </is>
      </c>
      <c r="AF74" s="79" t="inlineStr">
        <is>
          <t>☑</t>
        </is>
      </c>
      <c r="AG74" s="78" t="inlineStr">
        <is>
          <t>—</t>
        </is>
      </c>
      <c r="AH74" s="78" t="inlineStr">
        <is>
          <t>—</t>
        </is>
      </c>
      <c r="AI74" s="79" t="inlineStr">
        <is>
          <t>☑</t>
        </is>
      </c>
      <c r="AJ74" s="79" t="inlineStr">
        <is>
          <t>☑</t>
        </is>
      </c>
      <c r="AK74" s="79" t="inlineStr">
        <is>
          <t>☑</t>
        </is>
      </c>
      <c r="AL74" s="79" t="inlineStr">
        <is>
          <t>☑</t>
        </is>
      </c>
      <c r="AM74" s="79" t="inlineStr">
        <is>
          <t>☑</t>
        </is>
      </c>
      <c r="AN74" s="79" t="inlineStr">
        <is>
          <t>☑</t>
        </is>
      </c>
      <c r="AO74" s="79" t="inlineStr">
        <is>
          <t>☑</t>
        </is>
      </c>
      <c r="AP74" s="79" t="inlineStr">
        <is>
          <t>☑</t>
        </is>
      </c>
      <c r="AQ74" s="78" t="inlineStr">
        <is>
          <t>☑</t>
        </is>
      </c>
      <c r="AR74" s="79" t="inlineStr">
        <is>
          <t>☑</t>
        </is>
      </c>
      <c r="AS74" s="79" t="inlineStr">
        <is>
          <t>☑</t>
        </is>
      </c>
      <c r="AT74" s="78" t="inlineStr">
        <is>
          <t>☑</t>
        </is>
      </c>
      <c r="AU74" s="79" t="inlineStr">
        <is>
          <t>☑</t>
        </is>
      </c>
      <c r="AV74" s="78" t="inlineStr">
        <is>
          <t>—</t>
        </is>
      </c>
      <c r="AW74" s="78" t="inlineStr">
        <is>
          <t>—</t>
        </is>
      </c>
      <c r="AX74" s="79" t="inlineStr">
        <is>
          <t>☑</t>
        </is>
      </c>
      <c r="AY74" s="79" t="inlineStr">
        <is>
          <t>☑</t>
        </is>
      </c>
      <c r="AZ74" s="79" t="inlineStr">
        <is>
          <t>☑</t>
        </is>
      </c>
      <c r="BA74" s="79" t="inlineStr">
        <is>
          <t>☑</t>
        </is>
      </c>
      <c r="BB74" s="79" t="inlineStr">
        <is>
          <t>☑</t>
        </is>
      </c>
      <c r="BC74" s="79" t="inlineStr">
        <is>
          <t>☑</t>
        </is>
      </c>
      <c r="BD74" s="79" t="inlineStr">
        <is>
          <t>☑</t>
        </is>
      </c>
      <c r="BE74" s="79" t="inlineStr">
        <is>
          <t>☑</t>
        </is>
      </c>
      <c r="BF74" s="78" t="inlineStr">
        <is>
          <t>☑</t>
        </is>
      </c>
      <c r="BG74" s="79" t="inlineStr">
        <is>
          <t>☑</t>
        </is>
      </c>
      <c r="BH74" s="79" t="inlineStr">
        <is>
          <t>☑</t>
        </is>
      </c>
      <c r="BI74" s="78" t="inlineStr">
        <is>
          <t>☑</t>
        </is>
      </c>
      <c r="BJ74" s="79" t="inlineStr">
        <is>
          <t>☑</t>
        </is>
      </c>
      <c r="BK74" s="78" t="inlineStr">
        <is>
          <t>—</t>
        </is>
      </c>
      <c r="BL74" s="78" t="inlineStr">
        <is>
          <t>—</t>
        </is>
      </c>
      <c r="BM74" s="79" t="inlineStr">
        <is>
          <t>☑</t>
        </is>
      </c>
      <c r="BN74" s="79" t="inlineStr">
        <is>
          <t>☑</t>
        </is>
      </c>
      <c r="BO74" s="79" t="inlineStr">
        <is>
          <t>☑</t>
        </is>
      </c>
    </row>
    <row r="75">
      <c r="A75" s="79" t="n">
        <v>68</v>
      </c>
      <c r="B75" s="79" t="inlineStr">
        <is>
          <t>325106410068</t>
        </is>
      </c>
      <c r="C75" s="79" t="inlineStr">
        <is>
          <t>ABDULAZIZ AL-MASLAMI</t>
        </is>
      </c>
      <c r="D75" s="78" t="inlineStr">
        <is>
          <t>—</t>
        </is>
      </c>
      <c r="E75" s="79" t="inlineStr">
        <is>
          <t>☑</t>
        </is>
      </c>
      <c r="F75" s="79" t="inlineStr">
        <is>
          <t>☑</t>
        </is>
      </c>
      <c r="G75" s="79" t="inlineStr">
        <is>
          <t>☑</t>
        </is>
      </c>
      <c r="H75" s="79" t="inlineStr">
        <is>
          <t>☑</t>
        </is>
      </c>
      <c r="I75" s="79" t="inlineStr">
        <is>
          <t>☑</t>
        </is>
      </c>
      <c r="J75" s="79" t="inlineStr">
        <is>
          <t>☑</t>
        </is>
      </c>
      <c r="K75" s="79" t="inlineStr">
        <is>
          <t>☑</t>
        </is>
      </c>
      <c r="L75" s="79" t="inlineStr">
        <is>
          <t>☑</t>
        </is>
      </c>
      <c r="M75" s="78" t="inlineStr">
        <is>
          <t>☑</t>
        </is>
      </c>
      <c r="N75" s="79" t="inlineStr">
        <is>
          <t>☑</t>
        </is>
      </c>
      <c r="O75" s="79" t="inlineStr">
        <is>
          <t>☑</t>
        </is>
      </c>
      <c r="P75" s="78" t="inlineStr">
        <is>
          <t>☑</t>
        </is>
      </c>
      <c r="Q75" s="79" t="inlineStr">
        <is>
          <t>☑</t>
        </is>
      </c>
      <c r="R75" s="78" t="inlineStr">
        <is>
          <t>—</t>
        </is>
      </c>
      <c r="S75" s="78" t="inlineStr">
        <is>
          <t>—</t>
        </is>
      </c>
      <c r="T75" s="79" t="inlineStr">
        <is>
          <t>☑</t>
        </is>
      </c>
      <c r="U75" s="79" t="inlineStr">
        <is>
          <t>☑</t>
        </is>
      </c>
      <c r="V75" s="79" t="inlineStr">
        <is>
          <t>☑</t>
        </is>
      </c>
      <c r="W75" s="79" t="inlineStr">
        <is>
          <t>☑</t>
        </is>
      </c>
      <c r="X75" s="79" t="inlineStr">
        <is>
          <t>☑</t>
        </is>
      </c>
      <c r="Y75" s="79" t="inlineStr">
        <is>
          <t>☑</t>
        </is>
      </c>
      <c r="Z75" s="79" t="inlineStr">
        <is>
          <t>☑</t>
        </is>
      </c>
      <c r="AA75" s="79" t="inlineStr">
        <is>
          <t>☑</t>
        </is>
      </c>
      <c r="AB75" s="78" t="inlineStr">
        <is>
          <t>☑</t>
        </is>
      </c>
      <c r="AC75" s="79" t="inlineStr">
        <is>
          <t>☑</t>
        </is>
      </c>
      <c r="AD75" s="79" t="inlineStr">
        <is>
          <t>☑</t>
        </is>
      </c>
      <c r="AE75" s="78" t="inlineStr">
        <is>
          <t>☑</t>
        </is>
      </c>
      <c r="AF75" s="79" t="inlineStr">
        <is>
          <t>☑</t>
        </is>
      </c>
      <c r="AG75" s="78" t="inlineStr">
        <is>
          <t>—</t>
        </is>
      </c>
      <c r="AH75" s="78" t="inlineStr">
        <is>
          <t>—</t>
        </is>
      </c>
      <c r="AI75" s="79" t="inlineStr">
        <is>
          <t>☑</t>
        </is>
      </c>
      <c r="AJ75" s="79" t="inlineStr">
        <is>
          <t>☑</t>
        </is>
      </c>
      <c r="AK75" s="79" t="inlineStr">
        <is>
          <t>☑</t>
        </is>
      </c>
      <c r="AL75" s="79" t="inlineStr">
        <is>
          <t>☑</t>
        </is>
      </c>
      <c r="AM75" s="79" t="inlineStr">
        <is>
          <t>☑</t>
        </is>
      </c>
      <c r="AN75" s="79" t="inlineStr">
        <is>
          <t>☑</t>
        </is>
      </c>
      <c r="AO75" s="79" t="inlineStr">
        <is>
          <t>☑</t>
        </is>
      </c>
      <c r="AP75" s="79" t="inlineStr">
        <is>
          <t>☑</t>
        </is>
      </c>
      <c r="AQ75" s="78" t="inlineStr">
        <is>
          <t>☑</t>
        </is>
      </c>
      <c r="AR75" s="79" t="inlineStr">
        <is>
          <t>☑</t>
        </is>
      </c>
      <c r="AS75" s="79" t="inlineStr">
        <is>
          <t>☑</t>
        </is>
      </c>
      <c r="AT75" s="78" t="inlineStr">
        <is>
          <t>☑</t>
        </is>
      </c>
      <c r="AU75" s="79" t="inlineStr">
        <is>
          <t>☑</t>
        </is>
      </c>
      <c r="AV75" s="78" t="inlineStr">
        <is>
          <t>—</t>
        </is>
      </c>
      <c r="AW75" s="78" t="inlineStr">
        <is>
          <t>—</t>
        </is>
      </c>
      <c r="AX75" s="79" t="inlineStr">
        <is>
          <t>☑</t>
        </is>
      </c>
      <c r="AY75" s="79" t="inlineStr">
        <is>
          <t>☑</t>
        </is>
      </c>
      <c r="AZ75" s="79" t="inlineStr">
        <is>
          <t>☑</t>
        </is>
      </c>
      <c r="BA75" s="79" t="inlineStr">
        <is>
          <t>☑</t>
        </is>
      </c>
      <c r="BB75" s="79" t="inlineStr">
        <is>
          <t>☑</t>
        </is>
      </c>
      <c r="BC75" s="79" t="inlineStr">
        <is>
          <t>☑</t>
        </is>
      </c>
      <c r="BD75" s="79" t="inlineStr">
        <is>
          <t>☑</t>
        </is>
      </c>
      <c r="BE75" s="79" t="inlineStr">
        <is>
          <t>☑</t>
        </is>
      </c>
      <c r="BF75" s="78" t="inlineStr">
        <is>
          <t>☑</t>
        </is>
      </c>
      <c r="BG75" s="79" t="inlineStr">
        <is>
          <t>☑</t>
        </is>
      </c>
      <c r="BH75" s="79" t="inlineStr">
        <is>
          <t>☑</t>
        </is>
      </c>
      <c r="BI75" s="78" t="inlineStr">
        <is>
          <t>☑</t>
        </is>
      </c>
      <c r="BJ75" s="79" t="inlineStr">
        <is>
          <t>☑</t>
        </is>
      </c>
      <c r="BK75" s="78" t="inlineStr">
        <is>
          <t>—</t>
        </is>
      </c>
      <c r="BL75" s="78" t="inlineStr">
        <is>
          <t>—</t>
        </is>
      </c>
      <c r="BM75" s="79" t="inlineStr">
        <is>
          <t>☑</t>
        </is>
      </c>
      <c r="BN75" s="79" t="inlineStr">
        <is>
          <t>☑</t>
        </is>
      </c>
      <c r="BO75" s="79" t="inlineStr">
        <is>
          <t>☑</t>
        </is>
      </c>
    </row>
    <row r="76">
      <c r="A76" s="79" t="n">
        <v>69</v>
      </c>
      <c r="B76" s="79" t="inlineStr">
        <is>
          <t>325106410069</t>
        </is>
      </c>
      <c r="C76" s="79" t="inlineStr">
        <is>
          <t>ABDULRAHMAN HAGEB</t>
        </is>
      </c>
      <c r="D76" s="78" t="inlineStr">
        <is>
          <t>—</t>
        </is>
      </c>
      <c r="E76" s="79" t="inlineStr">
        <is>
          <t>☑</t>
        </is>
      </c>
      <c r="F76" s="79" t="inlineStr">
        <is>
          <t>☑</t>
        </is>
      </c>
      <c r="G76" s="79" t="inlineStr">
        <is>
          <t>☑</t>
        </is>
      </c>
      <c r="H76" s="79" t="inlineStr">
        <is>
          <t>☑</t>
        </is>
      </c>
      <c r="I76" s="79" t="inlineStr">
        <is>
          <t>☑</t>
        </is>
      </c>
      <c r="J76" s="79" t="inlineStr">
        <is>
          <t>☑</t>
        </is>
      </c>
      <c r="K76" s="79" t="inlineStr">
        <is>
          <t>☑</t>
        </is>
      </c>
      <c r="L76" s="79" t="inlineStr">
        <is>
          <t>☑</t>
        </is>
      </c>
      <c r="M76" s="78" t="inlineStr">
        <is>
          <t>☑</t>
        </is>
      </c>
      <c r="N76" s="79" t="inlineStr">
        <is>
          <t>☑</t>
        </is>
      </c>
      <c r="O76" s="79" t="inlineStr">
        <is>
          <t>☑</t>
        </is>
      </c>
      <c r="P76" s="78" t="inlineStr">
        <is>
          <t>☑</t>
        </is>
      </c>
      <c r="Q76" s="79" t="inlineStr">
        <is>
          <t>☑</t>
        </is>
      </c>
      <c r="R76" s="78" t="inlineStr">
        <is>
          <t>—</t>
        </is>
      </c>
      <c r="S76" s="78" t="inlineStr">
        <is>
          <t>—</t>
        </is>
      </c>
      <c r="T76" s="79" t="inlineStr">
        <is>
          <t>☑</t>
        </is>
      </c>
      <c r="U76" s="79" t="inlineStr">
        <is>
          <t>☑</t>
        </is>
      </c>
      <c r="V76" s="79" t="inlineStr">
        <is>
          <t>☑</t>
        </is>
      </c>
      <c r="W76" s="79" t="inlineStr">
        <is>
          <t>☑</t>
        </is>
      </c>
      <c r="X76" s="79" t="inlineStr">
        <is>
          <t>☑</t>
        </is>
      </c>
      <c r="Y76" s="79" t="inlineStr">
        <is>
          <t>☑</t>
        </is>
      </c>
      <c r="Z76" s="79" t="inlineStr">
        <is>
          <t>☑</t>
        </is>
      </c>
      <c r="AA76" s="79" t="inlineStr">
        <is>
          <t>☑</t>
        </is>
      </c>
      <c r="AB76" s="78" t="inlineStr">
        <is>
          <t>☑</t>
        </is>
      </c>
      <c r="AC76" s="79" t="inlineStr">
        <is>
          <t>☑</t>
        </is>
      </c>
      <c r="AD76" s="79" t="inlineStr">
        <is>
          <t>☑</t>
        </is>
      </c>
      <c r="AE76" s="78" t="inlineStr">
        <is>
          <t>☑</t>
        </is>
      </c>
      <c r="AF76" s="79" t="inlineStr">
        <is>
          <t>☑</t>
        </is>
      </c>
      <c r="AG76" s="78" t="inlineStr">
        <is>
          <t>—</t>
        </is>
      </c>
      <c r="AH76" s="78" t="inlineStr">
        <is>
          <t>—</t>
        </is>
      </c>
      <c r="AI76" s="79" t="inlineStr">
        <is>
          <t>☑</t>
        </is>
      </c>
      <c r="AJ76" s="79" t="inlineStr">
        <is>
          <t>☑</t>
        </is>
      </c>
      <c r="AK76" s="79" t="inlineStr">
        <is>
          <t>☑</t>
        </is>
      </c>
      <c r="AL76" s="79" t="inlineStr">
        <is>
          <t>☑</t>
        </is>
      </c>
      <c r="AM76" s="79" t="inlineStr">
        <is>
          <t>☑</t>
        </is>
      </c>
      <c r="AN76" s="79" t="inlineStr">
        <is>
          <t>☑</t>
        </is>
      </c>
      <c r="AO76" s="79" t="inlineStr">
        <is>
          <t>☑</t>
        </is>
      </c>
      <c r="AP76" s="79" t="inlineStr">
        <is>
          <t>☑</t>
        </is>
      </c>
      <c r="AQ76" s="78" t="inlineStr">
        <is>
          <t>☑</t>
        </is>
      </c>
      <c r="AR76" s="79" t="inlineStr">
        <is>
          <t>☑</t>
        </is>
      </c>
      <c r="AS76" s="79" t="inlineStr">
        <is>
          <t>☑</t>
        </is>
      </c>
      <c r="AT76" s="78" t="inlineStr">
        <is>
          <t>☑</t>
        </is>
      </c>
      <c r="AU76" s="79" t="inlineStr">
        <is>
          <t>☑</t>
        </is>
      </c>
      <c r="AV76" s="78" t="inlineStr">
        <is>
          <t>—</t>
        </is>
      </c>
      <c r="AW76" s="78" t="inlineStr">
        <is>
          <t>—</t>
        </is>
      </c>
      <c r="AX76" s="79" t="inlineStr">
        <is>
          <t>☑</t>
        </is>
      </c>
      <c r="AY76" s="79" t="inlineStr">
        <is>
          <t>☑</t>
        </is>
      </c>
      <c r="AZ76" s="79" t="inlineStr">
        <is>
          <t>☑</t>
        </is>
      </c>
      <c r="BA76" s="79" t="inlineStr">
        <is>
          <t>☑</t>
        </is>
      </c>
      <c r="BB76" s="79" t="inlineStr">
        <is>
          <t>☑</t>
        </is>
      </c>
      <c r="BC76" s="79" t="inlineStr">
        <is>
          <t>☑</t>
        </is>
      </c>
      <c r="BD76" s="79" t="inlineStr">
        <is>
          <t>☑</t>
        </is>
      </c>
      <c r="BE76" s="79" t="inlineStr">
        <is>
          <t>☑</t>
        </is>
      </c>
      <c r="BF76" s="78" t="inlineStr">
        <is>
          <t>☑</t>
        </is>
      </c>
      <c r="BG76" s="79" t="inlineStr">
        <is>
          <t>☑</t>
        </is>
      </c>
      <c r="BH76" s="79" t="inlineStr">
        <is>
          <t>☑</t>
        </is>
      </c>
      <c r="BI76" s="78" t="inlineStr">
        <is>
          <t>☑</t>
        </is>
      </c>
      <c r="BJ76" s="79" t="inlineStr">
        <is>
          <t>☑</t>
        </is>
      </c>
      <c r="BK76" s="78" t="inlineStr">
        <is>
          <t>—</t>
        </is>
      </c>
      <c r="BL76" s="78" t="inlineStr">
        <is>
          <t>—</t>
        </is>
      </c>
      <c r="BM76" s="79" t="inlineStr">
        <is>
          <t>☑</t>
        </is>
      </c>
      <c r="BN76" s="79" t="inlineStr">
        <is>
          <t>☑</t>
        </is>
      </c>
      <c r="BO76" s="79" t="inlineStr">
        <is>
          <t>☑</t>
        </is>
      </c>
    </row>
    <row r="77">
      <c r="A77" s="79" t="n">
        <v>70</v>
      </c>
      <c r="B77" s="79" t="inlineStr">
        <is>
          <t>325106410070</t>
        </is>
      </c>
      <c r="C77" s="79" t="inlineStr">
        <is>
          <t>ABUBAKAR SAMINU</t>
        </is>
      </c>
      <c r="D77" s="78" t="inlineStr">
        <is>
          <t>—</t>
        </is>
      </c>
      <c r="E77" s="79" t="inlineStr">
        <is>
          <t>☑</t>
        </is>
      </c>
      <c r="F77" s="79" t="inlineStr">
        <is>
          <t>☑</t>
        </is>
      </c>
      <c r="G77" s="79" t="inlineStr">
        <is>
          <t>☑</t>
        </is>
      </c>
      <c r="H77" s="79" t="inlineStr">
        <is>
          <t>☑</t>
        </is>
      </c>
      <c r="I77" s="79" t="inlineStr">
        <is>
          <t>☑</t>
        </is>
      </c>
      <c r="J77" s="79" t="inlineStr">
        <is>
          <t>☑</t>
        </is>
      </c>
      <c r="K77" s="79" t="inlineStr">
        <is>
          <t>☑</t>
        </is>
      </c>
      <c r="L77" s="79" t="inlineStr">
        <is>
          <t>☑</t>
        </is>
      </c>
      <c r="M77" s="78" t="inlineStr">
        <is>
          <t>☑</t>
        </is>
      </c>
      <c r="N77" s="79" t="inlineStr">
        <is>
          <t>☑</t>
        </is>
      </c>
      <c r="O77" s="79" t="inlineStr">
        <is>
          <t>☑</t>
        </is>
      </c>
      <c r="P77" s="78" t="inlineStr">
        <is>
          <t>☑</t>
        </is>
      </c>
      <c r="Q77" s="79" t="inlineStr">
        <is>
          <t>☑</t>
        </is>
      </c>
      <c r="R77" s="78" t="inlineStr">
        <is>
          <t>—</t>
        </is>
      </c>
      <c r="S77" s="78" t="inlineStr">
        <is>
          <t>—</t>
        </is>
      </c>
      <c r="T77" s="79" t="inlineStr">
        <is>
          <t>☑</t>
        </is>
      </c>
      <c r="U77" s="79" t="inlineStr">
        <is>
          <t>☑</t>
        </is>
      </c>
      <c r="V77" s="79" t="inlineStr">
        <is>
          <t>☑</t>
        </is>
      </c>
      <c r="W77" s="79" t="inlineStr">
        <is>
          <t>☑</t>
        </is>
      </c>
      <c r="X77" s="79" t="inlineStr">
        <is>
          <t>☑</t>
        </is>
      </c>
      <c r="Y77" s="79" t="inlineStr">
        <is>
          <t>☑</t>
        </is>
      </c>
      <c r="Z77" s="79" t="inlineStr">
        <is>
          <t>☑</t>
        </is>
      </c>
      <c r="AA77" s="79" t="inlineStr">
        <is>
          <t>☑</t>
        </is>
      </c>
      <c r="AB77" s="78" t="inlineStr">
        <is>
          <t>☑</t>
        </is>
      </c>
      <c r="AC77" s="79" t="inlineStr">
        <is>
          <t>☑</t>
        </is>
      </c>
      <c r="AD77" s="79" t="inlineStr">
        <is>
          <t>☑</t>
        </is>
      </c>
      <c r="AE77" s="78" t="inlineStr">
        <is>
          <t>☑</t>
        </is>
      </c>
      <c r="AF77" s="79" t="inlineStr">
        <is>
          <t>☑</t>
        </is>
      </c>
      <c r="AG77" s="78" t="inlineStr">
        <is>
          <t>—</t>
        </is>
      </c>
      <c r="AH77" s="78" t="inlineStr">
        <is>
          <t>—</t>
        </is>
      </c>
      <c r="AI77" s="79" t="inlineStr">
        <is>
          <t>☑</t>
        </is>
      </c>
      <c r="AJ77" s="79" t="inlineStr">
        <is>
          <t>☑</t>
        </is>
      </c>
      <c r="AK77" s="79" t="inlineStr">
        <is>
          <t>☑</t>
        </is>
      </c>
      <c r="AL77" s="79" t="inlineStr">
        <is>
          <t>☑</t>
        </is>
      </c>
      <c r="AM77" s="79" t="inlineStr">
        <is>
          <t>☑</t>
        </is>
      </c>
      <c r="AN77" s="79" t="inlineStr">
        <is>
          <t>☑</t>
        </is>
      </c>
      <c r="AO77" s="79" t="inlineStr">
        <is>
          <t>☑</t>
        </is>
      </c>
      <c r="AP77" s="79" t="inlineStr">
        <is>
          <t>☑</t>
        </is>
      </c>
      <c r="AQ77" s="78" t="inlineStr">
        <is>
          <t>☑</t>
        </is>
      </c>
      <c r="AR77" s="79" t="inlineStr">
        <is>
          <t>☑</t>
        </is>
      </c>
      <c r="AS77" s="79" t="inlineStr">
        <is>
          <t>☑</t>
        </is>
      </c>
      <c r="AT77" s="78" t="inlineStr">
        <is>
          <t>☑</t>
        </is>
      </c>
      <c r="AU77" s="79" t="inlineStr">
        <is>
          <t>☑</t>
        </is>
      </c>
      <c r="AV77" s="78" t="inlineStr">
        <is>
          <t>—</t>
        </is>
      </c>
      <c r="AW77" s="78" t="inlineStr">
        <is>
          <t>—</t>
        </is>
      </c>
      <c r="AX77" s="79" t="inlineStr">
        <is>
          <t>☑</t>
        </is>
      </c>
      <c r="AY77" s="79" t="inlineStr">
        <is>
          <t>☑</t>
        </is>
      </c>
      <c r="AZ77" s="79" t="inlineStr">
        <is>
          <t>☑</t>
        </is>
      </c>
      <c r="BA77" s="79" t="inlineStr">
        <is>
          <t>☑</t>
        </is>
      </c>
      <c r="BB77" s="79" t="inlineStr">
        <is>
          <t>☑</t>
        </is>
      </c>
      <c r="BC77" s="79" t="inlineStr">
        <is>
          <t>☑</t>
        </is>
      </c>
      <c r="BD77" s="79" t="inlineStr">
        <is>
          <t>☑</t>
        </is>
      </c>
      <c r="BE77" s="79" t="inlineStr">
        <is>
          <t>☑</t>
        </is>
      </c>
      <c r="BF77" s="78" t="inlineStr">
        <is>
          <t>☑</t>
        </is>
      </c>
      <c r="BG77" s="79" t="inlineStr">
        <is>
          <t>☑</t>
        </is>
      </c>
      <c r="BH77" s="79" t="inlineStr">
        <is>
          <t>☑</t>
        </is>
      </c>
      <c r="BI77" s="78" t="inlineStr">
        <is>
          <t>☑</t>
        </is>
      </c>
      <c r="BJ77" s="79" t="inlineStr">
        <is>
          <t>☑</t>
        </is>
      </c>
      <c r="BK77" s="78" t="inlineStr">
        <is>
          <t>—</t>
        </is>
      </c>
      <c r="BL77" s="78" t="inlineStr">
        <is>
          <t>—</t>
        </is>
      </c>
      <c r="BM77" s="79" t="inlineStr">
        <is>
          <t>☑</t>
        </is>
      </c>
      <c r="BN77" s="79" t="inlineStr">
        <is>
          <t>☑</t>
        </is>
      </c>
      <c r="BO77" s="79" t="inlineStr">
        <is>
          <t>☑</t>
        </is>
      </c>
    </row>
    <row r="78">
      <c r="A78" s="79" t="n">
        <v>71</v>
      </c>
      <c r="B78" s="79" t="inlineStr">
        <is>
          <t>325106410071</t>
        </is>
      </c>
      <c r="C78" s="79" t="inlineStr">
        <is>
          <t>ANGIRA CHOWDHURY</t>
        </is>
      </c>
      <c r="D78" s="78" t="inlineStr">
        <is>
          <t>—</t>
        </is>
      </c>
      <c r="E78" s="79" t="inlineStr">
        <is>
          <t>☑</t>
        </is>
      </c>
      <c r="F78" s="79" t="inlineStr">
        <is>
          <t>☑</t>
        </is>
      </c>
      <c r="G78" s="79" t="inlineStr">
        <is>
          <t>☑</t>
        </is>
      </c>
      <c r="H78" s="79" t="inlineStr">
        <is>
          <t>☑</t>
        </is>
      </c>
      <c r="I78" s="79" t="inlineStr">
        <is>
          <t>☑</t>
        </is>
      </c>
      <c r="J78" s="79" t="inlineStr">
        <is>
          <t>☑</t>
        </is>
      </c>
      <c r="K78" s="79" t="inlineStr">
        <is>
          <t>☑</t>
        </is>
      </c>
      <c r="L78" s="79" t="inlineStr">
        <is>
          <t>☑</t>
        </is>
      </c>
      <c r="M78" s="78" t="inlineStr">
        <is>
          <t>☑</t>
        </is>
      </c>
      <c r="N78" s="79" t="inlineStr">
        <is>
          <t>☑</t>
        </is>
      </c>
      <c r="O78" s="79" t="inlineStr">
        <is>
          <t>☑</t>
        </is>
      </c>
      <c r="P78" s="78" t="inlineStr">
        <is>
          <t>☑</t>
        </is>
      </c>
      <c r="Q78" s="79" t="inlineStr">
        <is>
          <t>☑</t>
        </is>
      </c>
      <c r="R78" s="78" t="inlineStr">
        <is>
          <t>—</t>
        </is>
      </c>
      <c r="S78" s="78" t="inlineStr">
        <is>
          <t>—</t>
        </is>
      </c>
      <c r="T78" s="79" t="inlineStr">
        <is>
          <t>☑</t>
        </is>
      </c>
      <c r="U78" s="79" t="inlineStr">
        <is>
          <t>☑</t>
        </is>
      </c>
      <c r="V78" s="79" t="inlineStr">
        <is>
          <t>☑</t>
        </is>
      </c>
      <c r="W78" s="79" t="inlineStr">
        <is>
          <t>☑</t>
        </is>
      </c>
      <c r="X78" s="79" t="inlineStr">
        <is>
          <t>☑</t>
        </is>
      </c>
      <c r="Y78" s="79" t="inlineStr">
        <is>
          <t>☑</t>
        </is>
      </c>
      <c r="Z78" s="79" t="inlineStr">
        <is>
          <t>☑</t>
        </is>
      </c>
      <c r="AA78" s="79" t="inlineStr">
        <is>
          <t>☑</t>
        </is>
      </c>
      <c r="AB78" s="78" t="inlineStr">
        <is>
          <t>☑</t>
        </is>
      </c>
      <c r="AC78" s="79" t="inlineStr">
        <is>
          <t>☑</t>
        </is>
      </c>
      <c r="AD78" s="79" t="inlineStr">
        <is>
          <t>☑</t>
        </is>
      </c>
      <c r="AE78" s="78" t="inlineStr">
        <is>
          <t>☑</t>
        </is>
      </c>
      <c r="AF78" s="79" t="inlineStr">
        <is>
          <t>☑</t>
        </is>
      </c>
      <c r="AG78" s="78" t="inlineStr">
        <is>
          <t>—</t>
        </is>
      </c>
      <c r="AH78" s="78" t="inlineStr">
        <is>
          <t>—</t>
        </is>
      </c>
      <c r="AI78" s="79" t="inlineStr">
        <is>
          <t>☑</t>
        </is>
      </c>
      <c r="AJ78" s="79" t="inlineStr">
        <is>
          <t>☑</t>
        </is>
      </c>
      <c r="AK78" s="79" t="inlineStr">
        <is>
          <t>☑</t>
        </is>
      </c>
      <c r="AL78" s="79" t="inlineStr">
        <is>
          <t>☑</t>
        </is>
      </c>
      <c r="AM78" s="79" t="inlineStr">
        <is>
          <t>☑</t>
        </is>
      </c>
      <c r="AN78" s="79" t="inlineStr">
        <is>
          <t>☑</t>
        </is>
      </c>
      <c r="AO78" s="79" t="inlineStr">
        <is>
          <t>☑</t>
        </is>
      </c>
      <c r="AP78" s="79" t="inlineStr">
        <is>
          <t>☑</t>
        </is>
      </c>
      <c r="AQ78" s="78" t="inlineStr">
        <is>
          <t>☑</t>
        </is>
      </c>
      <c r="AR78" s="79" t="inlineStr">
        <is>
          <t>☑</t>
        </is>
      </c>
      <c r="AS78" s="79" t="inlineStr">
        <is>
          <t>☑</t>
        </is>
      </c>
      <c r="AT78" s="78" t="inlineStr">
        <is>
          <t>☑</t>
        </is>
      </c>
      <c r="AU78" s="79" t="inlineStr">
        <is>
          <t>☑</t>
        </is>
      </c>
      <c r="AV78" s="78" t="inlineStr">
        <is>
          <t>—</t>
        </is>
      </c>
      <c r="AW78" s="78" t="inlineStr">
        <is>
          <t>—</t>
        </is>
      </c>
      <c r="AX78" s="79" t="inlineStr">
        <is>
          <t>☑</t>
        </is>
      </c>
      <c r="AY78" s="79" t="inlineStr">
        <is>
          <t>☑</t>
        </is>
      </c>
      <c r="AZ78" s="79" t="inlineStr">
        <is>
          <t>☑</t>
        </is>
      </c>
      <c r="BA78" s="79" t="inlineStr">
        <is>
          <t>☑</t>
        </is>
      </c>
      <c r="BB78" s="79" t="inlineStr">
        <is>
          <t>☑</t>
        </is>
      </c>
      <c r="BC78" s="79" t="inlineStr">
        <is>
          <t>☑</t>
        </is>
      </c>
      <c r="BD78" s="79" t="inlineStr">
        <is>
          <t>☑</t>
        </is>
      </c>
      <c r="BE78" s="79" t="inlineStr">
        <is>
          <t>☑</t>
        </is>
      </c>
      <c r="BF78" s="78" t="inlineStr">
        <is>
          <t>☑</t>
        </is>
      </c>
      <c r="BG78" s="79" t="inlineStr">
        <is>
          <t>☑</t>
        </is>
      </c>
      <c r="BH78" s="79" t="inlineStr">
        <is>
          <t>☑</t>
        </is>
      </c>
      <c r="BI78" s="78" t="inlineStr">
        <is>
          <t>☑</t>
        </is>
      </c>
      <c r="BJ78" s="79" t="inlineStr">
        <is>
          <t>☑</t>
        </is>
      </c>
      <c r="BK78" s="78" t="inlineStr">
        <is>
          <t>—</t>
        </is>
      </c>
      <c r="BL78" s="78" t="inlineStr">
        <is>
          <t>—</t>
        </is>
      </c>
      <c r="BM78" s="79" t="inlineStr">
        <is>
          <t>☑</t>
        </is>
      </c>
      <c r="BN78" s="79" t="inlineStr">
        <is>
          <t>☑</t>
        </is>
      </c>
      <c r="BO78" s="79" t="inlineStr">
        <is>
          <t>☑</t>
        </is>
      </c>
    </row>
    <row r="79">
      <c r="A79" s="79" t="n">
        <v>72</v>
      </c>
      <c r="B79" s="79" t="inlineStr">
        <is>
          <t>325106410072</t>
        </is>
      </c>
      <c r="C79" s="79" t="inlineStr">
        <is>
          <t>ANIRBAN SAHA ARGHO</t>
        </is>
      </c>
      <c r="D79" s="78" t="inlineStr">
        <is>
          <t>—</t>
        </is>
      </c>
      <c r="E79" s="79" t="inlineStr">
        <is>
          <t>☑</t>
        </is>
      </c>
      <c r="F79" s="79" t="inlineStr">
        <is>
          <t>☑</t>
        </is>
      </c>
      <c r="G79" s="79" t="inlineStr">
        <is>
          <t>☑</t>
        </is>
      </c>
      <c r="H79" s="79" t="inlineStr">
        <is>
          <t>☑</t>
        </is>
      </c>
      <c r="I79" s="79" t="inlineStr">
        <is>
          <t>☑</t>
        </is>
      </c>
      <c r="J79" s="79" t="inlineStr">
        <is>
          <t>☑</t>
        </is>
      </c>
      <c r="K79" s="79" t="inlineStr">
        <is>
          <t>☑</t>
        </is>
      </c>
      <c r="L79" s="79" t="inlineStr">
        <is>
          <t>☑</t>
        </is>
      </c>
      <c r="M79" s="78" t="inlineStr">
        <is>
          <t>☑</t>
        </is>
      </c>
      <c r="N79" s="79" t="inlineStr">
        <is>
          <t>☑</t>
        </is>
      </c>
      <c r="O79" s="79" t="inlineStr">
        <is>
          <t>☑</t>
        </is>
      </c>
      <c r="P79" s="78" t="inlineStr">
        <is>
          <t>☑</t>
        </is>
      </c>
      <c r="Q79" s="79" t="inlineStr">
        <is>
          <t>☑</t>
        </is>
      </c>
      <c r="R79" s="78" t="inlineStr">
        <is>
          <t>—</t>
        </is>
      </c>
      <c r="S79" s="78" t="inlineStr">
        <is>
          <t>—</t>
        </is>
      </c>
      <c r="T79" s="79" t="inlineStr">
        <is>
          <t>☑</t>
        </is>
      </c>
      <c r="U79" s="79" t="inlineStr">
        <is>
          <t>☑</t>
        </is>
      </c>
      <c r="V79" s="79" t="inlineStr">
        <is>
          <t>☑</t>
        </is>
      </c>
      <c r="W79" s="79" t="inlineStr">
        <is>
          <t>☑</t>
        </is>
      </c>
      <c r="X79" s="79" t="inlineStr">
        <is>
          <t>☑</t>
        </is>
      </c>
      <c r="Y79" s="79" t="inlineStr">
        <is>
          <t>☑</t>
        </is>
      </c>
      <c r="Z79" s="79" t="inlineStr">
        <is>
          <t>☑</t>
        </is>
      </c>
      <c r="AA79" s="79" t="inlineStr">
        <is>
          <t>☑</t>
        </is>
      </c>
      <c r="AB79" s="78" t="inlineStr">
        <is>
          <t>☑</t>
        </is>
      </c>
      <c r="AC79" s="79" t="inlineStr">
        <is>
          <t>☑</t>
        </is>
      </c>
      <c r="AD79" s="79" t="inlineStr">
        <is>
          <t>☑</t>
        </is>
      </c>
      <c r="AE79" s="78" t="inlineStr">
        <is>
          <t>☑</t>
        </is>
      </c>
      <c r="AF79" s="79" t="inlineStr">
        <is>
          <t>☑</t>
        </is>
      </c>
      <c r="AG79" s="78" t="inlineStr">
        <is>
          <t>—</t>
        </is>
      </c>
      <c r="AH79" s="78" t="inlineStr">
        <is>
          <t>—</t>
        </is>
      </c>
      <c r="AI79" s="79" t="inlineStr">
        <is>
          <t>☑</t>
        </is>
      </c>
      <c r="AJ79" s="79" t="inlineStr">
        <is>
          <t>☑</t>
        </is>
      </c>
      <c r="AK79" s="79" t="inlineStr">
        <is>
          <t>☑</t>
        </is>
      </c>
      <c r="AL79" s="79" t="inlineStr">
        <is>
          <t>☑</t>
        </is>
      </c>
      <c r="AM79" s="79" t="inlineStr">
        <is>
          <t>☑</t>
        </is>
      </c>
      <c r="AN79" s="79" t="inlineStr">
        <is>
          <t>☑</t>
        </is>
      </c>
      <c r="AO79" s="79" t="inlineStr">
        <is>
          <t>☑</t>
        </is>
      </c>
      <c r="AP79" s="79" t="inlineStr">
        <is>
          <t>☑</t>
        </is>
      </c>
      <c r="AQ79" s="78" t="inlineStr">
        <is>
          <t>☑</t>
        </is>
      </c>
      <c r="AR79" s="79" t="inlineStr">
        <is>
          <t>☑</t>
        </is>
      </c>
      <c r="AS79" s="79" t="inlineStr">
        <is>
          <t>☑</t>
        </is>
      </c>
      <c r="AT79" s="78" t="inlineStr">
        <is>
          <t>☑</t>
        </is>
      </c>
      <c r="AU79" s="79" t="inlineStr">
        <is>
          <t>☑</t>
        </is>
      </c>
      <c r="AV79" s="78" t="inlineStr">
        <is>
          <t>—</t>
        </is>
      </c>
      <c r="AW79" s="78" t="inlineStr">
        <is>
          <t>—</t>
        </is>
      </c>
      <c r="AX79" s="79" t="inlineStr">
        <is>
          <t>☑</t>
        </is>
      </c>
      <c r="AY79" s="79" t="inlineStr">
        <is>
          <t>☑</t>
        </is>
      </c>
      <c r="AZ79" s="79" t="inlineStr">
        <is>
          <t>☑</t>
        </is>
      </c>
      <c r="BA79" s="79" t="inlineStr">
        <is>
          <t>☑</t>
        </is>
      </c>
      <c r="BB79" s="79" t="inlineStr">
        <is>
          <t>☑</t>
        </is>
      </c>
      <c r="BC79" s="79" t="inlineStr">
        <is>
          <t>☑</t>
        </is>
      </c>
      <c r="BD79" s="79" t="inlineStr">
        <is>
          <t>☑</t>
        </is>
      </c>
      <c r="BE79" s="79" t="inlineStr">
        <is>
          <t>☑</t>
        </is>
      </c>
      <c r="BF79" s="78" t="inlineStr">
        <is>
          <t>☑</t>
        </is>
      </c>
      <c r="BG79" s="79" t="inlineStr">
        <is>
          <t>☑</t>
        </is>
      </c>
      <c r="BH79" s="79" t="inlineStr">
        <is>
          <t>☑</t>
        </is>
      </c>
      <c r="BI79" s="78" t="inlineStr">
        <is>
          <t>☑</t>
        </is>
      </c>
      <c r="BJ79" s="79" t="inlineStr">
        <is>
          <t>☑</t>
        </is>
      </c>
      <c r="BK79" s="78" t="inlineStr">
        <is>
          <t>—</t>
        </is>
      </c>
      <c r="BL79" s="78" t="inlineStr">
        <is>
          <t>—</t>
        </is>
      </c>
      <c r="BM79" s="79" t="inlineStr">
        <is>
          <t>☑</t>
        </is>
      </c>
      <c r="BN79" s="79" t="inlineStr">
        <is>
          <t>☑</t>
        </is>
      </c>
      <c r="BO79" s="79" t="inlineStr">
        <is>
          <t>☑</t>
        </is>
      </c>
    </row>
    <row r="80">
      <c r="A80" s="79" t="n">
        <v>73</v>
      </c>
      <c r="B80" s="79" t="inlineStr">
        <is>
          <t>325106410073</t>
        </is>
      </c>
      <c r="C80" s="79" t="inlineStr">
        <is>
          <t>SAMUEL ANTWI MALIK</t>
        </is>
      </c>
      <c r="D80" s="78" t="inlineStr">
        <is>
          <t>—</t>
        </is>
      </c>
      <c r="E80" s="79" t="inlineStr">
        <is>
          <t>☑</t>
        </is>
      </c>
      <c r="F80" s="79" t="inlineStr">
        <is>
          <t>☑</t>
        </is>
      </c>
      <c r="G80" s="79" t="inlineStr">
        <is>
          <t>☑</t>
        </is>
      </c>
      <c r="H80" s="79" t="inlineStr">
        <is>
          <t>☑</t>
        </is>
      </c>
      <c r="I80" s="79" t="inlineStr">
        <is>
          <t>☑</t>
        </is>
      </c>
      <c r="J80" s="79" t="inlineStr">
        <is>
          <t>☑</t>
        </is>
      </c>
      <c r="K80" s="79" t="inlineStr">
        <is>
          <t>☑</t>
        </is>
      </c>
      <c r="L80" s="79" t="inlineStr">
        <is>
          <t>☑</t>
        </is>
      </c>
      <c r="M80" s="78" t="inlineStr">
        <is>
          <t>☑</t>
        </is>
      </c>
      <c r="N80" s="79" t="inlineStr">
        <is>
          <t>☑</t>
        </is>
      </c>
      <c r="O80" s="79" t="inlineStr">
        <is>
          <t>☑</t>
        </is>
      </c>
      <c r="P80" s="78" t="inlineStr">
        <is>
          <t>☑</t>
        </is>
      </c>
      <c r="Q80" s="79" t="inlineStr">
        <is>
          <t>☑</t>
        </is>
      </c>
      <c r="R80" s="78" t="inlineStr">
        <is>
          <t>—</t>
        </is>
      </c>
      <c r="S80" s="78" t="inlineStr">
        <is>
          <t>—</t>
        </is>
      </c>
      <c r="T80" s="79" t="inlineStr">
        <is>
          <t>☑</t>
        </is>
      </c>
      <c r="U80" s="79" t="inlineStr">
        <is>
          <t>☑</t>
        </is>
      </c>
      <c r="V80" s="79" t="inlineStr">
        <is>
          <t>☑</t>
        </is>
      </c>
      <c r="W80" s="79" t="inlineStr">
        <is>
          <t>☑</t>
        </is>
      </c>
      <c r="X80" s="79" t="inlineStr">
        <is>
          <t>☑</t>
        </is>
      </c>
      <c r="Y80" s="79" t="inlineStr">
        <is>
          <t>☑</t>
        </is>
      </c>
      <c r="Z80" s="79" t="inlineStr">
        <is>
          <t>☑</t>
        </is>
      </c>
      <c r="AA80" s="79" t="inlineStr">
        <is>
          <t>☑</t>
        </is>
      </c>
      <c r="AB80" s="78" t="inlineStr">
        <is>
          <t>☑</t>
        </is>
      </c>
      <c r="AC80" s="79" t="inlineStr">
        <is>
          <t>☑</t>
        </is>
      </c>
      <c r="AD80" s="79" t="inlineStr">
        <is>
          <t>☑</t>
        </is>
      </c>
      <c r="AE80" s="78" t="inlineStr">
        <is>
          <t>☑</t>
        </is>
      </c>
      <c r="AF80" s="79" t="inlineStr">
        <is>
          <t>☑</t>
        </is>
      </c>
      <c r="AG80" s="78" t="inlineStr">
        <is>
          <t>—</t>
        </is>
      </c>
      <c r="AH80" s="78" t="inlineStr">
        <is>
          <t>—</t>
        </is>
      </c>
      <c r="AI80" s="79" t="inlineStr">
        <is>
          <t>☑</t>
        </is>
      </c>
      <c r="AJ80" s="79" t="inlineStr">
        <is>
          <t>☑</t>
        </is>
      </c>
      <c r="AK80" s="79" t="inlineStr">
        <is>
          <t>☑</t>
        </is>
      </c>
      <c r="AL80" s="79" t="inlineStr">
        <is>
          <t>☑</t>
        </is>
      </c>
      <c r="AM80" s="79" t="inlineStr">
        <is>
          <t>☑</t>
        </is>
      </c>
      <c r="AN80" s="79" t="inlineStr">
        <is>
          <t>☑</t>
        </is>
      </c>
      <c r="AO80" s="79" t="inlineStr">
        <is>
          <t>☑</t>
        </is>
      </c>
      <c r="AP80" s="79" t="inlineStr">
        <is>
          <t>☑</t>
        </is>
      </c>
      <c r="AQ80" s="78" t="inlineStr">
        <is>
          <t>☑</t>
        </is>
      </c>
      <c r="AR80" s="79" t="inlineStr">
        <is>
          <t>☑</t>
        </is>
      </c>
      <c r="AS80" s="79" t="inlineStr">
        <is>
          <t>☑</t>
        </is>
      </c>
      <c r="AT80" s="78" t="inlineStr">
        <is>
          <t>☑</t>
        </is>
      </c>
      <c r="AU80" s="79" t="inlineStr">
        <is>
          <t>☑</t>
        </is>
      </c>
      <c r="AV80" s="78" t="inlineStr">
        <is>
          <t>—</t>
        </is>
      </c>
      <c r="AW80" s="78" t="inlineStr">
        <is>
          <t>—</t>
        </is>
      </c>
      <c r="AX80" s="79" t="inlineStr">
        <is>
          <t>☑</t>
        </is>
      </c>
      <c r="AY80" s="79" t="inlineStr">
        <is>
          <t>☑</t>
        </is>
      </c>
      <c r="AZ80" s="79" t="inlineStr">
        <is>
          <t>☑</t>
        </is>
      </c>
      <c r="BA80" s="79" t="inlineStr">
        <is>
          <t>☑</t>
        </is>
      </c>
      <c r="BB80" s="79" t="inlineStr">
        <is>
          <t>☑</t>
        </is>
      </c>
      <c r="BC80" s="79" t="inlineStr">
        <is>
          <t>☑</t>
        </is>
      </c>
      <c r="BD80" s="79" t="inlineStr">
        <is>
          <t>☑</t>
        </is>
      </c>
      <c r="BE80" s="79" t="inlineStr">
        <is>
          <t>☑</t>
        </is>
      </c>
      <c r="BF80" s="78" t="inlineStr">
        <is>
          <t>☑</t>
        </is>
      </c>
      <c r="BG80" s="79" t="inlineStr">
        <is>
          <t>☑</t>
        </is>
      </c>
      <c r="BH80" s="79" t="inlineStr">
        <is>
          <t>☑</t>
        </is>
      </c>
      <c r="BI80" s="78" t="inlineStr">
        <is>
          <t>☑</t>
        </is>
      </c>
      <c r="BJ80" s="79" t="inlineStr">
        <is>
          <t>☑</t>
        </is>
      </c>
      <c r="BK80" s="78" t="inlineStr">
        <is>
          <t>—</t>
        </is>
      </c>
      <c r="BL80" s="78" t="inlineStr">
        <is>
          <t>—</t>
        </is>
      </c>
      <c r="BM80" s="79" t="inlineStr">
        <is>
          <t>☑</t>
        </is>
      </c>
      <c r="BN80" s="79" t="inlineStr">
        <is>
          <t>☑</t>
        </is>
      </c>
      <c r="BO80" s="79" t="inlineStr">
        <is>
          <t>☑</t>
        </is>
      </c>
    </row>
    <row r="81">
      <c r="A81" s="79" t="n">
        <v>74</v>
      </c>
      <c r="B81" s="79" t="inlineStr">
        <is>
          <t>325106410074</t>
        </is>
      </c>
      <c r="C81" s="79" t="inlineStr">
        <is>
          <t>AOULADI AHAMADA</t>
        </is>
      </c>
      <c r="D81" s="78" t="inlineStr">
        <is>
          <t>—</t>
        </is>
      </c>
      <c r="E81" s="79" t="inlineStr">
        <is>
          <t>☑</t>
        </is>
      </c>
      <c r="F81" s="79" t="inlineStr">
        <is>
          <t>☑</t>
        </is>
      </c>
      <c r="G81" s="79" t="inlineStr">
        <is>
          <t>☑</t>
        </is>
      </c>
      <c r="H81" s="79" t="inlineStr">
        <is>
          <t>☑</t>
        </is>
      </c>
      <c r="I81" s="79" t="inlineStr">
        <is>
          <t>☑</t>
        </is>
      </c>
      <c r="J81" s="79" t="inlineStr">
        <is>
          <t>☑</t>
        </is>
      </c>
      <c r="K81" s="79" t="inlineStr">
        <is>
          <t>☑</t>
        </is>
      </c>
      <c r="L81" s="79" t="inlineStr">
        <is>
          <t>☑</t>
        </is>
      </c>
      <c r="M81" s="78" t="inlineStr">
        <is>
          <t>☑</t>
        </is>
      </c>
      <c r="N81" s="79" t="inlineStr">
        <is>
          <t>☑</t>
        </is>
      </c>
      <c r="O81" s="79" t="inlineStr">
        <is>
          <t>☑</t>
        </is>
      </c>
      <c r="P81" s="78" t="inlineStr">
        <is>
          <t>☑</t>
        </is>
      </c>
      <c r="Q81" s="79" t="inlineStr">
        <is>
          <t>☑</t>
        </is>
      </c>
      <c r="R81" s="78" t="inlineStr">
        <is>
          <t>—</t>
        </is>
      </c>
      <c r="S81" s="78" t="inlineStr">
        <is>
          <t>—</t>
        </is>
      </c>
      <c r="T81" s="79" t="inlineStr">
        <is>
          <t>☑</t>
        </is>
      </c>
      <c r="U81" s="79" t="inlineStr">
        <is>
          <t>☑</t>
        </is>
      </c>
      <c r="V81" s="79" t="inlineStr">
        <is>
          <t>☑</t>
        </is>
      </c>
      <c r="W81" s="79" t="inlineStr">
        <is>
          <t>☑</t>
        </is>
      </c>
      <c r="X81" s="79" t="inlineStr">
        <is>
          <t>☑</t>
        </is>
      </c>
      <c r="Y81" s="79" t="inlineStr">
        <is>
          <t>☑</t>
        </is>
      </c>
      <c r="Z81" s="79" t="inlineStr">
        <is>
          <t>☑</t>
        </is>
      </c>
      <c r="AA81" s="79" t="inlineStr">
        <is>
          <t>☑</t>
        </is>
      </c>
      <c r="AB81" s="78" t="inlineStr">
        <is>
          <t>☑</t>
        </is>
      </c>
      <c r="AC81" s="79" t="inlineStr">
        <is>
          <t>☑</t>
        </is>
      </c>
      <c r="AD81" s="79" t="inlineStr">
        <is>
          <t>☑</t>
        </is>
      </c>
      <c r="AE81" s="78" t="inlineStr">
        <is>
          <t>☑</t>
        </is>
      </c>
      <c r="AF81" s="79" t="inlineStr">
        <is>
          <t>☑</t>
        </is>
      </c>
      <c r="AG81" s="78" t="inlineStr">
        <is>
          <t>—</t>
        </is>
      </c>
      <c r="AH81" s="78" t="inlineStr">
        <is>
          <t>—</t>
        </is>
      </c>
      <c r="AI81" s="79" t="inlineStr">
        <is>
          <t>☑</t>
        </is>
      </c>
      <c r="AJ81" s="79" t="inlineStr">
        <is>
          <t>☑</t>
        </is>
      </c>
      <c r="AK81" s="79" t="inlineStr">
        <is>
          <t>☑</t>
        </is>
      </c>
      <c r="AL81" s="79" t="inlineStr">
        <is>
          <t>☑</t>
        </is>
      </c>
      <c r="AM81" s="79" t="inlineStr">
        <is>
          <t>☑</t>
        </is>
      </c>
      <c r="AN81" s="79" t="inlineStr">
        <is>
          <t>☑</t>
        </is>
      </c>
      <c r="AO81" s="79" t="inlineStr">
        <is>
          <t>☑</t>
        </is>
      </c>
      <c r="AP81" s="79" t="inlineStr">
        <is>
          <t>☑</t>
        </is>
      </c>
      <c r="AQ81" s="78" t="inlineStr">
        <is>
          <t>☑</t>
        </is>
      </c>
      <c r="AR81" s="79" t="inlineStr">
        <is>
          <t>☑</t>
        </is>
      </c>
      <c r="AS81" s="79" t="inlineStr">
        <is>
          <t>☑</t>
        </is>
      </c>
      <c r="AT81" s="78" t="inlineStr">
        <is>
          <t>☑</t>
        </is>
      </c>
      <c r="AU81" s="79" t="inlineStr">
        <is>
          <t>☑</t>
        </is>
      </c>
      <c r="AV81" s="78" t="inlineStr">
        <is>
          <t>—</t>
        </is>
      </c>
      <c r="AW81" s="78" t="inlineStr">
        <is>
          <t>—</t>
        </is>
      </c>
      <c r="AX81" s="79" t="inlineStr">
        <is>
          <t>☑</t>
        </is>
      </c>
      <c r="AY81" s="79" t="inlineStr">
        <is>
          <t>☑</t>
        </is>
      </c>
      <c r="AZ81" s="79" t="inlineStr">
        <is>
          <t>☑</t>
        </is>
      </c>
      <c r="BA81" s="79" t="inlineStr">
        <is>
          <t>☑</t>
        </is>
      </c>
      <c r="BB81" s="79" t="inlineStr">
        <is>
          <t>☑</t>
        </is>
      </c>
      <c r="BC81" s="79" t="inlineStr">
        <is>
          <t>☑</t>
        </is>
      </c>
      <c r="BD81" s="79" t="inlineStr">
        <is>
          <t>☑</t>
        </is>
      </c>
      <c r="BE81" s="79" t="inlineStr">
        <is>
          <t>☑</t>
        </is>
      </c>
      <c r="BF81" s="78" t="inlineStr">
        <is>
          <t>☑</t>
        </is>
      </c>
      <c r="BG81" s="79" t="inlineStr">
        <is>
          <t>☑</t>
        </is>
      </c>
      <c r="BH81" s="79" t="inlineStr">
        <is>
          <t>☑</t>
        </is>
      </c>
      <c r="BI81" s="78" t="inlineStr">
        <is>
          <t>☑</t>
        </is>
      </c>
      <c r="BJ81" s="79" t="inlineStr">
        <is>
          <t>☑</t>
        </is>
      </c>
      <c r="BK81" s="78" t="inlineStr">
        <is>
          <t>—</t>
        </is>
      </c>
      <c r="BL81" s="78" t="inlineStr">
        <is>
          <t>—</t>
        </is>
      </c>
      <c r="BM81" s="79" t="inlineStr">
        <is>
          <t>☑</t>
        </is>
      </c>
      <c r="BN81" s="79" t="inlineStr">
        <is>
          <t>☑</t>
        </is>
      </c>
      <c r="BO81" s="79" t="inlineStr">
        <is>
          <t>☑</t>
        </is>
      </c>
    </row>
    <row r="82">
      <c r="A82" s="79" t="n">
        <v>75</v>
      </c>
      <c r="B82" s="79" t="inlineStr">
        <is>
          <t>325106410075</t>
        </is>
      </c>
      <c r="C82" s="79" t="inlineStr">
        <is>
          <t>ARIYA DEY ARPI</t>
        </is>
      </c>
      <c r="D82" s="78" t="inlineStr">
        <is>
          <t>—</t>
        </is>
      </c>
      <c r="E82" s="79" t="inlineStr">
        <is>
          <t>☑</t>
        </is>
      </c>
      <c r="F82" s="79" t="inlineStr">
        <is>
          <t>☑</t>
        </is>
      </c>
      <c r="G82" s="79" t="inlineStr">
        <is>
          <t>☑</t>
        </is>
      </c>
      <c r="H82" s="79" t="inlineStr">
        <is>
          <t>☑</t>
        </is>
      </c>
      <c r="I82" s="79" t="inlineStr">
        <is>
          <t>☑</t>
        </is>
      </c>
      <c r="J82" s="79" t="inlineStr">
        <is>
          <t>☑</t>
        </is>
      </c>
      <c r="K82" s="79" t="inlineStr">
        <is>
          <t>☑</t>
        </is>
      </c>
      <c r="L82" s="79" t="inlineStr">
        <is>
          <t>☑</t>
        </is>
      </c>
      <c r="M82" s="78" t="inlineStr">
        <is>
          <t>☑</t>
        </is>
      </c>
      <c r="N82" s="79" t="inlineStr">
        <is>
          <t>☑</t>
        </is>
      </c>
      <c r="O82" s="79" t="inlineStr">
        <is>
          <t>☑</t>
        </is>
      </c>
      <c r="P82" s="78" t="inlineStr">
        <is>
          <t>☑</t>
        </is>
      </c>
      <c r="Q82" s="79" t="inlineStr">
        <is>
          <t>☑</t>
        </is>
      </c>
      <c r="R82" s="78" t="inlineStr">
        <is>
          <t>—</t>
        </is>
      </c>
      <c r="S82" s="78" t="inlineStr">
        <is>
          <t>—</t>
        </is>
      </c>
      <c r="T82" s="79" t="inlineStr">
        <is>
          <t>☑</t>
        </is>
      </c>
      <c r="U82" s="79" t="inlineStr">
        <is>
          <t>☑</t>
        </is>
      </c>
      <c r="V82" s="79" t="inlineStr">
        <is>
          <t>☑</t>
        </is>
      </c>
      <c r="W82" s="79" t="inlineStr">
        <is>
          <t>☑</t>
        </is>
      </c>
      <c r="X82" s="79" t="inlineStr">
        <is>
          <t>☑</t>
        </is>
      </c>
      <c r="Y82" s="79" t="inlineStr">
        <is>
          <t>☑</t>
        </is>
      </c>
      <c r="Z82" s="79" t="inlineStr">
        <is>
          <t>☑</t>
        </is>
      </c>
      <c r="AA82" s="79" t="inlineStr">
        <is>
          <t>☑</t>
        </is>
      </c>
      <c r="AB82" s="78" t="inlineStr">
        <is>
          <t>☑</t>
        </is>
      </c>
      <c r="AC82" s="79" t="inlineStr">
        <is>
          <t>☑</t>
        </is>
      </c>
      <c r="AD82" s="79" t="inlineStr">
        <is>
          <t>☑</t>
        </is>
      </c>
      <c r="AE82" s="78" t="inlineStr">
        <is>
          <t>☑</t>
        </is>
      </c>
      <c r="AF82" s="79" t="inlineStr">
        <is>
          <t>☑</t>
        </is>
      </c>
      <c r="AG82" s="78" t="inlineStr">
        <is>
          <t>—</t>
        </is>
      </c>
      <c r="AH82" s="78" t="inlineStr">
        <is>
          <t>—</t>
        </is>
      </c>
      <c r="AI82" s="79" t="inlineStr">
        <is>
          <t>☑</t>
        </is>
      </c>
      <c r="AJ82" s="79" t="inlineStr">
        <is>
          <t>☑</t>
        </is>
      </c>
      <c r="AK82" s="79" t="inlineStr">
        <is>
          <t>☑</t>
        </is>
      </c>
      <c r="AL82" s="79" t="inlineStr">
        <is>
          <t>☑</t>
        </is>
      </c>
      <c r="AM82" s="79" t="inlineStr">
        <is>
          <t>☑</t>
        </is>
      </c>
      <c r="AN82" s="79" t="inlineStr">
        <is>
          <t>☑</t>
        </is>
      </c>
      <c r="AO82" s="79" t="inlineStr">
        <is>
          <t>☑</t>
        </is>
      </c>
      <c r="AP82" s="79" t="inlineStr">
        <is>
          <t>☑</t>
        </is>
      </c>
      <c r="AQ82" s="78" t="inlineStr">
        <is>
          <t>☑</t>
        </is>
      </c>
      <c r="AR82" s="79" t="inlineStr">
        <is>
          <t>☑</t>
        </is>
      </c>
      <c r="AS82" s="79" t="inlineStr">
        <is>
          <t>☑</t>
        </is>
      </c>
      <c r="AT82" s="78" t="inlineStr">
        <is>
          <t>☑</t>
        </is>
      </c>
      <c r="AU82" s="79" t="inlineStr">
        <is>
          <t>☑</t>
        </is>
      </c>
      <c r="AV82" s="78" t="inlineStr">
        <is>
          <t>—</t>
        </is>
      </c>
      <c r="AW82" s="78" t="inlineStr">
        <is>
          <t>—</t>
        </is>
      </c>
      <c r="AX82" s="79" t="inlineStr">
        <is>
          <t>☑</t>
        </is>
      </c>
      <c r="AY82" s="79" t="inlineStr">
        <is>
          <t>☑</t>
        </is>
      </c>
      <c r="AZ82" s="79" t="inlineStr">
        <is>
          <t>☑</t>
        </is>
      </c>
      <c r="BA82" s="79" t="inlineStr">
        <is>
          <t>☑</t>
        </is>
      </c>
      <c r="BB82" s="79" t="inlineStr">
        <is>
          <t>☑</t>
        </is>
      </c>
      <c r="BC82" s="79" t="inlineStr">
        <is>
          <t>☑</t>
        </is>
      </c>
      <c r="BD82" s="79" t="inlineStr">
        <is>
          <t>☑</t>
        </is>
      </c>
      <c r="BE82" s="79" t="inlineStr">
        <is>
          <t>☑</t>
        </is>
      </c>
      <c r="BF82" s="78" t="inlineStr">
        <is>
          <t>☑</t>
        </is>
      </c>
      <c r="BG82" s="79" t="inlineStr">
        <is>
          <t>☑</t>
        </is>
      </c>
      <c r="BH82" s="79" t="inlineStr">
        <is>
          <t>☑</t>
        </is>
      </c>
      <c r="BI82" s="78" t="inlineStr">
        <is>
          <t>☑</t>
        </is>
      </c>
      <c r="BJ82" s="79" t="inlineStr">
        <is>
          <t>☑</t>
        </is>
      </c>
      <c r="BK82" s="78" t="inlineStr">
        <is>
          <t>—</t>
        </is>
      </c>
      <c r="BL82" s="78" t="inlineStr">
        <is>
          <t>—</t>
        </is>
      </c>
      <c r="BM82" s="79" t="inlineStr">
        <is>
          <t>☑</t>
        </is>
      </c>
      <c r="BN82" s="79" t="inlineStr">
        <is>
          <t>☑</t>
        </is>
      </c>
      <c r="BO82" s="79" t="inlineStr">
        <is>
          <t>☑</t>
        </is>
      </c>
    </row>
    <row r="83">
      <c r="A83" s="79" t="n">
        <v>76</v>
      </c>
      <c r="B83" s="79" t="inlineStr">
        <is>
          <t>325106410076</t>
        </is>
      </c>
      <c r="C83" s="79" t="inlineStr">
        <is>
          <t>ASEEL ABDELRHMAN MOHAMEDAHMED MOHAMEDKHAIR</t>
        </is>
      </c>
      <c r="D83" s="78" t="inlineStr">
        <is>
          <t>—</t>
        </is>
      </c>
      <c r="E83" s="79" t="inlineStr">
        <is>
          <t>☑</t>
        </is>
      </c>
      <c r="F83" s="79" t="inlineStr">
        <is>
          <t>☑</t>
        </is>
      </c>
      <c r="G83" s="79" t="inlineStr">
        <is>
          <t>☑</t>
        </is>
      </c>
      <c r="H83" s="79" t="inlineStr">
        <is>
          <t>☑</t>
        </is>
      </c>
      <c r="I83" s="79" t="inlineStr">
        <is>
          <t>☑</t>
        </is>
      </c>
      <c r="J83" s="79" t="inlineStr">
        <is>
          <t>☑</t>
        </is>
      </c>
      <c r="K83" s="79" t="inlineStr">
        <is>
          <t>☑</t>
        </is>
      </c>
      <c r="L83" s="79" t="inlineStr">
        <is>
          <t>☑</t>
        </is>
      </c>
      <c r="M83" s="78" t="inlineStr">
        <is>
          <t>☑</t>
        </is>
      </c>
      <c r="N83" s="79" t="inlineStr">
        <is>
          <t>☑</t>
        </is>
      </c>
      <c r="O83" s="79" t="inlineStr">
        <is>
          <t>☑</t>
        </is>
      </c>
      <c r="P83" s="78" t="inlineStr">
        <is>
          <t>☑</t>
        </is>
      </c>
      <c r="Q83" s="79" t="inlineStr">
        <is>
          <t>☑</t>
        </is>
      </c>
      <c r="R83" s="78" t="inlineStr">
        <is>
          <t>—</t>
        </is>
      </c>
      <c r="S83" s="78" t="inlineStr">
        <is>
          <t>—</t>
        </is>
      </c>
      <c r="T83" s="79" t="inlineStr">
        <is>
          <t>☑</t>
        </is>
      </c>
      <c r="U83" s="79" t="inlineStr">
        <is>
          <t>☑</t>
        </is>
      </c>
      <c r="V83" s="79" t="inlineStr">
        <is>
          <t>☑</t>
        </is>
      </c>
      <c r="W83" s="79" t="inlineStr">
        <is>
          <t>☑</t>
        </is>
      </c>
      <c r="X83" s="79" t="inlineStr">
        <is>
          <t>☑</t>
        </is>
      </c>
      <c r="Y83" s="79" t="inlineStr">
        <is>
          <t>☑</t>
        </is>
      </c>
      <c r="Z83" s="79" t="inlineStr">
        <is>
          <t>☑</t>
        </is>
      </c>
      <c r="AA83" s="79" t="inlineStr">
        <is>
          <t>☑</t>
        </is>
      </c>
      <c r="AB83" s="78" t="inlineStr">
        <is>
          <t>☑</t>
        </is>
      </c>
      <c r="AC83" s="79" t="inlineStr">
        <is>
          <t>☑</t>
        </is>
      </c>
      <c r="AD83" s="79" t="inlineStr">
        <is>
          <t>☑</t>
        </is>
      </c>
      <c r="AE83" s="78" t="inlineStr">
        <is>
          <t>☑</t>
        </is>
      </c>
      <c r="AF83" s="79" t="inlineStr">
        <is>
          <t>☑</t>
        </is>
      </c>
      <c r="AG83" s="78" t="inlineStr">
        <is>
          <t>—</t>
        </is>
      </c>
      <c r="AH83" s="78" t="inlineStr">
        <is>
          <t>—</t>
        </is>
      </c>
      <c r="AI83" s="79" t="inlineStr">
        <is>
          <t>☑</t>
        </is>
      </c>
      <c r="AJ83" s="79" t="inlineStr">
        <is>
          <t>☑</t>
        </is>
      </c>
      <c r="AK83" s="79" t="inlineStr">
        <is>
          <t>☑</t>
        </is>
      </c>
      <c r="AL83" s="79" t="inlineStr">
        <is>
          <t>☑</t>
        </is>
      </c>
      <c r="AM83" s="79" t="inlineStr">
        <is>
          <t>☑</t>
        </is>
      </c>
      <c r="AN83" s="79" t="inlineStr">
        <is>
          <t>☑</t>
        </is>
      </c>
      <c r="AO83" s="79" t="inlineStr">
        <is>
          <t>☑</t>
        </is>
      </c>
      <c r="AP83" s="79" t="inlineStr">
        <is>
          <t>☑</t>
        </is>
      </c>
      <c r="AQ83" s="78" t="inlineStr">
        <is>
          <t>☑</t>
        </is>
      </c>
      <c r="AR83" s="79" t="inlineStr">
        <is>
          <t>☑</t>
        </is>
      </c>
      <c r="AS83" s="79" t="inlineStr">
        <is>
          <t>☑</t>
        </is>
      </c>
      <c r="AT83" s="78" t="inlineStr">
        <is>
          <t>☑</t>
        </is>
      </c>
      <c r="AU83" s="79" t="inlineStr">
        <is>
          <t>☑</t>
        </is>
      </c>
      <c r="AV83" s="78" t="inlineStr">
        <is>
          <t>—</t>
        </is>
      </c>
      <c r="AW83" s="78" t="inlineStr">
        <is>
          <t>—</t>
        </is>
      </c>
      <c r="AX83" s="79" t="inlineStr">
        <is>
          <t>☑</t>
        </is>
      </c>
      <c r="AY83" s="79" t="inlineStr">
        <is>
          <t>☑</t>
        </is>
      </c>
      <c r="AZ83" s="79" t="inlineStr">
        <is>
          <t>☑</t>
        </is>
      </c>
      <c r="BA83" s="79" t="inlineStr">
        <is>
          <t>☑</t>
        </is>
      </c>
      <c r="BB83" s="79" t="inlineStr">
        <is>
          <t>☑</t>
        </is>
      </c>
      <c r="BC83" s="79" t="inlineStr">
        <is>
          <t>☑</t>
        </is>
      </c>
      <c r="BD83" s="79" t="inlineStr">
        <is>
          <t>☑</t>
        </is>
      </c>
      <c r="BE83" s="79" t="inlineStr">
        <is>
          <t>☑</t>
        </is>
      </c>
      <c r="BF83" s="78" t="inlineStr">
        <is>
          <t>☑</t>
        </is>
      </c>
      <c r="BG83" s="79" t="inlineStr">
        <is>
          <t>☑</t>
        </is>
      </c>
      <c r="BH83" s="79" t="inlineStr">
        <is>
          <t>☑</t>
        </is>
      </c>
      <c r="BI83" s="78" t="inlineStr">
        <is>
          <t>☑</t>
        </is>
      </c>
      <c r="BJ83" s="79" t="inlineStr">
        <is>
          <t>☑</t>
        </is>
      </c>
      <c r="BK83" s="78" t="inlineStr">
        <is>
          <t>—</t>
        </is>
      </c>
      <c r="BL83" s="78" t="inlineStr">
        <is>
          <t>—</t>
        </is>
      </c>
      <c r="BM83" s="79" t="inlineStr">
        <is>
          <t>☑</t>
        </is>
      </c>
      <c r="BN83" s="79" t="inlineStr">
        <is>
          <t>☑</t>
        </is>
      </c>
      <c r="BO83" s="79" t="inlineStr">
        <is>
          <t>☑</t>
        </is>
      </c>
    </row>
    <row r="84">
      <c r="A84" s="79" t="n">
        <v>77</v>
      </c>
      <c r="B84" s="79" t="inlineStr">
        <is>
          <t>325106410077</t>
        </is>
      </c>
      <c r="C84" s="79" t="inlineStr">
        <is>
          <t>BASMALA ELWALEED ISMAIL ABDALLA</t>
        </is>
      </c>
      <c r="D84" s="78" t="inlineStr">
        <is>
          <t>—</t>
        </is>
      </c>
      <c r="E84" s="79" t="inlineStr">
        <is>
          <t>☑</t>
        </is>
      </c>
      <c r="F84" s="79" t="inlineStr">
        <is>
          <t>☑</t>
        </is>
      </c>
      <c r="G84" s="79" t="inlineStr">
        <is>
          <t>☑</t>
        </is>
      </c>
      <c r="H84" s="79" t="inlineStr">
        <is>
          <t>☑</t>
        </is>
      </c>
      <c r="I84" s="79" t="inlineStr">
        <is>
          <t>☑</t>
        </is>
      </c>
      <c r="J84" s="79" t="inlineStr">
        <is>
          <t>☑</t>
        </is>
      </c>
      <c r="K84" s="79" t="inlineStr">
        <is>
          <t>☑</t>
        </is>
      </c>
      <c r="L84" s="79" t="inlineStr">
        <is>
          <t>☑</t>
        </is>
      </c>
      <c r="M84" s="78" t="inlineStr">
        <is>
          <t>☑</t>
        </is>
      </c>
      <c r="N84" s="79" t="inlineStr">
        <is>
          <t>☑</t>
        </is>
      </c>
      <c r="O84" s="79" t="inlineStr">
        <is>
          <t>☑</t>
        </is>
      </c>
      <c r="P84" s="78" t="inlineStr">
        <is>
          <t>☑</t>
        </is>
      </c>
      <c r="Q84" s="79" t="inlineStr">
        <is>
          <t>☑</t>
        </is>
      </c>
      <c r="R84" s="78" t="inlineStr">
        <is>
          <t>—</t>
        </is>
      </c>
      <c r="S84" s="78" t="inlineStr">
        <is>
          <t>—</t>
        </is>
      </c>
      <c r="T84" s="79" t="inlineStr">
        <is>
          <t>☑</t>
        </is>
      </c>
      <c r="U84" s="79" t="inlineStr">
        <is>
          <t>☑</t>
        </is>
      </c>
      <c r="V84" s="79" t="inlineStr">
        <is>
          <t>☑</t>
        </is>
      </c>
      <c r="W84" s="79" t="inlineStr">
        <is>
          <t>☑</t>
        </is>
      </c>
      <c r="X84" s="79" t="inlineStr">
        <is>
          <t>☑</t>
        </is>
      </c>
      <c r="Y84" s="79" t="inlineStr">
        <is>
          <t>☑</t>
        </is>
      </c>
      <c r="Z84" s="79" t="inlineStr">
        <is>
          <t>☑</t>
        </is>
      </c>
      <c r="AA84" s="79" t="inlineStr">
        <is>
          <t>☑</t>
        </is>
      </c>
      <c r="AB84" s="78" t="inlineStr">
        <is>
          <t>☑</t>
        </is>
      </c>
      <c r="AC84" s="79" t="inlineStr">
        <is>
          <t>☑</t>
        </is>
      </c>
      <c r="AD84" s="79" t="inlineStr">
        <is>
          <t>☑</t>
        </is>
      </c>
      <c r="AE84" s="78" t="inlineStr">
        <is>
          <t>☑</t>
        </is>
      </c>
      <c r="AF84" s="79" t="inlineStr">
        <is>
          <t>☑</t>
        </is>
      </c>
      <c r="AG84" s="78" t="inlineStr">
        <is>
          <t>—</t>
        </is>
      </c>
      <c r="AH84" s="78" t="inlineStr">
        <is>
          <t>—</t>
        </is>
      </c>
      <c r="AI84" s="79" t="inlineStr">
        <is>
          <t>☑</t>
        </is>
      </c>
      <c r="AJ84" s="79" t="inlineStr">
        <is>
          <t>☑</t>
        </is>
      </c>
      <c r="AK84" s="79" t="inlineStr">
        <is>
          <t>☑</t>
        </is>
      </c>
      <c r="AL84" s="79" t="inlineStr">
        <is>
          <t>☑</t>
        </is>
      </c>
      <c r="AM84" s="79" t="inlineStr">
        <is>
          <t>☑</t>
        </is>
      </c>
      <c r="AN84" s="79" t="inlineStr">
        <is>
          <t>☑</t>
        </is>
      </c>
      <c r="AO84" s="79" t="inlineStr">
        <is>
          <t>☑</t>
        </is>
      </c>
      <c r="AP84" s="79" t="inlineStr">
        <is>
          <t>☑</t>
        </is>
      </c>
      <c r="AQ84" s="78" t="inlineStr">
        <is>
          <t>☑</t>
        </is>
      </c>
      <c r="AR84" s="79" t="inlineStr">
        <is>
          <t>☑</t>
        </is>
      </c>
      <c r="AS84" s="79" t="inlineStr">
        <is>
          <t>☑</t>
        </is>
      </c>
      <c r="AT84" s="78" t="inlineStr">
        <is>
          <t>☑</t>
        </is>
      </c>
      <c r="AU84" s="79" t="inlineStr">
        <is>
          <t>☑</t>
        </is>
      </c>
      <c r="AV84" s="78" t="inlineStr">
        <is>
          <t>—</t>
        </is>
      </c>
      <c r="AW84" s="78" t="inlineStr">
        <is>
          <t>—</t>
        </is>
      </c>
      <c r="AX84" s="79" t="inlineStr">
        <is>
          <t>☑</t>
        </is>
      </c>
      <c r="AY84" s="79" t="inlineStr">
        <is>
          <t>☑</t>
        </is>
      </c>
      <c r="AZ84" s="79" t="inlineStr">
        <is>
          <t>☑</t>
        </is>
      </c>
      <c r="BA84" s="79" t="inlineStr">
        <is>
          <t>☑</t>
        </is>
      </c>
      <c r="BB84" s="79" t="inlineStr">
        <is>
          <t>☑</t>
        </is>
      </c>
      <c r="BC84" s="79" t="inlineStr">
        <is>
          <t>☑</t>
        </is>
      </c>
      <c r="BD84" s="79" t="inlineStr">
        <is>
          <t>☑</t>
        </is>
      </c>
      <c r="BE84" s="79" t="inlineStr">
        <is>
          <t>☑</t>
        </is>
      </c>
      <c r="BF84" s="78" t="inlineStr">
        <is>
          <t>☑</t>
        </is>
      </c>
      <c r="BG84" s="79" t="inlineStr">
        <is>
          <t>☑</t>
        </is>
      </c>
      <c r="BH84" s="79" t="inlineStr">
        <is>
          <t>☑</t>
        </is>
      </c>
      <c r="BI84" s="78" t="inlineStr">
        <is>
          <t>☑</t>
        </is>
      </c>
      <c r="BJ84" s="79" t="inlineStr">
        <is>
          <t>☑</t>
        </is>
      </c>
      <c r="BK84" s="78" t="inlineStr">
        <is>
          <t>—</t>
        </is>
      </c>
      <c r="BL84" s="78" t="inlineStr">
        <is>
          <t>—</t>
        </is>
      </c>
      <c r="BM84" s="79" t="inlineStr">
        <is>
          <t>☑</t>
        </is>
      </c>
      <c r="BN84" s="79" t="inlineStr">
        <is>
          <t>☑</t>
        </is>
      </c>
      <c r="BO84" s="79" t="inlineStr">
        <is>
          <t>☑</t>
        </is>
      </c>
    </row>
    <row r="85">
      <c r="A85" s="79" t="n">
        <v>78</v>
      </c>
      <c r="B85" s="79" t="inlineStr">
        <is>
          <t>325106410078</t>
        </is>
      </c>
      <c r="C85" s="79" t="inlineStr">
        <is>
          <t>BISHARUP CHANDRA BISHWAS</t>
        </is>
      </c>
      <c r="D85" s="78" t="inlineStr">
        <is>
          <t>—</t>
        </is>
      </c>
      <c r="E85" s="79" t="inlineStr">
        <is>
          <t>☑</t>
        </is>
      </c>
      <c r="F85" s="79" t="inlineStr">
        <is>
          <t>☑</t>
        </is>
      </c>
      <c r="G85" s="79" t="inlineStr">
        <is>
          <t>☑</t>
        </is>
      </c>
      <c r="H85" s="79" t="inlineStr">
        <is>
          <t>☑</t>
        </is>
      </c>
      <c r="I85" s="79" t="inlineStr">
        <is>
          <t>☑</t>
        </is>
      </c>
      <c r="J85" s="79" t="inlineStr">
        <is>
          <t>☑</t>
        </is>
      </c>
      <c r="K85" s="79" t="inlineStr">
        <is>
          <t>☑</t>
        </is>
      </c>
      <c r="L85" s="79" t="inlineStr">
        <is>
          <t>☑</t>
        </is>
      </c>
      <c r="M85" s="78" t="inlineStr">
        <is>
          <t>☑</t>
        </is>
      </c>
      <c r="N85" s="79" t="inlineStr">
        <is>
          <t>☑</t>
        </is>
      </c>
      <c r="O85" s="79" t="inlineStr">
        <is>
          <t>☑</t>
        </is>
      </c>
      <c r="P85" s="78" t="inlineStr">
        <is>
          <t>☑</t>
        </is>
      </c>
      <c r="Q85" s="79" t="inlineStr">
        <is>
          <t>☑</t>
        </is>
      </c>
      <c r="R85" s="78" t="inlineStr">
        <is>
          <t>—</t>
        </is>
      </c>
      <c r="S85" s="78" t="inlineStr">
        <is>
          <t>—</t>
        </is>
      </c>
      <c r="T85" s="79" t="inlineStr">
        <is>
          <t>☑</t>
        </is>
      </c>
      <c r="U85" s="79" t="inlineStr">
        <is>
          <t>☑</t>
        </is>
      </c>
      <c r="V85" s="79" t="inlineStr">
        <is>
          <t>☑</t>
        </is>
      </c>
      <c r="W85" s="79" t="inlineStr">
        <is>
          <t>☑</t>
        </is>
      </c>
      <c r="X85" s="79" t="inlineStr">
        <is>
          <t>☑</t>
        </is>
      </c>
      <c r="Y85" s="79" t="inlineStr">
        <is>
          <t>☑</t>
        </is>
      </c>
      <c r="Z85" s="79" t="inlineStr">
        <is>
          <t>☑</t>
        </is>
      </c>
      <c r="AA85" s="79" t="inlineStr">
        <is>
          <t>☑</t>
        </is>
      </c>
      <c r="AB85" s="78" t="inlineStr">
        <is>
          <t>☑</t>
        </is>
      </c>
      <c r="AC85" s="79" t="inlineStr">
        <is>
          <t>☑</t>
        </is>
      </c>
      <c r="AD85" s="79" t="inlineStr">
        <is>
          <t>☑</t>
        </is>
      </c>
      <c r="AE85" s="78" t="inlineStr">
        <is>
          <t>☑</t>
        </is>
      </c>
      <c r="AF85" s="79" t="inlineStr">
        <is>
          <t>☑</t>
        </is>
      </c>
      <c r="AG85" s="78" t="inlineStr">
        <is>
          <t>—</t>
        </is>
      </c>
      <c r="AH85" s="78" t="inlineStr">
        <is>
          <t>—</t>
        </is>
      </c>
      <c r="AI85" s="79" t="inlineStr">
        <is>
          <t>☑</t>
        </is>
      </c>
      <c r="AJ85" s="79" t="inlineStr">
        <is>
          <t>☑</t>
        </is>
      </c>
      <c r="AK85" s="79" t="inlineStr">
        <is>
          <t>☑</t>
        </is>
      </c>
      <c r="AL85" s="79" t="inlineStr">
        <is>
          <t>☑</t>
        </is>
      </c>
      <c r="AM85" s="79" t="inlineStr">
        <is>
          <t>☑</t>
        </is>
      </c>
      <c r="AN85" s="79" t="inlineStr">
        <is>
          <t>☑</t>
        </is>
      </c>
      <c r="AO85" s="79" t="inlineStr">
        <is>
          <t>☑</t>
        </is>
      </c>
      <c r="AP85" s="79" t="inlineStr">
        <is>
          <t>☑</t>
        </is>
      </c>
      <c r="AQ85" s="78" t="inlineStr">
        <is>
          <t>☑</t>
        </is>
      </c>
      <c r="AR85" s="79" t="inlineStr">
        <is>
          <t>☑</t>
        </is>
      </c>
      <c r="AS85" s="79" t="inlineStr">
        <is>
          <t>☑</t>
        </is>
      </c>
      <c r="AT85" s="78" t="inlineStr">
        <is>
          <t>☑</t>
        </is>
      </c>
      <c r="AU85" s="79" t="inlineStr">
        <is>
          <t>☑</t>
        </is>
      </c>
      <c r="AV85" s="78" t="inlineStr">
        <is>
          <t>—</t>
        </is>
      </c>
      <c r="AW85" s="78" t="inlineStr">
        <is>
          <t>—</t>
        </is>
      </c>
      <c r="AX85" s="79" t="inlineStr">
        <is>
          <t>☑</t>
        </is>
      </c>
      <c r="AY85" s="79" t="inlineStr">
        <is>
          <t>☑</t>
        </is>
      </c>
      <c r="AZ85" s="79" t="inlineStr">
        <is>
          <t>☑</t>
        </is>
      </c>
      <c r="BA85" s="79" t="inlineStr">
        <is>
          <t>☑</t>
        </is>
      </c>
      <c r="BB85" s="79" t="inlineStr">
        <is>
          <t>☑</t>
        </is>
      </c>
      <c r="BC85" s="79" t="inlineStr">
        <is>
          <t>☑</t>
        </is>
      </c>
      <c r="BD85" s="79" t="inlineStr">
        <is>
          <t>☑</t>
        </is>
      </c>
      <c r="BE85" s="79" t="inlineStr">
        <is>
          <t>☑</t>
        </is>
      </c>
      <c r="BF85" s="78" t="inlineStr">
        <is>
          <t>☑</t>
        </is>
      </c>
      <c r="BG85" s="79" t="inlineStr">
        <is>
          <t>☑</t>
        </is>
      </c>
      <c r="BH85" s="79" t="inlineStr">
        <is>
          <t>☑</t>
        </is>
      </c>
      <c r="BI85" s="78" t="inlineStr">
        <is>
          <t>☑</t>
        </is>
      </c>
      <c r="BJ85" s="79" t="inlineStr">
        <is>
          <t>☑</t>
        </is>
      </c>
      <c r="BK85" s="78" t="inlineStr">
        <is>
          <t>—</t>
        </is>
      </c>
      <c r="BL85" s="78" t="inlineStr">
        <is>
          <t>—</t>
        </is>
      </c>
      <c r="BM85" s="79" t="inlineStr">
        <is>
          <t>☑</t>
        </is>
      </c>
      <c r="BN85" s="79" t="inlineStr">
        <is>
          <t>☑</t>
        </is>
      </c>
      <c r="BO85" s="79" t="inlineStr">
        <is>
          <t>☑</t>
        </is>
      </c>
    </row>
    <row r="86">
      <c r="A86" s="79" t="n">
        <v>79</v>
      </c>
      <c r="B86" s="79" t="inlineStr">
        <is>
          <t>325106410079</t>
        </is>
      </c>
      <c r="C86" s="79" t="inlineStr">
        <is>
          <t>DADJA ELIE APOLLINAIRE TCHANDAO</t>
        </is>
      </c>
      <c r="D86" s="78" t="inlineStr">
        <is>
          <t>—</t>
        </is>
      </c>
      <c r="E86" s="79" t="inlineStr">
        <is>
          <t>☑</t>
        </is>
      </c>
      <c r="F86" s="79" t="inlineStr">
        <is>
          <t>☑</t>
        </is>
      </c>
      <c r="G86" s="79" t="inlineStr">
        <is>
          <t>☑</t>
        </is>
      </c>
      <c r="H86" s="79" t="inlineStr">
        <is>
          <t>☑</t>
        </is>
      </c>
      <c r="I86" s="79" t="inlineStr">
        <is>
          <t>☑</t>
        </is>
      </c>
      <c r="J86" s="79" t="inlineStr">
        <is>
          <t>☑</t>
        </is>
      </c>
      <c r="K86" s="79" t="inlineStr">
        <is>
          <t>☑</t>
        </is>
      </c>
      <c r="L86" s="79" t="inlineStr">
        <is>
          <t>☑</t>
        </is>
      </c>
      <c r="M86" s="78" t="inlineStr">
        <is>
          <t>☑</t>
        </is>
      </c>
      <c r="N86" s="79" t="inlineStr">
        <is>
          <t>☑</t>
        </is>
      </c>
      <c r="O86" s="79" t="inlineStr">
        <is>
          <t>☑</t>
        </is>
      </c>
      <c r="P86" s="78" t="inlineStr">
        <is>
          <t>☑</t>
        </is>
      </c>
      <c r="Q86" s="79" t="inlineStr">
        <is>
          <t>☑</t>
        </is>
      </c>
      <c r="R86" s="78" t="inlineStr">
        <is>
          <t>—</t>
        </is>
      </c>
      <c r="S86" s="78" t="inlineStr">
        <is>
          <t>—</t>
        </is>
      </c>
      <c r="T86" s="79" t="inlineStr">
        <is>
          <t>☑</t>
        </is>
      </c>
      <c r="U86" s="79" t="inlineStr">
        <is>
          <t>☑</t>
        </is>
      </c>
      <c r="V86" s="79" t="inlineStr">
        <is>
          <t>☑</t>
        </is>
      </c>
      <c r="W86" s="79" t="inlineStr">
        <is>
          <t>☑</t>
        </is>
      </c>
      <c r="X86" s="79" t="inlineStr">
        <is>
          <t>☑</t>
        </is>
      </c>
      <c r="Y86" s="79" t="inlineStr">
        <is>
          <t>☑</t>
        </is>
      </c>
      <c r="Z86" s="79" t="inlineStr">
        <is>
          <t>☑</t>
        </is>
      </c>
      <c r="AA86" s="79" t="inlineStr">
        <is>
          <t>☑</t>
        </is>
      </c>
      <c r="AB86" s="78" t="inlineStr">
        <is>
          <t>☑</t>
        </is>
      </c>
      <c r="AC86" s="79" t="inlineStr">
        <is>
          <t>☑</t>
        </is>
      </c>
      <c r="AD86" s="79" t="inlineStr">
        <is>
          <t>☑</t>
        </is>
      </c>
      <c r="AE86" s="78" t="inlineStr">
        <is>
          <t>☑</t>
        </is>
      </c>
      <c r="AF86" s="79" t="inlineStr">
        <is>
          <t>☑</t>
        </is>
      </c>
      <c r="AG86" s="78" t="inlineStr">
        <is>
          <t>—</t>
        </is>
      </c>
      <c r="AH86" s="78" t="inlineStr">
        <is>
          <t>—</t>
        </is>
      </c>
      <c r="AI86" s="79" t="inlineStr">
        <is>
          <t>☑</t>
        </is>
      </c>
      <c r="AJ86" s="79" t="inlineStr">
        <is>
          <t>☑</t>
        </is>
      </c>
      <c r="AK86" s="79" t="inlineStr">
        <is>
          <t>☑</t>
        </is>
      </c>
      <c r="AL86" s="79" t="inlineStr">
        <is>
          <t>☑</t>
        </is>
      </c>
      <c r="AM86" s="79" t="inlineStr">
        <is>
          <t>☑</t>
        </is>
      </c>
      <c r="AN86" s="79" t="inlineStr">
        <is>
          <t>☑</t>
        </is>
      </c>
      <c r="AO86" s="79" t="inlineStr">
        <is>
          <t>☑</t>
        </is>
      </c>
      <c r="AP86" s="79" t="inlineStr">
        <is>
          <t>☑</t>
        </is>
      </c>
      <c r="AQ86" s="78" t="inlineStr">
        <is>
          <t>☑</t>
        </is>
      </c>
      <c r="AR86" s="79" t="inlineStr">
        <is>
          <t>☑</t>
        </is>
      </c>
      <c r="AS86" s="79" t="inlineStr">
        <is>
          <t>☑</t>
        </is>
      </c>
      <c r="AT86" s="78" t="inlineStr">
        <is>
          <t>☑</t>
        </is>
      </c>
      <c r="AU86" s="79" t="inlineStr">
        <is>
          <t>☑</t>
        </is>
      </c>
      <c r="AV86" s="78" t="inlineStr">
        <is>
          <t>—</t>
        </is>
      </c>
      <c r="AW86" s="78" t="inlineStr">
        <is>
          <t>—</t>
        </is>
      </c>
      <c r="AX86" s="79" t="inlineStr">
        <is>
          <t>☑</t>
        </is>
      </c>
      <c r="AY86" s="79" t="inlineStr">
        <is>
          <t>☑</t>
        </is>
      </c>
      <c r="AZ86" s="79" t="inlineStr">
        <is>
          <t>☑</t>
        </is>
      </c>
      <c r="BA86" s="79" t="inlineStr">
        <is>
          <t>☑</t>
        </is>
      </c>
      <c r="BB86" s="79" t="inlineStr">
        <is>
          <t>☑</t>
        </is>
      </c>
      <c r="BC86" s="79" t="inlineStr">
        <is>
          <t>☑</t>
        </is>
      </c>
      <c r="BD86" s="79" t="inlineStr">
        <is>
          <t>☑</t>
        </is>
      </c>
      <c r="BE86" s="79" t="inlineStr">
        <is>
          <t>☑</t>
        </is>
      </c>
      <c r="BF86" s="78" t="inlineStr">
        <is>
          <t>☑</t>
        </is>
      </c>
      <c r="BG86" s="79" t="inlineStr">
        <is>
          <t>☑</t>
        </is>
      </c>
      <c r="BH86" s="79" t="inlineStr">
        <is>
          <t>☑</t>
        </is>
      </c>
      <c r="BI86" s="78" t="inlineStr">
        <is>
          <t>☑</t>
        </is>
      </c>
      <c r="BJ86" s="79" t="inlineStr">
        <is>
          <t>☑</t>
        </is>
      </c>
      <c r="BK86" s="78" t="inlineStr">
        <is>
          <t>—</t>
        </is>
      </c>
      <c r="BL86" s="78" t="inlineStr">
        <is>
          <t>—</t>
        </is>
      </c>
      <c r="BM86" s="79" t="inlineStr">
        <is>
          <t>☑</t>
        </is>
      </c>
      <c r="BN86" s="79" t="inlineStr">
        <is>
          <t>☑</t>
        </is>
      </c>
      <c r="BO86" s="79" t="inlineStr">
        <is>
          <t>☑</t>
        </is>
      </c>
    </row>
    <row r="87">
      <c r="A87" s="79" t="n">
        <v>80</v>
      </c>
      <c r="B87" s="79" t="inlineStr">
        <is>
          <t>325106410080</t>
        </is>
      </c>
      <c r="C87" s="79" t="inlineStr">
        <is>
          <t>DIBYA JYOTI ROY</t>
        </is>
      </c>
      <c r="D87" s="78" t="inlineStr">
        <is>
          <t>—</t>
        </is>
      </c>
      <c r="E87" s="79" t="inlineStr">
        <is>
          <t>☑</t>
        </is>
      </c>
      <c r="F87" s="79" t="inlineStr">
        <is>
          <t>☑</t>
        </is>
      </c>
      <c r="G87" s="79" t="inlineStr">
        <is>
          <t>☑</t>
        </is>
      </c>
      <c r="H87" s="79" t="inlineStr">
        <is>
          <t>☑</t>
        </is>
      </c>
      <c r="I87" s="79" t="inlineStr">
        <is>
          <t>☑</t>
        </is>
      </c>
      <c r="J87" s="79" t="inlineStr">
        <is>
          <t>☑</t>
        </is>
      </c>
      <c r="K87" s="79" t="inlineStr">
        <is>
          <t>☑</t>
        </is>
      </c>
      <c r="L87" s="79" t="inlineStr">
        <is>
          <t>☑</t>
        </is>
      </c>
      <c r="M87" s="78" t="inlineStr">
        <is>
          <t>☑</t>
        </is>
      </c>
      <c r="N87" s="79" t="inlineStr">
        <is>
          <t>☑</t>
        </is>
      </c>
      <c r="O87" s="79" t="inlineStr">
        <is>
          <t>☑</t>
        </is>
      </c>
      <c r="P87" s="78" t="inlineStr">
        <is>
          <t>☑</t>
        </is>
      </c>
      <c r="Q87" s="79" t="inlineStr">
        <is>
          <t>☑</t>
        </is>
      </c>
      <c r="R87" s="78" t="inlineStr">
        <is>
          <t>—</t>
        </is>
      </c>
      <c r="S87" s="78" t="inlineStr">
        <is>
          <t>—</t>
        </is>
      </c>
      <c r="T87" s="79" t="inlineStr">
        <is>
          <t>☑</t>
        </is>
      </c>
      <c r="U87" s="79" t="inlineStr">
        <is>
          <t>☑</t>
        </is>
      </c>
      <c r="V87" s="79" t="inlineStr">
        <is>
          <t>☑</t>
        </is>
      </c>
      <c r="W87" s="79" t="inlineStr">
        <is>
          <t>☑</t>
        </is>
      </c>
      <c r="X87" s="79" t="inlineStr">
        <is>
          <t>☑</t>
        </is>
      </c>
      <c r="Y87" s="79" t="inlineStr">
        <is>
          <t>☑</t>
        </is>
      </c>
      <c r="Z87" s="79" t="inlineStr">
        <is>
          <t>☑</t>
        </is>
      </c>
      <c r="AA87" s="79" t="inlineStr">
        <is>
          <t>☑</t>
        </is>
      </c>
      <c r="AB87" s="78" t="inlineStr">
        <is>
          <t>☑</t>
        </is>
      </c>
      <c r="AC87" s="79" t="inlineStr">
        <is>
          <t>☑</t>
        </is>
      </c>
      <c r="AD87" s="79" t="inlineStr">
        <is>
          <t>☑</t>
        </is>
      </c>
      <c r="AE87" s="78" t="inlineStr">
        <is>
          <t>☑</t>
        </is>
      </c>
      <c r="AF87" s="79" t="inlineStr">
        <is>
          <t>☑</t>
        </is>
      </c>
      <c r="AG87" s="78" t="inlineStr">
        <is>
          <t>—</t>
        </is>
      </c>
      <c r="AH87" s="78" t="inlineStr">
        <is>
          <t>—</t>
        </is>
      </c>
      <c r="AI87" s="79" t="inlineStr">
        <is>
          <t>☑</t>
        </is>
      </c>
      <c r="AJ87" s="79" t="inlineStr">
        <is>
          <t>☑</t>
        </is>
      </c>
      <c r="AK87" s="79" t="inlineStr">
        <is>
          <t>☑</t>
        </is>
      </c>
      <c r="AL87" s="79" t="inlineStr">
        <is>
          <t>☑</t>
        </is>
      </c>
      <c r="AM87" s="79" t="inlineStr">
        <is>
          <t>☑</t>
        </is>
      </c>
      <c r="AN87" s="79" t="inlineStr">
        <is>
          <t>☑</t>
        </is>
      </c>
      <c r="AO87" s="79" t="inlineStr">
        <is>
          <t>☑</t>
        </is>
      </c>
      <c r="AP87" s="79" t="inlineStr">
        <is>
          <t>☑</t>
        </is>
      </c>
      <c r="AQ87" s="78" t="inlineStr">
        <is>
          <t>☑</t>
        </is>
      </c>
      <c r="AR87" s="79" t="inlineStr">
        <is>
          <t>☑</t>
        </is>
      </c>
      <c r="AS87" s="79" t="inlineStr">
        <is>
          <t>☑</t>
        </is>
      </c>
      <c r="AT87" s="78" t="inlineStr">
        <is>
          <t>☑</t>
        </is>
      </c>
      <c r="AU87" s="79" t="inlineStr">
        <is>
          <t>☑</t>
        </is>
      </c>
      <c r="AV87" s="78" t="inlineStr">
        <is>
          <t>—</t>
        </is>
      </c>
      <c r="AW87" s="78" t="inlineStr">
        <is>
          <t>—</t>
        </is>
      </c>
      <c r="AX87" s="79" t="inlineStr">
        <is>
          <t>☑</t>
        </is>
      </c>
      <c r="AY87" s="79" t="inlineStr">
        <is>
          <t>☑</t>
        </is>
      </c>
      <c r="AZ87" s="79" t="inlineStr">
        <is>
          <t>☑</t>
        </is>
      </c>
      <c r="BA87" s="79" t="inlineStr">
        <is>
          <t>☑</t>
        </is>
      </c>
      <c r="BB87" s="79" t="inlineStr">
        <is>
          <t>☑</t>
        </is>
      </c>
      <c r="BC87" s="79" t="inlineStr">
        <is>
          <t>☑</t>
        </is>
      </c>
      <c r="BD87" s="79" t="inlineStr">
        <is>
          <t>☑</t>
        </is>
      </c>
      <c r="BE87" s="79" t="inlineStr">
        <is>
          <t>☑</t>
        </is>
      </c>
      <c r="BF87" s="78" t="inlineStr">
        <is>
          <t>☑</t>
        </is>
      </c>
      <c r="BG87" s="79" t="inlineStr">
        <is>
          <t>☑</t>
        </is>
      </c>
      <c r="BH87" s="79" t="inlineStr">
        <is>
          <t>☑</t>
        </is>
      </c>
      <c r="BI87" s="78" t="inlineStr">
        <is>
          <t>☑</t>
        </is>
      </c>
      <c r="BJ87" s="79" t="inlineStr">
        <is>
          <t>☑</t>
        </is>
      </c>
      <c r="BK87" s="78" t="inlineStr">
        <is>
          <t>—</t>
        </is>
      </c>
      <c r="BL87" s="78" t="inlineStr">
        <is>
          <t>—</t>
        </is>
      </c>
      <c r="BM87" s="79" t="inlineStr">
        <is>
          <t>☑</t>
        </is>
      </c>
      <c r="BN87" s="79" t="inlineStr">
        <is>
          <t>☑</t>
        </is>
      </c>
      <c r="BO87" s="79" t="inlineStr">
        <is>
          <t>☑</t>
        </is>
      </c>
    </row>
    <row r="88">
      <c r="A88" s="79" t="n">
        <v>81</v>
      </c>
      <c r="B88" s="79" t="inlineStr">
        <is>
          <t>325106410081</t>
        </is>
      </c>
      <c r="C88" s="79" t="inlineStr">
        <is>
          <t>GRACE TRYPHENE DJE</t>
        </is>
      </c>
      <c r="D88" s="78" t="inlineStr">
        <is>
          <t>—</t>
        </is>
      </c>
      <c r="E88" s="79" t="inlineStr">
        <is>
          <t>☑</t>
        </is>
      </c>
      <c r="F88" s="79" t="inlineStr">
        <is>
          <t>☑</t>
        </is>
      </c>
      <c r="G88" s="79" t="inlineStr">
        <is>
          <t>☑</t>
        </is>
      </c>
      <c r="H88" s="79" t="inlineStr">
        <is>
          <t>☑</t>
        </is>
      </c>
      <c r="I88" s="79" t="inlineStr">
        <is>
          <t>☑</t>
        </is>
      </c>
      <c r="J88" s="79" t="inlineStr">
        <is>
          <t>☑</t>
        </is>
      </c>
      <c r="K88" s="79" t="inlineStr">
        <is>
          <t>☑</t>
        </is>
      </c>
      <c r="L88" s="79" t="inlineStr">
        <is>
          <t>☑</t>
        </is>
      </c>
      <c r="M88" s="78" t="inlineStr">
        <is>
          <t>☑</t>
        </is>
      </c>
      <c r="N88" s="79" t="inlineStr">
        <is>
          <t>☑</t>
        </is>
      </c>
      <c r="O88" s="79" t="inlineStr">
        <is>
          <t>☑</t>
        </is>
      </c>
      <c r="P88" s="78" t="inlineStr">
        <is>
          <t>☑</t>
        </is>
      </c>
      <c r="Q88" s="79" t="inlineStr">
        <is>
          <t>☑</t>
        </is>
      </c>
      <c r="R88" s="78" t="inlineStr">
        <is>
          <t>—</t>
        </is>
      </c>
      <c r="S88" s="78" t="inlineStr">
        <is>
          <t>—</t>
        </is>
      </c>
      <c r="T88" s="79" t="inlineStr">
        <is>
          <t>☑</t>
        </is>
      </c>
      <c r="U88" s="79" t="inlineStr">
        <is>
          <t>☑</t>
        </is>
      </c>
      <c r="V88" s="79" t="inlineStr">
        <is>
          <t>☑</t>
        </is>
      </c>
      <c r="W88" s="79" t="inlineStr">
        <is>
          <t>☑</t>
        </is>
      </c>
      <c r="X88" s="79" t="inlineStr">
        <is>
          <t>☑</t>
        </is>
      </c>
      <c r="Y88" s="79" t="inlineStr">
        <is>
          <t>☑</t>
        </is>
      </c>
      <c r="Z88" s="79" t="inlineStr">
        <is>
          <t>☑</t>
        </is>
      </c>
      <c r="AA88" s="79" t="inlineStr">
        <is>
          <t>☑</t>
        </is>
      </c>
      <c r="AB88" s="78" t="inlineStr">
        <is>
          <t>☑</t>
        </is>
      </c>
      <c r="AC88" s="79" t="inlineStr">
        <is>
          <t>☑</t>
        </is>
      </c>
      <c r="AD88" s="79" t="inlineStr">
        <is>
          <t>☑</t>
        </is>
      </c>
      <c r="AE88" s="78" t="inlineStr">
        <is>
          <t>☑</t>
        </is>
      </c>
      <c r="AF88" s="79" t="inlineStr">
        <is>
          <t>☑</t>
        </is>
      </c>
      <c r="AG88" s="78" t="inlineStr">
        <is>
          <t>—</t>
        </is>
      </c>
      <c r="AH88" s="78" t="inlineStr">
        <is>
          <t>—</t>
        </is>
      </c>
      <c r="AI88" s="79" t="inlineStr">
        <is>
          <t>☑</t>
        </is>
      </c>
      <c r="AJ88" s="79" t="inlineStr">
        <is>
          <t>☑</t>
        </is>
      </c>
      <c r="AK88" s="79" t="inlineStr">
        <is>
          <t>☑</t>
        </is>
      </c>
      <c r="AL88" s="79" t="inlineStr">
        <is>
          <t>☑</t>
        </is>
      </c>
      <c r="AM88" s="79" t="inlineStr">
        <is>
          <t>☑</t>
        </is>
      </c>
      <c r="AN88" s="79" t="inlineStr">
        <is>
          <t>☑</t>
        </is>
      </c>
      <c r="AO88" s="79" t="inlineStr">
        <is>
          <t>☑</t>
        </is>
      </c>
      <c r="AP88" s="79" t="inlineStr">
        <is>
          <t>☑</t>
        </is>
      </c>
      <c r="AQ88" s="78" t="inlineStr">
        <is>
          <t>☑</t>
        </is>
      </c>
      <c r="AR88" s="79" t="inlineStr">
        <is>
          <t>☑</t>
        </is>
      </c>
      <c r="AS88" s="79" t="inlineStr">
        <is>
          <t>☑</t>
        </is>
      </c>
      <c r="AT88" s="78" t="inlineStr">
        <is>
          <t>☑</t>
        </is>
      </c>
      <c r="AU88" s="79" t="inlineStr">
        <is>
          <t>☑</t>
        </is>
      </c>
      <c r="AV88" s="78" t="inlineStr">
        <is>
          <t>—</t>
        </is>
      </c>
      <c r="AW88" s="78" t="inlineStr">
        <is>
          <t>—</t>
        </is>
      </c>
      <c r="AX88" s="79" t="inlineStr">
        <is>
          <t>☑</t>
        </is>
      </c>
      <c r="AY88" s="79" t="inlineStr">
        <is>
          <t>☑</t>
        </is>
      </c>
      <c r="AZ88" s="79" t="inlineStr">
        <is>
          <t>☑</t>
        </is>
      </c>
      <c r="BA88" s="79" t="inlineStr">
        <is>
          <t>☑</t>
        </is>
      </c>
      <c r="BB88" s="79" t="inlineStr">
        <is>
          <t>☑</t>
        </is>
      </c>
      <c r="BC88" s="79" t="inlineStr">
        <is>
          <t>☑</t>
        </is>
      </c>
      <c r="BD88" s="79" t="inlineStr">
        <is>
          <t>☑</t>
        </is>
      </c>
      <c r="BE88" s="79" t="inlineStr">
        <is>
          <t>☑</t>
        </is>
      </c>
      <c r="BF88" s="78" t="inlineStr">
        <is>
          <t>☑</t>
        </is>
      </c>
      <c r="BG88" s="79" t="inlineStr">
        <is>
          <t>☑</t>
        </is>
      </c>
      <c r="BH88" s="79" t="inlineStr">
        <is>
          <t>☑</t>
        </is>
      </c>
      <c r="BI88" s="78" t="inlineStr">
        <is>
          <t>☑</t>
        </is>
      </c>
      <c r="BJ88" s="79" t="inlineStr">
        <is>
          <t>☑</t>
        </is>
      </c>
      <c r="BK88" s="78" t="inlineStr">
        <is>
          <t>—</t>
        </is>
      </c>
      <c r="BL88" s="78" t="inlineStr">
        <is>
          <t>—</t>
        </is>
      </c>
      <c r="BM88" s="79" t="inlineStr">
        <is>
          <t>☑</t>
        </is>
      </c>
      <c r="BN88" s="79" t="inlineStr">
        <is>
          <t>☑</t>
        </is>
      </c>
      <c r="BO88" s="79" t="inlineStr">
        <is>
          <t>☑</t>
        </is>
      </c>
    </row>
    <row r="89">
      <c r="A89" s="79" t="n">
        <v>82</v>
      </c>
      <c r="B89" s="79" t="inlineStr">
        <is>
          <t>325106410082</t>
        </is>
      </c>
      <c r="C89" s="79" t="inlineStr">
        <is>
          <t>EBRIMA WARCH</t>
        </is>
      </c>
      <c r="D89" s="78" t="inlineStr">
        <is>
          <t>—</t>
        </is>
      </c>
      <c r="E89" s="79" t="inlineStr">
        <is>
          <t>☑</t>
        </is>
      </c>
      <c r="F89" s="79" t="inlineStr">
        <is>
          <t>☑</t>
        </is>
      </c>
      <c r="G89" s="79" t="inlineStr">
        <is>
          <t>☑</t>
        </is>
      </c>
      <c r="H89" s="79" t="inlineStr">
        <is>
          <t>☑</t>
        </is>
      </c>
      <c r="I89" s="79" t="inlineStr">
        <is>
          <t>☑</t>
        </is>
      </c>
      <c r="J89" s="79" t="inlineStr">
        <is>
          <t>☑</t>
        </is>
      </c>
      <c r="K89" s="79" t="inlineStr">
        <is>
          <t>☑</t>
        </is>
      </c>
      <c r="L89" s="79" t="inlineStr">
        <is>
          <t>☑</t>
        </is>
      </c>
      <c r="M89" s="78" t="inlineStr">
        <is>
          <t>☑</t>
        </is>
      </c>
      <c r="N89" s="79" t="inlineStr">
        <is>
          <t>☑</t>
        </is>
      </c>
      <c r="O89" s="79" t="inlineStr">
        <is>
          <t>☑</t>
        </is>
      </c>
      <c r="P89" s="78" t="inlineStr">
        <is>
          <t>☑</t>
        </is>
      </c>
      <c r="Q89" s="79" t="inlineStr">
        <is>
          <t>☑</t>
        </is>
      </c>
      <c r="R89" s="78" t="inlineStr">
        <is>
          <t>—</t>
        </is>
      </c>
      <c r="S89" s="78" t="inlineStr">
        <is>
          <t>—</t>
        </is>
      </c>
      <c r="T89" s="79" t="inlineStr">
        <is>
          <t>☑</t>
        </is>
      </c>
      <c r="U89" s="79" t="inlineStr">
        <is>
          <t>☑</t>
        </is>
      </c>
      <c r="V89" s="79" t="inlineStr">
        <is>
          <t>☑</t>
        </is>
      </c>
      <c r="W89" s="79" t="inlineStr">
        <is>
          <t>☑</t>
        </is>
      </c>
      <c r="X89" s="79" t="inlineStr">
        <is>
          <t>☑</t>
        </is>
      </c>
      <c r="Y89" s="79" t="inlineStr">
        <is>
          <t>☑</t>
        </is>
      </c>
      <c r="Z89" s="79" t="inlineStr">
        <is>
          <t>☑</t>
        </is>
      </c>
      <c r="AA89" s="79" t="inlineStr">
        <is>
          <t>☑</t>
        </is>
      </c>
      <c r="AB89" s="78" t="inlineStr">
        <is>
          <t>☑</t>
        </is>
      </c>
      <c r="AC89" s="79" t="inlineStr">
        <is>
          <t>☑</t>
        </is>
      </c>
      <c r="AD89" s="79" t="inlineStr">
        <is>
          <t>☑</t>
        </is>
      </c>
      <c r="AE89" s="78" t="inlineStr">
        <is>
          <t>☑</t>
        </is>
      </c>
      <c r="AF89" s="79" t="inlineStr">
        <is>
          <t>☑</t>
        </is>
      </c>
      <c r="AG89" s="78" t="inlineStr">
        <is>
          <t>—</t>
        </is>
      </c>
      <c r="AH89" s="78" t="inlineStr">
        <is>
          <t>—</t>
        </is>
      </c>
      <c r="AI89" s="79" t="inlineStr">
        <is>
          <t>☑</t>
        </is>
      </c>
      <c r="AJ89" s="79" t="inlineStr">
        <is>
          <t>☑</t>
        </is>
      </c>
      <c r="AK89" s="79" t="inlineStr">
        <is>
          <t>☑</t>
        </is>
      </c>
      <c r="AL89" s="79" t="inlineStr">
        <is>
          <t>☑</t>
        </is>
      </c>
      <c r="AM89" s="79" t="inlineStr">
        <is>
          <t>☑</t>
        </is>
      </c>
      <c r="AN89" s="79" t="inlineStr">
        <is>
          <t>☑</t>
        </is>
      </c>
      <c r="AO89" s="79" t="inlineStr">
        <is>
          <t>☑</t>
        </is>
      </c>
      <c r="AP89" s="79" t="inlineStr">
        <is>
          <t>☑</t>
        </is>
      </c>
      <c r="AQ89" s="78" t="inlineStr">
        <is>
          <t>☑</t>
        </is>
      </c>
      <c r="AR89" s="79" t="inlineStr">
        <is>
          <t>☑</t>
        </is>
      </c>
      <c r="AS89" s="79" t="inlineStr">
        <is>
          <t>☑</t>
        </is>
      </c>
      <c r="AT89" s="78" t="inlineStr">
        <is>
          <t>☑</t>
        </is>
      </c>
      <c r="AU89" s="79" t="inlineStr">
        <is>
          <t>☑</t>
        </is>
      </c>
      <c r="AV89" s="78" t="inlineStr">
        <is>
          <t>—</t>
        </is>
      </c>
      <c r="AW89" s="78" t="inlineStr">
        <is>
          <t>—</t>
        </is>
      </c>
      <c r="AX89" s="79" t="inlineStr">
        <is>
          <t>☑</t>
        </is>
      </c>
      <c r="AY89" s="79" t="inlineStr">
        <is>
          <t>☑</t>
        </is>
      </c>
      <c r="AZ89" s="79" t="inlineStr">
        <is>
          <t>☑</t>
        </is>
      </c>
      <c r="BA89" s="79" t="inlineStr">
        <is>
          <t>☑</t>
        </is>
      </c>
      <c r="BB89" s="79" t="inlineStr">
        <is>
          <t>☑</t>
        </is>
      </c>
      <c r="BC89" s="79" t="inlineStr">
        <is>
          <t>☑</t>
        </is>
      </c>
      <c r="BD89" s="79" t="inlineStr">
        <is>
          <t>☑</t>
        </is>
      </c>
      <c r="BE89" s="79" t="inlineStr">
        <is>
          <t>☑</t>
        </is>
      </c>
      <c r="BF89" s="78" t="inlineStr">
        <is>
          <t>☑</t>
        </is>
      </c>
      <c r="BG89" s="79" t="inlineStr">
        <is>
          <t>☑</t>
        </is>
      </c>
      <c r="BH89" s="79" t="inlineStr">
        <is>
          <t>☑</t>
        </is>
      </c>
      <c r="BI89" s="78" t="inlineStr">
        <is>
          <t>☑</t>
        </is>
      </c>
      <c r="BJ89" s="79" t="inlineStr">
        <is>
          <t>☑</t>
        </is>
      </c>
      <c r="BK89" s="78" t="inlineStr">
        <is>
          <t>—</t>
        </is>
      </c>
      <c r="BL89" s="78" t="inlineStr">
        <is>
          <t>—</t>
        </is>
      </c>
      <c r="BM89" s="79" t="inlineStr">
        <is>
          <t>☑</t>
        </is>
      </c>
      <c r="BN89" s="79" t="inlineStr">
        <is>
          <t>☑</t>
        </is>
      </c>
      <c r="BO89" s="79" t="inlineStr">
        <is>
          <t>☑</t>
        </is>
      </c>
    </row>
    <row r="90">
      <c r="A90" s="79" t="n">
        <v>83</v>
      </c>
      <c r="B90" s="79" t="inlineStr">
        <is>
          <t>325106410083</t>
        </is>
      </c>
      <c r="C90" s="79" t="inlineStr">
        <is>
          <t>HAILEYESUS BITEW</t>
        </is>
      </c>
      <c r="D90" s="79" t="inlineStr">
        <is>
          <t>☑</t>
        </is>
      </c>
      <c r="E90" s="79" t="inlineStr">
        <is>
          <t>☑</t>
        </is>
      </c>
      <c r="F90" s="79" t="inlineStr">
        <is>
          <t>☑</t>
        </is>
      </c>
      <c r="G90" s="79" t="inlineStr">
        <is>
          <t>☑</t>
        </is>
      </c>
      <c r="H90" s="79" t="inlineStr">
        <is>
          <t>☑</t>
        </is>
      </c>
      <c r="I90" s="79" t="inlineStr">
        <is>
          <t>☑</t>
        </is>
      </c>
      <c r="J90" s="79" t="inlineStr">
        <is>
          <t>☑</t>
        </is>
      </c>
      <c r="K90" s="79" t="inlineStr">
        <is>
          <t>☑</t>
        </is>
      </c>
      <c r="L90" s="79" t="inlineStr">
        <is>
          <t>☑</t>
        </is>
      </c>
      <c r="M90" s="78" t="inlineStr">
        <is>
          <t>—</t>
        </is>
      </c>
      <c r="N90" s="79" t="inlineStr">
        <is>
          <t>☑</t>
        </is>
      </c>
      <c r="O90" s="78" t="inlineStr">
        <is>
          <t>—</t>
        </is>
      </c>
      <c r="P90" s="78" t="inlineStr">
        <is>
          <t>☑</t>
        </is>
      </c>
      <c r="Q90" s="79" t="inlineStr">
        <is>
          <t>☑</t>
        </is>
      </c>
      <c r="R90" s="78" t="inlineStr">
        <is>
          <t>☑</t>
        </is>
      </c>
      <c r="S90" s="79" t="inlineStr">
        <is>
          <t>☑</t>
        </is>
      </c>
      <c r="T90" s="79" t="inlineStr">
        <is>
          <t>☑</t>
        </is>
      </c>
      <c r="U90" s="79" t="inlineStr">
        <is>
          <t>☑</t>
        </is>
      </c>
      <c r="V90" s="79" t="inlineStr">
        <is>
          <t>☑</t>
        </is>
      </c>
      <c r="W90" s="79" t="inlineStr">
        <is>
          <t>☑</t>
        </is>
      </c>
      <c r="X90" s="79" t="inlineStr">
        <is>
          <t>☑</t>
        </is>
      </c>
      <c r="Y90" s="79" t="inlineStr">
        <is>
          <t>☑</t>
        </is>
      </c>
      <c r="Z90" s="79" t="inlineStr">
        <is>
          <t>☑</t>
        </is>
      </c>
      <c r="AA90" s="79" t="inlineStr">
        <is>
          <t>☑</t>
        </is>
      </c>
      <c r="AB90" s="78" t="inlineStr">
        <is>
          <t>—</t>
        </is>
      </c>
      <c r="AC90" s="79" t="inlineStr">
        <is>
          <t>☑</t>
        </is>
      </c>
      <c r="AD90" s="78" t="inlineStr">
        <is>
          <t>—</t>
        </is>
      </c>
      <c r="AE90" s="78" t="inlineStr">
        <is>
          <t>☑</t>
        </is>
      </c>
      <c r="AF90" s="79" t="inlineStr">
        <is>
          <t>☑</t>
        </is>
      </c>
      <c r="AG90" s="78" t="inlineStr">
        <is>
          <t>☑</t>
        </is>
      </c>
      <c r="AH90" s="79" t="inlineStr">
        <is>
          <t>☑</t>
        </is>
      </c>
      <c r="AI90" s="79" t="inlineStr">
        <is>
          <t>☑</t>
        </is>
      </c>
      <c r="AJ90" s="79" t="inlineStr">
        <is>
          <t>☑</t>
        </is>
      </c>
      <c r="AK90" s="79" t="inlineStr">
        <is>
          <t>☑</t>
        </is>
      </c>
      <c r="AL90" s="79" t="inlineStr">
        <is>
          <t>☑</t>
        </is>
      </c>
      <c r="AM90" s="79" t="inlineStr">
        <is>
          <t>☑</t>
        </is>
      </c>
      <c r="AN90" s="79" t="inlineStr">
        <is>
          <t>☑</t>
        </is>
      </c>
      <c r="AO90" s="79" t="inlineStr">
        <is>
          <t>☑</t>
        </is>
      </c>
      <c r="AP90" s="79" t="inlineStr">
        <is>
          <t>☑</t>
        </is>
      </c>
      <c r="AQ90" s="78" t="inlineStr">
        <is>
          <t>—</t>
        </is>
      </c>
      <c r="AR90" s="79" t="inlineStr">
        <is>
          <t>☑</t>
        </is>
      </c>
      <c r="AS90" s="78" t="inlineStr">
        <is>
          <t>—</t>
        </is>
      </c>
      <c r="AT90" s="78" t="inlineStr">
        <is>
          <t>☑</t>
        </is>
      </c>
      <c r="AU90" s="79" t="inlineStr">
        <is>
          <t>☑</t>
        </is>
      </c>
      <c r="AV90" s="78" t="inlineStr">
        <is>
          <t>☑</t>
        </is>
      </c>
      <c r="AW90" s="79" t="inlineStr">
        <is>
          <t>☑</t>
        </is>
      </c>
      <c r="AX90" s="79" t="inlineStr">
        <is>
          <t>☑</t>
        </is>
      </c>
      <c r="AY90" s="79" t="inlineStr">
        <is>
          <t>☑</t>
        </is>
      </c>
      <c r="AZ90" s="79" t="inlineStr">
        <is>
          <t>☑</t>
        </is>
      </c>
      <c r="BA90" s="79" t="inlineStr">
        <is>
          <t>☑</t>
        </is>
      </c>
      <c r="BB90" s="79" t="inlineStr">
        <is>
          <t>☑</t>
        </is>
      </c>
      <c r="BC90" s="79" t="inlineStr">
        <is>
          <t>☑</t>
        </is>
      </c>
      <c r="BD90" s="79" t="inlineStr">
        <is>
          <t>☑</t>
        </is>
      </c>
      <c r="BE90" s="79" t="inlineStr">
        <is>
          <t>☑</t>
        </is>
      </c>
      <c r="BF90" s="78" t="inlineStr">
        <is>
          <t>—</t>
        </is>
      </c>
      <c r="BG90" s="79" t="inlineStr">
        <is>
          <t>☑</t>
        </is>
      </c>
      <c r="BH90" s="78" t="inlineStr">
        <is>
          <t>—</t>
        </is>
      </c>
      <c r="BI90" s="78" t="inlineStr">
        <is>
          <t>☑</t>
        </is>
      </c>
      <c r="BJ90" s="79" t="inlineStr">
        <is>
          <t>☑</t>
        </is>
      </c>
      <c r="BK90" s="78" t="inlineStr">
        <is>
          <t>☑</t>
        </is>
      </c>
      <c r="BL90" s="79" t="inlineStr">
        <is>
          <t>☑</t>
        </is>
      </c>
      <c r="BM90" s="79" t="inlineStr">
        <is>
          <t>☑</t>
        </is>
      </c>
      <c r="BN90" s="79" t="inlineStr">
        <is>
          <t>☑</t>
        </is>
      </c>
      <c r="BO90" s="79" t="inlineStr">
        <is>
          <t>☑</t>
        </is>
      </c>
    </row>
    <row r="91">
      <c r="A91" s="79" t="n">
        <v>84</v>
      </c>
      <c r="B91" s="79" t="inlineStr">
        <is>
          <t>325106410084</t>
        </is>
      </c>
      <c r="C91" s="79" t="inlineStr">
        <is>
          <t>HOR SONCHANDEVIN</t>
        </is>
      </c>
      <c r="D91" s="79" t="inlineStr">
        <is>
          <t>☑</t>
        </is>
      </c>
      <c r="E91" s="79" t="inlineStr">
        <is>
          <t>☑</t>
        </is>
      </c>
      <c r="F91" s="79" t="inlineStr">
        <is>
          <t>☑</t>
        </is>
      </c>
      <c r="G91" s="79" t="inlineStr">
        <is>
          <t>☑</t>
        </is>
      </c>
      <c r="H91" s="79" t="inlineStr">
        <is>
          <t>☑</t>
        </is>
      </c>
      <c r="I91" s="79" t="inlineStr">
        <is>
          <t>☑</t>
        </is>
      </c>
      <c r="J91" s="79" t="inlineStr">
        <is>
          <t>☑</t>
        </is>
      </c>
      <c r="K91" s="79" t="inlineStr">
        <is>
          <t>☑</t>
        </is>
      </c>
      <c r="L91" s="79" t="inlineStr">
        <is>
          <t>☑</t>
        </is>
      </c>
      <c r="M91" s="78" t="inlineStr">
        <is>
          <t>—</t>
        </is>
      </c>
      <c r="N91" s="79" t="inlineStr">
        <is>
          <t>☑</t>
        </is>
      </c>
      <c r="O91" s="78" t="inlineStr">
        <is>
          <t>—</t>
        </is>
      </c>
      <c r="P91" s="78" t="inlineStr">
        <is>
          <t>☑</t>
        </is>
      </c>
      <c r="Q91" s="79" t="inlineStr">
        <is>
          <t>☑</t>
        </is>
      </c>
      <c r="R91" s="78" t="inlineStr">
        <is>
          <t>☑</t>
        </is>
      </c>
      <c r="S91" s="79" t="inlineStr">
        <is>
          <t>☑</t>
        </is>
      </c>
      <c r="T91" s="79" t="inlineStr">
        <is>
          <t>☑</t>
        </is>
      </c>
      <c r="U91" s="79" t="inlineStr">
        <is>
          <t>☑</t>
        </is>
      </c>
      <c r="V91" s="79" t="inlineStr">
        <is>
          <t>☑</t>
        </is>
      </c>
      <c r="W91" s="79" t="inlineStr">
        <is>
          <t>☑</t>
        </is>
      </c>
      <c r="X91" s="79" t="inlineStr">
        <is>
          <t>☑</t>
        </is>
      </c>
      <c r="Y91" s="79" t="inlineStr">
        <is>
          <t>☑</t>
        </is>
      </c>
      <c r="Z91" s="79" t="inlineStr">
        <is>
          <t>☑</t>
        </is>
      </c>
      <c r="AA91" s="79" t="inlineStr">
        <is>
          <t>☑</t>
        </is>
      </c>
      <c r="AB91" s="78" t="inlineStr">
        <is>
          <t>—</t>
        </is>
      </c>
      <c r="AC91" s="79" t="inlineStr">
        <is>
          <t>☑</t>
        </is>
      </c>
      <c r="AD91" s="78" t="inlineStr">
        <is>
          <t>—</t>
        </is>
      </c>
      <c r="AE91" s="78" t="inlineStr">
        <is>
          <t>☑</t>
        </is>
      </c>
      <c r="AF91" s="79" t="inlineStr">
        <is>
          <t>☑</t>
        </is>
      </c>
      <c r="AG91" s="78" t="inlineStr">
        <is>
          <t>☑</t>
        </is>
      </c>
      <c r="AH91" s="79" t="inlineStr">
        <is>
          <t>☑</t>
        </is>
      </c>
      <c r="AI91" s="79" t="inlineStr">
        <is>
          <t>☑</t>
        </is>
      </c>
      <c r="AJ91" s="79" t="inlineStr">
        <is>
          <t>☑</t>
        </is>
      </c>
      <c r="AK91" s="79" t="inlineStr">
        <is>
          <t>☑</t>
        </is>
      </c>
      <c r="AL91" s="79" t="inlineStr">
        <is>
          <t>☑</t>
        </is>
      </c>
      <c r="AM91" s="79" t="inlineStr">
        <is>
          <t>☑</t>
        </is>
      </c>
      <c r="AN91" s="79" t="inlineStr">
        <is>
          <t>☑</t>
        </is>
      </c>
      <c r="AO91" s="79" t="inlineStr">
        <is>
          <t>☑</t>
        </is>
      </c>
      <c r="AP91" s="79" t="inlineStr">
        <is>
          <t>☑</t>
        </is>
      </c>
      <c r="AQ91" s="78" t="inlineStr">
        <is>
          <t>—</t>
        </is>
      </c>
      <c r="AR91" s="79" t="inlineStr">
        <is>
          <t>☑</t>
        </is>
      </c>
      <c r="AS91" s="78" t="inlineStr">
        <is>
          <t>—</t>
        </is>
      </c>
      <c r="AT91" s="78" t="inlineStr">
        <is>
          <t>☑</t>
        </is>
      </c>
      <c r="AU91" s="79" t="inlineStr">
        <is>
          <t>☑</t>
        </is>
      </c>
      <c r="AV91" s="78" t="inlineStr">
        <is>
          <t>☑</t>
        </is>
      </c>
      <c r="AW91" s="79" t="inlineStr">
        <is>
          <t>☑</t>
        </is>
      </c>
      <c r="AX91" s="79" t="inlineStr">
        <is>
          <t>☑</t>
        </is>
      </c>
      <c r="AY91" s="79" t="inlineStr">
        <is>
          <t>☑</t>
        </is>
      </c>
      <c r="AZ91" s="79" t="inlineStr">
        <is>
          <t>☑</t>
        </is>
      </c>
      <c r="BA91" s="79" t="inlineStr">
        <is>
          <t>☑</t>
        </is>
      </c>
      <c r="BB91" s="79" t="inlineStr">
        <is>
          <t>☑</t>
        </is>
      </c>
      <c r="BC91" s="79" t="inlineStr">
        <is>
          <t>☑</t>
        </is>
      </c>
      <c r="BD91" s="79" t="inlineStr">
        <is>
          <t>☑</t>
        </is>
      </c>
      <c r="BE91" s="79" t="inlineStr">
        <is>
          <t>☑</t>
        </is>
      </c>
      <c r="BF91" s="78" t="inlineStr">
        <is>
          <t>—</t>
        </is>
      </c>
      <c r="BG91" s="79" t="inlineStr">
        <is>
          <t>☑</t>
        </is>
      </c>
      <c r="BH91" s="78" t="inlineStr">
        <is>
          <t>—</t>
        </is>
      </c>
      <c r="BI91" s="78" t="inlineStr">
        <is>
          <t>☑</t>
        </is>
      </c>
      <c r="BJ91" s="79" t="inlineStr">
        <is>
          <t>☑</t>
        </is>
      </c>
      <c r="BK91" s="78" t="inlineStr">
        <is>
          <t>☑</t>
        </is>
      </c>
      <c r="BL91" s="79" t="inlineStr">
        <is>
          <t>☑</t>
        </is>
      </c>
      <c r="BM91" s="79" t="inlineStr">
        <is>
          <t>☑</t>
        </is>
      </c>
      <c r="BN91" s="79" t="inlineStr">
        <is>
          <t>☑</t>
        </is>
      </c>
      <c r="BO91" s="79" t="inlineStr">
        <is>
          <t>☑</t>
        </is>
      </c>
    </row>
    <row r="92">
      <c r="A92" s="79" t="n">
        <v>85</v>
      </c>
      <c r="B92" s="79" t="inlineStr">
        <is>
          <t>325106410085</t>
        </is>
      </c>
      <c r="C92" s="79" t="inlineStr">
        <is>
          <t>JOVAN PONUEL BISWAS</t>
        </is>
      </c>
      <c r="D92" s="79" t="inlineStr">
        <is>
          <t>☑</t>
        </is>
      </c>
      <c r="E92" s="79" t="inlineStr">
        <is>
          <t>☑</t>
        </is>
      </c>
      <c r="F92" s="79" t="inlineStr">
        <is>
          <t>☑</t>
        </is>
      </c>
      <c r="G92" s="79" t="inlineStr">
        <is>
          <t>☑</t>
        </is>
      </c>
      <c r="H92" s="79" t="inlineStr">
        <is>
          <t>☑</t>
        </is>
      </c>
      <c r="I92" s="79" t="inlineStr">
        <is>
          <t>☑</t>
        </is>
      </c>
      <c r="J92" s="79" t="inlineStr">
        <is>
          <t>☑</t>
        </is>
      </c>
      <c r="K92" s="79" t="inlineStr">
        <is>
          <t>☑</t>
        </is>
      </c>
      <c r="L92" s="79" t="inlineStr">
        <is>
          <t>☑</t>
        </is>
      </c>
      <c r="M92" s="78" t="inlineStr">
        <is>
          <t>—</t>
        </is>
      </c>
      <c r="N92" s="79" t="inlineStr">
        <is>
          <t>☑</t>
        </is>
      </c>
      <c r="O92" s="78" t="inlineStr">
        <is>
          <t>—</t>
        </is>
      </c>
      <c r="P92" s="78" t="inlineStr">
        <is>
          <t>☑</t>
        </is>
      </c>
      <c r="Q92" s="79" t="inlineStr">
        <is>
          <t>☑</t>
        </is>
      </c>
      <c r="R92" s="78" t="inlineStr">
        <is>
          <t>☑</t>
        </is>
      </c>
      <c r="S92" s="79" t="inlineStr">
        <is>
          <t>☑</t>
        </is>
      </c>
      <c r="T92" s="79" t="inlineStr">
        <is>
          <t>☑</t>
        </is>
      </c>
      <c r="U92" s="79" t="inlineStr">
        <is>
          <t>☑</t>
        </is>
      </c>
      <c r="V92" s="79" t="inlineStr">
        <is>
          <t>☑</t>
        </is>
      </c>
      <c r="W92" s="79" t="inlineStr">
        <is>
          <t>☑</t>
        </is>
      </c>
      <c r="X92" s="79" t="inlineStr">
        <is>
          <t>☑</t>
        </is>
      </c>
      <c r="Y92" s="79" t="inlineStr">
        <is>
          <t>☑</t>
        </is>
      </c>
      <c r="Z92" s="79" t="inlineStr">
        <is>
          <t>☑</t>
        </is>
      </c>
      <c r="AA92" s="79" t="inlineStr">
        <is>
          <t>☑</t>
        </is>
      </c>
      <c r="AB92" s="78" t="inlineStr">
        <is>
          <t>—</t>
        </is>
      </c>
      <c r="AC92" s="79" t="inlineStr">
        <is>
          <t>☑</t>
        </is>
      </c>
      <c r="AD92" s="78" t="inlineStr">
        <is>
          <t>—</t>
        </is>
      </c>
      <c r="AE92" s="78" t="inlineStr">
        <is>
          <t>☑</t>
        </is>
      </c>
      <c r="AF92" s="79" t="inlineStr">
        <is>
          <t>☑</t>
        </is>
      </c>
      <c r="AG92" s="78" t="inlineStr">
        <is>
          <t>☑</t>
        </is>
      </c>
      <c r="AH92" s="79" t="inlineStr">
        <is>
          <t>☑</t>
        </is>
      </c>
      <c r="AI92" s="79" t="inlineStr">
        <is>
          <t>☑</t>
        </is>
      </c>
      <c r="AJ92" s="79" t="inlineStr">
        <is>
          <t>☑</t>
        </is>
      </c>
      <c r="AK92" s="79" t="inlineStr">
        <is>
          <t>☑</t>
        </is>
      </c>
      <c r="AL92" s="79" t="inlineStr">
        <is>
          <t>☑</t>
        </is>
      </c>
      <c r="AM92" s="79" t="inlineStr">
        <is>
          <t>☑</t>
        </is>
      </c>
      <c r="AN92" s="79" t="inlineStr">
        <is>
          <t>☑</t>
        </is>
      </c>
      <c r="AO92" s="79" t="inlineStr">
        <is>
          <t>☑</t>
        </is>
      </c>
      <c r="AP92" s="79" t="inlineStr">
        <is>
          <t>☑</t>
        </is>
      </c>
      <c r="AQ92" s="78" t="inlineStr">
        <is>
          <t>—</t>
        </is>
      </c>
      <c r="AR92" s="79" t="inlineStr">
        <is>
          <t>☑</t>
        </is>
      </c>
      <c r="AS92" s="78" t="inlineStr">
        <is>
          <t>—</t>
        </is>
      </c>
      <c r="AT92" s="78" t="inlineStr">
        <is>
          <t>☑</t>
        </is>
      </c>
      <c r="AU92" s="79" t="inlineStr">
        <is>
          <t>☑</t>
        </is>
      </c>
      <c r="AV92" s="78" t="inlineStr">
        <is>
          <t>☑</t>
        </is>
      </c>
      <c r="AW92" s="79" t="inlineStr">
        <is>
          <t>☑</t>
        </is>
      </c>
      <c r="AX92" s="79" t="inlineStr">
        <is>
          <t>☑</t>
        </is>
      </c>
      <c r="AY92" s="79" t="inlineStr">
        <is>
          <t>☑</t>
        </is>
      </c>
      <c r="AZ92" s="79" t="inlineStr">
        <is>
          <t>☑</t>
        </is>
      </c>
      <c r="BA92" s="79" t="inlineStr">
        <is>
          <t>☑</t>
        </is>
      </c>
      <c r="BB92" s="79" t="inlineStr">
        <is>
          <t>☑</t>
        </is>
      </c>
      <c r="BC92" s="79" t="inlineStr">
        <is>
          <t>☑</t>
        </is>
      </c>
      <c r="BD92" s="79" t="inlineStr">
        <is>
          <t>☑</t>
        </is>
      </c>
      <c r="BE92" s="79" t="inlineStr">
        <is>
          <t>☑</t>
        </is>
      </c>
      <c r="BF92" s="78" t="inlineStr">
        <is>
          <t>—</t>
        </is>
      </c>
      <c r="BG92" s="79" t="inlineStr">
        <is>
          <t>☑</t>
        </is>
      </c>
      <c r="BH92" s="78" t="inlineStr">
        <is>
          <t>—</t>
        </is>
      </c>
      <c r="BI92" s="78" t="inlineStr">
        <is>
          <t>☑</t>
        </is>
      </c>
      <c r="BJ92" s="79" t="inlineStr">
        <is>
          <t>☑</t>
        </is>
      </c>
      <c r="BK92" s="78" t="inlineStr">
        <is>
          <t>☑</t>
        </is>
      </c>
      <c r="BL92" s="79" t="inlineStr">
        <is>
          <t>☑</t>
        </is>
      </c>
      <c r="BM92" s="79" t="inlineStr">
        <is>
          <t>☑</t>
        </is>
      </c>
      <c r="BN92" s="79" t="inlineStr">
        <is>
          <t>☑</t>
        </is>
      </c>
      <c r="BO92" s="79" t="inlineStr">
        <is>
          <t>☑</t>
        </is>
      </c>
    </row>
    <row r="93">
      <c r="A93" s="79" t="n">
        <v>86</v>
      </c>
      <c r="B93" s="79" t="inlineStr">
        <is>
          <t>325106410086</t>
        </is>
      </c>
      <c r="C93" s="79" t="inlineStr">
        <is>
          <t>KONATE MARIAM DJAMILA</t>
        </is>
      </c>
      <c r="D93" s="79" t="inlineStr">
        <is>
          <t>☑</t>
        </is>
      </c>
      <c r="E93" s="79" t="inlineStr">
        <is>
          <t>☑</t>
        </is>
      </c>
      <c r="F93" s="79" t="inlineStr">
        <is>
          <t>☑</t>
        </is>
      </c>
      <c r="G93" s="79" t="inlineStr">
        <is>
          <t>☑</t>
        </is>
      </c>
      <c r="H93" s="79" t="inlineStr">
        <is>
          <t>☑</t>
        </is>
      </c>
      <c r="I93" s="79" t="inlineStr">
        <is>
          <t>☑</t>
        </is>
      </c>
      <c r="J93" s="79" t="inlineStr">
        <is>
          <t>☑</t>
        </is>
      </c>
      <c r="K93" s="79" t="inlineStr">
        <is>
          <t>☑</t>
        </is>
      </c>
      <c r="L93" s="79" t="inlineStr">
        <is>
          <t>☑</t>
        </is>
      </c>
      <c r="M93" s="78" t="inlineStr">
        <is>
          <t>—</t>
        </is>
      </c>
      <c r="N93" s="79" t="inlineStr">
        <is>
          <t>☑</t>
        </is>
      </c>
      <c r="O93" s="78" t="inlineStr">
        <is>
          <t>—</t>
        </is>
      </c>
      <c r="P93" s="78" t="inlineStr">
        <is>
          <t>☑</t>
        </is>
      </c>
      <c r="Q93" s="79" t="inlineStr">
        <is>
          <t>☑</t>
        </is>
      </c>
      <c r="R93" s="78" t="inlineStr">
        <is>
          <t>☑</t>
        </is>
      </c>
      <c r="S93" s="79" t="inlineStr">
        <is>
          <t>☑</t>
        </is>
      </c>
      <c r="T93" s="79" t="inlineStr">
        <is>
          <t>☑</t>
        </is>
      </c>
      <c r="U93" s="79" t="inlineStr">
        <is>
          <t>☑</t>
        </is>
      </c>
      <c r="V93" s="79" t="inlineStr">
        <is>
          <t>☑</t>
        </is>
      </c>
      <c r="W93" s="79" t="inlineStr">
        <is>
          <t>☑</t>
        </is>
      </c>
      <c r="X93" s="79" t="inlineStr">
        <is>
          <t>☑</t>
        </is>
      </c>
      <c r="Y93" s="79" t="inlineStr">
        <is>
          <t>☑</t>
        </is>
      </c>
      <c r="Z93" s="79" t="inlineStr">
        <is>
          <t>☑</t>
        </is>
      </c>
      <c r="AA93" s="79" t="inlineStr">
        <is>
          <t>☑</t>
        </is>
      </c>
      <c r="AB93" s="78" t="inlineStr">
        <is>
          <t>—</t>
        </is>
      </c>
      <c r="AC93" s="79" t="inlineStr">
        <is>
          <t>☑</t>
        </is>
      </c>
      <c r="AD93" s="78" t="inlineStr">
        <is>
          <t>—</t>
        </is>
      </c>
      <c r="AE93" s="78" t="inlineStr">
        <is>
          <t>☑</t>
        </is>
      </c>
      <c r="AF93" s="79" t="inlineStr">
        <is>
          <t>☑</t>
        </is>
      </c>
      <c r="AG93" s="78" t="inlineStr">
        <is>
          <t>☑</t>
        </is>
      </c>
      <c r="AH93" s="79" t="inlineStr">
        <is>
          <t>☑</t>
        </is>
      </c>
      <c r="AI93" s="79" t="inlineStr">
        <is>
          <t>☑</t>
        </is>
      </c>
      <c r="AJ93" s="79" t="inlineStr">
        <is>
          <t>☑</t>
        </is>
      </c>
      <c r="AK93" s="79" t="inlineStr">
        <is>
          <t>☑</t>
        </is>
      </c>
      <c r="AL93" s="79" t="inlineStr">
        <is>
          <t>☑</t>
        </is>
      </c>
      <c r="AM93" s="79" t="inlineStr">
        <is>
          <t>☑</t>
        </is>
      </c>
      <c r="AN93" s="79" t="inlineStr">
        <is>
          <t>☑</t>
        </is>
      </c>
      <c r="AO93" s="79" t="inlineStr">
        <is>
          <t>☑</t>
        </is>
      </c>
      <c r="AP93" s="79" t="inlineStr">
        <is>
          <t>☑</t>
        </is>
      </c>
      <c r="AQ93" s="78" t="inlineStr">
        <is>
          <t>—</t>
        </is>
      </c>
      <c r="AR93" s="79" t="inlineStr">
        <is>
          <t>☑</t>
        </is>
      </c>
      <c r="AS93" s="78" t="inlineStr">
        <is>
          <t>—</t>
        </is>
      </c>
      <c r="AT93" s="78" t="inlineStr">
        <is>
          <t>☑</t>
        </is>
      </c>
      <c r="AU93" s="79" t="inlineStr">
        <is>
          <t>☑</t>
        </is>
      </c>
      <c r="AV93" s="78" t="inlineStr">
        <is>
          <t>☑</t>
        </is>
      </c>
      <c r="AW93" s="79" t="inlineStr">
        <is>
          <t>☑</t>
        </is>
      </c>
      <c r="AX93" s="79" t="inlineStr">
        <is>
          <t>☑</t>
        </is>
      </c>
      <c r="AY93" s="79" t="inlineStr">
        <is>
          <t>☑</t>
        </is>
      </c>
      <c r="AZ93" s="79" t="inlineStr">
        <is>
          <t>☑</t>
        </is>
      </c>
      <c r="BA93" s="79" t="inlineStr">
        <is>
          <t>☑</t>
        </is>
      </c>
      <c r="BB93" s="79" t="inlineStr">
        <is>
          <t>☑</t>
        </is>
      </c>
      <c r="BC93" s="79" t="inlineStr">
        <is>
          <t>☑</t>
        </is>
      </c>
      <c r="BD93" s="79" t="inlineStr">
        <is>
          <t>☑</t>
        </is>
      </c>
      <c r="BE93" s="79" t="inlineStr">
        <is>
          <t>☑</t>
        </is>
      </c>
      <c r="BF93" s="78" t="inlineStr">
        <is>
          <t>—</t>
        </is>
      </c>
      <c r="BG93" s="79" t="inlineStr">
        <is>
          <t>☑</t>
        </is>
      </c>
      <c r="BH93" s="78" t="inlineStr">
        <is>
          <t>—</t>
        </is>
      </c>
      <c r="BI93" s="78" t="inlineStr">
        <is>
          <t>☑</t>
        </is>
      </c>
      <c r="BJ93" s="79" t="inlineStr">
        <is>
          <t>☑</t>
        </is>
      </c>
      <c r="BK93" s="78" t="inlineStr">
        <is>
          <t>☑</t>
        </is>
      </c>
      <c r="BL93" s="79" t="inlineStr">
        <is>
          <t>☑</t>
        </is>
      </c>
      <c r="BM93" s="79" t="inlineStr">
        <is>
          <t>☑</t>
        </is>
      </c>
      <c r="BN93" s="79" t="inlineStr">
        <is>
          <t>☑</t>
        </is>
      </c>
      <c r="BO93" s="79" t="inlineStr">
        <is>
          <t>☑</t>
        </is>
      </c>
    </row>
    <row r="94">
      <c r="A94" s="79" t="n">
        <v>87</v>
      </c>
      <c r="B94" s="79" t="inlineStr">
        <is>
          <t>325106410087</t>
        </is>
      </c>
      <c r="C94" s="79" t="inlineStr">
        <is>
          <t>LINDOKUHLE FRANCE DLAMINI</t>
        </is>
      </c>
      <c r="D94" s="79" t="inlineStr">
        <is>
          <t>☑</t>
        </is>
      </c>
      <c r="E94" s="79" t="inlineStr">
        <is>
          <t>☑</t>
        </is>
      </c>
      <c r="F94" s="79" t="inlineStr">
        <is>
          <t>☑</t>
        </is>
      </c>
      <c r="G94" s="79" t="inlineStr">
        <is>
          <t>☑</t>
        </is>
      </c>
      <c r="H94" s="79" t="inlineStr">
        <is>
          <t>☑</t>
        </is>
      </c>
      <c r="I94" s="79" t="inlineStr">
        <is>
          <t>☑</t>
        </is>
      </c>
      <c r="J94" s="79" t="inlineStr">
        <is>
          <t>☑</t>
        </is>
      </c>
      <c r="K94" s="79" t="inlineStr">
        <is>
          <t>☑</t>
        </is>
      </c>
      <c r="L94" s="79" t="inlineStr">
        <is>
          <t>☑</t>
        </is>
      </c>
      <c r="M94" s="78" t="inlineStr">
        <is>
          <t>—</t>
        </is>
      </c>
      <c r="N94" s="79" t="inlineStr">
        <is>
          <t>☑</t>
        </is>
      </c>
      <c r="O94" s="78" t="inlineStr">
        <is>
          <t>—</t>
        </is>
      </c>
      <c r="P94" s="78" t="inlineStr">
        <is>
          <t>☑</t>
        </is>
      </c>
      <c r="Q94" s="79" t="inlineStr">
        <is>
          <t>☑</t>
        </is>
      </c>
      <c r="R94" s="78" t="inlineStr">
        <is>
          <t>☑</t>
        </is>
      </c>
      <c r="S94" s="79" t="inlineStr">
        <is>
          <t>☑</t>
        </is>
      </c>
      <c r="T94" s="79" t="inlineStr">
        <is>
          <t>☑</t>
        </is>
      </c>
      <c r="U94" s="79" t="inlineStr">
        <is>
          <t>☑</t>
        </is>
      </c>
      <c r="V94" s="79" t="inlineStr">
        <is>
          <t>☑</t>
        </is>
      </c>
      <c r="W94" s="79" t="inlineStr">
        <is>
          <t>☑</t>
        </is>
      </c>
      <c r="X94" s="79" t="inlineStr">
        <is>
          <t>☑</t>
        </is>
      </c>
      <c r="Y94" s="79" t="inlineStr">
        <is>
          <t>☑</t>
        </is>
      </c>
      <c r="Z94" s="79" t="inlineStr">
        <is>
          <t>☑</t>
        </is>
      </c>
      <c r="AA94" s="79" t="inlineStr">
        <is>
          <t>☑</t>
        </is>
      </c>
      <c r="AB94" s="78" t="inlineStr">
        <is>
          <t>—</t>
        </is>
      </c>
      <c r="AC94" s="79" t="inlineStr">
        <is>
          <t>☑</t>
        </is>
      </c>
      <c r="AD94" s="78" t="inlineStr">
        <is>
          <t>—</t>
        </is>
      </c>
      <c r="AE94" s="78" t="inlineStr">
        <is>
          <t>☑</t>
        </is>
      </c>
      <c r="AF94" s="79" t="inlineStr">
        <is>
          <t>☑</t>
        </is>
      </c>
      <c r="AG94" s="78" t="inlineStr">
        <is>
          <t>☑</t>
        </is>
      </c>
      <c r="AH94" s="79" t="inlineStr">
        <is>
          <t>☑</t>
        </is>
      </c>
      <c r="AI94" s="79" t="inlineStr">
        <is>
          <t>☑</t>
        </is>
      </c>
      <c r="AJ94" s="79" t="inlineStr">
        <is>
          <t>☑</t>
        </is>
      </c>
      <c r="AK94" s="79" t="inlineStr">
        <is>
          <t>☑</t>
        </is>
      </c>
      <c r="AL94" s="79" t="inlineStr">
        <is>
          <t>☑</t>
        </is>
      </c>
      <c r="AM94" s="79" t="inlineStr">
        <is>
          <t>☑</t>
        </is>
      </c>
      <c r="AN94" s="79" t="inlineStr">
        <is>
          <t>☑</t>
        </is>
      </c>
      <c r="AO94" s="79" t="inlineStr">
        <is>
          <t>☑</t>
        </is>
      </c>
      <c r="AP94" s="79" t="inlineStr">
        <is>
          <t>☑</t>
        </is>
      </c>
      <c r="AQ94" s="78" t="inlineStr">
        <is>
          <t>—</t>
        </is>
      </c>
      <c r="AR94" s="79" t="inlineStr">
        <is>
          <t>☑</t>
        </is>
      </c>
      <c r="AS94" s="78" t="inlineStr">
        <is>
          <t>—</t>
        </is>
      </c>
      <c r="AT94" s="78" t="inlineStr">
        <is>
          <t>☑</t>
        </is>
      </c>
      <c r="AU94" s="79" t="inlineStr">
        <is>
          <t>☑</t>
        </is>
      </c>
      <c r="AV94" s="78" t="inlineStr">
        <is>
          <t>☑</t>
        </is>
      </c>
      <c r="AW94" s="79" t="inlineStr">
        <is>
          <t>☑</t>
        </is>
      </c>
      <c r="AX94" s="79" t="inlineStr">
        <is>
          <t>☑</t>
        </is>
      </c>
      <c r="AY94" s="79" t="inlineStr">
        <is>
          <t>☑</t>
        </is>
      </c>
      <c r="AZ94" s="79" t="inlineStr">
        <is>
          <t>☑</t>
        </is>
      </c>
      <c r="BA94" s="79" t="inlineStr">
        <is>
          <t>☑</t>
        </is>
      </c>
      <c r="BB94" s="79" t="inlineStr">
        <is>
          <t>☑</t>
        </is>
      </c>
      <c r="BC94" s="79" t="inlineStr">
        <is>
          <t>☑</t>
        </is>
      </c>
      <c r="BD94" s="79" t="inlineStr">
        <is>
          <t>☑</t>
        </is>
      </c>
      <c r="BE94" s="79" t="inlineStr">
        <is>
          <t>☑</t>
        </is>
      </c>
      <c r="BF94" s="78" t="inlineStr">
        <is>
          <t>—</t>
        </is>
      </c>
      <c r="BG94" s="79" t="inlineStr">
        <is>
          <t>☑</t>
        </is>
      </c>
      <c r="BH94" s="78" t="inlineStr">
        <is>
          <t>—</t>
        </is>
      </c>
      <c r="BI94" s="78" t="inlineStr">
        <is>
          <t>☑</t>
        </is>
      </c>
      <c r="BJ94" s="79" t="inlineStr">
        <is>
          <t>☑</t>
        </is>
      </c>
      <c r="BK94" s="78" t="inlineStr">
        <is>
          <t>☑</t>
        </is>
      </c>
      <c r="BL94" s="79" t="inlineStr">
        <is>
          <t>☑</t>
        </is>
      </c>
      <c r="BM94" s="79" t="inlineStr">
        <is>
          <t>☑</t>
        </is>
      </c>
      <c r="BN94" s="79" t="inlineStr">
        <is>
          <t>☑</t>
        </is>
      </c>
      <c r="BO94" s="79" t="inlineStr">
        <is>
          <t>☑</t>
        </is>
      </c>
    </row>
    <row r="95">
      <c r="A95" s="79" t="n">
        <v>88</v>
      </c>
      <c r="B95" s="79" t="inlineStr">
        <is>
          <t>325106410088</t>
        </is>
      </c>
      <c r="C95" s="79" t="inlineStr">
        <is>
          <t>------</t>
        </is>
      </c>
      <c r="D95" s="79" t="inlineStr">
        <is>
          <t>☑</t>
        </is>
      </c>
      <c r="E95" s="79" t="inlineStr">
        <is>
          <t>☑</t>
        </is>
      </c>
      <c r="F95" s="79" t="inlineStr">
        <is>
          <t>☑</t>
        </is>
      </c>
      <c r="G95" s="79" t="inlineStr">
        <is>
          <t>☑</t>
        </is>
      </c>
      <c r="H95" s="79" t="inlineStr">
        <is>
          <t>☑</t>
        </is>
      </c>
      <c r="I95" s="79" t="inlineStr">
        <is>
          <t>☑</t>
        </is>
      </c>
      <c r="J95" s="79" t="inlineStr">
        <is>
          <t>☑</t>
        </is>
      </c>
      <c r="K95" s="79" t="inlineStr">
        <is>
          <t>☑</t>
        </is>
      </c>
      <c r="L95" s="79" t="inlineStr">
        <is>
          <t>☑</t>
        </is>
      </c>
      <c r="M95" s="78" t="inlineStr">
        <is>
          <t>—</t>
        </is>
      </c>
      <c r="N95" s="79" t="inlineStr">
        <is>
          <t>☑</t>
        </is>
      </c>
      <c r="O95" s="78" t="inlineStr">
        <is>
          <t>—</t>
        </is>
      </c>
      <c r="P95" s="78" t="inlineStr">
        <is>
          <t>☑</t>
        </is>
      </c>
      <c r="Q95" s="79" t="inlineStr">
        <is>
          <t>☑</t>
        </is>
      </c>
      <c r="R95" s="78" t="inlineStr">
        <is>
          <t>☑</t>
        </is>
      </c>
      <c r="S95" s="79" t="inlineStr">
        <is>
          <t>☑</t>
        </is>
      </c>
      <c r="T95" s="79" t="inlineStr">
        <is>
          <t>☑</t>
        </is>
      </c>
      <c r="U95" s="79" t="inlineStr">
        <is>
          <t>☑</t>
        </is>
      </c>
      <c r="V95" s="79" t="inlineStr">
        <is>
          <t>☑</t>
        </is>
      </c>
      <c r="W95" s="79" t="inlineStr">
        <is>
          <t>☑</t>
        </is>
      </c>
      <c r="X95" s="79" t="inlineStr">
        <is>
          <t>☑</t>
        </is>
      </c>
      <c r="Y95" s="79" t="inlineStr">
        <is>
          <t>☑</t>
        </is>
      </c>
      <c r="Z95" s="79" t="inlineStr">
        <is>
          <t>☑</t>
        </is>
      </c>
      <c r="AA95" s="79" t="inlineStr">
        <is>
          <t>☑</t>
        </is>
      </c>
      <c r="AB95" s="78" t="inlineStr">
        <is>
          <t>—</t>
        </is>
      </c>
      <c r="AC95" s="79" t="inlineStr">
        <is>
          <t>☑</t>
        </is>
      </c>
      <c r="AD95" s="78" t="inlineStr">
        <is>
          <t>—</t>
        </is>
      </c>
      <c r="AE95" s="78" t="inlineStr">
        <is>
          <t>☑</t>
        </is>
      </c>
      <c r="AF95" s="79" t="inlineStr">
        <is>
          <t>☑</t>
        </is>
      </c>
      <c r="AG95" s="78" t="inlineStr">
        <is>
          <t>☑</t>
        </is>
      </c>
      <c r="AH95" s="79" t="inlineStr">
        <is>
          <t>☑</t>
        </is>
      </c>
      <c r="AI95" s="79" t="inlineStr">
        <is>
          <t>☑</t>
        </is>
      </c>
      <c r="AJ95" s="79" t="inlineStr">
        <is>
          <t>☑</t>
        </is>
      </c>
      <c r="AK95" s="79" t="inlineStr">
        <is>
          <t>☑</t>
        </is>
      </c>
      <c r="AL95" s="79" t="inlineStr">
        <is>
          <t>☑</t>
        </is>
      </c>
      <c r="AM95" s="79" t="inlineStr">
        <is>
          <t>☑</t>
        </is>
      </c>
      <c r="AN95" s="79" t="inlineStr">
        <is>
          <t>☑</t>
        </is>
      </c>
      <c r="AO95" s="79" t="inlineStr">
        <is>
          <t>☑</t>
        </is>
      </c>
      <c r="AP95" s="79" t="inlineStr">
        <is>
          <t>☑</t>
        </is>
      </c>
      <c r="AQ95" s="78" t="inlineStr">
        <is>
          <t>—</t>
        </is>
      </c>
      <c r="AR95" s="79" t="inlineStr">
        <is>
          <t>☑</t>
        </is>
      </c>
      <c r="AS95" s="78" t="inlineStr">
        <is>
          <t>—</t>
        </is>
      </c>
      <c r="AT95" s="78" t="inlineStr">
        <is>
          <t>☑</t>
        </is>
      </c>
      <c r="AU95" s="79" t="inlineStr">
        <is>
          <t>☑</t>
        </is>
      </c>
      <c r="AV95" s="78" t="inlineStr">
        <is>
          <t>☑</t>
        </is>
      </c>
      <c r="AW95" s="79" t="inlineStr">
        <is>
          <t>☑</t>
        </is>
      </c>
      <c r="AX95" s="79" t="inlineStr">
        <is>
          <t>☑</t>
        </is>
      </c>
      <c r="AY95" s="79" t="inlineStr">
        <is>
          <t>☑</t>
        </is>
      </c>
      <c r="AZ95" s="79" t="inlineStr">
        <is>
          <t>☑</t>
        </is>
      </c>
      <c r="BA95" s="79" t="inlineStr">
        <is>
          <t>☑</t>
        </is>
      </c>
      <c r="BB95" s="79" t="inlineStr">
        <is>
          <t>☑</t>
        </is>
      </c>
      <c r="BC95" s="79" t="inlineStr">
        <is>
          <t>☑</t>
        </is>
      </c>
      <c r="BD95" s="79" t="inlineStr">
        <is>
          <t>☑</t>
        </is>
      </c>
      <c r="BE95" s="79" t="inlineStr">
        <is>
          <t>☑</t>
        </is>
      </c>
      <c r="BF95" s="78" t="inlineStr">
        <is>
          <t>—</t>
        </is>
      </c>
      <c r="BG95" s="79" t="inlineStr">
        <is>
          <t>☑</t>
        </is>
      </c>
      <c r="BH95" s="78" t="inlineStr">
        <is>
          <t>—</t>
        </is>
      </c>
      <c r="BI95" s="78" t="inlineStr">
        <is>
          <t>☑</t>
        </is>
      </c>
      <c r="BJ95" s="79" t="inlineStr">
        <is>
          <t>☑</t>
        </is>
      </c>
      <c r="BK95" s="78" t="inlineStr">
        <is>
          <t>☑</t>
        </is>
      </c>
      <c r="BL95" s="79" t="inlineStr">
        <is>
          <t>☑</t>
        </is>
      </c>
      <c r="BM95" s="79" t="inlineStr">
        <is>
          <t>☑</t>
        </is>
      </c>
      <c r="BN95" s="79" t="inlineStr">
        <is>
          <t>☑</t>
        </is>
      </c>
      <c r="BO95" s="79" t="inlineStr">
        <is>
          <t>☑</t>
        </is>
      </c>
    </row>
    <row r="96">
      <c r="A96" s="79" t="n">
        <v>89</v>
      </c>
      <c r="B96" s="79" t="inlineStr">
        <is>
          <t>325106410089</t>
        </is>
      </c>
      <c r="C96" s="79" t="inlineStr">
        <is>
          <t>MARSON DOS SANTOS</t>
        </is>
      </c>
      <c r="D96" s="79" t="inlineStr">
        <is>
          <t>☑</t>
        </is>
      </c>
      <c r="E96" s="79" t="inlineStr">
        <is>
          <t>☑</t>
        </is>
      </c>
      <c r="F96" s="79" t="inlineStr">
        <is>
          <t>☑</t>
        </is>
      </c>
      <c r="G96" s="79" t="inlineStr">
        <is>
          <t>☑</t>
        </is>
      </c>
      <c r="H96" s="79" t="inlineStr">
        <is>
          <t>☑</t>
        </is>
      </c>
      <c r="I96" s="79" t="inlineStr">
        <is>
          <t>☑</t>
        </is>
      </c>
      <c r="J96" s="79" t="inlineStr">
        <is>
          <t>☑</t>
        </is>
      </c>
      <c r="K96" s="79" t="inlineStr">
        <is>
          <t>☑</t>
        </is>
      </c>
      <c r="L96" s="79" t="inlineStr">
        <is>
          <t>☑</t>
        </is>
      </c>
      <c r="M96" s="78" t="inlineStr">
        <is>
          <t>—</t>
        </is>
      </c>
      <c r="N96" s="79" t="inlineStr">
        <is>
          <t>☑</t>
        </is>
      </c>
      <c r="O96" s="78" t="inlineStr">
        <is>
          <t>—</t>
        </is>
      </c>
      <c r="P96" s="78" t="inlineStr">
        <is>
          <t>☑</t>
        </is>
      </c>
      <c r="Q96" s="79" t="inlineStr">
        <is>
          <t>☑</t>
        </is>
      </c>
      <c r="R96" s="78" t="inlineStr">
        <is>
          <t>☑</t>
        </is>
      </c>
      <c r="S96" s="79" t="inlineStr">
        <is>
          <t>☑</t>
        </is>
      </c>
      <c r="T96" s="79" t="inlineStr">
        <is>
          <t>☑</t>
        </is>
      </c>
      <c r="U96" s="79" t="inlineStr">
        <is>
          <t>☑</t>
        </is>
      </c>
      <c r="V96" s="79" t="inlineStr">
        <is>
          <t>☑</t>
        </is>
      </c>
      <c r="W96" s="79" t="inlineStr">
        <is>
          <t>☑</t>
        </is>
      </c>
      <c r="X96" s="79" t="inlineStr">
        <is>
          <t>☑</t>
        </is>
      </c>
      <c r="Y96" s="79" t="inlineStr">
        <is>
          <t>☑</t>
        </is>
      </c>
      <c r="Z96" s="79" t="inlineStr">
        <is>
          <t>☑</t>
        </is>
      </c>
      <c r="AA96" s="79" t="inlineStr">
        <is>
          <t>☑</t>
        </is>
      </c>
      <c r="AB96" s="78" t="inlineStr">
        <is>
          <t>—</t>
        </is>
      </c>
      <c r="AC96" s="79" t="inlineStr">
        <is>
          <t>☑</t>
        </is>
      </c>
      <c r="AD96" s="78" t="inlineStr">
        <is>
          <t>—</t>
        </is>
      </c>
      <c r="AE96" s="78" t="inlineStr">
        <is>
          <t>☑</t>
        </is>
      </c>
      <c r="AF96" s="79" t="inlineStr">
        <is>
          <t>☑</t>
        </is>
      </c>
      <c r="AG96" s="78" t="inlineStr">
        <is>
          <t>☑</t>
        </is>
      </c>
      <c r="AH96" s="79" t="inlineStr">
        <is>
          <t>☑</t>
        </is>
      </c>
      <c r="AI96" s="79" t="inlineStr">
        <is>
          <t>☑</t>
        </is>
      </c>
      <c r="AJ96" s="79" t="inlineStr">
        <is>
          <t>☑</t>
        </is>
      </c>
      <c r="AK96" s="79" t="inlineStr">
        <is>
          <t>☑</t>
        </is>
      </c>
      <c r="AL96" s="79" t="inlineStr">
        <is>
          <t>☑</t>
        </is>
      </c>
      <c r="AM96" s="79" t="inlineStr">
        <is>
          <t>☑</t>
        </is>
      </c>
      <c r="AN96" s="79" t="inlineStr">
        <is>
          <t>☑</t>
        </is>
      </c>
      <c r="AO96" s="79" t="inlineStr">
        <is>
          <t>☑</t>
        </is>
      </c>
      <c r="AP96" s="79" t="inlineStr">
        <is>
          <t>☑</t>
        </is>
      </c>
      <c r="AQ96" s="78" t="inlineStr">
        <is>
          <t>—</t>
        </is>
      </c>
      <c r="AR96" s="79" t="inlineStr">
        <is>
          <t>☑</t>
        </is>
      </c>
      <c r="AS96" s="78" t="inlineStr">
        <is>
          <t>—</t>
        </is>
      </c>
      <c r="AT96" s="78" t="inlineStr">
        <is>
          <t>☑</t>
        </is>
      </c>
      <c r="AU96" s="79" t="inlineStr">
        <is>
          <t>☑</t>
        </is>
      </c>
      <c r="AV96" s="78" t="inlineStr">
        <is>
          <t>☑</t>
        </is>
      </c>
      <c r="AW96" s="79" t="inlineStr">
        <is>
          <t>☑</t>
        </is>
      </c>
      <c r="AX96" s="79" t="inlineStr">
        <is>
          <t>☑</t>
        </is>
      </c>
      <c r="AY96" s="79" t="inlineStr">
        <is>
          <t>☑</t>
        </is>
      </c>
      <c r="AZ96" s="79" t="inlineStr">
        <is>
          <t>☑</t>
        </is>
      </c>
      <c r="BA96" s="79" t="inlineStr">
        <is>
          <t>☑</t>
        </is>
      </c>
      <c r="BB96" s="79" t="inlineStr">
        <is>
          <t>☑</t>
        </is>
      </c>
      <c r="BC96" s="79" t="inlineStr">
        <is>
          <t>☑</t>
        </is>
      </c>
      <c r="BD96" s="79" t="inlineStr">
        <is>
          <t>☑</t>
        </is>
      </c>
      <c r="BE96" s="79" t="inlineStr">
        <is>
          <t>☑</t>
        </is>
      </c>
      <c r="BF96" s="78" t="inlineStr">
        <is>
          <t>—</t>
        </is>
      </c>
      <c r="BG96" s="79" t="inlineStr">
        <is>
          <t>☑</t>
        </is>
      </c>
      <c r="BH96" s="78" t="inlineStr">
        <is>
          <t>—</t>
        </is>
      </c>
      <c r="BI96" s="78" t="inlineStr">
        <is>
          <t>☑</t>
        </is>
      </c>
      <c r="BJ96" s="79" t="inlineStr">
        <is>
          <t>☑</t>
        </is>
      </c>
      <c r="BK96" s="78" t="inlineStr">
        <is>
          <t>☑</t>
        </is>
      </c>
      <c r="BL96" s="79" t="inlineStr">
        <is>
          <t>☑</t>
        </is>
      </c>
      <c r="BM96" s="79" t="inlineStr">
        <is>
          <t>☑</t>
        </is>
      </c>
      <c r="BN96" s="79" t="inlineStr">
        <is>
          <t>☑</t>
        </is>
      </c>
      <c r="BO96" s="79" t="inlineStr">
        <is>
          <t>☑</t>
        </is>
      </c>
    </row>
    <row r="97">
      <c r="A97" s="79" t="n">
        <v>90</v>
      </c>
      <c r="B97" s="79" t="inlineStr">
        <is>
          <t>325106410090</t>
        </is>
      </c>
      <c r="C97" s="79" t="inlineStr">
        <is>
          <t>MIKIAS GURMESA</t>
        </is>
      </c>
      <c r="D97" s="79" t="inlineStr">
        <is>
          <t>☑</t>
        </is>
      </c>
      <c r="E97" s="79" t="inlineStr">
        <is>
          <t>☑</t>
        </is>
      </c>
      <c r="F97" s="79" t="inlineStr">
        <is>
          <t>☑</t>
        </is>
      </c>
      <c r="G97" s="79" t="inlineStr">
        <is>
          <t>☑</t>
        </is>
      </c>
      <c r="H97" s="79" t="inlineStr">
        <is>
          <t>☑</t>
        </is>
      </c>
      <c r="I97" s="79" t="inlineStr">
        <is>
          <t>☑</t>
        </is>
      </c>
      <c r="J97" s="79" t="inlineStr">
        <is>
          <t>☑</t>
        </is>
      </c>
      <c r="K97" s="79" t="inlineStr">
        <is>
          <t>☑</t>
        </is>
      </c>
      <c r="L97" s="79" t="inlineStr">
        <is>
          <t>☑</t>
        </is>
      </c>
      <c r="M97" s="78" t="inlineStr">
        <is>
          <t>—</t>
        </is>
      </c>
      <c r="N97" s="79" t="inlineStr">
        <is>
          <t>☑</t>
        </is>
      </c>
      <c r="O97" s="78" t="inlineStr">
        <is>
          <t>—</t>
        </is>
      </c>
      <c r="P97" s="78" t="inlineStr">
        <is>
          <t>☑</t>
        </is>
      </c>
      <c r="Q97" s="79" t="inlineStr">
        <is>
          <t>☑</t>
        </is>
      </c>
      <c r="R97" s="78" t="inlineStr">
        <is>
          <t>☑</t>
        </is>
      </c>
      <c r="S97" s="79" t="inlineStr">
        <is>
          <t>☑</t>
        </is>
      </c>
      <c r="T97" s="79" t="inlineStr">
        <is>
          <t>☑</t>
        </is>
      </c>
      <c r="U97" s="79" t="inlineStr">
        <is>
          <t>☑</t>
        </is>
      </c>
      <c r="V97" s="79" t="inlineStr">
        <is>
          <t>☑</t>
        </is>
      </c>
      <c r="W97" s="79" t="inlineStr">
        <is>
          <t>☑</t>
        </is>
      </c>
      <c r="X97" s="79" t="inlineStr">
        <is>
          <t>☑</t>
        </is>
      </c>
      <c r="Y97" s="79" t="inlineStr">
        <is>
          <t>☑</t>
        </is>
      </c>
      <c r="Z97" s="79" t="inlineStr">
        <is>
          <t>☑</t>
        </is>
      </c>
      <c r="AA97" s="79" t="inlineStr">
        <is>
          <t>☑</t>
        </is>
      </c>
      <c r="AB97" s="78" t="inlineStr">
        <is>
          <t>—</t>
        </is>
      </c>
      <c r="AC97" s="79" t="inlineStr">
        <is>
          <t>☑</t>
        </is>
      </c>
      <c r="AD97" s="78" t="inlineStr">
        <is>
          <t>—</t>
        </is>
      </c>
      <c r="AE97" s="78" t="inlineStr">
        <is>
          <t>☑</t>
        </is>
      </c>
      <c r="AF97" s="79" t="inlineStr">
        <is>
          <t>☑</t>
        </is>
      </c>
      <c r="AG97" s="78" t="inlineStr">
        <is>
          <t>☑</t>
        </is>
      </c>
      <c r="AH97" s="79" t="inlineStr">
        <is>
          <t>☑</t>
        </is>
      </c>
      <c r="AI97" s="79" t="inlineStr">
        <is>
          <t>☑</t>
        </is>
      </c>
      <c r="AJ97" s="79" t="inlineStr">
        <is>
          <t>☑</t>
        </is>
      </c>
      <c r="AK97" s="79" t="inlineStr">
        <is>
          <t>☑</t>
        </is>
      </c>
      <c r="AL97" s="79" t="inlineStr">
        <is>
          <t>☑</t>
        </is>
      </c>
      <c r="AM97" s="79" t="inlineStr">
        <is>
          <t>☑</t>
        </is>
      </c>
      <c r="AN97" s="79" t="inlineStr">
        <is>
          <t>☑</t>
        </is>
      </c>
      <c r="AO97" s="79" t="inlineStr">
        <is>
          <t>☑</t>
        </is>
      </c>
      <c r="AP97" s="79" t="inlineStr">
        <is>
          <t>☑</t>
        </is>
      </c>
      <c r="AQ97" s="78" t="inlineStr">
        <is>
          <t>—</t>
        </is>
      </c>
      <c r="AR97" s="79" t="inlineStr">
        <is>
          <t>☑</t>
        </is>
      </c>
      <c r="AS97" s="78" t="inlineStr">
        <is>
          <t>—</t>
        </is>
      </c>
      <c r="AT97" s="78" t="inlineStr">
        <is>
          <t>☑</t>
        </is>
      </c>
      <c r="AU97" s="79" t="inlineStr">
        <is>
          <t>☑</t>
        </is>
      </c>
      <c r="AV97" s="78" t="inlineStr">
        <is>
          <t>☑</t>
        </is>
      </c>
      <c r="AW97" s="79" t="inlineStr">
        <is>
          <t>☑</t>
        </is>
      </c>
      <c r="AX97" s="79" t="inlineStr">
        <is>
          <t>☑</t>
        </is>
      </c>
      <c r="AY97" s="79" t="inlineStr">
        <is>
          <t>☑</t>
        </is>
      </c>
      <c r="AZ97" s="79" t="inlineStr">
        <is>
          <t>☑</t>
        </is>
      </c>
      <c r="BA97" s="79" t="inlineStr">
        <is>
          <t>☑</t>
        </is>
      </c>
      <c r="BB97" s="79" t="inlineStr">
        <is>
          <t>☑</t>
        </is>
      </c>
      <c r="BC97" s="79" t="inlineStr">
        <is>
          <t>☑</t>
        </is>
      </c>
      <c r="BD97" s="79" t="inlineStr">
        <is>
          <t>☑</t>
        </is>
      </c>
      <c r="BE97" s="79" t="inlineStr">
        <is>
          <t>☑</t>
        </is>
      </c>
      <c r="BF97" s="78" t="inlineStr">
        <is>
          <t>—</t>
        </is>
      </c>
      <c r="BG97" s="79" t="inlineStr">
        <is>
          <t>☑</t>
        </is>
      </c>
      <c r="BH97" s="78" t="inlineStr">
        <is>
          <t>—</t>
        </is>
      </c>
      <c r="BI97" s="78" t="inlineStr">
        <is>
          <t>☑</t>
        </is>
      </c>
      <c r="BJ97" s="79" t="inlineStr">
        <is>
          <t>☑</t>
        </is>
      </c>
      <c r="BK97" s="78" t="inlineStr">
        <is>
          <t>☑</t>
        </is>
      </c>
      <c r="BL97" s="79" t="inlineStr">
        <is>
          <t>☑</t>
        </is>
      </c>
      <c r="BM97" s="79" t="inlineStr">
        <is>
          <t>☑</t>
        </is>
      </c>
      <c r="BN97" s="79" t="inlineStr">
        <is>
          <t>☑</t>
        </is>
      </c>
      <c r="BO97" s="79" t="inlineStr">
        <is>
          <t>☑</t>
        </is>
      </c>
    </row>
    <row r="98">
      <c r="A98" s="79" t="n">
        <v>91</v>
      </c>
      <c r="B98" s="79" t="inlineStr">
        <is>
          <t>325106410091</t>
        </is>
      </c>
      <c r="C98" s="79" t="inlineStr">
        <is>
          <t>MOHAMMAD MUGAHED AHMED ABDO AL-MAHDALI</t>
        </is>
      </c>
      <c r="D98" s="79" t="inlineStr">
        <is>
          <t>☑</t>
        </is>
      </c>
      <c r="E98" s="79" t="inlineStr">
        <is>
          <t>☑</t>
        </is>
      </c>
      <c r="F98" s="79" t="inlineStr">
        <is>
          <t>☑</t>
        </is>
      </c>
      <c r="G98" s="79" t="inlineStr">
        <is>
          <t>☑</t>
        </is>
      </c>
      <c r="H98" s="79" t="inlineStr">
        <is>
          <t>☑</t>
        </is>
      </c>
      <c r="I98" s="79" t="inlineStr">
        <is>
          <t>☑</t>
        </is>
      </c>
      <c r="J98" s="79" t="inlineStr">
        <is>
          <t>☑</t>
        </is>
      </c>
      <c r="K98" s="79" t="inlineStr">
        <is>
          <t>☑</t>
        </is>
      </c>
      <c r="L98" s="79" t="inlineStr">
        <is>
          <t>☑</t>
        </is>
      </c>
      <c r="M98" s="78" t="inlineStr">
        <is>
          <t>—</t>
        </is>
      </c>
      <c r="N98" s="79" t="inlineStr">
        <is>
          <t>☑</t>
        </is>
      </c>
      <c r="O98" s="78" t="inlineStr">
        <is>
          <t>—</t>
        </is>
      </c>
      <c r="P98" s="78" t="inlineStr">
        <is>
          <t>☑</t>
        </is>
      </c>
      <c r="Q98" s="79" t="inlineStr">
        <is>
          <t>☑</t>
        </is>
      </c>
      <c r="R98" s="78" t="inlineStr">
        <is>
          <t>☑</t>
        </is>
      </c>
      <c r="S98" s="79" t="inlineStr">
        <is>
          <t>☑</t>
        </is>
      </c>
      <c r="T98" s="79" t="inlineStr">
        <is>
          <t>☑</t>
        </is>
      </c>
      <c r="U98" s="79" t="inlineStr">
        <is>
          <t>☑</t>
        </is>
      </c>
      <c r="V98" s="79" t="inlineStr">
        <is>
          <t>☑</t>
        </is>
      </c>
      <c r="W98" s="79" t="inlineStr">
        <is>
          <t>☑</t>
        </is>
      </c>
      <c r="X98" s="79" t="inlineStr">
        <is>
          <t>☑</t>
        </is>
      </c>
      <c r="Y98" s="79" t="inlineStr">
        <is>
          <t>☑</t>
        </is>
      </c>
      <c r="Z98" s="79" t="inlineStr">
        <is>
          <t>☑</t>
        </is>
      </c>
      <c r="AA98" s="79" t="inlineStr">
        <is>
          <t>☑</t>
        </is>
      </c>
      <c r="AB98" s="78" t="inlineStr">
        <is>
          <t>—</t>
        </is>
      </c>
      <c r="AC98" s="79" t="inlineStr">
        <is>
          <t>☑</t>
        </is>
      </c>
      <c r="AD98" s="78" t="inlineStr">
        <is>
          <t>—</t>
        </is>
      </c>
      <c r="AE98" s="78" t="inlineStr">
        <is>
          <t>☑</t>
        </is>
      </c>
      <c r="AF98" s="79" t="inlineStr">
        <is>
          <t>☑</t>
        </is>
      </c>
      <c r="AG98" s="78" t="inlineStr">
        <is>
          <t>☑</t>
        </is>
      </c>
      <c r="AH98" s="79" t="inlineStr">
        <is>
          <t>☑</t>
        </is>
      </c>
      <c r="AI98" s="79" t="inlineStr">
        <is>
          <t>☑</t>
        </is>
      </c>
      <c r="AJ98" s="79" t="inlineStr">
        <is>
          <t>☑</t>
        </is>
      </c>
      <c r="AK98" s="79" t="inlineStr">
        <is>
          <t>☑</t>
        </is>
      </c>
      <c r="AL98" s="79" t="inlineStr">
        <is>
          <t>☑</t>
        </is>
      </c>
      <c r="AM98" s="79" t="inlineStr">
        <is>
          <t>☑</t>
        </is>
      </c>
      <c r="AN98" s="79" t="inlineStr">
        <is>
          <t>☑</t>
        </is>
      </c>
      <c r="AO98" s="79" t="inlineStr">
        <is>
          <t>☑</t>
        </is>
      </c>
      <c r="AP98" s="79" t="inlineStr">
        <is>
          <t>☑</t>
        </is>
      </c>
      <c r="AQ98" s="78" t="inlineStr">
        <is>
          <t>—</t>
        </is>
      </c>
      <c r="AR98" s="79" t="inlineStr">
        <is>
          <t>☑</t>
        </is>
      </c>
      <c r="AS98" s="78" t="inlineStr">
        <is>
          <t>—</t>
        </is>
      </c>
      <c r="AT98" s="78" t="inlineStr">
        <is>
          <t>☑</t>
        </is>
      </c>
      <c r="AU98" s="79" t="inlineStr">
        <is>
          <t>☑</t>
        </is>
      </c>
      <c r="AV98" s="78" t="inlineStr">
        <is>
          <t>☑</t>
        </is>
      </c>
      <c r="AW98" s="79" t="inlineStr">
        <is>
          <t>☑</t>
        </is>
      </c>
      <c r="AX98" s="79" t="inlineStr">
        <is>
          <t>☑</t>
        </is>
      </c>
      <c r="AY98" s="79" t="inlineStr">
        <is>
          <t>☑</t>
        </is>
      </c>
      <c r="AZ98" s="79" t="inlineStr">
        <is>
          <t>☑</t>
        </is>
      </c>
      <c r="BA98" s="79" t="inlineStr">
        <is>
          <t>☑</t>
        </is>
      </c>
      <c r="BB98" s="79" t="inlineStr">
        <is>
          <t>☑</t>
        </is>
      </c>
      <c r="BC98" s="79" t="inlineStr">
        <is>
          <t>☑</t>
        </is>
      </c>
      <c r="BD98" s="79" t="inlineStr">
        <is>
          <t>☑</t>
        </is>
      </c>
      <c r="BE98" s="79" t="inlineStr">
        <is>
          <t>☑</t>
        </is>
      </c>
      <c r="BF98" s="78" t="inlineStr">
        <is>
          <t>—</t>
        </is>
      </c>
      <c r="BG98" s="79" t="inlineStr">
        <is>
          <t>☑</t>
        </is>
      </c>
      <c r="BH98" s="78" t="inlineStr">
        <is>
          <t>—</t>
        </is>
      </c>
      <c r="BI98" s="78" t="inlineStr">
        <is>
          <t>☑</t>
        </is>
      </c>
      <c r="BJ98" s="79" t="inlineStr">
        <is>
          <t>☑</t>
        </is>
      </c>
      <c r="BK98" s="78" t="inlineStr">
        <is>
          <t>☑</t>
        </is>
      </c>
      <c r="BL98" s="79" t="inlineStr">
        <is>
          <t>☑</t>
        </is>
      </c>
      <c r="BM98" s="79" t="inlineStr">
        <is>
          <t>☑</t>
        </is>
      </c>
      <c r="BN98" s="79" t="inlineStr">
        <is>
          <t>☑</t>
        </is>
      </c>
      <c r="BO98" s="79" t="inlineStr">
        <is>
          <t>☑</t>
        </is>
      </c>
    </row>
    <row r="99">
      <c r="A99" s="79" t="n">
        <v>92</v>
      </c>
      <c r="B99" s="79" t="inlineStr">
        <is>
          <t>325106410092</t>
        </is>
      </c>
      <c r="C99" s="79" t="inlineStr">
        <is>
          <t>MUGDHO CHOWDHURY</t>
        </is>
      </c>
      <c r="D99" s="79" t="inlineStr">
        <is>
          <t>☑</t>
        </is>
      </c>
      <c r="E99" s="79" t="inlineStr">
        <is>
          <t>☑</t>
        </is>
      </c>
      <c r="F99" s="79" t="inlineStr">
        <is>
          <t>☑</t>
        </is>
      </c>
      <c r="G99" s="79" t="inlineStr">
        <is>
          <t>☑</t>
        </is>
      </c>
      <c r="H99" s="79" t="inlineStr">
        <is>
          <t>☑</t>
        </is>
      </c>
      <c r="I99" s="79" t="inlineStr">
        <is>
          <t>☑</t>
        </is>
      </c>
      <c r="J99" s="79" t="inlineStr">
        <is>
          <t>☑</t>
        </is>
      </c>
      <c r="K99" s="79" t="inlineStr">
        <is>
          <t>☑</t>
        </is>
      </c>
      <c r="L99" s="79" t="inlineStr">
        <is>
          <t>☑</t>
        </is>
      </c>
      <c r="M99" s="78" t="inlineStr">
        <is>
          <t>—</t>
        </is>
      </c>
      <c r="N99" s="79" t="inlineStr">
        <is>
          <t>☑</t>
        </is>
      </c>
      <c r="O99" s="78" t="inlineStr">
        <is>
          <t>—</t>
        </is>
      </c>
      <c r="P99" s="78" t="inlineStr">
        <is>
          <t>☑</t>
        </is>
      </c>
      <c r="Q99" s="79" t="inlineStr">
        <is>
          <t>☑</t>
        </is>
      </c>
      <c r="R99" s="78" t="inlineStr">
        <is>
          <t>☑</t>
        </is>
      </c>
      <c r="S99" s="79" t="inlineStr">
        <is>
          <t>☑</t>
        </is>
      </c>
      <c r="T99" s="79" t="inlineStr">
        <is>
          <t>☑</t>
        </is>
      </c>
      <c r="U99" s="79" t="inlineStr">
        <is>
          <t>☑</t>
        </is>
      </c>
      <c r="V99" s="79" t="inlineStr">
        <is>
          <t>☑</t>
        </is>
      </c>
      <c r="W99" s="79" t="inlineStr">
        <is>
          <t>☑</t>
        </is>
      </c>
      <c r="X99" s="79" t="inlineStr">
        <is>
          <t>☑</t>
        </is>
      </c>
      <c r="Y99" s="79" t="inlineStr">
        <is>
          <t>☑</t>
        </is>
      </c>
      <c r="Z99" s="79" t="inlineStr">
        <is>
          <t>☑</t>
        </is>
      </c>
      <c r="AA99" s="79" t="inlineStr">
        <is>
          <t>☑</t>
        </is>
      </c>
      <c r="AB99" s="78" t="inlineStr">
        <is>
          <t>—</t>
        </is>
      </c>
      <c r="AC99" s="79" t="inlineStr">
        <is>
          <t>☑</t>
        </is>
      </c>
      <c r="AD99" s="78" t="inlineStr">
        <is>
          <t>—</t>
        </is>
      </c>
      <c r="AE99" s="78" t="inlineStr">
        <is>
          <t>☑</t>
        </is>
      </c>
      <c r="AF99" s="79" t="inlineStr">
        <is>
          <t>☑</t>
        </is>
      </c>
      <c r="AG99" s="78" t="inlineStr">
        <is>
          <t>☑</t>
        </is>
      </c>
      <c r="AH99" s="79" t="inlineStr">
        <is>
          <t>☑</t>
        </is>
      </c>
      <c r="AI99" s="79" t="inlineStr">
        <is>
          <t>☑</t>
        </is>
      </c>
      <c r="AJ99" s="79" t="inlineStr">
        <is>
          <t>☑</t>
        </is>
      </c>
      <c r="AK99" s="79" t="inlineStr">
        <is>
          <t>☑</t>
        </is>
      </c>
      <c r="AL99" s="79" t="inlineStr">
        <is>
          <t>☑</t>
        </is>
      </c>
      <c r="AM99" s="79" t="inlineStr">
        <is>
          <t>☑</t>
        </is>
      </c>
      <c r="AN99" s="79" t="inlineStr">
        <is>
          <t>☑</t>
        </is>
      </c>
      <c r="AO99" s="79" t="inlineStr">
        <is>
          <t>☑</t>
        </is>
      </c>
      <c r="AP99" s="79" t="inlineStr">
        <is>
          <t>☑</t>
        </is>
      </c>
      <c r="AQ99" s="78" t="inlineStr">
        <is>
          <t>—</t>
        </is>
      </c>
      <c r="AR99" s="79" t="inlineStr">
        <is>
          <t>☑</t>
        </is>
      </c>
      <c r="AS99" s="78" t="inlineStr">
        <is>
          <t>—</t>
        </is>
      </c>
      <c r="AT99" s="78" t="inlineStr">
        <is>
          <t>☑</t>
        </is>
      </c>
      <c r="AU99" s="79" t="inlineStr">
        <is>
          <t>☑</t>
        </is>
      </c>
      <c r="AV99" s="78" t="inlineStr">
        <is>
          <t>☑</t>
        </is>
      </c>
      <c r="AW99" s="79" t="inlineStr">
        <is>
          <t>☑</t>
        </is>
      </c>
      <c r="AX99" s="79" t="inlineStr">
        <is>
          <t>☑</t>
        </is>
      </c>
      <c r="AY99" s="79" t="inlineStr">
        <is>
          <t>☑</t>
        </is>
      </c>
      <c r="AZ99" s="79" t="inlineStr">
        <is>
          <t>☑</t>
        </is>
      </c>
      <c r="BA99" s="79" t="inlineStr">
        <is>
          <t>☑</t>
        </is>
      </c>
      <c r="BB99" s="79" t="inlineStr">
        <is>
          <t>☑</t>
        </is>
      </c>
      <c r="BC99" s="79" t="inlineStr">
        <is>
          <t>☑</t>
        </is>
      </c>
      <c r="BD99" s="79" t="inlineStr">
        <is>
          <t>☑</t>
        </is>
      </c>
      <c r="BE99" s="79" t="inlineStr">
        <is>
          <t>☑</t>
        </is>
      </c>
      <c r="BF99" s="78" t="inlineStr">
        <is>
          <t>—</t>
        </is>
      </c>
      <c r="BG99" s="79" t="inlineStr">
        <is>
          <t>☑</t>
        </is>
      </c>
      <c r="BH99" s="78" t="inlineStr">
        <is>
          <t>—</t>
        </is>
      </c>
      <c r="BI99" s="78" t="inlineStr">
        <is>
          <t>☑</t>
        </is>
      </c>
      <c r="BJ99" s="79" t="inlineStr">
        <is>
          <t>☑</t>
        </is>
      </c>
      <c r="BK99" s="78" t="inlineStr">
        <is>
          <t>☑</t>
        </is>
      </c>
      <c r="BL99" s="79" t="inlineStr">
        <is>
          <t>☑</t>
        </is>
      </c>
      <c r="BM99" s="79" t="inlineStr">
        <is>
          <t>☑</t>
        </is>
      </c>
      <c r="BN99" s="79" t="inlineStr">
        <is>
          <t>☑</t>
        </is>
      </c>
      <c r="BO99" s="79" t="inlineStr">
        <is>
          <t>☑</t>
        </is>
      </c>
    </row>
    <row r="100">
      <c r="A100" s="79" t="n">
        <v>93</v>
      </c>
      <c r="B100" s="79" t="inlineStr">
        <is>
          <t>325106410093</t>
        </is>
      </c>
      <c r="C100" s="79" t="inlineStr">
        <is>
          <t>-------</t>
        </is>
      </c>
      <c r="D100" s="79" t="inlineStr">
        <is>
          <t>☑</t>
        </is>
      </c>
      <c r="E100" s="79" t="inlineStr">
        <is>
          <t>☑</t>
        </is>
      </c>
      <c r="F100" s="79" t="inlineStr">
        <is>
          <t>☑</t>
        </is>
      </c>
      <c r="G100" s="79" t="inlineStr">
        <is>
          <t>☑</t>
        </is>
      </c>
      <c r="H100" s="79" t="inlineStr">
        <is>
          <t>☑</t>
        </is>
      </c>
      <c r="I100" s="79" t="inlineStr">
        <is>
          <t>☑</t>
        </is>
      </c>
      <c r="J100" s="79" t="inlineStr">
        <is>
          <t>☑</t>
        </is>
      </c>
      <c r="K100" s="79" t="inlineStr">
        <is>
          <t>☑</t>
        </is>
      </c>
      <c r="L100" s="79" t="inlineStr">
        <is>
          <t>☑</t>
        </is>
      </c>
      <c r="M100" s="78" t="inlineStr">
        <is>
          <t>—</t>
        </is>
      </c>
      <c r="N100" s="79" t="inlineStr">
        <is>
          <t>☑</t>
        </is>
      </c>
      <c r="O100" s="78" t="inlineStr">
        <is>
          <t>—</t>
        </is>
      </c>
      <c r="P100" s="78" t="inlineStr">
        <is>
          <t>☑</t>
        </is>
      </c>
      <c r="Q100" s="79" t="inlineStr">
        <is>
          <t>☑</t>
        </is>
      </c>
      <c r="R100" s="78" t="inlineStr">
        <is>
          <t>☑</t>
        </is>
      </c>
      <c r="S100" s="79" t="inlineStr">
        <is>
          <t>☑</t>
        </is>
      </c>
      <c r="T100" s="79" t="inlineStr">
        <is>
          <t>☑</t>
        </is>
      </c>
      <c r="U100" s="79" t="inlineStr">
        <is>
          <t>☑</t>
        </is>
      </c>
      <c r="V100" s="79" t="inlineStr">
        <is>
          <t>☑</t>
        </is>
      </c>
      <c r="W100" s="79" t="inlineStr">
        <is>
          <t>☑</t>
        </is>
      </c>
      <c r="X100" s="79" t="inlineStr">
        <is>
          <t>☑</t>
        </is>
      </c>
      <c r="Y100" s="79" t="inlineStr">
        <is>
          <t>☑</t>
        </is>
      </c>
      <c r="Z100" s="79" t="inlineStr">
        <is>
          <t>☑</t>
        </is>
      </c>
      <c r="AA100" s="79" t="inlineStr">
        <is>
          <t>☑</t>
        </is>
      </c>
      <c r="AB100" s="78" t="inlineStr">
        <is>
          <t>—</t>
        </is>
      </c>
      <c r="AC100" s="79" t="inlineStr">
        <is>
          <t>☑</t>
        </is>
      </c>
      <c r="AD100" s="78" t="inlineStr">
        <is>
          <t>—</t>
        </is>
      </c>
      <c r="AE100" s="78" t="inlineStr">
        <is>
          <t>☑</t>
        </is>
      </c>
      <c r="AF100" s="79" t="inlineStr">
        <is>
          <t>☑</t>
        </is>
      </c>
      <c r="AG100" s="78" t="inlineStr">
        <is>
          <t>☑</t>
        </is>
      </c>
      <c r="AH100" s="79" t="inlineStr">
        <is>
          <t>☑</t>
        </is>
      </c>
      <c r="AI100" s="79" t="inlineStr">
        <is>
          <t>☑</t>
        </is>
      </c>
      <c r="AJ100" s="79" t="inlineStr">
        <is>
          <t>☑</t>
        </is>
      </c>
      <c r="AK100" s="79" t="inlineStr">
        <is>
          <t>☑</t>
        </is>
      </c>
      <c r="AL100" s="79" t="inlineStr">
        <is>
          <t>☑</t>
        </is>
      </c>
      <c r="AM100" s="79" t="inlineStr">
        <is>
          <t>☑</t>
        </is>
      </c>
      <c r="AN100" s="79" t="inlineStr">
        <is>
          <t>☑</t>
        </is>
      </c>
      <c r="AO100" s="79" t="inlineStr">
        <is>
          <t>☑</t>
        </is>
      </c>
      <c r="AP100" s="79" t="inlineStr">
        <is>
          <t>☑</t>
        </is>
      </c>
      <c r="AQ100" s="78" t="inlineStr">
        <is>
          <t>—</t>
        </is>
      </c>
      <c r="AR100" s="79" t="inlineStr">
        <is>
          <t>☑</t>
        </is>
      </c>
      <c r="AS100" s="78" t="inlineStr">
        <is>
          <t>—</t>
        </is>
      </c>
      <c r="AT100" s="78" t="inlineStr">
        <is>
          <t>☑</t>
        </is>
      </c>
      <c r="AU100" s="79" t="inlineStr">
        <is>
          <t>☑</t>
        </is>
      </c>
      <c r="AV100" s="78" t="inlineStr">
        <is>
          <t>☑</t>
        </is>
      </c>
      <c r="AW100" s="79" t="inlineStr">
        <is>
          <t>☑</t>
        </is>
      </c>
      <c r="AX100" s="79" t="inlineStr">
        <is>
          <t>☑</t>
        </is>
      </c>
      <c r="AY100" s="79" t="inlineStr">
        <is>
          <t>☑</t>
        </is>
      </c>
      <c r="AZ100" s="79" t="inlineStr">
        <is>
          <t>☑</t>
        </is>
      </c>
      <c r="BA100" s="79" t="inlineStr">
        <is>
          <t>☑</t>
        </is>
      </c>
      <c r="BB100" s="79" t="inlineStr">
        <is>
          <t>☑</t>
        </is>
      </c>
      <c r="BC100" s="79" t="inlineStr">
        <is>
          <t>☑</t>
        </is>
      </c>
      <c r="BD100" s="79" t="inlineStr">
        <is>
          <t>☑</t>
        </is>
      </c>
      <c r="BE100" s="79" t="inlineStr">
        <is>
          <t>☑</t>
        </is>
      </c>
      <c r="BF100" s="78" t="inlineStr">
        <is>
          <t>—</t>
        </is>
      </c>
      <c r="BG100" s="79" t="inlineStr">
        <is>
          <t>☑</t>
        </is>
      </c>
      <c r="BH100" s="78" t="inlineStr">
        <is>
          <t>—</t>
        </is>
      </c>
      <c r="BI100" s="78" t="inlineStr">
        <is>
          <t>☑</t>
        </is>
      </c>
      <c r="BJ100" s="79" t="inlineStr">
        <is>
          <t>☑</t>
        </is>
      </c>
      <c r="BK100" s="78" t="inlineStr">
        <is>
          <t>☑</t>
        </is>
      </c>
      <c r="BL100" s="79" t="inlineStr">
        <is>
          <t>☑</t>
        </is>
      </c>
      <c r="BM100" s="79" t="inlineStr">
        <is>
          <t>☑</t>
        </is>
      </c>
      <c r="BN100" s="79" t="inlineStr">
        <is>
          <t>☑</t>
        </is>
      </c>
      <c r="BO100" s="79" t="inlineStr">
        <is>
          <t>☑</t>
        </is>
      </c>
    </row>
    <row r="101">
      <c r="A101" s="79" t="n">
        <v>94</v>
      </c>
      <c r="B101" s="79" t="inlineStr">
        <is>
          <t>325106410094</t>
        </is>
      </c>
      <c r="C101" s="79" t="inlineStr">
        <is>
          <t>NAHOM SEMAW</t>
        </is>
      </c>
      <c r="D101" s="79" t="inlineStr">
        <is>
          <t>☑</t>
        </is>
      </c>
      <c r="E101" s="79" t="inlineStr">
        <is>
          <t>☑</t>
        </is>
      </c>
      <c r="F101" s="79" t="inlineStr">
        <is>
          <t>☑</t>
        </is>
      </c>
      <c r="G101" s="79" t="inlineStr">
        <is>
          <t>☑</t>
        </is>
      </c>
      <c r="H101" s="79" t="inlineStr">
        <is>
          <t>☑</t>
        </is>
      </c>
      <c r="I101" s="79" t="inlineStr">
        <is>
          <t>☑</t>
        </is>
      </c>
      <c r="J101" s="79" t="inlineStr">
        <is>
          <t>☑</t>
        </is>
      </c>
      <c r="K101" s="79" t="inlineStr">
        <is>
          <t>☑</t>
        </is>
      </c>
      <c r="L101" s="79" t="inlineStr">
        <is>
          <t>☑</t>
        </is>
      </c>
      <c r="M101" s="78" t="inlineStr">
        <is>
          <t>—</t>
        </is>
      </c>
      <c r="N101" s="79" t="inlineStr">
        <is>
          <t>☑</t>
        </is>
      </c>
      <c r="O101" s="78" t="inlineStr">
        <is>
          <t>—</t>
        </is>
      </c>
      <c r="P101" s="78" t="inlineStr">
        <is>
          <t>☑</t>
        </is>
      </c>
      <c r="Q101" s="79" t="inlineStr">
        <is>
          <t>☑</t>
        </is>
      </c>
      <c r="R101" s="78" t="inlineStr">
        <is>
          <t>☑</t>
        </is>
      </c>
      <c r="S101" s="79" t="inlineStr">
        <is>
          <t>☑</t>
        </is>
      </c>
      <c r="T101" s="79" t="inlineStr">
        <is>
          <t>☑</t>
        </is>
      </c>
      <c r="U101" s="79" t="inlineStr">
        <is>
          <t>☑</t>
        </is>
      </c>
      <c r="V101" s="79" t="inlineStr">
        <is>
          <t>☑</t>
        </is>
      </c>
      <c r="W101" s="79" t="inlineStr">
        <is>
          <t>☑</t>
        </is>
      </c>
      <c r="X101" s="79" t="inlineStr">
        <is>
          <t>☑</t>
        </is>
      </c>
      <c r="Y101" s="79" t="inlineStr">
        <is>
          <t>☑</t>
        </is>
      </c>
      <c r="Z101" s="79" t="inlineStr">
        <is>
          <t>☑</t>
        </is>
      </c>
      <c r="AA101" s="79" t="inlineStr">
        <is>
          <t>☑</t>
        </is>
      </c>
      <c r="AB101" s="78" t="inlineStr">
        <is>
          <t>—</t>
        </is>
      </c>
      <c r="AC101" s="79" t="inlineStr">
        <is>
          <t>☑</t>
        </is>
      </c>
      <c r="AD101" s="78" t="inlineStr">
        <is>
          <t>—</t>
        </is>
      </c>
      <c r="AE101" s="78" t="inlineStr">
        <is>
          <t>☑</t>
        </is>
      </c>
      <c r="AF101" s="79" t="inlineStr">
        <is>
          <t>☑</t>
        </is>
      </c>
      <c r="AG101" s="78" t="inlineStr">
        <is>
          <t>☑</t>
        </is>
      </c>
      <c r="AH101" s="79" t="inlineStr">
        <is>
          <t>☑</t>
        </is>
      </c>
      <c r="AI101" s="79" t="inlineStr">
        <is>
          <t>☑</t>
        </is>
      </c>
      <c r="AJ101" s="79" t="inlineStr">
        <is>
          <t>☑</t>
        </is>
      </c>
      <c r="AK101" s="79" t="inlineStr">
        <is>
          <t>☑</t>
        </is>
      </c>
      <c r="AL101" s="79" t="inlineStr">
        <is>
          <t>☑</t>
        </is>
      </c>
      <c r="AM101" s="79" t="inlineStr">
        <is>
          <t>☑</t>
        </is>
      </c>
      <c r="AN101" s="79" t="inlineStr">
        <is>
          <t>☑</t>
        </is>
      </c>
      <c r="AO101" s="79" t="inlineStr">
        <is>
          <t>☑</t>
        </is>
      </c>
      <c r="AP101" s="79" t="inlineStr">
        <is>
          <t>☑</t>
        </is>
      </c>
      <c r="AQ101" s="78" t="inlineStr">
        <is>
          <t>—</t>
        </is>
      </c>
      <c r="AR101" s="79" t="inlineStr">
        <is>
          <t>☑</t>
        </is>
      </c>
      <c r="AS101" s="78" t="inlineStr">
        <is>
          <t>—</t>
        </is>
      </c>
      <c r="AT101" s="78" t="inlineStr">
        <is>
          <t>☑</t>
        </is>
      </c>
      <c r="AU101" s="79" t="inlineStr">
        <is>
          <t>☑</t>
        </is>
      </c>
      <c r="AV101" s="78" t="inlineStr">
        <is>
          <t>☑</t>
        </is>
      </c>
      <c r="AW101" s="79" t="inlineStr">
        <is>
          <t>☑</t>
        </is>
      </c>
      <c r="AX101" s="79" t="inlineStr">
        <is>
          <t>☑</t>
        </is>
      </c>
      <c r="AY101" s="79" t="inlineStr">
        <is>
          <t>☑</t>
        </is>
      </c>
      <c r="AZ101" s="79" t="inlineStr">
        <is>
          <t>☑</t>
        </is>
      </c>
      <c r="BA101" s="79" t="inlineStr">
        <is>
          <t>☑</t>
        </is>
      </c>
      <c r="BB101" s="79" t="inlineStr">
        <is>
          <t>☑</t>
        </is>
      </c>
      <c r="BC101" s="79" t="inlineStr">
        <is>
          <t>☑</t>
        </is>
      </c>
      <c r="BD101" s="79" t="inlineStr">
        <is>
          <t>☑</t>
        </is>
      </c>
      <c r="BE101" s="79" t="inlineStr">
        <is>
          <t>☑</t>
        </is>
      </c>
      <c r="BF101" s="78" t="inlineStr">
        <is>
          <t>—</t>
        </is>
      </c>
      <c r="BG101" s="79" t="inlineStr">
        <is>
          <t>☑</t>
        </is>
      </c>
      <c r="BH101" s="78" t="inlineStr">
        <is>
          <t>—</t>
        </is>
      </c>
      <c r="BI101" s="78" t="inlineStr">
        <is>
          <t>☑</t>
        </is>
      </c>
      <c r="BJ101" s="79" t="inlineStr">
        <is>
          <t>☑</t>
        </is>
      </c>
      <c r="BK101" s="78" t="inlineStr">
        <is>
          <t>☑</t>
        </is>
      </c>
      <c r="BL101" s="79" t="inlineStr">
        <is>
          <t>☑</t>
        </is>
      </c>
      <c r="BM101" s="79" t="inlineStr">
        <is>
          <t>☑</t>
        </is>
      </c>
      <c r="BN101" s="79" t="inlineStr">
        <is>
          <t>☑</t>
        </is>
      </c>
      <c r="BO101" s="79" t="inlineStr">
        <is>
          <t>☑</t>
        </is>
      </c>
    </row>
    <row r="102">
      <c r="A102" s="79" t="n">
        <v>95</v>
      </c>
      <c r="B102" s="79" t="inlineStr">
        <is>
          <t>325106410095</t>
        </is>
      </c>
      <c r="C102" s="79" t="inlineStr">
        <is>
          <t>NGELEPETE NGELEPETE</t>
        </is>
      </c>
      <c r="D102" s="79" t="inlineStr">
        <is>
          <t>☑</t>
        </is>
      </c>
      <c r="E102" s="79" t="inlineStr">
        <is>
          <t>☑</t>
        </is>
      </c>
      <c r="F102" s="79" t="inlineStr">
        <is>
          <t>☑</t>
        </is>
      </c>
      <c r="G102" s="79" t="inlineStr">
        <is>
          <t>☑</t>
        </is>
      </c>
      <c r="H102" s="79" t="inlineStr">
        <is>
          <t>☑</t>
        </is>
      </c>
      <c r="I102" s="79" t="inlineStr">
        <is>
          <t>☑</t>
        </is>
      </c>
      <c r="J102" s="79" t="inlineStr">
        <is>
          <t>☑</t>
        </is>
      </c>
      <c r="K102" s="79" t="inlineStr">
        <is>
          <t>☑</t>
        </is>
      </c>
      <c r="L102" s="79" t="inlineStr">
        <is>
          <t>☑</t>
        </is>
      </c>
      <c r="M102" s="78" t="inlineStr">
        <is>
          <t>—</t>
        </is>
      </c>
      <c r="N102" s="79" t="inlineStr">
        <is>
          <t>☑</t>
        </is>
      </c>
      <c r="O102" s="78" t="inlineStr">
        <is>
          <t>—</t>
        </is>
      </c>
      <c r="P102" s="78" t="inlineStr">
        <is>
          <t>☑</t>
        </is>
      </c>
      <c r="Q102" s="79" t="inlineStr">
        <is>
          <t>☑</t>
        </is>
      </c>
      <c r="R102" s="78" t="inlineStr">
        <is>
          <t>☑</t>
        </is>
      </c>
      <c r="S102" s="79" t="inlineStr">
        <is>
          <t>☑</t>
        </is>
      </c>
      <c r="T102" s="79" t="inlineStr">
        <is>
          <t>☑</t>
        </is>
      </c>
      <c r="U102" s="79" t="inlineStr">
        <is>
          <t>☑</t>
        </is>
      </c>
      <c r="V102" s="79" t="inlineStr">
        <is>
          <t>☑</t>
        </is>
      </c>
      <c r="W102" s="79" t="inlineStr">
        <is>
          <t>☑</t>
        </is>
      </c>
      <c r="X102" s="79" t="inlineStr">
        <is>
          <t>☑</t>
        </is>
      </c>
      <c r="Y102" s="79" t="inlineStr">
        <is>
          <t>☑</t>
        </is>
      </c>
      <c r="Z102" s="79" t="inlineStr">
        <is>
          <t>☑</t>
        </is>
      </c>
      <c r="AA102" s="79" t="inlineStr">
        <is>
          <t>☑</t>
        </is>
      </c>
      <c r="AB102" s="78" t="inlineStr">
        <is>
          <t>—</t>
        </is>
      </c>
      <c r="AC102" s="79" t="inlineStr">
        <is>
          <t>☑</t>
        </is>
      </c>
      <c r="AD102" s="78" t="inlineStr">
        <is>
          <t>—</t>
        </is>
      </c>
      <c r="AE102" s="78" t="inlineStr">
        <is>
          <t>☑</t>
        </is>
      </c>
      <c r="AF102" s="79" t="inlineStr">
        <is>
          <t>☑</t>
        </is>
      </c>
      <c r="AG102" s="78" t="inlineStr">
        <is>
          <t>☑</t>
        </is>
      </c>
      <c r="AH102" s="79" t="inlineStr">
        <is>
          <t>☑</t>
        </is>
      </c>
      <c r="AI102" s="79" t="inlineStr">
        <is>
          <t>☑</t>
        </is>
      </c>
      <c r="AJ102" s="79" t="inlineStr">
        <is>
          <t>☑</t>
        </is>
      </c>
      <c r="AK102" s="79" t="inlineStr">
        <is>
          <t>☑</t>
        </is>
      </c>
      <c r="AL102" s="79" t="inlineStr">
        <is>
          <t>☑</t>
        </is>
      </c>
      <c r="AM102" s="79" t="inlineStr">
        <is>
          <t>☑</t>
        </is>
      </c>
      <c r="AN102" s="79" t="inlineStr">
        <is>
          <t>☑</t>
        </is>
      </c>
      <c r="AO102" s="79" t="inlineStr">
        <is>
          <t>☑</t>
        </is>
      </c>
      <c r="AP102" s="79" t="inlineStr">
        <is>
          <t>☑</t>
        </is>
      </c>
      <c r="AQ102" s="78" t="inlineStr">
        <is>
          <t>—</t>
        </is>
      </c>
      <c r="AR102" s="79" t="inlineStr">
        <is>
          <t>☑</t>
        </is>
      </c>
      <c r="AS102" s="78" t="inlineStr">
        <is>
          <t>—</t>
        </is>
      </c>
      <c r="AT102" s="78" t="inlineStr">
        <is>
          <t>☑</t>
        </is>
      </c>
      <c r="AU102" s="79" t="inlineStr">
        <is>
          <t>☑</t>
        </is>
      </c>
      <c r="AV102" s="78" t="inlineStr">
        <is>
          <t>☑</t>
        </is>
      </c>
      <c r="AW102" s="79" t="inlineStr">
        <is>
          <t>☑</t>
        </is>
      </c>
      <c r="AX102" s="79" t="inlineStr">
        <is>
          <t>☑</t>
        </is>
      </c>
      <c r="AY102" s="79" t="inlineStr">
        <is>
          <t>☑</t>
        </is>
      </c>
      <c r="AZ102" s="79" t="inlineStr">
        <is>
          <t>☑</t>
        </is>
      </c>
      <c r="BA102" s="79" t="inlineStr">
        <is>
          <t>☑</t>
        </is>
      </c>
      <c r="BB102" s="79" t="inlineStr">
        <is>
          <t>☑</t>
        </is>
      </c>
      <c r="BC102" s="79" t="inlineStr">
        <is>
          <t>☑</t>
        </is>
      </c>
      <c r="BD102" s="79" t="inlineStr">
        <is>
          <t>☑</t>
        </is>
      </c>
      <c r="BE102" s="79" t="inlineStr">
        <is>
          <t>☑</t>
        </is>
      </c>
      <c r="BF102" s="78" t="inlineStr">
        <is>
          <t>—</t>
        </is>
      </c>
      <c r="BG102" s="79" t="inlineStr">
        <is>
          <t>☑</t>
        </is>
      </c>
      <c r="BH102" s="78" t="inlineStr">
        <is>
          <t>—</t>
        </is>
      </c>
      <c r="BI102" s="78" t="inlineStr">
        <is>
          <t>☑</t>
        </is>
      </c>
      <c r="BJ102" s="79" t="inlineStr">
        <is>
          <t>☑</t>
        </is>
      </c>
      <c r="BK102" s="78" t="inlineStr">
        <is>
          <t>☑</t>
        </is>
      </c>
      <c r="BL102" s="79" t="inlineStr">
        <is>
          <t>☑</t>
        </is>
      </c>
      <c r="BM102" s="79" t="inlineStr">
        <is>
          <t>☑</t>
        </is>
      </c>
      <c r="BN102" s="79" t="inlineStr">
        <is>
          <t>☑</t>
        </is>
      </c>
      <c r="BO102" s="79" t="inlineStr">
        <is>
          <t>☑</t>
        </is>
      </c>
    </row>
    <row r="103">
      <c r="A103" s="79" t="n">
        <v>96</v>
      </c>
      <c r="B103" s="79" t="inlineStr">
        <is>
          <t>325106410096</t>
        </is>
      </c>
      <c r="C103" s="79" t="inlineStr">
        <is>
          <t>NILMONI CHOWDHURY</t>
        </is>
      </c>
      <c r="D103" s="79" t="inlineStr">
        <is>
          <t>☑</t>
        </is>
      </c>
      <c r="E103" s="79" t="inlineStr">
        <is>
          <t>☑</t>
        </is>
      </c>
      <c r="F103" s="79" t="inlineStr">
        <is>
          <t>☑</t>
        </is>
      </c>
      <c r="G103" s="79" t="inlineStr">
        <is>
          <t>☑</t>
        </is>
      </c>
      <c r="H103" s="79" t="inlineStr">
        <is>
          <t>☑</t>
        </is>
      </c>
      <c r="I103" s="79" t="inlineStr">
        <is>
          <t>☑</t>
        </is>
      </c>
      <c r="J103" s="79" t="inlineStr">
        <is>
          <t>☑</t>
        </is>
      </c>
      <c r="K103" s="79" t="inlineStr">
        <is>
          <t>☑</t>
        </is>
      </c>
      <c r="L103" s="79" t="inlineStr">
        <is>
          <t>☑</t>
        </is>
      </c>
      <c r="M103" s="78" t="inlineStr">
        <is>
          <t>—</t>
        </is>
      </c>
      <c r="N103" s="79" t="inlineStr">
        <is>
          <t>☑</t>
        </is>
      </c>
      <c r="O103" s="78" t="inlineStr">
        <is>
          <t>—</t>
        </is>
      </c>
      <c r="P103" s="78" t="inlineStr">
        <is>
          <t>☑</t>
        </is>
      </c>
      <c r="Q103" s="79" t="inlineStr">
        <is>
          <t>☑</t>
        </is>
      </c>
      <c r="R103" s="78" t="inlineStr">
        <is>
          <t>☑</t>
        </is>
      </c>
      <c r="S103" s="79" t="inlineStr">
        <is>
          <t>☑</t>
        </is>
      </c>
      <c r="T103" s="79" t="inlineStr">
        <is>
          <t>☑</t>
        </is>
      </c>
      <c r="U103" s="79" t="inlineStr">
        <is>
          <t>☑</t>
        </is>
      </c>
      <c r="V103" s="79" t="inlineStr">
        <is>
          <t>☑</t>
        </is>
      </c>
      <c r="W103" s="79" t="inlineStr">
        <is>
          <t>☑</t>
        </is>
      </c>
      <c r="X103" s="79" t="inlineStr">
        <is>
          <t>☑</t>
        </is>
      </c>
      <c r="Y103" s="79" t="inlineStr">
        <is>
          <t>☑</t>
        </is>
      </c>
      <c r="Z103" s="79" t="inlineStr">
        <is>
          <t>☑</t>
        </is>
      </c>
      <c r="AA103" s="79" t="inlineStr">
        <is>
          <t>☑</t>
        </is>
      </c>
      <c r="AB103" s="78" t="inlineStr">
        <is>
          <t>—</t>
        </is>
      </c>
      <c r="AC103" s="79" t="inlineStr">
        <is>
          <t>☑</t>
        </is>
      </c>
      <c r="AD103" s="78" t="inlineStr">
        <is>
          <t>—</t>
        </is>
      </c>
      <c r="AE103" s="78" t="inlineStr">
        <is>
          <t>☑</t>
        </is>
      </c>
      <c r="AF103" s="79" t="inlineStr">
        <is>
          <t>☑</t>
        </is>
      </c>
      <c r="AG103" s="78" t="inlineStr">
        <is>
          <t>☑</t>
        </is>
      </c>
      <c r="AH103" s="79" t="inlineStr">
        <is>
          <t>☑</t>
        </is>
      </c>
      <c r="AI103" s="79" t="inlineStr">
        <is>
          <t>☑</t>
        </is>
      </c>
      <c r="AJ103" s="79" t="inlineStr">
        <is>
          <t>☑</t>
        </is>
      </c>
      <c r="AK103" s="79" t="inlineStr">
        <is>
          <t>☑</t>
        </is>
      </c>
      <c r="AL103" s="79" t="inlineStr">
        <is>
          <t>☑</t>
        </is>
      </c>
      <c r="AM103" s="79" t="inlineStr">
        <is>
          <t>☑</t>
        </is>
      </c>
      <c r="AN103" s="79" t="inlineStr">
        <is>
          <t>☑</t>
        </is>
      </c>
      <c r="AO103" s="79" t="inlineStr">
        <is>
          <t>☑</t>
        </is>
      </c>
      <c r="AP103" s="79" t="inlineStr">
        <is>
          <t>☑</t>
        </is>
      </c>
      <c r="AQ103" s="78" t="inlineStr">
        <is>
          <t>—</t>
        </is>
      </c>
      <c r="AR103" s="79" t="inlineStr">
        <is>
          <t>☑</t>
        </is>
      </c>
      <c r="AS103" s="78" t="inlineStr">
        <is>
          <t>—</t>
        </is>
      </c>
      <c r="AT103" s="78" t="inlineStr">
        <is>
          <t>☑</t>
        </is>
      </c>
      <c r="AU103" s="79" t="inlineStr">
        <is>
          <t>☑</t>
        </is>
      </c>
      <c r="AV103" s="78" t="inlineStr">
        <is>
          <t>☑</t>
        </is>
      </c>
      <c r="AW103" s="79" t="inlineStr">
        <is>
          <t>☑</t>
        </is>
      </c>
      <c r="AX103" s="79" t="inlineStr">
        <is>
          <t>☑</t>
        </is>
      </c>
      <c r="AY103" s="79" t="inlineStr">
        <is>
          <t>☑</t>
        </is>
      </c>
      <c r="AZ103" s="79" t="inlineStr">
        <is>
          <t>☑</t>
        </is>
      </c>
      <c r="BA103" s="79" t="inlineStr">
        <is>
          <t>☑</t>
        </is>
      </c>
      <c r="BB103" s="79" t="inlineStr">
        <is>
          <t>☑</t>
        </is>
      </c>
      <c r="BC103" s="79" t="inlineStr">
        <is>
          <t>☑</t>
        </is>
      </c>
      <c r="BD103" s="79" t="inlineStr">
        <is>
          <t>☑</t>
        </is>
      </c>
      <c r="BE103" s="79" t="inlineStr">
        <is>
          <t>☑</t>
        </is>
      </c>
      <c r="BF103" s="78" t="inlineStr">
        <is>
          <t>—</t>
        </is>
      </c>
      <c r="BG103" s="79" t="inlineStr">
        <is>
          <t>☑</t>
        </is>
      </c>
      <c r="BH103" s="78" t="inlineStr">
        <is>
          <t>—</t>
        </is>
      </c>
      <c r="BI103" s="78" t="inlineStr">
        <is>
          <t>☑</t>
        </is>
      </c>
      <c r="BJ103" s="79" t="inlineStr">
        <is>
          <t>☑</t>
        </is>
      </c>
      <c r="BK103" s="78" t="inlineStr">
        <is>
          <t>☑</t>
        </is>
      </c>
      <c r="BL103" s="79" t="inlineStr">
        <is>
          <t>☑</t>
        </is>
      </c>
      <c r="BM103" s="79" t="inlineStr">
        <is>
          <t>☑</t>
        </is>
      </c>
      <c r="BN103" s="79" t="inlineStr">
        <is>
          <t>☑</t>
        </is>
      </c>
      <c r="BO103" s="79" t="inlineStr">
        <is>
          <t>☑</t>
        </is>
      </c>
    </row>
    <row r="104">
      <c r="A104" s="79" t="n">
        <v>97</v>
      </c>
      <c r="B104" s="79" t="inlineStr">
        <is>
          <t>325106410097</t>
        </is>
      </c>
      <c r="C104" s="79" t="inlineStr">
        <is>
          <t>NOB PANHATHIROT</t>
        </is>
      </c>
      <c r="D104" s="79" t="inlineStr">
        <is>
          <t>☑</t>
        </is>
      </c>
      <c r="E104" s="79" t="inlineStr">
        <is>
          <t>☑</t>
        </is>
      </c>
      <c r="F104" s="79" t="inlineStr">
        <is>
          <t>☑</t>
        </is>
      </c>
      <c r="G104" s="79" t="inlineStr">
        <is>
          <t>☑</t>
        </is>
      </c>
      <c r="H104" s="79" t="inlineStr">
        <is>
          <t>☑</t>
        </is>
      </c>
      <c r="I104" s="79" t="inlineStr">
        <is>
          <t>☑</t>
        </is>
      </c>
      <c r="J104" s="79" t="inlineStr">
        <is>
          <t>☑</t>
        </is>
      </c>
      <c r="K104" s="79" t="inlineStr">
        <is>
          <t>☑</t>
        </is>
      </c>
      <c r="L104" s="79" t="inlineStr">
        <is>
          <t>☑</t>
        </is>
      </c>
      <c r="M104" s="78" t="inlineStr">
        <is>
          <t>—</t>
        </is>
      </c>
      <c r="N104" s="79" t="inlineStr">
        <is>
          <t>☑</t>
        </is>
      </c>
      <c r="O104" s="78" t="inlineStr">
        <is>
          <t>—</t>
        </is>
      </c>
      <c r="P104" s="78" t="inlineStr">
        <is>
          <t>☑</t>
        </is>
      </c>
      <c r="Q104" s="79" t="inlineStr">
        <is>
          <t>☑</t>
        </is>
      </c>
      <c r="R104" s="78" t="inlineStr">
        <is>
          <t>☑</t>
        </is>
      </c>
      <c r="S104" s="79" t="inlineStr">
        <is>
          <t>☑</t>
        </is>
      </c>
      <c r="T104" s="79" t="inlineStr">
        <is>
          <t>☑</t>
        </is>
      </c>
      <c r="U104" s="79" t="inlineStr">
        <is>
          <t>☑</t>
        </is>
      </c>
      <c r="V104" s="79" t="inlineStr">
        <is>
          <t>☑</t>
        </is>
      </c>
      <c r="W104" s="79" t="inlineStr">
        <is>
          <t>☑</t>
        </is>
      </c>
      <c r="X104" s="79" t="inlineStr">
        <is>
          <t>☑</t>
        </is>
      </c>
      <c r="Y104" s="79" t="inlineStr">
        <is>
          <t>☑</t>
        </is>
      </c>
      <c r="Z104" s="79" t="inlineStr">
        <is>
          <t>☑</t>
        </is>
      </c>
      <c r="AA104" s="79" t="inlineStr">
        <is>
          <t>☑</t>
        </is>
      </c>
      <c r="AB104" s="78" t="inlineStr">
        <is>
          <t>—</t>
        </is>
      </c>
      <c r="AC104" s="79" t="inlineStr">
        <is>
          <t>☑</t>
        </is>
      </c>
      <c r="AD104" s="78" t="inlineStr">
        <is>
          <t>—</t>
        </is>
      </c>
      <c r="AE104" s="78" t="inlineStr">
        <is>
          <t>☑</t>
        </is>
      </c>
      <c r="AF104" s="79" t="inlineStr">
        <is>
          <t>☑</t>
        </is>
      </c>
      <c r="AG104" s="78" t="inlineStr">
        <is>
          <t>☑</t>
        </is>
      </c>
      <c r="AH104" s="79" t="inlineStr">
        <is>
          <t>☑</t>
        </is>
      </c>
      <c r="AI104" s="79" t="inlineStr">
        <is>
          <t>☑</t>
        </is>
      </c>
      <c r="AJ104" s="79" t="inlineStr">
        <is>
          <t>☑</t>
        </is>
      </c>
      <c r="AK104" s="79" t="inlineStr">
        <is>
          <t>☑</t>
        </is>
      </c>
      <c r="AL104" s="79" t="inlineStr">
        <is>
          <t>☑</t>
        </is>
      </c>
      <c r="AM104" s="79" t="inlineStr">
        <is>
          <t>☑</t>
        </is>
      </c>
      <c r="AN104" s="79" t="inlineStr">
        <is>
          <t>☑</t>
        </is>
      </c>
      <c r="AO104" s="79" t="inlineStr">
        <is>
          <t>☑</t>
        </is>
      </c>
      <c r="AP104" s="79" t="inlineStr">
        <is>
          <t>☑</t>
        </is>
      </c>
      <c r="AQ104" s="78" t="inlineStr">
        <is>
          <t>—</t>
        </is>
      </c>
      <c r="AR104" s="79" t="inlineStr">
        <is>
          <t>☑</t>
        </is>
      </c>
      <c r="AS104" s="78" t="inlineStr">
        <is>
          <t>—</t>
        </is>
      </c>
      <c r="AT104" s="78" t="inlineStr">
        <is>
          <t>☑</t>
        </is>
      </c>
      <c r="AU104" s="79" t="inlineStr">
        <is>
          <t>☑</t>
        </is>
      </c>
      <c r="AV104" s="78" t="inlineStr">
        <is>
          <t>☑</t>
        </is>
      </c>
      <c r="AW104" s="79" t="inlineStr">
        <is>
          <t>☑</t>
        </is>
      </c>
      <c r="AX104" s="79" t="inlineStr">
        <is>
          <t>☑</t>
        </is>
      </c>
      <c r="AY104" s="79" t="inlineStr">
        <is>
          <t>☑</t>
        </is>
      </c>
      <c r="AZ104" s="79" t="inlineStr">
        <is>
          <t>☑</t>
        </is>
      </c>
      <c r="BA104" s="79" t="inlineStr">
        <is>
          <t>☑</t>
        </is>
      </c>
      <c r="BB104" s="79" t="inlineStr">
        <is>
          <t>☑</t>
        </is>
      </c>
      <c r="BC104" s="79" t="inlineStr">
        <is>
          <t>☑</t>
        </is>
      </c>
      <c r="BD104" s="79" t="inlineStr">
        <is>
          <t>☑</t>
        </is>
      </c>
      <c r="BE104" s="79" t="inlineStr">
        <is>
          <t>☑</t>
        </is>
      </c>
      <c r="BF104" s="78" t="inlineStr">
        <is>
          <t>—</t>
        </is>
      </c>
      <c r="BG104" s="79" t="inlineStr">
        <is>
          <t>☑</t>
        </is>
      </c>
      <c r="BH104" s="78" t="inlineStr">
        <is>
          <t>—</t>
        </is>
      </c>
      <c r="BI104" s="78" t="inlineStr">
        <is>
          <t>☑</t>
        </is>
      </c>
      <c r="BJ104" s="79" t="inlineStr">
        <is>
          <t>☑</t>
        </is>
      </c>
      <c r="BK104" s="78" t="inlineStr">
        <is>
          <t>☑</t>
        </is>
      </c>
      <c r="BL104" s="79" t="inlineStr">
        <is>
          <t>☑</t>
        </is>
      </c>
      <c r="BM104" s="79" t="inlineStr">
        <is>
          <t>☑</t>
        </is>
      </c>
      <c r="BN104" s="79" t="inlineStr">
        <is>
          <t>☑</t>
        </is>
      </c>
      <c r="BO104" s="79" t="inlineStr">
        <is>
          <t>☑</t>
        </is>
      </c>
    </row>
    <row r="105">
      <c r="A105" s="79" t="n">
        <v>98</v>
      </c>
      <c r="B105" s="79" t="inlineStr">
        <is>
          <t>325106410098</t>
        </is>
      </c>
      <c r="C105" s="79" t="inlineStr">
        <is>
          <t>OMAR TAMOU EL HABIB ANFANE</t>
        </is>
      </c>
      <c r="D105" s="79" t="inlineStr">
        <is>
          <t>☑</t>
        </is>
      </c>
      <c r="E105" s="79" t="inlineStr">
        <is>
          <t>☑</t>
        </is>
      </c>
      <c r="F105" s="79" t="inlineStr">
        <is>
          <t>☑</t>
        </is>
      </c>
      <c r="G105" s="79" t="inlineStr">
        <is>
          <t>☑</t>
        </is>
      </c>
      <c r="H105" s="79" t="inlineStr">
        <is>
          <t>☑</t>
        </is>
      </c>
      <c r="I105" s="79" t="inlineStr">
        <is>
          <t>☑</t>
        </is>
      </c>
      <c r="J105" s="79" t="inlineStr">
        <is>
          <t>☑</t>
        </is>
      </c>
      <c r="K105" s="79" t="inlineStr">
        <is>
          <t>☑</t>
        </is>
      </c>
      <c r="L105" s="79" t="inlineStr">
        <is>
          <t>☑</t>
        </is>
      </c>
      <c r="M105" s="78" t="inlineStr">
        <is>
          <t>—</t>
        </is>
      </c>
      <c r="N105" s="79" t="inlineStr">
        <is>
          <t>☑</t>
        </is>
      </c>
      <c r="O105" s="78" t="inlineStr">
        <is>
          <t>—</t>
        </is>
      </c>
      <c r="P105" s="78" t="inlineStr">
        <is>
          <t>☑</t>
        </is>
      </c>
      <c r="Q105" s="79" t="inlineStr">
        <is>
          <t>☑</t>
        </is>
      </c>
      <c r="R105" s="78" t="inlineStr">
        <is>
          <t>☑</t>
        </is>
      </c>
      <c r="S105" s="79" t="inlineStr">
        <is>
          <t>☑</t>
        </is>
      </c>
      <c r="T105" s="79" t="inlineStr">
        <is>
          <t>☑</t>
        </is>
      </c>
      <c r="U105" s="79" t="inlineStr">
        <is>
          <t>☑</t>
        </is>
      </c>
      <c r="V105" s="79" t="inlineStr">
        <is>
          <t>☑</t>
        </is>
      </c>
      <c r="W105" s="79" t="inlineStr">
        <is>
          <t>☑</t>
        </is>
      </c>
      <c r="X105" s="79" t="inlineStr">
        <is>
          <t>☑</t>
        </is>
      </c>
      <c r="Y105" s="79" t="inlineStr">
        <is>
          <t>☑</t>
        </is>
      </c>
      <c r="Z105" s="79" t="inlineStr">
        <is>
          <t>☑</t>
        </is>
      </c>
      <c r="AA105" s="79" t="inlineStr">
        <is>
          <t>☑</t>
        </is>
      </c>
      <c r="AB105" s="78" t="inlineStr">
        <is>
          <t>—</t>
        </is>
      </c>
      <c r="AC105" s="79" t="inlineStr">
        <is>
          <t>☑</t>
        </is>
      </c>
      <c r="AD105" s="78" t="inlineStr">
        <is>
          <t>—</t>
        </is>
      </c>
      <c r="AE105" s="78" t="inlineStr">
        <is>
          <t>☑</t>
        </is>
      </c>
      <c r="AF105" s="79" t="inlineStr">
        <is>
          <t>☑</t>
        </is>
      </c>
      <c r="AG105" s="78" t="inlineStr">
        <is>
          <t>☑</t>
        </is>
      </c>
      <c r="AH105" s="79" t="inlineStr">
        <is>
          <t>☑</t>
        </is>
      </c>
      <c r="AI105" s="79" t="inlineStr">
        <is>
          <t>☑</t>
        </is>
      </c>
      <c r="AJ105" s="79" t="inlineStr">
        <is>
          <t>☑</t>
        </is>
      </c>
      <c r="AK105" s="79" t="inlineStr">
        <is>
          <t>☑</t>
        </is>
      </c>
      <c r="AL105" s="79" t="inlineStr">
        <is>
          <t>☑</t>
        </is>
      </c>
      <c r="AM105" s="79" t="inlineStr">
        <is>
          <t>☑</t>
        </is>
      </c>
      <c r="AN105" s="79" t="inlineStr">
        <is>
          <t>☑</t>
        </is>
      </c>
      <c r="AO105" s="79" t="inlineStr">
        <is>
          <t>☑</t>
        </is>
      </c>
      <c r="AP105" s="79" t="inlineStr">
        <is>
          <t>☑</t>
        </is>
      </c>
      <c r="AQ105" s="78" t="inlineStr">
        <is>
          <t>—</t>
        </is>
      </c>
      <c r="AR105" s="79" t="inlineStr">
        <is>
          <t>☑</t>
        </is>
      </c>
      <c r="AS105" s="78" t="inlineStr">
        <is>
          <t>—</t>
        </is>
      </c>
      <c r="AT105" s="78" t="inlineStr">
        <is>
          <t>☑</t>
        </is>
      </c>
      <c r="AU105" s="79" t="inlineStr">
        <is>
          <t>☑</t>
        </is>
      </c>
      <c r="AV105" s="78" t="inlineStr">
        <is>
          <t>☑</t>
        </is>
      </c>
      <c r="AW105" s="79" t="inlineStr">
        <is>
          <t>☑</t>
        </is>
      </c>
      <c r="AX105" s="79" t="inlineStr">
        <is>
          <t>☑</t>
        </is>
      </c>
      <c r="AY105" s="79" t="inlineStr">
        <is>
          <t>☑</t>
        </is>
      </c>
      <c r="AZ105" s="79" t="inlineStr">
        <is>
          <t>☑</t>
        </is>
      </c>
      <c r="BA105" s="79" t="inlineStr">
        <is>
          <t>☑</t>
        </is>
      </c>
      <c r="BB105" s="79" t="inlineStr">
        <is>
          <t>☑</t>
        </is>
      </c>
      <c r="BC105" s="79" t="inlineStr">
        <is>
          <t>☑</t>
        </is>
      </c>
      <c r="BD105" s="79" t="inlineStr">
        <is>
          <t>☑</t>
        </is>
      </c>
      <c r="BE105" s="79" t="inlineStr">
        <is>
          <t>☑</t>
        </is>
      </c>
      <c r="BF105" s="78" t="inlineStr">
        <is>
          <t>—</t>
        </is>
      </c>
      <c r="BG105" s="79" t="inlineStr">
        <is>
          <t>☑</t>
        </is>
      </c>
      <c r="BH105" s="78" t="inlineStr">
        <is>
          <t>—</t>
        </is>
      </c>
      <c r="BI105" s="78" t="inlineStr">
        <is>
          <t>☑</t>
        </is>
      </c>
      <c r="BJ105" s="79" t="inlineStr">
        <is>
          <t>☑</t>
        </is>
      </c>
      <c r="BK105" s="78" t="inlineStr">
        <is>
          <t>☑</t>
        </is>
      </c>
      <c r="BL105" s="79" t="inlineStr">
        <is>
          <t>☑</t>
        </is>
      </c>
      <c r="BM105" s="79" t="inlineStr">
        <is>
          <t>☑</t>
        </is>
      </c>
      <c r="BN105" s="79" t="inlineStr">
        <is>
          <t>☑</t>
        </is>
      </c>
      <c r="BO105" s="79" t="inlineStr">
        <is>
          <t>☑</t>
        </is>
      </c>
    </row>
    <row r="106">
      <c r="A106" s="79" t="n">
        <v>99</v>
      </c>
      <c r="B106" s="79" t="inlineStr">
        <is>
          <t>325106410099</t>
        </is>
      </c>
      <c r="C106" s="79" t="inlineStr">
        <is>
          <t>OSCAR MANSIAMINA JUNIOR</t>
        </is>
      </c>
      <c r="D106" s="79" t="inlineStr">
        <is>
          <t>☑</t>
        </is>
      </c>
      <c r="E106" s="79" t="inlineStr">
        <is>
          <t>☑</t>
        </is>
      </c>
      <c r="F106" s="79" t="inlineStr">
        <is>
          <t>☑</t>
        </is>
      </c>
      <c r="G106" s="79" t="inlineStr">
        <is>
          <t>☑</t>
        </is>
      </c>
      <c r="H106" s="79" t="inlineStr">
        <is>
          <t>☑</t>
        </is>
      </c>
      <c r="I106" s="79" t="inlineStr">
        <is>
          <t>☑</t>
        </is>
      </c>
      <c r="J106" s="79" t="inlineStr">
        <is>
          <t>☑</t>
        </is>
      </c>
      <c r="K106" s="79" t="inlineStr">
        <is>
          <t>☑</t>
        </is>
      </c>
      <c r="L106" s="79" t="inlineStr">
        <is>
          <t>☑</t>
        </is>
      </c>
      <c r="M106" s="78" t="inlineStr">
        <is>
          <t>—</t>
        </is>
      </c>
      <c r="N106" s="79" t="inlineStr">
        <is>
          <t>☑</t>
        </is>
      </c>
      <c r="O106" s="78" t="inlineStr">
        <is>
          <t>—</t>
        </is>
      </c>
      <c r="P106" s="78" t="inlineStr">
        <is>
          <t>☑</t>
        </is>
      </c>
      <c r="Q106" s="79" t="inlineStr">
        <is>
          <t>☑</t>
        </is>
      </c>
      <c r="R106" s="78" t="inlineStr">
        <is>
          <t>☑</t>
        </is>
      </c>
      <c r="S106" s="79" t="inlineStr">
        <is>
          <t>☑</t>
        </is>
      </c>
      <c r="T106" s="79" t="inlineStr">
        <is>
          <t>☑</t>
        </is>
      </c>
      <c r="U106" s="79" t="inlineStr">
        <is>
          <t>☑</t>
        </is>
      </c>
      <c r="V106" s="79" t="inlineStr">
        <is>
          <t>☑</t>
        </is>
      </c>
      <c r="W106" s="79" t="inlineStr">
        <is>
          <t>☑</t>
        </is>
      </c>
      <c r="X106" s="79" t="inlineStr">
        <is>
          <t>☑</t>
        </is>
      </c>
      <c r="Y106" s="79" t="inlineStr">
        <is>
          <t>☑</t>
        </is>
      </c>
      <c r="Z106" s="79" t="inlineStr">
        <is>
          <t>☑</t>
        </is>
      </c>
      <c r="AA106" s="79" t="inlineStr">
        <is>
          <t>☑</t>
        </is>
      </c>
      <c r="AB106" s="78" t="inlineStr">
        <is>
          <t>—</t>
        </is>
      </c>
      <c r="AC106" s="79" t="inlineStr">
        <is>
          <t>☑</t>
        </is>
      </c>
      <c r="AD106" s="78" t="inlineStr">
        <is>
          <t>—</t>
        </is>
      </c>
      <c r="AE106" s="78" t="inlineStr">
        <is>
          <t>☑</t>
        </is>
      </c>
      <c r="AF106" s="79" t="inlineStr">
        <is>
          <t>☑</t>
        </is>
      </c>
      <c r="AG106" s="78" t="inlineStr">
        <is>
          <t>☑</t>
        </is>
      </c>
      <c r="AH106" s="79" t="inlineStr">
        <is>
          <t>☑</t>
        </is>
      </c>
      <c r="AI106" s="79" t="inlineStr">
        <is>
          <t>☑</t>
        </is>
      </c>
      <c r="AJ106" s="79" t="inlineStr">
        <is>
          <t>☑</t>
        </is>
      </c>
      <c r="AK106" s="79" t="inlineStr">
        <is>
          <t>☑</t>
        </is>
      </c>
      <c r="AL106" s="79" t="inlineStr">
        <is>
          <t>☑</t>
        </is>
      </c>
      <c r="AM106" s="79" t="inlineStr">
        <is>
          <t>☑</t>
        </is>
      </c>
      <c r="AN106" s="79" t="inlineStr">
        <is>
          <t>☑</t>
        </is>
      </c>
      <c r="AO106" s="79" t="inlineStr">
        <is>
          <t>☑</t>
        </is>
      </c>
      <c r="AP106" s="79" t="inlineStr">
        <is>
          <t>☑</t>
        </is>
      </c>
      <c r="AQ106" s="78" t="inlineStr">
        <is>
          <t>—</t>
        </is>
      </c>
      <c r="AR106" s="79" t="inlineStr">
        <is>
          <t>☑</t>
        </is>
      </c>
      <c r="AS106" s="78" t="inlineStr">
        <is>
          <t>—</t>
        </is>
      </c>
      <c r="AT106" s="78" t="inlineStr">
        <is>
          <t>☑</t>
        </is>
      </c>
      <c r="AU106" s="79" t="inlineStr">
        <is>
          <t>☑</t>
        </is>
      </c>
      <c r="AV106" s="78" t="inlineStr">
        <is>
          <t>☑</t>
        </is>
      </c>
      <c r="AW106" s="79" t="inlineStr">
        <is>
          <t>☑</t>
        </is>
      </c>
      <c r="AX106" s="79" t="inlineStr">
        <is>
          <t>☑</t>
        </is>
      </c>
      <c r="AY106" s="79" t="inlineStr">
        <is>
          <t>☑</t>
        </is>
      </c>
      <c r="AZ106" s="79" t="inlineStr">
        <is>
          <t>☑</t>
        </is>
      </c>
      <c r="BA106" s="79" t="inlineStr">
        <is>
          <t>☑</t>
        </is>
      </c>
      <c r="BB106" s="79" t="inlineStr">
        <is>
          <t>☑</t>
        </is>
      </c>
      <c r="BC106" s="79" t="inlineStr">
        <is>
          <t>☑</t>
        </is>
      </c>
      <c r="BD106" s="79" t="inlineStr">
        <is>
          <t>☑</t>
        </is>
      </c>
      <c r="BE106" s="79" t="inlineStr">
        <is>
          <t>☑</t>
        </is>
      </c>
      <c r="BF106" s="78" t="inlineStr">
        <is>
          <t>—</t>
        </is>
      </c>
      <c r="BG106" s="79" t="inlineStr">
        <is>
          <t>☑</t>
        </is>
      </c>
      <c r="BH106" s="78" t="inlineStr">
        <is>
          <t>—</t>
        </is>
      </c>
      <c r="BI106" s="78" t="inlineStr">
        <is>
          <t>☑</t>
        </is>
      </c>
      <c r="BJ106" s="79" t="inlineStr">
        <is>
          <t>☑</t>
        </is>
      </c>
      <c r="BK106" s="78" t="inlineStr">
        <is>
          <t>☑</t>
        </is>
      </c>
      <c r="BL106" s="79" t="inlineStr">
        <is>
          <t>☑</t>
        </is>
      </c>
      <c r="BM106" s="79" t="inlineStr">
        <is>
          <t>☑</t>
        </is>
      </c>
      <c r="BN106" s="79" t="inlineStr">
        <is>
          <t>☑</t>
        </is>
      </c>
      <c r="BO106" s="79" t="inlineStr">
        <is>
          <t>☑</t>
        </is>
      </c>
    </row>
    <row r="107">
      <c r="A107" s="79" t="n">
        <v>100</v>
      </c>
      <c r="B107" s="79" t="inlineStr">
        <is>
          <t>325106410100</t>
        </is>
      </c>
      <c r="C107" s="79" t="inlineStr">
        <is>
          <t>BERNARD OWUSU OKYERE</t>
        </is>
      </c>
      <c r="D107" s="79" t="inlineStr">
        <is>
          <t>☑</t>
        </is>
      </c>
      <c r="E107" s="79" t="inlineStr">
        <is>
          <t>☑</t>
        </is>
      </c>
      <c r="F107" s="79" t="inlineStr">
        <is>
          <t>☑</t>
        </is>
      </c>
      <c r="G107" s="79" t="inlineStr">
        <is>
          <t>☑</t>
        </is>
      </c>
      <c r="H107" s="79" t="inlineStr">
        <is>
          <t>☑</t>
        </is>
      </c>
      <c r="I107" s="79" t="inlineStr">
        <is>
          <t>☑</t>
        </is>
      </c>
      <c r="J107" s="79" t="inlineStr">
        <is>
          <t>☑</t>
        </is>
      </c>
      <c r="K107" s="79" t="inlineStr">
        <is>
          <t>☑</t>
        </is>
      </c>
      <c r="L107" s="79" t="inlineStr">
        <is>
          <t>☑</t>
        </is>
      </c>
      <c r="M107" s="78" t="inlineStr">
        <is>
          <t>—</t>
        </is>
      </c>
      <c r="N107" s="79" t="inlineStr">
        <is>
          <t>☑</t>
        </is>
      </c>
      <c r="O107" s="78" t="inlineStr">
        <is>
          <t>—</t>
        </is>
      </c>
      <c r="P107" s="78" t="inlineStr">
        <is>
          <t>☑</t>
        </is>
      </c>
      <c r="Q107" s="79" t="inlineStr">
        <is>
          <t>☑</t>
        </is>
      </c>
      <c r="R107" s="78" t="inlineStr">
        <is>
          <t>☑</t>
        </is>
      </c>
      <c r="S107" s="79" t="inlineStr">
        <is>
          <t>☑</t>
        </is>
      </c>
      <c r="T107" s="79" t="inlineStr">
        <is>
          <t>☑</t>
        </is>
      </c>
      <c r="U107" s="79" t="inlineStr">
        <is>
          <t>☑</t>
        </is>
      </c>
      <c r="V107" s="79" t="inlineStr">
        <is>
          <t>☑</t>
        </is>
      </c>
      <c r="W107" s="79" t="inlineStr">
        <is>
          <t>☑</t>
        </is>
      </c>
      <c r="X107" s="79" t="inlineStr">
        <is>
          <t>☑</t>
        </is>
      </c>
      <c r="Y107" s="79" t="inlineStr">
        <is>
          <t>☑</t>
        </is>
      </c>
      <c r="Z107" s="79" t="inlineStr">
        <is>
          <t>☑</t>
        </is>
      </c>
      <c r="AA107" s="79" t="inlineStr">
        <is>
          <t>☑</t>
        </is>
      </c>
      <c r="AB107" s="78" t="inlineStr">
        <is>
          <t>—</t>
        </is>
      </c>
      <c r="AC107" s="79" t="inlineStr">
        <is>
          <t>☑</t>
        </is>
      </c>
      <c r="AD107" s="78" t="inlineStr">
        <is>
          <t>—</t>
        </is>
      </c>
      <c r="AE107" s="78" t="inlineStr">
        <is>
          <t>☑</t>
        </is>
      </c>
      <c r="AF107" s="79" t="inlineStr">
        <is>
          <t>☑</t>
        </is>
      </c>
      <c r="AG107" s="78" t="inlineStr">
        <is>
          <t>☑</t>
        </is>
      </c>
      <c r="AH107" s="79" t="inlineStr">
        <is>
          <t>☑</t>
        </is>
      </c>
      <c r="AI107" s="79" t="inlineStr">
        <is>
          <t>☑</t>
        </is>
      </c>
      <c r="AJ107" s="79" t="inlineStr">
        <is>
          <t>☑</t>
        </is>
      </c>
      <c r="AK107" s="79" t="inlineStr">
        <is>
          <t>☑</t>
        </is>
      </c>
      <c r="AL107" s="79" t="inlineStr">
        <is>
          <t>☑</t>
        </is>
      </c>
      <c r="AM107" s="79" t="inlineStr">
        <is>
          <t>☑</t>
        </is>
      </c>
      <c r="AN107" s="79" t="inlineStr">
        <is>
          <t>☑</t>
        </is>
      </c>
      <c r="AO107" s="79" t="inlineStr">
        <is>
          <t>☑</t>
        </is>
      </c>
      <c r="AP107" s="79" t="inlineStr">
        <is>
          <t>☑</t>
        </is>
      </c>
      <c r="AQ107" s="78" t="inlineStr">
        <is>
          <t>—</t>
        </is>
      </c>
      <c r="AR107" s="79" t="inlineStr">
        <is>
          <t>☑</t>
        </is>
      </c>
      <c r="AS107" s="78" t="inlineStr">
        <is>
          <t>—</t>
        </is>
      </c>
      <c r="AT107" s="78" t="inlineStr">
        <is>
          <t>☑</t>
        </is>
      </c>
      <c r="AU107" s="79" t="inlineStr">
        <is>
          <t>☑</t>
        </is>
      </c>
      <c r="AV107" s="78" t="inlineStr">
        <is>
          <t>☑</t>
        </is>
      </c>
      <c r="AW107" s="79" t="inlineStr">
        <is>
          <t>☑</t>
        </is>
      </c>
      <c r="AX107" s="79" t="inlineStr">
        <is>
          <t>☑</t>
        </is>
      </c>
      <c r="AY107" s="79" t="inlineStr">
        <is>
          <t>☑</t>
        </is>
      </c>
      <c r="AZ107" s="79" t="inlineStr">
        <is>
          <t>☑</t>
        </is>
      </c>
      <c r="BA107" s="79" t="inlineStr">
        <is>
          <t>☑</t>
        </is>
      </c>
      <c r="BB107" s="79" t="inlineStr">
        <is>
          <t>☑</t>
        </is>
      </c>
      <c r="BC107" s="79" t="inlineStr">
        <is>
          <t>☑</t>
        </is>
      </c>
      <c r="BD107" s="79" t="inlineStr">
        <is>
          <t>☑</t>
        </is>
      </c>
      <c r="BE107" s="79" t="inlineStr">
        <is>
          <t>☑</t>
        </is>
      </c>
      <c r="BF107" s="78" t="inlineStr">
        <is>
          <t>—</t>
        </is>
      </c>
      <c r="BG107" s="79" t="inlineStr">
        <is>
          <t>☑</t>
        </is>
      </c>
      <c r="BH107" s="78" t="inlineStr">
        <is>
          <t>—</t>
        </is>
      </c>
      <c r="BI107" s="78" t="inlineStr">
        <is>
          <t>☑</t>
        </is>
      </c>
      <c r="BJ107" s="79" t="inlineStr">
        <is>
          <t>☑</t>
        </is>
      </c>
      <c r="BK107" s="78" t="inlineStr">
        <is>
          <t>☑</t>
        </is>
      </c>
      <c r="BL107" s="79" t="inlineStr">
        <is>
          <t>☑</t>
        </is>
      </c>
      <c r="BM107" s="79" t="inlineStr">
        <is>
          <t>☑</t>
        </is>
      </c>
      <c r="BN107" s="79" t="inlineStr">
        <is>
          <t>☑</t>
        </is>
      </c>
      <c r="BO107" s="79" t="inlineStr">
        <is>
          <t>☑</t>
        </is>
      </c>
    </row>
    <row r="108">
      <c r="A108" s="79" t="n">
        <v>101</v>
      </c>
      <c r="B108" s="79" t="inlineStr">
        <is>
          <t>325106410101</t>
        </is>
      </c>
      <c r="C108" s="79" t="inlineStr">
        <is>
          <t>PROHOR PAL</t>
        </is>
      </c>
      <c r="D108" s="79" t="inlineStr">
        <is>
          <t>☑</t>
        </is>
      </c>
      <c r="E108" s="79" t="inlineStr">
        <is>
          <t>☑</t>
        </is>
      </c>
      <c r="F108" s="79" t="inlineStr">
        <is>
          <t>☑</t>
        </is>
      </c>
      <c r="G108" s="79" t="inlineStr">
        <is>
          <t>☑</t>
        </is>
      </c>
      <c r="H108" s="79" t="inlineStr">
        <is>
          <t>☑</t>
        </is>
      </c>
      <c r="I108" s="79" t="inlineStr">
        <is>
          <t>☑</t>
        </is>
      </c>
      <c r="J108" s="79" t="inlineStr">
        <is>
          <t>☑</t>
        </is>
      </c>
      <c r="K108" s="79" t="inlineStr">
        <is>
          <t>☑</t>
        </is>
      </c>
      <c r="L108" s="79" t="inlineStr">
        <is>
          <t>☑</t>
        </is>
      </c>
      <c r="M108" s="78" t="inlineStr">
        <is>
          <t>—</t>
        </is>
      </c>
      <c r="N108" s="79" t="inlineStr">
        <is>
          <t>☑</t>
        </is>
      </c>
      <c r="O108" s="78" t="inlineStr">
        <is>
          <t>—</t>
        </is>
      </c>
      <c r="P108" s="78" t="inlineStr">
        <is>
          <t>☑</t>
        </is>
      </c>
      <c r="Q108" s="79" t="inlineStr">
        <is>
          <t>☑</t>
        </is>
      </c>
      <c r="R108" s="78" t="inlineStr">
        <is>
          <t>☑</t>
        </is>
      </c>
      <c r="S108" s="79" t="inlineStr">
        <is>
          <t>☑</t>
        </is>
      </c>
      <c r="T108" s="79" t="inlineStr">
        <is>
          <t>☑</t>
        </is>
      </c>
      <c r="U108" s="79" t="inlineStr">
        <is>
          <t>☑</t>
        </is>
      </c>
      <c r="V108" s="79" t="inlineStr">
        <is>
          <t>☑</t>
        </is>
      </c>
      <c r="W108" s="79" t="inlineStr">
        <is>
          <t>☑</t>
        </is>
      </c>
      <c r="X108" s="79" t="inlineStr">
        <is>
          <t>☑</t>
        </is>
      </c>
      <c r="Y108" s="79" t="inlineStr">
        <is>
          <t>☑</t>
        </is>
      </c>
      <c r="Z108" s="79" t="inlineStr">
        <is>
          <t>☑</t>
        </is>
      </c>
      <c r="AA108" s="79" t="inlineStr">
        <is>
          <t>☑</t>
        </is>
      </c>
      <c r="AB108" s="78" t="inlineStr">
        <is>
          <t>—</t>
        </is>
      </c>
      <c r="AC108" s="79" t="inlineStr">
        <is>
          <t>☑</t>
        </is>
      </c>
      <c r="AD108" s="78" t="inlineStr">
        <is>
          <t>—</t>
        </is>
      </c>
      <c r="AE108" s="78" t="inlineStr">
        <is>
          <t>☑</t>
        </is>
      </c>
      <c r="AF108" s="79" t="inlineStr">
        <is>
          <t>☑</t>
        </is>
      </c>
      <c r="AG108" s="78" t="inlineStr">
        <is>
          <t>☑</t>
        </is>
      </c>
      <c r="AH108" s="79" t="inlineStr">
        <is>
          <t>☑</t>
        </is>
      </c>
      <c r="AI108" s="79" t="inlineStr">
        <is>
          <t>☑</t>
        </is>
      </c>
      <c r="AJ108" s="79" t="inlineStr">
        <is>
          <t>☑</t>
        </is>
      </c>
      <c r="AK108" s="79" t="inlineStr">
        <is>
          <t>☑</t>
        </is>
      </c>
      <c r="AL108" s="79" t="inlineStr">
        <is>
          <t>☑</t>
        </is>
      </c>
      <c r="AM108" s="79" t="inlineStr">
        <is>
          <t>☑</t>
        </is>
      </c>
      <c r="AN108" s="79" t="inlineStr">
        <is>
          <t>☑</t>
        </is>
      </c>
      <c r="AO108" s="79" t="inlineStr">
        <is>
          <t>☑</t>
        </is>
      </c>
      <c r="AP108" s="79" t="inlineStr">
        <is>
          <t>☑</t>
        </is>
      </c>
      <c r="AQ108" s="78" t="inlineStr">
        <is>
          <t>—</t>
        </is>
      </c>
      <c r="AR108" s="79" t="inlineStr">
        <is>
          <t>☑</t>
        </is>
      </c>
      <c r="AS108" s="78" t="inlineStr">
        <is>
          <t>—</t>
        </is>
      </c>
      <c r="AT108" s="78" t="inlineStr">
        <is>
          <t>☑</t>
        </is>
      </c>
      <c r="AU108" s="79" t="inlineStr">
        <is>
          <t>☑</t>
        </is>
      </c>
      <c r="AV108" s="78" t="inlineStr">
        <is>
          <t>☑</t>
        </is>
      </c>
      <c r="AW108" s="79" t="inlineStr">
        <is>
          <t>☑</t>
        </is>
      </c>
      <c r="AX108" s="79" t="inlineStr">
        <is>
          <t>☑</t>
        </is>
      </c>
      <c r="AY108" s="79" t="inlineStr">
        <is>
          <t>☑</t>
        </is>
      </c>
      <c r="AZ108" s="79" t="inlineStr">
        <is>
          <t>☑</t>
        </is>
      </c>
      <c r="BA108" s="79" t="inlineStr">
        <is>
          <t>☑</t>
        </is>
      </c>
      <c r="BB108" s="79" t="inlineStr">
        <is>
          <t>☑</t>
        </is>
      </c>
      <c r="BC108" s="79" t="inlineStr">
        <is>
          <t>☑</t>
        </is>
      </c>
      <c r="BD108" s="79" t="inlineStr">
        <is>
          <t>☑</t>
        </is>
      </c>
      <c r="BE108" s="79" t="inlineStr">
        <is>
          <t>☑</t>
        </is>
      </c>
      <c r="BF108" s="78" t="inlineStr">
        <is>
          <t>—</t>
        </is>
      </c>
      <c r="BG108" s="79" t="inlineStr">
        <is>
          <t>☑</t>
        </is>
      </c>
      <c r="BH108" s="78" t="inlineStr">
        <is>
          <t>—</t>
        </is>
      </c>
      <c r="BI108" s="78" t="inlineStr">
        <is>
          <t>☑</t>
        </is>
      </c>
      <c r="BJ108" s="79" t="inlineStr">
        <is>
          <t>☑</t>
        </is>
      </c>
      <c r="BK108" s="78" t="inlineStr">
        <is>
          <t>☑</t>
        </is>
      </c>
      <c r="BL108" s="79" t="inlineStr">
        <is>
          <t>☑</t>
        </is>
      </c>
      <c r="BM108" s="79" t="inlineStr">
        <is>
          <t>☑</t>
        </is>
      </c>
      <c r="BN108" s="79" t="inlineStr">
        <is>
          <t>☑</t>
        </is>
      </c>
      <c r="BO108" s="79" t="inlineStr">
        <is>
          <t>☑</t>
        </is>
      </c>
    </row>
    <row r="109">
      <c r="A109" s="79" t="n">
        <v>102</v>
      </c>
      <c r="B109" s="79" t="inlineStr">
        <is>
          <t>325106410102</t>
        </is>
      </c>
      <c r="C109" s="79" t="inlineStr">
        <is>
          <t>PROTTOY KUMAR PRAMANIK</t>
        </is>
      </c>
      <c r="D109" s="79" t="inlineStr">
        <is>
          <t>☑</t>
        </is>
      </c>
      <c r="E109" s="79" t="inlineStr">
        <is>
          <t>☑</t>
        </is>
      </c>
      <c r="F109" s="79" t="inlineStr">
        <is>
          <t>☑</t>
        </is>
      </c>
      <c r="G109" s="79" t="inlineStr">
        <is>
          <t>☑</t>
        </is>
      </c>
      <c r="H109" s="79" t="inlineStr">
        <is>
          <t>☑</t>
        </is>
      </c>
      <c r="I109" s="79" t="inlineStr">
        <is>
          <t>☑</t>
        </is>
      </c>
      <c r="J109" s="79" t="inlineStr">
        <is>
          <t>☑</t>
        </is>
      </c>
      <c r="K109" s="79" t="inlineStr">
        <is>
          <t>☑</t>
        </is>
      </c>
      <c r="L109" s="79" t="inlineStr">
        <is>
          <t>☑</t>
        </is>
      </c>
      <c r="M109" s="78" t="inlineStr">
        <is>
          <t>—</t>
        </is>
      </c>
      <c r="N109" s="79" t="inlineStr">
        <is>
          <t>☑</t>
        </is>
      </c>
      <c r="O109" s="78" t="inlineStr">
        <is>
          <t>—</t>
        </is>
      </c>
      <c r="P109" s="78" t="inlineStr">
        <is>
          <t>☑</t>
        </is>
      </c>
      <c r="Q109" s="79" t="inlineStr">
        <is>
          <t>☑</t>
        </is>
      </c>
      <c r="R109" s="78" t="inlineStr">
        <is>
          <t>☑</t>
        </is>
      </c>
      <c r="S109" s="79" t="inlineStr">
        <is>
          <t>☑</t>
        </is>
      </c>
      <c r="T109" s="79" t="inlineStr">
        <is>
          <t>☑</t>
        </is>
      </c>
      <c r="U109" s="79" t="inlineStr">
        <is>
          <t>☑</t>
        </is>
      </c>
      <c r="V109" s="79" t="inlineStr">
        <is>
          <t>☑</t>
        </is>
      </c>
      <c r="W109" s="79" t="inlineStr">
        <is>
          <t>☑</t>
        </is>
      </c>
      <c r="X109" s="79" t="inlineStr">
        <is>
          <t>☑</t>
        </is>
      </c>
      <c r="Y109" s="79" t="inlineStr">
        <is>
          <t>☑</t>
        </is>
      </c>
      <c r="Z109" s="79" t="inlineStr">
        <is>
          <t>☑</t>
        </is>
      </c>
      <c r="AA109" s="79" t="inlineStr">
        <is>
          <t>☑</t>
        </is>
      </c>
      <c r="AB109" s="78" t="inlineStr">
        <is>
          <t>—</t>
        </is>
      </c>
      <c r="AC109" s="79" t="inlineStr">
        <is>
          <t>☑</t>
        </is>
      </c>
      <c r="AD109" s="78" t="inlineStr">
        <is>
          <t>—</t>
        </is>
      </c>
      <c r="AE109" s="78" t="inlineStr">
        <is>
          <t>☑</t>
        </is>
      </c>
      <c r="AF109" s="79" t="inlineStr">
        <is>
          <t>☑</t>
        </is>
      </c>
      <c r="AG109" s="78" t="inlineStr">
        <is>
          <t>☑</t>
        </is>
      </c>
      <c r="AH109" s="79" t="inlineStr">
        <is>
          <t>☑</t>
        </is>
      </c>
      <c r="AI109" s="79" t="inlineStr">
        <is>
          <t>☑</t>
        </is>
      </c>
      <c r="AJ109" s="79" t="inlineStr">
        <is>
          <t>☑</t>
        </is>
      </c>
      <c r="AK109" s="79" t="inlineStr">
        <is>
          <t>☑</t>
        </is>
      </c>
      <c r="AL109" s="79" t="inlineStr">
        <is>
          <t>☑</t>
        </is>
      </c>
      <c r="AM109" s="79" t="inlineStr">
        <is>
          <t>☑</t>
        </is>
      </c>
      <c r="AN109" s="79" t="inlineStr">
        <is>
          <t>☑</t>
        </is>
      </c>
      <c r="AO109" s="79" t="inlineStr">
        <is>
          <t>☑</t>
        </is>
      </c>
      <c r="AP109" s="79" t="inlineStr">
        <is>
          <t>☑</t>
        </is>
      </c>
      <c r="AQ109" s="78" t="inlineStr">
        <is>
          <t>—</t>
        </is>
      </c>
      <c r="AR109" s="79" t="inlineStr">
        <is>
          <t>☑</t>
        </is>
      </c>
      <c r="AS109" s="78" t="inlineStr">
        <is>
          <t>—</t>
        </is>
      </c>
      <c r="AT109" s="78" t="inlineStr">
        <is>
          <t>☑</t>
        </is>
      </c>
      <c r="AU109" s="79" t="inlineStr">
        <is>
          <t>☑</t>
        </is>
      </c>
      <c r="AV109" s="78" t="inlineStr">
        <is>
          <t>☑</t>
        </is>
      </c>
      <c r="AW109" s="79" t="inlineStr">
        <is>
          <t>☑</t>
        </is>
      </c>
      <c r="AX109" s="79" t="inlineStr">
        <is>
          <t>☑</t>
        </is>
      </c>
      <c r="AY109" s="79" t="inlineStr">
        <is>
          <t>☑</t>
        </is>
      </c>
      <c r="AZ109" s="79" t="inlineStr">
        <is>
          <t>☑</t>
        </is>
      </c>
      <c r="BA109" s="79" t="inlineStr">
        <is>
          <t>☑</t>
        </is>
      </c>
      <c r="BB109" s="79" t="inlineStr">
        <is>
          <t>☑</t>
        </is>
      </c>
      <c r="BC109" s="79" t="inlineStr">
        <is>
          <t>☑</t>
        </is>
      </c>
      <c r="BD109" s="79" t="inlineStr">
        <is>
          <t>☑</t>
        </is>
      </c>
      <c r="BE109" s="79" t="inlineStr">
        <is>
          <t>☑</t>
        </is>
      </c>
      <c r="BF109" s="78" t="inlineStr">
        <is>
          <t>—</t>
        </is>
      </c>
      <c r="BG109" s="79" t="inlineStr">
        <is>
          <t>☑</t>
        </is>
      </c>
      <c r="BH109" s="78" t="inlineStr">
        <is>
          <t>—</t>
        </is>
      </c>
      <c r="BI109" s="78" t="inlineStr">
        <is>
          <t>☑</t>
        </is>
      </c>
      <c r="BJ109" s="79" t="inlineStr">
        <is>
          <t>☑</t>
        </is>
      </c>
      <c r="BK109" s="78" t="inlineStr">
        <is>
          <t>☑</t>
        </is>
      </c>
      <c r="BL109" s="79" t="inlineStr">
        <is>
          <t>☑</t>
        </is>
      </c>
      <c r="BM109" s="79" t="inlineStr">
        <is>
          <t>☑</t>
        </is>
      </c>
      <c r="BN109" s="79" t="inlineStr">
        <is>
          <t>☑</t>
        </is>
      </c>
      <c r="BO109" s="79" t="inlineStr">
        <is>
          <t>☑</t>
        </is>
      </c>
    </row>
    <row r="110">
      <c r="A110" s="79" t="n">
        <v>103</v>
      </c>
      <c r="B110" s="79" t="inlineStr">
        <is>
          <t>325106410103</t>
        </is>
      </c>
      <c r="C110" s="79" t="inlineStr">
        <is>
          <t>RACHIDA SAID MZE</t>
        </is>
      </c>
      <c r="D110" s="79" t="inlineStr">
        <is>
          <t>☑</t>
        </is>
      </c>
      <c r="E110" s="79" t="inlineStr">
        <is>
          <t>☑</t>
        </is>
      </c>
      <c r="F110" s="79" t="inlineStr">
        <is>
          <t>☑</t>
        </is>
      </c>
      <c r="G110" s="79" t="inlineStr">
        <is>
          <t>☑</t>
        </is>
      </c>
      <c r="H110" s="79" t="inlineStr">
        <is>
          <t>☑</t>
        </is>
      </c>
      <c r="I110" s="79" t="inlineStr">
        <is>
          <t>☑</t>
        </is>
      </c>
      <c r="J110" s="79" t="inlineStr">
        <is>
          <t>☑</t>
        </is>
      </c>
      <c r="K110" s="79" t="inlineStr">
        <is>
          <t>☑</t>
        </is>
      </c>
      <c r="L110" s="79" t="inlineStr">
        <is>
          <t>☑</t>
        </is>
      </c>
      <c r="M110" s="78" t="inlineStr">
        <is>
          <t>—</t>
        </is>
      </c>
      <c r="N110" s="79" t="inlineStr">
        <is>
          <t>☑</t>
        </is>
      </c>
      <c r="O110" s="78" t="inlineStr">
        <is>
          <t>—</t>
        </is>
      </c>
      <c r="P110" s="78" t="inlineStr">
        <is>
          <t>☑</t>
        </is>
      </c>
      <c r="Q110" s="79" t="inlineStr">
        <is>
          <t>☑</t>
        </is>
      </c>
      <c r="R110" s="78" t="inlineStr">
        <is>
          <t>☑</t>
        </is>
      </c>
      <c r="S110" s="79" t="inlineStr">
        <is>
          <t>☑</t>
        </is>
      </c>
      <c r="T110" s="79" t="inlineStr">
        <is>
          <t>☑</t>
        </is>
      </c>
      <c r="U110" s="79" t="inlineStr">
        <is>
          <t>☑</t>
        </is>
      </c>
      <c r="V110" s="79" t="inlineStr">
        <is>
          <t>☑</t>
        </is>
      </c>
      <c r="W110" s="79" t="inlineStr">
        <is>
          <t>☑</t>
        </is>
      </c>
      <c r="X110" s="79" t="inlineStr">
        <is>
          <t>☑</t>
        </is>
      </c>
      <c r="Y110" s="79" t="inlineStr">
        <is>
          <t>☑</t>
        </is>
      </c>
      <c r="Z110" s="79" t="inlineStr">
        <is>
          <t>☑</t>
        </is>
      </c>
      <c r="AA110" s="79" t="inlineStr">
        <is>
          <t>☑</t>
        </is>
      </c>
      <c r="AB110" s="78" t="inlineStr">
        <is>
          <t>—</t>
        </is>
      </c>
      <c r="AC110" s="79" t="inlineStr">
        <is>
          <t>☑</t>
        </is>
      </c>
      <c r="AD110" s="78" t="inlineStr">
        <is>
          <t>—</t>
        </is>
      </c>
      <c r="AE110" s="78" t="inlineStr">
        <is>
          <t>☑</t>
        </is>
      </c>
      <c r="AF110" s="79" t="inlineStr">
        <is>
          <t>☑</t>
        </is>
      </c>
      <c r="AG110" s="78" t="inlineStr">
        <is>
          <t>☑</t>
        </is>
      </c>
      <c r="AH110" s="79" t="inlineStr">
        <is>
          <t>☑</t>
        </is>
      </c>
      <c r="AI110" s="79" t="inlineStr">
        <is>
          <t>☑</t>
        </is>
      </c>
      <c r="AJ110" s="79" t="inlineStr">
        <is>
          <t>☑</t>
        </is>
      </c>
      <c r="AK110" s="79" t="inlineStr">
        <is>
          <t>☑</t>
        </is>
      </c>
      <c r="AL110" s="79" t="inlineStr">
        <is>
          <t>☑</t>
        </is>
      </c>
      <c r="AM110" s="79" t="inlineStr">
        <is>
          <t>☑</t>
        </is>
      </c>
      <c r="AN110" s="79" t="inlineStr">
        <is>
          <t>☑</t>
        </is>
      </c>
      <c r="AO110" s="79" t="inlineStr">
        <is>
          <t>☑</t>
        </is>
      </c>
      <c r="AP110" s="79" t="inlineStr">
        <is>
          <t>☑</t>
        </is>
      </c>
      <c r="AQ110" s="78" t="inlineStr">
        <is>
          <t>—</t>
        </is>
      </c>
      <c r="AR110" s="79" t="inlineStr">
        <is>
          <t>☑</t>
        </is>
      </c>
      <c r="AS110" s="78" t="inlineStr">
        <is>
          <t>—</t>
        </is>
      </c>
      <c r="AT110" s="78" t="inlineStr">
        <is>
          <t>☑</t>
        </is>
      </c>
      <c r="AU110" s="79" t="inlineStr">
        <is>
          <t>☑</t>
        </is>
      </c>
      <c r="AV110" s="78" t="inlineStr">
        <is>
          <t>☑</t>
        </is>
      </c>
      <c r="AW110" s="79" t="inlineStr">
        <is>
          <t>☑</t>
        </is>
      </c>
      <c r="AX110" s="79" t="inlineStr">
        <is>
          <t>☑</t>
        </is>
      </c>
      <c r="AY110" s="79" t="inlineStr">
        <is>
          <t>☑</t>
        </is>
      </c>
      <c r="AZ110" s="79" t="inlineStr">
        <is>
          <t>☑</t>
        </is>
      </c>
      <c r="BA110" s="79" t="inlineStr">
        <is>
          <t>☑</t>
        </is>
      </c>
      <c r="BB110" s="79" t="inlineStr">
        <is>
          <t>☑</t>
        </is>
      </c>
      <c r="BC110" s="79" t="inlineStr">
        <is>
          <t>☑</t>
        </is>
      </c>
      <c r="BD110" s="79" t="inlineStr">
        <is>
          <t>☑</t>
        </is>
      </c>
      <c r="BE110" s="79" t="inlineStr">
        <is>
          <t>☑</t>
        </is>
      </c>
      <c r="BF110" s="78" t="inlineStr">
        <is>
          <t>—</t>
        </is>
      </c>
      <c r="BG110" s="79" t="inlineStr">
        <is>
          <t>☑</t>
        </is>
      </c>
      <c r="BH110" s="78" t="inlineStr">
        <is>
          <t>—</t>
        </is>
      </c>
      <c r="BI110" s="78" t="inlineStr">
        <is>
          <t>☑</t>
        </is>
      </c>
      <c r="BJ110" s="79" t="inlineStr">
        <is>
          <t>☑</t>
        </is>
      </c>
      <c r="BK110" s="78" t="inlineStr">
        <is>
          <t>☑</t>
        </is>
      </c>
      <c r="BL110" s="79" t="inlineStr">
        <is>
          <t>☑</t>
        </is>
      </c>
      <c r="BM110" s="79" t="inlineStr">
        <is>
          <t>☑</t>
        </is>
      </c>
      <c r="BN110" s="79" t="inlineStr">
        <is>
          <t>☑</t>
        </is>
      </c>
      <c r="BO110" s="79" t="inlineStr">
        <is>
          <t>☑</t>
        </is>
      </c>
    </row>
    <row r="111">
      <c r="A111" s="79" t="n">
        <v>104</v>
      </c>
      <c r="B111" s="79" t="inlineStr">
        <is>
          <t>325106410104</t>
        </is>
      </c>
      <c r="C111" s="79" t="inlineStr">
        <is>
          <t>RAHUL GHOSH</t>
        </is>
      </c>
      <c r="D111" s="79" t="inlineStr">
        <is>
          <t>☑</t>
        </is>
      </c>
      <c r="E111" s="79" t="inlineStr">
        <is>
          <t>☑</t>
        </is>
      </c>
      <c r="F111" s="79" t="inlineStr">
        <is>
          <t>☑</t>
        </is>
      </c>
      <c r="G111" s="79" t="inlineStr">
        <is>
          <t>☑</t>
        </is>
      </c>
      <c r="H111" s="79" t="inlineStr">
        <is>
          <t>☑</t>
        </is>
      </c>
      <c r="I111" s="79" t="inlineStr">
        <is>
          <t>☑</t>
        </is>
      </c>
      <c r="J111" s="79" t="inlineStr">
        <is>
          <t>☑</t>
        </is>
      </c>
      <c r="K111" s="79" t="inlineStr">
        <is>
          <t>☑</t>
        </is>
      </c>
      <c r="L111" s="79" t="inlineStr">
        <is>
          <t>☑</t>
        </is>
      </c>
      <c r="M111" s="78" t="inlineStr">
        <is>
          <t>—</t>
        </is>
      </c>
      <c r="N111" s="79" t="inlineStr">
        <is>
          <t>☑</t>
        </is>
      </c>
      <c r="O111" s="78" t="inlineStr">
        <is>
          <t>—</t>
        </is>
      </c>
      <c r="P111" s="78" t="inlineStr">
        <is>
          <t>☑</t>
        </is>
      </c>
      <c r="Q111" s="79" t="inlineStr">
        <is>
          <t>☑</t>
        </is>
      </c>
      <c r="R111" s="78" t="inlineStr">
        <is>
          <t>☑</t>
        </is>
      </c>
      <c r="S111" s="79" t="inlineStr">
        <is>
          <t>☑</t>
        </is>
      </c>
      <c r="T111" s="79" t="inlineStr">
        <is>
          <t>☑</t>
        </is>
      </c>
      <c r="U111" s="79" t="inlineStr">
        <is>
          <t>☑</t>
        </is>
      </c>
      <c r="V111" s="79" t="inlineStr">
        <is>
          <t>☑</t>
        </is>
      </c>
      <c r="W111" s="79" t="inlineStr">
        <is>
          <t>☑</t>
        </is>
      </c>
      <c r="X111" s="79" t="inlineStr">
        <is>
          <t>☑</t>
        </is>
      </c>
      <c r="Y111" s="79" t="inlineStr">
        <is>
          <t>☑</t>
        </is>
      </c>
      <c r="Z111" s="79" t="inlineStr">
        <is>
          <t>☑</t>
        </is>
      </c>
      <c r="AA111" s="79" t="inlineStr">
        <is>
          <t>☑</t>
        </is>
      </c>
      <c r="AB111" s="78" t="inlineStr">
        <is>
          <t>—</t>
        </is>
      </c>
      <c r="AC111" s="79" t="inlineStr">
        <is>
          <t>☑</t>
        </is>
      </c>
      <c r="AD111" s="78" t="inlineStr">
        <is>
          <t>—</t>
        </is>
      </c>
      <c r="AE111" s="78" t="inlineStr">
        <is>
          <t>☑</t>
        </is>
      </c>
      <c r="AF111" s="79" t="inlineStr">
        <is>
          <t>☑</t>
        </is>
      </c>
      <c r="AG111" s="78" t="inlineStr">
        <is>
          <t>☑</t>
        </is>
      </c>
      <c r="AH111" s="79" t="inlineStr">
        <is>
          <t>☑</t>
        </is>
      </c>
      <c r="AI111" s="79" t="inlineStr">
        <is>
          <t>☑</t>
        </is>
      </c>
      <c r="AJ111" s="79" t="inlineStr">
        <is>
          <t>☑</t>
        </is>
      </c>
      <c r="AK111" s="79" t="inlineStr">
        <is>
          <t>☑</t>
        </is>
      </c>
      <c r="AL111" s="79" t="inlineStr">
        <is>
          <t>☑</t>
        </is>
      </c>
      <c r="AM111" s="79" t="inlineStr">
        <is>
          <t>☑</t>
        </is>
      </c>
      <c r="AN111" s="79" t="inlineStr">
        <is>
          <t>☑</t>
        </is>
      </c>
      <c r="AO111" s="79" t="inlineStr">
        <is>
          <t>☑</t>
        </is>
      </c>
      <c r="AP111" s="79" t="inlineStr">
        <is>
          <t>☑</t>
        </is>
      </c>
      <c r="AQ111" s="78" t="inlineStr">
        <is>
          <t>—</t>
        </is>
      </c>
      <c r="AR111" s="79" t="inlineStr">
        <is>
          <t>☑</t>
        </is>
      </c>
      <c r="AS111" s="78" t="inlineStr">
        <is>
          <t>—</t>
        </is>
      </c>
      <c r="AT111" s="78" t="inlineStr">
        <is>
          <t>☑</t>
        </is>
      </c>
      <c r="AU111" s="79" t="inlineStr">
        <is>
          <t>☑</t>
        </is>
      </c>
      <c r="AV111" s="78" t="inlineStr">
        <is>
          <t>☑</t>
        </is>
      </c>
      <c r="AW111" s="79" t="inlineStr">
        <is>
          <t>☑</t>
        </is>
      </c>
      <c r="AX111" s="79" t="inlineStr">
        <is>
          <t>☑</t>
        </is>
      </c>
      <c r="AY111" s="79" t="inlineStr">
        <is>
          <t>☑</t>
        </is>
      </c>
      <c r="AZ111" s="79" t="inlineStr">
        <is>
          <t>☑</t>
        </is>
      </c>
      <c r="BA111" s="79" t="inlineStr">
        <is>
          <t>☑</t>
        </is>
      </c>
      <c r="BB111" s="79" t="inlineStr">
        <is>
          <t>☑</t>
        </is>
      </c>
      <c r="BC111" s="79" t="inlineStr">
        <is>
          <t>☑</t>
        </is>
      </c>
      <c r="BD111" s="79" t="inlineStr">
        <is>
          <t>☑</t>
        </is>
      </c>
      <c r="BE111" s="79" t="inlineStr">
        <is>
          <t>☑</t>
        </is>
      </c>
      <c r="BF111" s="78" t="inlineStr">
        <is>
          <t>—</t>
        </is>
      </c>
      <c r="BG111" s="79" t="inlineStr">
        <is>
          <t>☑</t>
        </is>
      </c>
      <c r="BH111" s="78" t="inlineStr">
        <is>
          <t>—</t>
        </is>
      </c>
      <c r="BI111" s="78" t="inlineStr">
        <is>
          <t>☑</t>
        </is>
      </c>
      <c r="BJ111" s="79" t="inlineStr">
        <is>
          <t>☑</t>
        </is>
      </c>
      <c r="BK111" s="78" t="inlineStr">
        <is>
          <t>☑</t>
        </is>
      </c>
      <c r="BL111" s="79" t="inlineStr">
        <is>
          <t>☑</t>
        </is>
      </c>
      <c r="BM111" s="79" t="inlineStr">
        <is>
          <t>☑</t>
        </is>
      </c>
      <c r="BN111" s="79" t="inlineStr">
        <is>
          <t>☑</t>
        </is>
      </c>
      <c r="BO111" s="79" t="inlineStr">
        <is>
          <t>☑</t>
        </is>
      </c>
    </row>
    <row r="112">
      <c r="A112" s="79" t="n">
        <v>105</v>
      </c>
      <c r="B112" s="79" t="inlineStr">
        <is>
          <t>325106410105</t>
        </is>
      </c>
      <c r="C112" s="79" t="inlineStr">
        <is>
          <t>SECKOU BOUBACAR KASSE</t>
        </is>
      </c>
      <c r="D112" s="79" t="inlineStr">
        <is>
          <t>☑</t>
        </is>
      </c>
      <c r="E112" s="79" t="inlineStr">
        <is>
          <t>☑</t>
        </is>
      </c>
      <c r="F112" s="79" t="inlineStr">
        <is>
          <t>☑</t>
        </is>
      </c>
      <c r="G112" s="79" t="inlineStr">
        <is>
          <t>☑</t>
        </is>
      </c>
      <c r="H112" s="79" t="inlineStr">
        <is>
          <t>☑</t>
        </is>
      </c>
      <c r="I112" s="79" t="inlineStr">
        <is>
          <t>☑</t>
        </is>
      </c>
      <c r="J112" s="79" t="inlineStr">
        <is>
          <t>☑</t>
        </is>
      </c>
      <c r="K112" s="79" t="inlineStr">
        <is>
          <t>☑</t>
        </is>
      </c>
      <c r="L112" s="79" t="inlineStr">
        <is>
          <t>☑</t>
        </is>
      </c>
      <c r="M112" s="78" t="inlineStr">
        <is>
          <t>—</t>
        </is>
      </c>
      <c r="N112" s="79" t="inlineStr">
        <is>
          <t>☑</t>
        </is>
      </c>
      <c r="O112" s="78" t="inlineStr">
        <is>
          <t>—</t>
        </is>
      </c>
      <c r="P112" s="78" t="inlineStr">
        <is>
          <t>☑</t>
        </is>
      </c>
      <c r="Q112" s="79" t="inlineStr">
        <is>
          <t>☑</t>
        </is>
      </c>
      <c r="R112" s="78" t="inlineStr">
        <is>
          <t>☑</t>
        </is>
      </c>
      <c r="S112" s="79" t="inlineStr">
        <is>
          <t>☑</t>
        </is>
      </c>
      <c r="T112" s="79" t="inlineStr">
        <is>
          <t>☑</t>
        </is>
      </c>
      <c r="U112" s="79" t="inlineStr">
        <is>
          <t>☑</t>
        </is>
      </c>
      <c r="V112" s="79" t="inlineStr">
        <is>
          <t>☑</t>
        </is>
      </c>
      <c r="W112" s="79" t="inlineStr">
        <is>
          <t>☑</t>
        </is>
      </c>
      <c r="X112" s="79" t="inlineStr">
        <is>
          <t>☑</t>
        </is>
      </c>
      <c r="Y112" s="79" t="inlineStr">
        <is>
          <t>☑</t>
        </is>
      </c>
      <c r="Z112" s="79" t="inlineStr">
        <is>
          <t>☑</t>
        </is>
      </c>
      <c r="AA112" s="79" t="inlineStr">
        <is>
          <t>☑</t>
        </is>
      </c>
      <c r="AB112" s="78" t="inlineStr">
        <is>
          <t>—</t>
        </is>
      </c>
      <c r="AC112" s="79" t="inlineStr">
        <is>
          <t>☑</t>
        </is>
      </c>
      <c r="AD112" s="78" t="inlineStr">
        <is>
          <t>—</t>
        </is>
      </c>
      <c r="AE112" s="78" t="inlineStr">
        <is>
          <t>☑</t>
        </is>
      </c>
      <c r="AF112" s="79" t="inlineStr">
        <is>
          <t>☑</t>
        </is>
      </c>
      <c r="AG112" s="78" t="inlineStr">
        <is>
          <t>☑</t>
        </is>
      </c>
      <c r="AH112" s="79" t="inlineStr">
        <is>
          <t>☑</t>
        </is>
      </c>
      <c r="AI112" s="79" t="inlineStr">
        <is>
          <t>☑</t>
        </is>
      </c>
      <c r="AJ112" s="79" t="inlineStr">
        <is>
          <t>☑</t>
        </is>
      </c>
      <c r="AK112" s="79" t="inlineStr">
        <is>
          <t>☑</t>
        </is>
      </c>
      <c r="AL112" s="79" t="inlineStr">
        <is>
          <t>☑</t>
        </is>
      </c>
      <c r="AM112" s="79" t="inlineStr">
        <is>
          <t>☑</t>
        </is>
      </c>
      <c r="AN112" s="79" t="inlineStr">
        <is>
          <t>☑</t>
        </is>
      </c>
      <c r="AO112" s="79" t="inlineStr">
        <is>
          <t>☑</t>
        </is>
      </c>
      <c r="AP112" s="79" t="inlineStr">
        <is>
          <t>☑</t>
        </is>
      </c>
      <c r="AQ112" s="78" t="inlineStr">
        <is>
          <t>—</t>
        </is>
      </c>
      <c r="AR112" s="79" t="inlineStr">
        <is>
          <t>☑</t>
        </is>
      </c>
      <c r="AS112" s="78" t="inlineStr">
        <is>
          <t>—</t>
        </is>
      </c>
      <c r="AT112" s="78" t="inlineStr">
        <is>
          <t>☑</t>
        </is>
      </c>
      <c r="AU112" s="79" t="inlineStr">
        <is>
          <t>☑</t>
        </is>
      </c>
      <c r="AV112" s="78" t="inlineStr">
        <is>
          <t>☑</t>
        </is>
      </c>
      <c r="AW112" s="79" t="inlineStr">
        <is>
          <t>☑</t>
        </is>
      </c>
      <c r="AX112" s="79" t="inlineStr">
        <is>
          <t>☑</t>
        </is>
      </c>
      <c r="AY112" s="79" t="inlineStr">
        <is>
          <t>☑</t>
        </is>
      </c>
      <c r="AZ112" s="79" t="inlineStr">
        <is>
          <t>☑</t>
        </is>
      </c>
      <c r="BA112" s="79" t="inlineStr">
        <is>
          <t>☑</t>
        </is>
      </c>
      <c r="BB112" s="79" t="inlineStr">
        <is>
          <t>☑</t>
        </is>
      </c>
      <c r="BC112" s="79" t="inlineStr">
        <is>
          <t>☑</t>
        </is>
      </c>
      <c r="BD112" s="79" t="inlineStr">
        <is>
          <t>☑</t>
        </is>
      </c>
      <c r="BE112" s="79" t="inlineStr">
        <is>
          <t>☑</t>
        </is>
      </c>
      <c r="BF112" s="78" t="inlineStr">
        <is>
          <t>—</t>
        </is>
      </c>
      <c r="BG112" s="79" t="inlineStr">
        <is>
          <t>☑</t>
        </is>
      </c>
      <c r="BH112" s="78" t="inlineStr">
        <is>
          <t>—</t>
        </is>
      </c>
      <c r="BI112" s="78" t="inlineStr">
        <is>
          <t>☑</t>
        </is>
      </c>
      <c r="BJ112" s="79" t="inlineStr">
        <is>
          <t>☑</t>
        </is>
      </c>
      <c r="BK112" s="78" t="inlineStr">
        <is>
          <t>☑</t>
        </is>
      </c>
      <c r="BL112" s="79" t="inlineStr">
        <is>
          <t>☑</t>
        </is>
      </c>
      <c r="BM112" s="79" t="inlineStr">
        <is>
          <t>☑</t>
        </is>
      </c>
      <c r="BN112" s="79" t="inlineStr">
        <is>
          <t>☑</t>
        </is>
      </c>
      <c r="BO112" s="79" t="inlineStr">
        <is>
          <t>☑</t>
        </is>
      </c>
    </row>
    <row r="113">
      <c r="A113" s="79" t="n">
        <v>106</v>
      </c>
      <c r="B113" s="79" t="inlineStr">
        <is>
          <t>325106410106</t>
        </is>
      </c>
      <c r="C113" s="79" t="inlineStr">
        <is>
          <t>SELUSIWE NOMVULA MPOFU</t>
        </is>
      </c>
      <c r="D113" s="79" t="inlineStr">
        <is>
          <t>☑</t>
        </is>
      </c>
      <c r="E113" s="79" t="inlineStr">
        <is>
          <t>☑</t>
        </is>
      </c>
      <c r="F113" s="79" t="inlineStr">
        <is>
          <t>☑</t>
        </is>
      </c>
      <c r="G113" s="79" t="inlineStr">
        <is>
          <t>☑</t>
        </is>
      </c>
      <c r="H113" s="79" t="inlineStr">
        <is>
          <t>☑</t>
        </is>
      </c>
      <c r="I113" s="79" t="inlineStr">
        <is>
          <t>☑</t>
        </is>
      </c>
      <c r="J113" s="79" t="inlineStr">
        <is>
          <t>☑</t>
        </is>
      </c>
      <c r="K113" s="79" t="inlineStr">
        <is>
          <t>☑</t>
        </is>
      </c>
      <c r="L113" s="79" t="inlineStr">
        <is>
          <t>☑</t>
        </is>
      </c>
      <c r="M113" s="78" t="inlineStr">
        <is>
          <t>—</t>
        </is>
      </c>
      <c r="N113" s="79" t="inlineStr">
        <is>
          <t>☑</t>
        </is>
      </c>
      <c r="O113" s="78" t="inlineStr">
        <is>
          <t>—</t>
        </is>
      </c>
      <c r="P113" s="78" t="inlineStr">
        <is>
          <t>☑</t>
        </is>
      </c>
      <c r="Q113" s="79" t="inlineStr">
        <is>
          <t>☑</t>
        </is>
      </c>
      <c r="R113" s="78" t="inlineStr">
        <is>
          <t>☑</t>
        </is>
      </c>
      <c r="S113" s="79" t="inlineStr">
        <is>
          <t>☑</t>
        </is>
      </c>
      <c r="T113" s="79" t="inlineStr">
        <is>
          <t>☑</t>
        </is>
      </c>
      <c r="U113" s="79" t="inlineStr">
        <is>
          <t>☑</t>
        </is>
      </c>
      <c r="V113" s="79" t="inlineStr">
        <is>
          <t>☑</t>
        </is>
      </c>
      <c r="W113" s="79" t="inlineStr">
        <is>
          <t>☑</t>
        </is>
      </c>
      <c r="X113" s="79" t="inlineStr">
        <is>
          <t>☑</t>
        </is>
      </c>
      <c r="Y113" s="79" t="inlineStr">
        <is>
          <t>☑</t>
        </is>
      </c>
      <c r="Z113" s="79" t="inlineStr">
        <is>
          <t>☑</t>
        </is>
      </c>
      <c r="AA113" s="79" t="inlineStr">
        <is>
          <t>☑</t>
        </is>
      </c>
      <c r="AB113" s="78" t="inlineStr">
        <is>
          <t>—</t>
        </is>
      </c>
      <c r="AC113" s="79" t="inlineStr">
        <is>
          <t>☑</t>
        </is>
      </c>
      <c r="AD113" s="78" t="inlineStr">
        <is>
          <t>—</t>
        </is>
      </c>
      <c r="AE113" s="78" t="inlineStr">
        <is>
          <t>☑</t>
        </is>
      </c>
      <c r="AF113" s="79" t="inlineStr">
        <is>
          <t>☑</t>
        </is>
      </c>
      <c r="AG113" s="78" t="inlineStr">
        <is>
          <t>☑</t>
        </is>
      </c>
      <c r="AH113" s="79" t="inlineStr">
        <is>
          <t>☑</t>
        </is>
      </c>
      <c r="AI113" s="79" t="inlineStr">
        <is>
          <t>☑</t>
        </is>
      </c>
      <c r="AJ113" s="79" t="inlineStr">
        <is>
          <t>☑</t>
        </is>
      </c>
      <c r="AK113" s="79" t="inlineStr">
        <is>
          <t>☑</t>
        </is>
      </c>
      <c r="AL113" s="79" t="inlineStr">
        <is>
          <t>☑</t>
        </is>
      </c>
      <c r="AM113" s="79" t="inlineStr">
        <is>
          <t>☑</t>
        </is>
      </c>
      <c r="AN113" s="79" t="inlineStr">
        <is>
          <t>☑</t>
        </is>
      </c>
      <c r="AO113" s="79" t="inlineStr">
        <is>
          <t>☑</t>
        </is>
      </c>
      <c r="AP113" s="79" t="inlineStr">
        <is>
          <t>☑</t>
        </is>
      </c>
      <c r="AQ113" s="78" t="inlineStr">
        <is>
          <t>—</t>
        </is>
      </c>
      <c r="AR113" s="79" t="inlineStr">
        <is>
          <t>☑</t>
        </is>
      </c>
      <c r="AS113" s="78" t="inlineStr">
        <is>
          <t>—</t>
        </is>
      </c>
      <c r="AT113" s="78" t="inlineStr">
        <is>
          <t>☑</t>
        </is>
      </c>
      <c r="AU113" s="79" t="inlineStr">
        <is>
          <t>☑</t>
        </is>
      </c>
      <c r="AV113" s="78" t="inlineStr">
        <is>
          <t>☑</t>
        </is>
      </c>
      <c r="AW113" s="79" t="inlineStr">
        <is>
          <t>☑</t>
        </is>
      </c>
      <c r="AX113" s="79" t="inlineStr">
        <is>
          <t>☑</t>
        </is>
      </c>
      <c r="AY113" s="79" t="inlineStr">
        <is>
          <t>☑</t>
        </is>
      </c>
      <c r="AZ113" s="79" t="inlineStr">
        <is>
          <t>☑</t>
        </is>
      </c>
      <c r="BA113" s="79" t="inlineStr">
        <is>
          <t>☑</t>
        </is>
      </c>
      <c r="BB113" s="79" t="inlineStr">
        <is>
          <t>☑</t>
        </is>
      </c>
      <c r="BC113" s="79" t="inlineStr">
        <is>
          <t>☑</t>
        </is>
      </c>
      <c r="BD113" s="79" t="inlineStr">
        <is>
          <t>☑</t>
        </is>
      </c>
      <c r="BE113" s="79" t="inlineStr">
        <is>
          <t>☑</t>
        </is>
      </c>
      <c r="BF113" s="78" t="inlineStr">
        <is>
          <t>—</t>
        </is>
      </c>
      <c r="BG113" s="79" t="inlineStr">
        <is>
          <t>☑</t>
        </is>
      </c>
      <c r="BH113" s="78" t="inlineStr">
        <is>
          <t>—</t>
        </is>
      </c>
      <c r="BI113" s="78" t="inlineStr">
        <is>
          <t>☑</t>
        </is>
      </c>
      <c r="BJ113" s="79" t="inlineStr">
        <is>
          <t>☑</t>
        </is>
      </c>
      <c r="BK113" s="78" t="inlineStr">
        <is>
          <t>☑</t>
        </is>
      </c>
      <c r="BL113" s="79" t="inlineStr">
        <is>
          <t>☑</t>
        </is>
      </c>
      <c r="BM113" s="79" t="inlineStr">
        <is>
          <t>☑</t>
        </is>
      </c>
      <c r="BN113" s="79" t="inlineStr">
        <is>
          <t>☑</t>
        </is>
      </c>
      <c r="BO113" s="79" t="inlineStr">
        <is>
          <t>☑</t>
        </is>
      </c>
    </row>
    <row r="114">
      <c r="A114" s="79" t="n">
        <v>107</v>
      </c>
      <c r="B114" s="79" t="inlineStr">
        <is>
          <t>325106410107</t>
        </is>
      </c>
      <c r="C114" s="79" t="inlineStr">
        <is>
          <t>SISEKELO SAKHILE MAHLALELA</t>
        </is>
      </c>
      <c r="D114" s="79" t="inlineStr">
        <is>
          <t>☑</t>
        </is>
      </c>
      <c r="E114" s="79" t="inlineStr">
        <is>
          <t>☑</t>
        </is>
      </c>
      <c r="F114" s="79" t="inlineStr">
        <is>
          <t>☑</t>
        </is>
      </c>
      <c r="G114" s="79" t="inlineStr">
        <is>
          <t>☑</t>
        </is>
      </c>
      <c r="H114" s="79" t="inlineStr">
        <is>
          <t>☑</t>
        </is>
      </c>
      <c r="I114" s="79" t="inlineStr">
        <is>
          <t>☑</t>
        </is>
      </c>
      <c r="J114" s="79" t="inlineStr">
        <is>
          <t>☑</t>
        </is>
      </c>
      <c r="K114" s="79" t="inlineStr">
        <is>
          <t>☑</t>
        </is>
      </c>
      <c r="L114" s="79" t="inlineStr">
        <is>
          <t>☑</t>
        </is>
      </c>
      <c r="M114" s="78" t="inlineStr">
        <is>
          <t>—</t>
        </is>
      </c>
      <c r="N114" s="79" t="inlineStr">
        <is>
          <t>☑</t>
        </is>
      </c>
      <c r="O114" s="78" t="inlineStr">
        <is>
          <t>—</t>
        </is>
      </c>
      <c r="P114" s="78" t="inlineStr">
        <is>
          <t>☑</t>
        </is>
      </c>
      <c r="Q114" s="79" t="inlineStr">
        <is>
          <t>☑</t>
        </is>
      </c>
      <c r="R114" s="78" t="inlineStr">
        <is>
          <t>☑</t>
        </is>
      </c>
      <c r="S114" s="79" t="inlineStr">
        <is>
          <t>☑</t>
        </is>
      </c>
      <c r="T114" s="79" t="inlineStr">
        <is>
          <t>☑</t>
        </is>
      </c>
      <c r="U114" s="79" t="inlineStr">
        <is>
          <t>☑</t>
        </is>
      </c>
      <c r="V114" s="79" t="inlineStr">
        <is>
          <t>☑</t>
        </is>
      </c>
      <c r="W114" s="79" t="inlineStr">
        <is>
          <t>☑</t>
        </is>
      </c>
      <c r="X114" s="79" t="inlineStr">
        <is>
          <t>☑</t>
        </is>
      </c>
      <c r="Y114" s="79" t="inlineStr">
        <is>
          <t>☑</t>
        </is>
      </c>
      <c r="Z114" s="79" t="inlineStr">
        <is>
          <t>☑</t>
        </is>
      </c>
      <c r="AA114" s="79" t="inlineStr">
        <is>
          <t>☑</t>
        </is>
      </c>
      <c r="AB114" s="78" t="inlineStr">
        <is>
          <t>—</t>
        </is>
      </c>
      <c r="AC114" s="79" t="inlineStr">
        <is>
          <t>☑</t>
        </is>
      </c>
      <c r="AD114" s="78" t="inlineStr">
        <is>
          <t>—</t>
        </is>
      </c>
      <c r="AE114" s="78" t="inlineStr">
        <is>
          <t>☑</t>
        </is>
      </c>
      <c r="AF114" s="79" t="inlineStr">
        <is>
          <t>☑</t>
        </is>
      </c>
      <c r="AG114" s="78" t="inlineStr">
        <is>
          <t>☑</t>
        </is>
      </c>
      <c r="AH114" s="79" t="inlineStr">
        <is>
          <t>☑</t>
        </is>
      </c>
      <c r="AI114" s="79" t="inlineStr">
        <is>
          <t>☑</t>
        </is>
      </c>
      <c r="AJ114" s="79" t="inlineStr">
        <is>
          <t>☑</t>
        </is>
      </c>
      <c r="AK114" s="79" t="inlineStr">
        <is>
          <t>☑</t>
        </is>
      </c>
      <c r="AL114" s="79" t="inlineStr">
        <is>
          <t>☑</t>
        </is>
      </c>
      <c r="AM114" s="79" t="inlineStr">
        <is>
          <t>☑</t>
        </is>
      </c>
      <c r="AN114" s="79" t="inlineStr">
        <is>
          <t>☑</t>
        </is>
      </c>
      <c r="AO114" s="79" t="inlineStr">
        <is>
          <t>☑</t>
        </is>
      </c>
      <c r="AP114" s="79" t="inlineStr">
        <is>
          <t>☑</t>
        </is>
      </c>
      <c r="AQ114" s="78" t="inlineStr">
        <is>
          <t>—</t>
        </is>
      </c>
      <c r="AR114" s="79" t="inlineStr">
        <is>
          <t>☑</t>
        </is>
      </c>
      <c r="AS114" s="78" t="inlineStr">
        <is>
          <t>—</t>
        </is>
      </c>
      <c r="AT114" s="78" t="inlineStr">
        <is>
          <t>☑</t>
        </is>
      </c>
      <c r="AU114" s="79" t="inlineStr">
        <is>
          <t>☑</t>
        </is>
      </c>
      <c r="AV114" s="78" t="inlineStr">
        <is>
          <t>☑</t>
        </is>
      </c>
      <c r="AW114" s="79" t="inlineStr">
        <is>
          <t>☑</t>
        </is>
      </c>
      <c r="AX114" s="79" t="inlineStr">
        <is>
          <t>☑</t>
        </is>
      </c>
      <c r="AY114" s="79" t="inlineStr">
        <is>
          <t>☑</t>
        </is>
      </c>
      <c r="AZ114" s="79" t="inlineStr">
        <is>
          <t>☑</t>
        </is>
      </c>
      <c r="BA114" s="79" t="inlineStr">
        <is>
          <t>☑</t>
        </is>
      </c>
      <c r="BB114" s="79" t="inlineStr">
        <is>
          <t>☑</t>
        </is>
      </c>
      <c r="BC114" s="79" t="inlineStr">
        <is>
          <t>☑</t>
        </is>
      </c>
      <c r="BD114" s="79" t="inlineStr">
        <is>
          <t>☑</t>
        </is>
      </c>
      <c r="BE114" s="79" t="inlineStr">
        <is>
          <t>☑</t>
        </is>
      </c>
      <c r="BF114" s="78" t="inlineStr">
        <is>
          <t>—</t>
        </is>
      </c>
      <c r="BG114" s="79" t="inlineStr">
        <is>
          <t>☑</t>
        </is>
      </c>
      <c r="BH114" s="78" t="inlineStr">
        <is>
          <t>—</t>
        </is>
      </c>
      <c r="BI114" s="78" t="inlineStr">
        <is>
          <t>☑</t>
        </is>
      </c>
      <c r="BJ114" s="79" t="inlineStr">
        <is>
          <t>☑</t>
        </is>
      </c>
      <c r="BK114" s="78" t="inlineStr">
        <is>
          <t>☑</t>
        </is>
      </c>
      <c r="BL114" s="79" t="inlineStr">
        <is>
          <t>☑</t>
        </is>
      </c>
      <c r="BM114" s="79" t="inlineStr">
        <is>
          <t>☑</t>
        </is>
      </c>
      <c r="BN114" s="79" t="inlineStr">
        <is>
          <t>☑</t>
        </is>
      </c>
      <c r="BO114" s="79" t="inlineStr">
        <is>
          <t>☑</t>
        </is>
      </c>
    </row>
    <row r="115">
      <c r="A115" s="79" t="n">
        <v>108</v>
      </c>
      <c r="B115" s="79" t="inlineStr">
        <is>
          <t>325106410108</t>
        </is>
      </c>
      <c r="C115" s="79" t="inlineStr">
        <is>
          <t>SOUDAISSE AHAMADA</t>
        </is>
      </c>
      <c r="D115" s="79" t="inlineStr">
        <is>
          <t>☑</t>
        </is>
      </c>
      <c r="E115" s="79" t="inlineStr">
        <is>
          <t>☑</t>
        </is>
      </c>
      <c r="F115" s="79" t="inlineStr">
        <is>
          <t>☑</t>
        </is>
      </c>
      <c r="G115" s="79" t="inlineStr">
        <is>
          <t>☑</t>
        </is>
      </c>
      <c r="H115" s="79" t="inlineStr">
        <is>
          <t>☑</t>
        </is>
      </c>
      <c r="I115" s="79" t="inlineStr">
        <is>
          <t>☑</t>
        </is>
      </c>
      <c r="J115" s="79" t="inlineStr">
        <is>
          <t>☑</t>
        </is>
      </c>
      <c r="K115" s="79" t="inlineStr">
        <is>
          <t>☑</t>
        </is>
      </c>
      <c r="L115" s="79" t="inlineStr">
        <is>
          <t>☑</t>
        </is>
      </c>
      <c r="M115" s="78" t="inlineStr">
        <is>
          <t>—</t>
        </is>
      </c>
      <c r="N115" s="79" t="inlineStr">
        <is>
          <t>☑</t>
        </is>
      </c>
      <c r="O115" s="78" t="inlineStr">
        <is>
          <t>—</t>
        </is>
      </c>
      <c r="P115" s="78" t="inlineStr">
        <is>
          <t>☑</t>
        </is>
      </c>
      <c r="Q115" s="79" t="inlineStr">
        <is>
          <t>☑</t>
        </is>
      </c>
      <c r="R115" s="78" t="inlineStr">
        <is>
          <t>☑</t>
        </is>
      </c>
      <c r="S115" s="79" t="inlineStr">
        <is>
          <t>☑</t>
        </is>
      </c>
      <c r="T115" s="79" t="inlineStr">
        <is>
          <t>☑</t>
        </is>
      </c>
      <c r="U115" s="79" t="inlineStr">
        <is>
          <t>☑</t>
        </is>
      </c>
      <c r="V115" s="79" t="inlineStr">
        <is>
          <t>☑</t>
        </is>
      </c>
      <c r="W115" s="79" t="inlineStr">
        <is>
          <t>☑</t>
        </is>
      </c>
      <c r="X115" s="79" t="inlineStr">
        <is>
          <t>☑</t>
        </is>
      </c>
      <c r="Y115" s="79" t="inlineStr">
        <is>
          <t>☑</t>
        </is>
      </c>
      <c r="Z115" s="79" t="inlineStr">
        <is>
          <t>☑</t>
        </is>
      </c>
      <c r="AA115" s="79" t="inlineStr">
        <is>
          <t>☑</t>
        </is>
      </c>
      <c r="AB115" s="78" t="inlineStr">
        <is>
          <t>—</t>
        </is>
      </c>
      <c r="AC115" s="79" t="inlineStr">
        <is>
          <t>☑</t>
        </is>
      </c>
      <c r="AD115" s="78" t="inlineStr">
        <is>
          <t>—</t>
        </is>
      </c>
      <c r="AE115" s="78" t="inlineStr">
        <is>
          <t>☑</t>
        </is>
      </c>
      <c r="AF115" s="79" t="inlineStr">
        <is>
          <t>☑</t>
        </is>
      </c>
      <c r="AG115" s="78" t="inlineStr">
        <is>
          <t>☑</t>
        </is>
      </c>
      <c r="AH115" s="79" t="inlineStr">
        <is>
          <t>☑</t>
        </is>
      </c>
      <c r="AI115" s="79" t="inlineStr">
        <is>
          <t>☑</t>
        </is>
      </c>
      <c r="AJ115" s="79" t="inlineStr">
        <is>
          <t>☑</t>
        </is>
      </c>
      <c r="AK115" s="79" t="inlineStr">
        <is>
          <t>☑</t>
        </is>
      </c>
      <c r="AL115" s="79" t="inlineStr">
        <is>
          <t>☑</t>
        </is>
      </c>
      <c r="AM115" s="79" t="inlineStr">
        <is>
          <t>☑</t>
        </is>
      </c>
      <c r="AN115" s="79" t="inlineStr">
        <is>
          <t>☑</t>
        </is>
      </c>
      <c r="AO115" s="79" t="inlineStr">
        <is>
          <t>☑</t>
        </is>
      </c>
      <c r="AP115" s="79" t="inlineStr">
        <is>
          <t>☑</t>
        </is>
      </c>
      <c r="AQ115" s="78" t="inlineStr">
        <is>
          <t>—</t>
        </is>
      </c>
      <c r="AR115" s="79" t="inlineStr">
        <is>
          <t>☑</t>
        </is>
      </c>
      <c r="AS115" s="78" t="inlineStr">
        <is>
          <t>—</t>
        </is>
      </c>
      <c r="AT115" s="78" t="inlineStr">
        <is>
          <t>☑</t>
        </is>
      </c>
      <c r="AU115" s="79" t="inlineStr">
        <is>
          <t>☑</t>
        </is>
      </c>
      <c r="AV115" s="78" t="inlineStr">
        <is>
          <t>☑</t>
        </is>
      </c>
      <c r="AW115" s="79" t="inlineStr">
        <is>
          <t>☑</t>
        </is>
      </c>
      <c r="AX115" s="79" t="inlineStr">
        <is>
          <t>☑</t>
        </is>
      </c>
      <c r="AY115" s="79" t="inlineStr">
        <is>
          <t>☑</t>
        </is>
      </c>
      <c r="AZ115" s="79" t="inlineStr">
        <is>
          <t>☑</t>
        </is>
      </c>
      <c r="BA115" s="79" t="inlineStr">
        <is>
          <t>☑</t>
        </is>
      </c>
      <c r="BB115" s="79" t="inlineStr">
        <is>
          <t>☑</t>
        </is>
      </c>
      <c r="BC115" s="79" t="inlineStr">
        <is>
          <t>☑</t>
        </is>
      </c>
      <c r="BD115" s="79" t="inlineStr">
        <is>
          <t>☑</t>
        </is>
      </c>
      <c r="BE115" s="79" t="inlineStr">
        <is>
          <t>☑</t>
        </is>
      </c>
      <c r="BF115" s="78" t="inlineStr">
        <is>
          <t>—</t>
        </is>
      </c>
      <c r="BG115" s="79" t="inlineStr">
        <is>
          <t>☑</t>
        </is>
      </c>
      <c r="BH115" s="78" t="inlineStr">
        <is>
          <t>—</t>
        </is>
      </c>
      <c r="BI115" s="78" t="inlineStr">
        <is>
          <t>☑</t>
        </is>
      </c>
      <c r="BJ115" s="79" t="inlineStr">
        <is>
          <t>☑</t>
        </is>
      </c>
      <c r="BK115" s="78" t="inlineStr">
        <is>
          <t>☑</t>
        </is>
      </c>
      <c r="BL115" s="79" t="inlineStr">
        <is>
          <t>☑</t>
        </is>
      </c>
      <c r="BM115" s="79" t="inlineStr">
        <is>
          <t>☑</t>
        </is>
      </c>
      <c r="BN115" s="79" t="inlineStr">
        <is>
          <t>☑</t>
        </is>
      </c>
      <c r="BO115" s="79" t="inlineStr">
        <is>
          <t>☑</t>
        </is>
      </c>
    </row>
    <row r="116">
      <c r="A116" s="79" t="n">
        <v>109</v>
      </c>
      <c r="B116" s="79" t="inlineStr">
        <is>
          <t>325106410109</t>
        </is>
      </c>
      <c r="C116" s="79" t="inlineStr">
        <is>
          <t>STELIO LUIS</t>
        </is>
      </c>
      <c r="D116" s="79" t="inlineStr">
        <is>
          <t>☑</t>
        </is>
      </c>
      <c r="E116" s="79" t="inlineStr">
        <is>
          <t>☑</t>
        </is>
      </c>
      <c r="F116" s="79" t="inlineStr">
        <is>
          <t>☑</t>
        </is>
      </c>
      <c r="G116" s="79" t="inlineStr">
        <is>
          <t>☑</t>
        </is>
      </c>
      <c r="H116" s="79" t="inlineStr">
        <is>
          <t>☑</t>
        </is>
      </c>
      <c r="I116" s="79" t="inlineStr">
        <is>
          <t>☑</t>
        </is>
      </c>
      <c r="J116" s="79" t="inlineStr">
        <is>
          <t>☑</t>
        </is>
      </c>
      <c r="K116" s="79" t="inlineStr">
        <is>
          <t>☑</t>
        </is>
      </c>
      <c r="L116" s="79" t="inlineStr">
        <is>
          <t>☑</t>
        </is>
      </c>
      <c r="M116" s="78" t="inlineStr">
        <is>
          <t>—</t>
        </is>
      </c>
      <c r="N116" s="79" t="inlineStr">
        <is>
          <t>☑</t>
        </is>
      </c>
      <c r="O116" s="78" t="inlineStr">
        <is>
          <t>—</t>
        </is>
      </c>
      <c r="P116" s="78" t="inlineStr">
        <is>
          <t>☑</t>
        </is>
      </c>
      <c r="Q116" s="79" t="inlineStr">
        <is>
          <t>☑</t>
        </is>
      </c>
      <c r="R116" s="78" t="inlineStr">
        <is>
          <t>☑</t>
        </is>
      </c>
      <c r="S116" s="79" t="inlineStr">
        <is>
          <t>☑</t>
        </is>
      </c>
      <c r="T116" s="79" t="inlineStr">
        <is>
          <t>☑</t>
        </is>
      </c>
      <c r="U116" s="79" t="inlineStr">
        <is>
          <t>☑</t>
        </is>
      </c>
      <c r="V116" s="79" t="inlineStr">
        <is>
          <t>☑</t>
        </is>
      </c>
      <c r="W116" s="79" t="inlineStr">
        <is>
          <t>☑</t>
        </is>
      </c>
      <c r="X116" s="79" t="inlineStr">
        <is>
          <t>☑</t>
        </is>
      </c>
      <c r="Y116" s="79" t="inlineStr">
        <is>
          <t>☑</t>
        </is>
      </c>
      <c r="Z116" s="79" t="inlineStr">
        <is>
          <t>☑</t>
        </is>
      </c>
      <c r="AA116" s="79" t="inlineStr">
        <is>
          <t>☑</t>
        </is>
      </c>
      <c r="AB116" s="78" t="inlineStr">
        <is>
          <t>—</t>
        </is>
      </c>
      <c r="AC116" s="79" t="inlineStr">
        <is>
          <t>☑</t>
        </is>
      </c>
      <c r="AD116" s="78" t="inlineStr">
        <is>
          <t>—</t>
        </is>
      </c>
      <c r="AE116" s="78" t="inlineStr">
        <is>
          <t>☑</t>
        </is>
      </c>
      <c r="AF116" s="79" t="inlineStr">
        <is>
          <t>☑</t>
        </is>
      </c>
      <c r="AG116" s="78" t="inlineStr">
        <is>
          <t>☑</t>
        </is>
      </c>
      <c r="AH116" s="79" t="inlineStr">
        <is>
          <t>☑</t>
        </is>
      </c>
      <c r="AI116" s="79" t="inlineStr">
        <is>
          <t>☑</t>
        </is>
      </c>
      <c r="AJ116" s="79" t="inlineStr">
        <is>
          <t>☑</t>
        </is>
      </c>
      <c r="AK116" s="79" t="inlineStr">
        <is>
          <t>☑</t>
        </is>
      </c>
      <c r="AL116" s="79" t="inlineStr">
        <is>
          <t>☑</t>
        </is>
      </c>
      <c r="AM116" s="79" t="inlineStr">
        <is>
          <t>☑</t>
        </is>
      </c>
      <c r="AN116" s="79" t="inlineStr">
        <is>
          <t>☑</t>
        </is>
      </c>
      <c r="AO116" s="79" t="inlineStr">
        <is>
          <t>☑</t>
        </is>
      </c>
      <c r="AP116" s="79" t="inlineStr">
        <is>
          <t>☑</t>
        </is>
      </c>
      <c r="AQ116" s="78" t="inlineStr">
        <is>
          <t>—</t>
        </is>
      </c>
      <c r="AR116" s="79" t="inlineStr">
        <is>
          <t>☑</t>
        </is>
      </c>
      <c r="AS116" s="78" t="inlineStr">
        <is>
          <t>—</t>
        </is>
      </c>
      <c r="AT116" s="78" t="inlineStr">
        <is>
          <t>☑</t>
        </is>
      </c>
      <c r="AU116" s="79" t="inlineStr">
        <is>
          <t>☑</t>
        </is>
      </c>
      <c r="AV116" s="78" t="inlineStr">
        <is>
          <t>☑</t>
        </is>
      </c>
      <c r="AW116" s="79" t="inlineStr">
        <is>
          <t>☑</t>
        </is>
      </c>
      <c r="AX116" s="79" t="inlineStr">
        <is>
          <t>☑</t>
        </is>
      </c>
      <c r="AY116" s="79" t="inlineStr">
        <is>
          <t>☑</t>
        </is>
      </c>
      <c r="AZ116" s="79" t="inlineStr">
        <is>
          <t>☑</t>
        </is>
      </c>
      <c r="BA116" s="79" t="inlineStr">
        <is>
          <t>☑</t>
        </is>
      </c>
      <c r="BB116" s="79" t="inlineStr">
        <is>
          <t>☑</t>
        </is>
      </c>
      <c r="BC116" s="79" t="inlineStr">
        <is>
          <t>☑</t>
        </is>
      </c>
      <c r="BD116" s="79" t="inlineStr">
        <is>
          <t>☑</t>
        </is>
      </c>
      <c r="BE116" s="79" t="inlineStr">
        <is>
          <t>☑</t>
        </is>
      </c>
      <c r="BF116" s="78" t="inlineStr">
        <is>
          <t>—</t>
        </is>
      </c>
      <c r="BG116" s="79" t="inlineStr">
        <is>
          <t>☑</t>
        </is>
      </c>
      <c r="BH116" s="78" t="inlineStr">
        <is>
          <t>—</t>
        </is>
      </c>
      <c r="BI116" s="78" t="inlineStr">
        <is>
          <t>☑</t>
        </is>
      </c>
      <c r="BJ116" s="79" t="inlineStr">
        <is>
          <t>☑</t>
        </is>
      </c>
      <c r="BK116" s="78" t="inlineStr">
        <is>
          <t>☑</t>
        </is>
      </c>
      <c r="BL116" s="79" t="inlineStr">
        <is>
          <t>☑</t>
        </is>
      </c>
      <c r="BM116" s="79" t="inlineStr">
        <is>
          <t>☑</t>
        </is>
      </c>
      <c r="BN116" s="79" t="inlineStr">
        <is>
          <t>☑</t>
        </is>
      </c>
      <c r="BO116" s="79" t="inlineStr">
        <is>
          <t>☑</t>
        </is>
      </c>
    </row>
    <row r="117">
      <c r="A117" s="79" t="n">
        <v>110</v>
      </c>
      <c r="B117" s="79" t="inlineStr">
        <is>
          <t>325106410110</t>
        </is>
      </c>
      <c r="C117" s="79" t="inlineStr">
        <is>
          <t>SUSANTHA CHOWDHURY</t>
        </is>
      </c>
      <c r="D117" s="79" t="inlineStr">
        <is>
          <t>☑</t>
        </is>
      </c>
      <c r="E117" s="79" t="inlineStr">
        <is>
          <t>☑</t>
        </is>
      </c>
      <c r="F117" s="79" t="inlineStr">
        <is>
          <t>☑</t>
        </is>
      </c>
      <c r="G117" s="79" t="inlineStr">
        <is>
          <t>☑</t>
        </is>
      </c>
      <c r="H117" s="79" t="inlineStr">
        <is>
          <t>☑</t>
        </is>
      </c>
      <c r="I117" s="79" t="inlineStr">
        <is>
          <t>☑</t>
        </is>
      </c>
      <c r="J117" s="79" t="inlineStr">
        <is>
          <t>☑</t>
        </is>
      </c>
      <c r="K117" s="79" t="inlineStr">
        <is>
          <t>☑</t>
        </is>
      </c>
      <c r="L117" s="79" t="inlineStr">
        <is>
          <t>☑</t>
        </is>
      </c>
      <c r="M117" s="78" t="inlineStr">
        <is>
          <t>—</t>
        </is>
      </c>
      <c r="N117" s="79" t="inlineStr">
        <is>
          <t>☑</t>
        </is>
      </c>
      <c r="O117" s="78" t="inlineStr">
        <is>
          <t>—</t>
        </is>
      </c>
      <c r="P117" s="78" t="inlineStr">
        <is>
          <t>☑</t>
        </is>
      </c>
      <c r="Q117" s="79" t="inlineStr">
        <is>
          <t>☑</t>
        </is>
      </c>
      <c r="R117" s="78" t="inlineStr">
        <is>
          <t>☑</t>
        </is>
      </c>
      <c r="S117" s="79" t="inlineStr">
        <is>
          <t>☑</t>
        </is>
      </c>
      <c r="T117" s="79" t="inlineStr">
        <is>
          <t>☑</t>
        </is>
      </c>
      <c r="U117" s="79" t="inlineStr">
        <is>
          <t>☑</t>
        </is>
      </c>
      <c r="V117" s="79" t="inlineStr">
        <is>
          <t>☑</t>
        </is>
      </c>
      <c r="W117" s="79" t="inlineStr">
        <is>
          <t>☑</t>
        </is>
      </c>
      <c r="X117" s="79" t="inlineStr">
        <is>
          <t>☑</t>
        </is>
      </c>
      <c r="Y117" s="79" t="inlineStr">
        <is>
          <t>☑</t>
        </is>
      </c>
      <c r="Z117" s="79" t="inlineStr">
        <is>
          <t>☑</t>
        </is>
      </c>
      <c r="AA117" s="79" t="inlineStr">
        <is>
          <t>☑</t>
        </is>
      </c>
      <c r="AB117" s="78" t="inlineStr">
        <is>
          <t>—</t>
        </is>
      </c>
      <c r="AC117" s="79" t="inlineStr">
        <is>
          <t>☑</t>
        </is>
      </c>
      <c r="AD117" s="78" t="inlineStr">
        <is>
          <t>—</t>
        </is>
      </c>
      <c r="AE117" s="78" t="inlineStr">
        <is>
          <t>☑</t>
        </is>
      </c>
      <c r="AF117" s="79" t="inlineStr">
        <is>
          <t>☑</t>
        </is>
      </c>
      <c r="AG117" s="78" t="inlineStr">
        <is>
          <t>☑</t>
        </is>
      </c>
      <c r="AH117" s="79" t="inlineStr">
        <is>
          <t>☑</t>
        </is>
      </c>
      <c r="AI117" s="79" t="inlineStr">
        <is>
          <t>☑</t>
        </is>
      </c>
      <c r="AJ117" s="79" t="inlineStr">
        <is>
          <t>☑</t>
        </is>
      </c>
      <c r="AK117" s="79" t="inlineStr">
        <is>
          <t>☑</t>
        </is>
      </c>
      <c r="AL117" s="79" t="inlineStr">
        <is>
          <t>☑</t>
        </is>
      </c>
      <c r="AM117" s="79" t="inlineStr">
        <is>
          <t>☑</t>
        </is>
      </c>
      <c r="AN117" s="79" t="inlineStr">
        <is>
          <t>☑</t>
        </is>
      </c>
      <c r="AO117" s="79" t="inlineStr">
        <is>
          <t>☑</t>
        </is>
      </c>
      <c r="AP117" s="79" t="inlineStr">
        <is>
          <t>☑</t>
        </is>
      </c>
      <c r="AQ117" s="78" t="inlineStr">
        <is>
          <t>—</t>
        </is>
      </c>
      <c r="AR117" s="79" t="inlineStr">
        <is>
          <t>☑</t>
        </is>
      </c>
      <c r="AS117" s="78" t="inlineStr">
        <is>
          <t>—</t>
        </is>
      </c>
      <c r="AT117" s="78" t="inlineStr">
        <is>
          <t>☑</t>
        </is>
      </c>
      <c r="AU117" s="79" t="inlineStr">
        <is>
          <t>☑</t>
        </is>
      </c>
      <c r="AV117" s="78" t="inlineStr">
        <is>
          <t>☑</t>
        </is>
      </c>
      <c r="AW117" s="79" t="inlineStr">
        <is>
          <t>☑</t>
        </is>
      </c>
      <c r="AX117" s="79" t="inlineStr">
        <is>
          <t>☑</t>
        </is>
      </c>
      <c r="AY117" s="79" t="inlineStr">
        <is>
          <t>☑</t>
        </is>
      </c>
      <c r="AZ117" s="79" t="inlineStr">
        <is>
          <t>☑</t>
        </is>
      </c>
      <c r="BA117" s="79" t="inlineStr">
        <is>
          <t>☑</t>
        </is>
      </c>
      <c r="BB117" s="79" t="inlineStr">
        <is>
          <t>☑</t>
        </is>
      </c>
      <c r="BC117" s="79" t="inlineStr">
        <is>
          <t>☑</t>
        </is>
      </c>
      <c r="BD117" s="79" t="inlineStr">
        <is>
          <t>☑</t>
        </is>
      </c>
      <c r="BE117" s="79" t="inlineStr">
        <is>
          <t>☑</t>
        </is>
      </c>
      <c r="BF117" s="78" t="inlineStr">
        <is>
          <t>—</t>
        </is>
      </c>
      <c r="BG117" s="79" t="inlineStr">
        <is>
          <t>☑</t>
        </is>
      </c>
      <c r="BH117" s="78" t="inlineStr">
        <is>
          <t>—</t>
        </is>
      </c>
      <c r="BI117" s="78" t="inlineStr">
        <is>
          <t>☑</t>
        </is>
      </c>
      <c r="BJ117" s="79" t="inlineStr">
        <is>
          <t>☑</t>
        </is>
      </c>
      <c r="BK117" s="78" t="inlineStr">
        <is>
          <t>☑</t>
        </is>
      </c>
      <c r="BL117" s="79" t="inlineStr">
        <is>
          <t>☑</t>
        </is>
      </c>
      <c r="BM117" s="79" t="inlineStr">
        <is>
          <t>☑</t>
        </is>
      </c>
      <c r="BN117" s="79" t="inlineStr">
        <is>
          <t>☑</t>
        </is>
      </c>
      <c r="BO117" s="79" t="inlineStr">
        <is>
          <t>☑</t>
        </is>
      </c>
    </row>
    <row r="118">
      <c r="A118" s="79" t="n">
        <v>111</v>
      </c>
      <c r="B118" s="79" t="inlineStr">
        <is>
          <t>325106410111</t>
        </is>
      </c>
      <c r="C118" s="79" t="inlineStr">
        <is>
          <t>TJITAREE TJIUMBUA</t>
        </is>
      </c>
      <c r="D118" s="79" t="inlineStr">
        <is>
          <t>☑</t>
        </is>
      </c>
      <c r="E118" s="79" t="inlineStr">
        <is>
          <t>☑</t>
        </is>
      </c>
      <c r="F118" s="79" t="inlineStr">
        <is>
          <t>☑</t>
        </is>
      </c>
      <c r="G118" s="79" t="inlineStr">
        <is>
          <t>☑</t>
        </is>
      </c>
      <c r="H118" s="79" t="inlineStr">
        <is>
          <t>☑</t>
        </is>
      </c>
      <c r="I118" s="79" t="inlineStr">
        <is>
          <t>☑</t>
        </is>
      </c>
      <c r="J118" s="79" t="inlineStr">
        <is>
          <t>☑</t>
        </is>
      </c>
      <c r="K118" s="79" t="inlineStr">
        <is>
          <t>☑</t>
        </is>
      </c>
      <c r="L118" s="79" t="inlineStr">
        <is>
          <t>☑</t>
        </is>
      </c>
      <c r="M118" s="78" t="inlineStr">
        <is>
          <t>—</t>
        </is>
      </c>
      <c r="N118" s="79" t="inlineStr">
        <is>
          <t>☑</t>
        </is>
      </c>
      <c r="O118" s="78" t="inlineStr">
        <is>
          <t>—</t>
        </is>
      </c>
      <c r="P118" s="78" t="inlineStr">
        <is>
          <t>☑</t>
        </is>
      </c>
      <c r="Q118" s="79" t="inlineStr">
        <is>
          <t>☑</t>
        </is>
      </c>
      <c r="R118" s="78" t="inlineStr">
        <is>
          <t>☑</t>
        </is>
      </c>
      <c r="S118" s="79" t="inlineStr">
        <is>
          <t>☑</t>
        </is>
      </c>
      <c r="T118" s="79" t="inlineStr">
        <is>
          <t>☑</t>
        </is>
      </c>
      <c r="U118" s="79" t="inlineStr">
        <is>
          <t>☑</t>
        </is>
      </c>
      <c r="V118" s="79" t="inlineStr">
        <is>
          <t>☑</t>
        </is>
      </c>
      <c r="W118" s="79" t="inlineStr">
        <is>
          <t>☑</t>
        </is>
      </c>
      <c r="X118" s="79" t="inlineStr">
        <is>
          <t>☑</t>
        </is>
      </c>
      <c r="Y118" s="79" t="inlineStr">
        <is>
          <t>☑</t>
        </is>
      </c>
      <c r="Z118" s="79" t="inlineStr">
        <is>
          <t>☑</t>
        </is>
      </c>
      <c r="AA118" s="79" t="inlineStr">
        <is>
          <t>☑</t>
        </is>
      </c>
      <c r="AB118" s="78" t="inlineStr">
        <is>
          <t>—</t>
        </is>
      </c>
      <c r="AC118" s="79" t="inlineStr">
        <is>
          <t>☑</t>
        </is>
      </c>
      <c r="AD118" s="78" t="inlineStr">
        <is>
          <t>—</t>
        </is>
      </c>
      <c r="AE118" s="78" t="inlineStr">
        <is>
          <t>☑</t>
        </is>
      </c>
      <c r="AF118" s="79" t="inlineStr">
        <is>
          <t>☑</t>
        </is>
      </c>
      <c r="AG118" s="78" t="inlineStr">
        <is>
          <t>☑</t>
        </is>
      </c>
      <c r="AH118" s="79" t="inlineStr">
        <is>
          <t>☑</t>
        </is>
      </c>
      <c r="AI118" s="79" t="inlineStr">
        <is>
          <t>☑</t>
        </is>
      </c>
      <c r="AJ118" s="79" t="inlineStr">
        <is>
          <t>☑</t>
        </is>
      </c>
      <c r="AK118" s="79" t="inlineStr">
        <is>
          <t>☑</t>
        </is>
      </c>
      <c r="AL118" s="79" t="inlineStr">
        <is>
          <t>☑</t>
        </is>
      </c>
      <c r="AM118" s="79" t="inlineStr">
        <is>
          <t>☑</t>
        </is>
      </c>
      <c r="AN118" s="79" t="inlineStr">
        <is>
          <t>☑</t>
        </is>
      </c>
      <c r="AO118" s="79" t="inlineStr">
        <is>
          <t>☑</t>
        </is>
      </c>
      <c r="AP118" s="79" t="inlineStr">
        <is>
          <t>☑</t>
        </is>
      </c>
      <c r="AQ118" s="78" t="inlineStr">
        <is>
          <t>—</t>
        </is>
      </c>
      <c r="AR118" s="79" t="inlineStr">
        <is>
          <t>☑</t>
        </is>
      </c>
      <c r="AS118" s="78" t="inlineStr">
        <is>
          <t>—</t>
        </is>
      </c>
      <c r="AT118" s="78" t="inlineStr">
        <is>
          <t>☑</t>
        </is>
      </c>
      <c r="AU118" s="79" t="inlineStr">
        <is>
          <t>☑</t>
        </is>
      </c>
      <c r="AV118" s="78" t="inlineStr">
        <is>
          <t>☑</t>
        </is>
      </c>
      <c r="AW118" s="79" t="inlineStr">
        <is>
          <t>☑</t>
        </is>
      </c>
      <c r="AX118" s="79" t="inlineStr">
        <is>
          <t>☑</t>
        </is>
      </c>
      <c r="AY118" s="79" t="inlineStr">
        <is>
          <t>☑</t>
        </is>
      </c>
      <c r="AZ118" s="79" t="inlineStr">
        <is>
          <t>☑</t>
        </is>
      </c>
      <c r="BA118" s="79" t="inlineStr">
        <is>
          <t>☑</t>
        </is>
      </c>
      <c r="BB118" s="79" t="inlineStr">
        <is>
          <t>☑</t>
        </is>
      </c>
      <c r="BC118" s="79" t="inlineStr">
        <is>
          <t>☑</t>
        </is>
      </c>
      <c r="BD118" s="79" t="inlineStr">
        <is>
          <t>☑</t>
        </is>
      </c>
      <c r="BE118" s="79" t="inlineStr">
        <is>
          <t>☑</t>
        </is>
      </c>
      <c r="BF118" s="78" t="inlineStr">
        <is>
          <t>—</t>
        </is>
      </c>
      <c r="BG118" s="79" t="inlineStr">
        <is>
          <t>☑</t>
        </is>
      </c>
      <c r="BH118" s="78" t="inlineStr">
        <is>
          <t>—</t>
        </is>
      </c>
      <c r="BI118" s="78" t="inlineStr">
        <is>
          <t>☑</t>
        </is>
      </c>
      <c r="BJ118" s="79" t="inlineStr">
        <is>
          <t>☑</t>
        </is>
      </c>
      <c r="BK118" s="78" t="inlineStr">
        <is>
          <t>☑</t>
        </is>
      </c>
      <c r="BL118" s="79" t="inlineStr">
        <is>
          <t>☑</t>
        </is>
      </c>
      <c r="BM118" s="79" t="inlineStr">
        <is>
          <t>☑</t>
        </is>
      </c>
      <c r="BN118" s="79" t="inlineStr">
        <is>
          <t>☑</t>
        </is>
      </c>
      <c r="BO118" s="79" t="inlineStr">
        <is>
          <t>☑</t>
        </is>
      </c>
    </row>
    <row r="119">
      <c r="A119" s="79" t="n">
        <v>112</v>
      </c>
      <c r="B119" s="79" t="inlineStr">
        <is>
          <t>325106410112</t>
        </is>
      </c>
      <c r="C119" s="79" t="inlineStr">
        <is>
          <t>TOTHAGOTA DEY KABBO</t>
        </is>
      </c>
      <c r="D119" s="79" t="inlineStr">
        <is>
          <t>☑</t>
        </is>
      </c>
      <c r="E119" s="79" t="inlineStr">
        <is>
          <t>☑</t>
        </is>
      </c>
      <c r="F119" s="79" t="inlineStr">
        <is>
          <t>☑</t>
        </is>
      </c>
      <c r="G119" s="79" t="inlineStr">
        <is>
          <t>☑</t>
        </is>
      </c>
      <c r="H119" s="79" t="inlineStr">
        <is>
          <t>☑</t>
        </is>
      </c>
      <c r="I119" s="79" t="inlineStr">
        <is>
          <t>☑</t>
        </is>
      </c>
      <c r="J119" s="79" t="inlineStr">
        <is>
          <t>☑</t>
        </is>
      </c>
      <c r="K119" s="79" t="inlineStr">
        <is>
          <t>☑</t>
        </is>
      </c>
      <c r="L119" s="79" t="inlineStr">
        <is>
          <t>☑</t>
        </is>
      </c>
      <c r="M119" s="78" t="inlineStr">
        <is>
          <t>—</t>
        </is>
      </c>
      <c r="N119" s="79" t="inlineStr">
        <is>
          <t>☑</t>
        </is>
      </c>
      <c r="O119" s="78" t="inlineStr">
        <is>
          <t>—</t>
        </is>
      </c>
      <c r="P119" s="78" t="inlineStr">
        <is>
          <t>☑</t>
        </is>
      </c>
      <c r="Q119" s="79" t="inlineStr">
        <is>
          <t>☑</t>
        </is>
      </c>
      <c r="R119" s="78" t="inlineStr">
        <is>
          <t>☑</t>
        </is>
      </c>
      <c r="S119" s="79" t="inlineStr">
        <is>
          <t>☑</t>
        </is>
      </c>
      <c r="T119" s="79" t="inlineStr">
        <is>
          <t>☑</t>
        </is>
      </c>
      <c r="U119" s="79" t="inlineStr">
        <is>
          <t>☑</t>
        </is>
      </c>
      <c r="V119" s="79" t="inlineStr">
        <is>
          <t>☑</t>
        </is>
      </c>
      <c r="W119" s="79" t="inlineStr">
        <is>
          <t>☑</t>
        </is>
      </c>
      <c r="X119" s="79" t="inlineStr">
        <is>
          <t>☑</t>
        </is>
      </c>
      <c r="Y119" s="79" t="inlineStr">
        <is>
          <t>☑</t>
        </is>
      </c>
      <c r="Z119" s="79" t="inlineStr">
        <is>
          <t>☑</t>
        </is>
      </c>
      <c r="AA119" s="79" t="inlineStr">
        <is>
          <t>☑</t>
        </is>
      </c>
      <c r="AB119" s="78" t="inlineStr">
        <is>
          <t>—</t>
        </is>
      </c>
      <c r="AC119" s="79" t="inlineStr">
        <is>
          <t>☑</t>
        </is>
      </c>
      <c r="AD119" s="78" t="inlineStr">
        <is>
          <t>—</t>
        </is>
      </c>
      <c r="AE119" s="78" t="inlineStr">
        <is>
          <t>☑</t>
        </is>
      </c>
      <c r="AF119" s="79" t="inlineStr">
        <is>
          <t>☑</t>
        </is>
      </c>
      <c r="AG119" s="78" t="inlineStr">
        <is>
          <t>☑</t>
        </is>
      </c>
      <c r="AH119" s="79" t="inlineStr">
        <is>
          <t>☑</t>
        </is>
      </c>
      <c r="AI119" s="79" t="inlineStr">
        <is>
          <t>☑</t>
        </is>
      </c>
      <c r="AJ119" s="79" t="inlineStr">
        <is>
          <t>☑</t>
        </is>
      </c>
      <c r="AK119" s="79" t="inlineStr">
        <is>
          <t>☑</t>
        </is>
      </c>
      <c r="AL119" s="79" t="inlineStr">
        <is>
          <t>☑</t>
        </is>
      </c>
      <c r="AM119" s="79" t="inlineStr">
        <is>
          <t>☑</t>
        </is>
      </c>
      <c r="AN119" s="79" t="inlineStr">
        <is>
          <t>☑</t>
        </is>
      </c>
      <c r="AO119" s="79" t="inlineStr">
        <is>
          <t>☑</t>
        </is>
      </c>
      <c r="AP119" s="79" t="inlineStr">
        <is>
          <t>☑</t>
        </is>
      </c>
      <c r="AQ119" s="78" t="inlineStr">
        <is>
          <t>—</t>
        </is>
      </c>
      <c r="AR119" s="79" t="inlineStr">
        <is>
          <t>☑</t>
        </is>
      </c>
      <c r="AS119" s="78" t="inlineStr">
        <is>
          <t>—</t>
        </is>
      </c>
      <c r="AT119" s="78" t="inlineStr">
        <is>
          <t>☑</t>
        </is>
      </c>
      <c r="AU119" s="79" t="inlineStr">
        <is>
          <t>☑</t>
        </is>
      </c>
      <c r="AV119" s="78" t="inlineStr">
        <is>
          <t>☑</t>
        </is>
      </c>
      <c r="AW119" s="79" t="inlineStr">
        <is>
          <t>☑</t>
        </is>
      </c>
      <c r="AX119" s="79" t="inlineStr">
        <is>
          <t>☑</t>
        </is>
      </c>
      <c r="AY119" s="79" t="inlineStr">
        <is>
          <t>☑</t>
        </is>
      </c>
      <c r="AZ119" s="79" t="inlineStr">
        <is>
          <t>☑</t>
        </is>
      </c>
      <c r="BA119" s="79" t="inlineStr">
        <is>
          <t>☑</t>
        </is>
      </c>
      <c r="BB119" s="79" t="inlineStr">
        <is>
          <t>☑</t>
        </is>
      </c>
      <c r="BC119" s="79" t="inlineStr">
        <is>
          <t>☑</t>
        </is>
      </c>
      <c r="BD119" s="79" t="inlineStr">
        <is>
          <t>☑</t>
        </is>
      </c>
      <c r="BE119" s="79" t="inlineStr">
        <is>
          <t>☑</t>
        </is>
      </c>
      <c r="BF119" s="78" t="inlineStr">
        <is>
          <t>—</t>
        </is>
      </c>
      <c r="BG119" s="79" t="inlineStr">
        <is>
          <t>☑</t>
        </is>
      </c>
      <c r="BH119" s="78" t="inlineStr">
        <is>
          <t>—</t>
        </is>
      </c>
      <c r="BI119" s="78" t="inlineStr">
        <is>
          <t>☑</t>
        </is>
      </c>
      <c r="BJ119" s="79" t="inlineStr">
        <is>
          <t>☑</t>
        </is>
      </c>
      <c r="BK119" s="78" t="inlineStr">
        <is>
          <t>☑</t>
        </is>
      </c>
      <c r="BL119" s="79" t="inlineStr">
        <is>
          <t>☑</t>
        </is>
      </c>
      <c r="BM119" s="79" t="inlineStr">
        <is>
          <t>☑</t>
        </is>
      </c>
      <c r="BN119" s="79" t="inlineStr">
        <is>
          <t>☑</t>
        </is>
      </c>
      <c r="BO119" s="79" t="inlineStr">
        <is>
          <t>☑</t>
        </is>
      </c>
    </row>
    <row r="120">
      <c r="A120" s="79" t="n">
        <v>113</v>
      </c>
      <c r="B120" s="79" t="inlineStr">
        <is>
          <t>325106410113</t>
        </is>
      </c>
      <c r="C120" s="79" t="inlineStr">
        <is>
          <t>TUMPA DEBNATH</t>
        </is>
      </c>
      <c r="D120" s="79" t="inlineStr">
        <is>
          <t>☑</t>
        </is>
      </c>
      <c r="E120" s="79" t="inlineStr">
        <is>
          <t>☑</t>
        </is>
      </c>
      <c r="F120" s="79" t="inlineStr">
        <is>
          <t>☑</t>
        </is>
      </c>
      <c r="G120" s="79" t="inlineStr">
        <is>
          <t>☑</t>
        </is>
      </c>
      <c r="H120" s="79" t="inlineStr">
        <is>
          <t>☑</t>
        </is>
      </c>
      <c r="I120" s="79" t="inlineStr">
        <is>
          <t>☑</t>
        </is>
      </c>
      <c r="J120" s="79" t="inlineStr">
        <is>
          <t>☑</t>
        </is>
      </c>
      <c r="K120" s="79" t="inlineStr">
        <is>
          <t>☑</t>
        </is>
      </c>
      <c r="L120" s="79" t="inlineStr">
        <is>
          <t>☑</t>
        </is>
      </c>
      <c r="M120" s="78" t="inlineStr">
        <is>
          <t>—</t>
        </is>
      </c>
      <c r="N120" s="79" t="inlineStr">
        <is>
          <t>☑</t>
        </is>
      </c>
      <c r="O120" s="78" t="inlineStr">
        <is>
          <t>—</t>
        </is>
      </c>
      <c r="P120" s="78" t="inlineStr">
        <is>
          <t>☑</t>
        </is>
      </c>
      <c r="Q120" s="79" t="inlineStr">
        <is>
          <t>☑</t>
        </is>
      </c>
      <c r="R120" s="78" t="inlineStr">
        <is>
          <t>☑</t>
        </is>
      </c>
      <c r="S120" s="79" t="inlineStr">
        <is>
          <t>☑</t>
        </is>
      </c>
      <c r="T120" s="79" t="inlineStr">
        <is>
          <t>☑</t>
        </is>
      </c>
      <c r="U120" s="79" t="inlineStr">
        <is>
          <t>☑</t>
        </is>
      </c>
      <c r="V120" s="79" t="inlineStr">
        <is>
          <t>☑</t>
        </is>
      </c>
      <c r="W120" s="79" t="inlineStr">
        <is>
          <t>☑</t>
        </is>
      </c>
      <c r="X120" s="79" t="inlineStr">
        <is>
          <t>☑</t>
        </is>
      </c>
      <c r="Y120" s="79" t="inlineStr">
        <is>
          <t>☑</t>
        </is>
      </c>
      <c r="Z120" s="79" t="inlineStr">
        <is>
          <t>☑</t>
        </is>
      </c>
      <c r="AA120" s="79" t="inlineStr">
        <is>
          <t>☑</t>
        </is>
      </c>
      <c r="AB120" s="78" t="inlineStr">
        <is>
          <t>—</t>
        </is>
      </c>
      <c r="AC120" s="79" t="inlineStr">
        <is>
          <t>☑</t>
        </is>
      </c>
      <c r="AD120" s="78" t="inlineStr">
        <is>
          <t>—</t>
        </is>
      </c>
      <c r="AE120" s="78" t="inlineStr">
        <is>
          <t>☑</t>
        </is>
      </c>
      <c r="AF120" s="79" t="inlineStr">
        <is>
          <t>☑</t>
        </is>
      </c>
      <c r="AG120" s="78" t="inlineStr">
        <is>
          <t>☑</t>
        </is>
      </c>
      <c r="AH120" s="79" t="inlineStr">
        <is>
          <t>☑</t>
        </is>
      </c>
      <c r="AI120" s="79" t="inlineStr">
        <is>
          <t>☑</t>
        </is>
      </c>
      <c r="AJ120" s="79" t="inlineStr">
        <is>
          <t>☑</t>
        </is>
      </c>
      <c r="AK120" s="79" t="inlineStr">
        <is>
          <t>☑</t>
        </is>
      </c>
      <c r="AL120" s="79" t="inlineStr">
        <is>
          <t>☑</t>
        </is>
      </c>
      <c r="AM120" s="79" t="inlineStr">
        <is>
          <t>☑</t>
        </is>
      </c>
      <c r="AN120" s="79" t="inlineStr">
        <is>
          <t>☑</t>
        </is>
      </c>
      <c r="AO120" s="79" t="inlineStr">
        <is>
          <t>☑</t>
        </is>
      </c>
      <c r="AP120" s="79" t="inlineStr">
        <is>
          <t>☑</t>
        </is>
      </c>
      <c r="AQ120" s="78" t="inlineStr">
        <is>
          <t>—</t>
        </is>
      </c>
      <c r="AR120" s="79" t="inlineStr">
        <is>
          <t>☑</t>
        </is>
      </c>
      <c r="AS120" s="78" t="inlineStr">
        <is>
          <t>—</t>
        </is>
      </c>
      <c r="AT120" s="78" t="inlineStr">
        <is>
          <t>☑</t>
        </is>
      </c>
      <c r="AU120" s="79" t="inlineStr">
        <is>
          <t>☑</t>
        </is>
      </c>
      <c r="AV120" s="78" t="inlineStr">
        <is>
          <t>☑</t>
        </is>
      </c>
      <c r="AW120" s="79" t="inlineStr">
        <is>
          <t>☑</t>
        </is>
      </c>
      <c r="AX120" s="79" t="inlineStr">
        <is>
          <t>☑</t>
        </is>
      </c>
      <c r="AY120" s="79" t="inlineStr">
        <is>
          <t>☑</t>
        </is>
      </c>
      <c r="AZ120" s="79" t="inlineStr">
        <is>
          <t>☑</t>
        </is>
      </c>
      <c r="BA120" s="79" t="inlineStr">
        <is>
          <t>☑</t>
        </is>
      </c>
      <c r="BB120" s="79" t="inlineStr">
        <is>
          <t>☑</t>
        </is>
      </c>
      <c r="BC120" s="79" t="inlineStr">
        <is>
          <t>☑</t>
        </is>
      </c>
      <c r="BD120" s="79" t="inlineStr">
        <is>
          <t>☑</t>
        </is>
      </c>
      <c r="BE120" s="79" t="inlineStr">
        <is>
          <t>☑</t>
        </is>
      </c>
      <c r="BF120" s="78" t="inlineStr">
        <is>
          <t>—</t>
        </is>
      </c>
      <c r="BG120" s="79" t="inlineStr">
        <is>
          <t>☑</t>
        </is>
      </c>
      <c r="BH120" s="78" t="inlineStr">
        <is>
          <t>—</t>
        </is>
      </c>
      <c r="BI120" s="78" t="inlineStr">
        <is>
          <t>☑</t>
        </is>
      </c>
      <c r="BJ120" s="79" t="inlineStr">
        <is>
          <t>☑</t>
        </is>
      </c>
      <c r="BK120" s="78" t="inlineStr">
        <is>
          <t>☑</t>
        </is>
      </c>
      <c r="BL120" s="79" t="inlineStr">
        <is>
          <t>☑</t>
        </is>
      </c>
      <c r="BM120" s="79" t="inlineStr">
        <is>
          <t>☑</t>
        </is>
      </c>
      <c r="BN120" s="79" t="inlineStr">
        <is>
          <t>☑</t>
        </is>
      </c>
      <c r="BO120" s="79" t="inlineStr">
        <is>
          <t>☑</t>
        </is>
      </c>
    </row>
    <row r="121">
      <c r="A121" s="79" t="n">
        <v>114</v>
      </c>
      <c r="B121" s="79" t="inlineStr">
        <is>
          <t>325106410114</t>
        </is>
      </c>
      <c r="C121" s="79" t="inlineStr">
        <is>
          <t>UKASH CHAUDHARY</t>
        </is>
      </c>
      <c r="D121" s="79" t="inlineStr">
        <is>
          <t>☑</t>
        </is>
      </c>
      <c r="E121" s="79" t="inlineStr">
        <is>
          <t>☑</t>
        </is>
      </c>
      <c r="F121" s="79" t="inlineStr">
        <is>
          <t>☑</t>
        </is>
      </c>
      <c r="G121" s="79" t="inlineStr">
        <is>
          <t>☑</t>
        </is>
      </c>
      <c r="H121" s="79" t="inlineStr">
        <is>
          <t>☑</t>
        </is>
      </c>
      <c r="I121" s="79" t="inlineStr">
        <is>
          <t>☑</t>
        </is>
      </c>
      <c r="J121" s="79" t="inlineStr">
        <is>
          <t>☑</t>
        </is>
      </c>
      <c r="K121" s="79" t="inlineStr">
        <is>
          <t>☑</t>
        </is>
      </c>
      <c r="L121" s="79" t="inlineStr">
        <is>
          <t>☑</t>
        </is>
      </c>
      <c r="M121" s="78" t="inlineStr">
        <is>
          <t>—</t>
        </is>
      </c>
      <c r="N121" s="79" t="inlineStr">
        <is>
          <t>☑</t>
        </is>
      </c>
      <c r="O121" s="78" t="inlineStr">
        <is>
          <t>—</t>
        </is>
      </c>
      <c r="P121" s="78" t="inlineStr">
        <is>
          <t>☑</t>
        </is>
      </c>
      <c r="Q121" s="79" t="inlineStr">
        <is>
          <t>☑</t>
        </is>
      </c>
      <c r="R121" s="78" t="inlineStr">
        <is>
          <t>☑</t>
        </is>
      </c>
      <c r="S121" s="79" t="inlineStr">
        <is>
          <t>☑</t>
        </is>
      </c>
      <c r="T121" s="79" t="inlineStr">
        <is>
          <t>☑</t>
        </is>
      </c>
      <c r="U121" s="79" t="inlineStr">
        <is>
          <t>☑</t>
        </is>
      </c>
      <c r="V121" s="79" t="inlineStr">
        <is>
          <t>☑</t>
        </is>
      </c>
      <c r="W121" s="79" t="inlineStr">
        <is>
          <t>☑</t>
        </is>
      </c>
      <c r="X121" s="79" t="inlineStr">
        <is>
          <t>☑</t>
        </is>
      </c>
      <c r="Y121" s="79" t="inlineStr">
        <is>
          <t>☑</t>
        </is>
      </c>
      <c r="Z121" s="79" t="inlineStr">
        <is>
          <t>☑</t>
        </is>
      </c>
      <c r="AA121" s="79" t="inlineStr">
        <is>
          <t>☑</t>
        </is>
      </c>
      <c r="AB121" s="78" t="inlineStr">
        <is>
          <t>—</t>
        </is>
      </c>
      <c r="AC121" s="79" t="inlineStr">
        <is>
          <t>☑</t>
        </is>
      </c>
      <c r="AD121" s="78" t="inlineStr">
        <is>
          <t>—</t>
        </is>
      </c>
      <c r="AE121" s="78" t="inlineStr">
        <is>
          <t>☑</t>
        </is>
      </c>
      <c r="AF121" s="79" t="inlineStr">
        <is>
          <t>☑</t>
        </is>
      </c>
      <c r="AG121" s="78" t="inlineStr">
        <is>
          <t>☑</t>
        </is>
      </c>
      <c r="AH121" s="79" t="inlineStr">
        <is>
          <t>☑</t>
        </is>
      </c>
      <c r="AI121" s="79" t="inlineStr">
        <is>
          <t>☑</t>
        </is>
      </c>
      <c r="AJ121" s="79" t="inlineStr">
        <is>
          <t>☑</t>
        </is>
      </c>
      <c r="AK121" s="79" t="inlineStr">
        <is>
          <t>☑</t>
        </is>
      </c>
      <c r="AL121" s="79" t="inlineStr">
        <is>
          <t>☑</t>
        </is>
      </c>
      <c r="AM121" s="79" t="inlineStr">
        <is>
          <t>☑</t>
        </is>
      </c>
      <c r="AN121" s="79" t="inlineStr">
        <is>
          <t>☑</t>
        </is>
      </c>
      <c r="AO121" s="79" t="inlineStr">
        <is>
          <t>☑</t>
        </is>
      </c>
      <c r="AP121" s="79" t="inlineStr">
        <is>
          <t>☑</t>
        </is>
      </c>
      <c r="AQ121" s="78" t="inlineStr">
        <is>
          <t>—</t>
        </is>
      </c>
      <c r="AR121" s="79" t="inlineStr">
        <is>
          <t>☑</t>
        </is>
      </c>
      <c r="AS121" s="78" t="inlineStr">
        <is>
          <t>—</t>
        </is>
      </c>
      <c r="AT121" s="78" t="inlineStr">
        <is>
          <t>☑</t>
        </is>
      </c>
      <c r="AU121" s="79" t="inlineStr">
        <is>
          <t>☑</t>
        </is>
      </c>
      <c r="AV121" s="78" t="inlineStr">
        <is>
          <t>☑</t>
        </is>
      </c>
      <c r="AW121" s="79" t="inlineStr">
        <is>
          <t>☑</t>
        </is>
      </c>
      <c r="AX121" s="79" t="inlineStr">
        <is>
          <t>☑</t>
        </is>
      </c>
      <c r="AY121" s="79" t="inlineStr">
        <is>
          <t>☑</t>
        </is>
      </c>
      <c r="AZ121" s="79" t="inlineStr">
        <is>
          <t>☑</t>
        </is>
      </c>
      <c r="BA121" s="79" t="inlineStr">
        <is>
          <t>☑</t>
        </is>
      </c>
      <c r="BB121" s="79" t="inlineStr">
        <is>
          <t>☑</t>
        </is>
      </c>
      <c r="BC121" s="79" t="inlineStr">
        <is>
          <t>☑</t>
        </is>
      </c>
      <c r="BD121" s="79" t="inlineStr">
        <is>
          <t>☑</t>
        </is>
      </c>
      <c r="BE121" s="79" t="inlineStr">
        <is>
          <t>☑</t>
        </is>
      </c>
      <c r="BF121" s="78" t="inlineStr">
        <is>
          <t>—</t>
        </is>
      </c>
      <c r="BG121" s="79" t="inlineStr">
        <is>
          <t>☑</t>
        </is>
      </c>
      <c r="BH121" s="78" t="inlineStr">
        <is>
          <t>—</t>
        </is>
      </c>
      <c r="BI121" s="78" t="inlineStr">
        <is>
          <t>☑</t>
        </is>
      </c>
      <c r="BJ121" s="79" t="inlineStr">
        <is>
          <t>☑</t>
        </is>
      </c>
      <c r="BK121" s="78" t="inlineStr">
        <is>
          <t>☑</t>
        </is>
      </c>
      <c r="BL121" s="79" t="inlineStr">
        <is>
          <t>☑</t>
        </is>
      </c>
      <c r="BM121" s="79" t="inlineStr">
        <is>
          <t>☑</t>
        </is>
      </c>
      <c r="BN121" s="79" t="inlineStr">
        <is>
          <t>☑</t>
        </is>
      </c>
      <c r="BO121" s="79" t="inlineStr">
        <is>
          <t>☑</t>
        </is>
      </c>
    </row>
    <row r="122">
      <c r="A122" s="79" t="n">
        <v>115</v>
      </c>
      <c r="B122" s="79" t="inlineStr">
        <is>
          <t>325106410115</t>
        </is>
      </c>
      <c r="C122" s="79" t="inlineStr">
        <is>
          <t>WANTOK AMAKOU WANTOK AKHOL</t>
        </is>
      </c>
      <c r="D122" s="79" t="inlineStr">
        <is>
          <t>☑</t>
        </is>
      </c>
      <c r="E122" s="79" t="inlineStr">
        <is>
          <t>☑</t>
        </is>
      </c>
      <c r="F122" s="79" t="inlineStr">
        <is>
          <t>☑</t>
        </is>
      </c>
      <c r="G122" s="79" t="inlineStr">
        <is>
          <t>☑</t>
        </is>
      </c>
      <c r="H122" s="79" t="inlineStr">
        <is>
          <t>☑</t>
        </is>
      </c>
      <c r="I122" s="79" t="inlineStr">
        <is>
          <t>☑</t>
        </is>
      </c>
      <c r="J122" s="79" t="inlineStr">
        <is>
          <t>☑</t>
        </is>
      </c>
      <c r="K122" s="79" t="inlineStr">
        <is>
          <t>☑</t>
        </is>
      </c>
      <c r="L122" s="79" t="inlineStr">
        <is>
          <t>☑</t>
        </is>
      </c>
      <c r="M122" s="78" t="inlineStr">
        <is>
          <t>—</t>
        </is>
      </c>
      <c r="N122" s="79" t="inlineStr">
        <is>
          <t>☑</t>
        </is>
      </c>
      <c r="O122" s="78" t="inlineStr">
        <is>
          <t>—</t>
        </is>
      </c>
      <c r="P122" s="78" t="inlineStr">
        <is>
          <t>☑</t>
        </is>
      </c>
      <c r="Q122" s="79" t="inlineStr">
        <is>
          <t>☑</t>
        </is>
      </c>
      <c r="R122" s="78" t="inlineStr">
        <is>
          <t>☑</t>
        </is>
      </c>
      <c r="S122" s="79" t="inlineStr">
        <is>
          <t>☑</t>
        </is>
      </c>
      <c r="T122" s="79" t="inlineStr">
        <is>
          <t>☑</t>
        </is>
      </c>
      <c r="U122" s="79" t="inlineStr">
        <is>
          <t>☑</t>
        </is>
      </c>
      <c r="V122" s="79" t="inlineStr">
        <is>
          <t>☑</t>
        </is>
      </c>
      <c r="W122" s="79" t="inlineStr">
        <is>
          <t>☑</t>
        </is>
      </c>
      <c r="X122" s="79" t="inlineStr">
        <is>
          <t>☑</t>
        </is>
      </c>
      <c r="Y122" s="79" t="inlineStr">
        <is>
          <t>☑</t>
        </is>
      </c>
      <c r="Z122" s="79" t="inlineStr">
        <is>
          <t>☑</t>
        </is>
      </c>
      <c r="AA122" s="79" t="inlineStr">
        <is>
          <t>☑</t>
        </is>
      </c>
      <c r="AB122" s="78" t="inlineStr">
        <is>
          <t>—</t>
        </is>
      </c>
      <c r="AC122" s="79" t="inlineStr">
        <is>
          <t>☑</t>
        </is>
      </c>
      <c r="AD122" s="78" t="inlineStr">
        <is>
          <t>—</t>
        </is>
      </c>
      <c r="AE122" s="78" t="inlineStr">
        <is>
          <t>☑</t>
        </is>
      </c>
      <c r="AF122" s="79" t="inlineStr">
        <is>
          <t>☑</t>
        </is>
      </c>
      <c r="AG122" s="78" t="inlineStr">
        <is>
          <t>☑</t>
        </is>
      </c>
      <c r="AH122" s="79" t="inlineStr">
        <is>
          <t>☑</t>
        </is>
      </c>
      <c r="AI122" s="79" t="inlineStr">
        <is>
          <t>☑</t>
        </is>
      </c>
      <c r="AJ122" s="79" t="inlineStr">
        <is>
          <t>☑</t>
        </is>
      </c>
      <c r="AK122" s="79" t="inlineStr">
        <is>
          <t>☑</t>
        </is>
      </c>
      <c r="AL122" s="79" t="inlineStr">
        <is>
          <t>☑</t>
        </is>
      </c>
      <c r="AM122" s="79" t="inlineStr">
        <is>
          <t>☑</t>
        </is>
      </c>
      <c r="AN122" s="79" t="inlineStr">
        <is>
          <t>☑</t>
        </is>
      </c>
      <c r="AO122" s="79" t="inlineStr">
        <is>
          <t>☑</t>
        </is>
      </c>
      <c r="AP122" s="79" t="inlineStr">
        <is>
          <t>☑</t>
        </is>
      </c>
      <c r="AQ122" s="78" t="inlineStr">
        <is>
          <t>—</t>
        </is>
      </c>
      <c r="AR122" s="79" t="inlineStr">
        <is>
          <t>☑</t>
        </is>
      </c>
      <c r="AS122" s="78" t="inlineStr">
        <is>
          <t>—</t>
        </is>
      </c>
      <c r="AT122" s="78" t="inlineStr">
        <is>
          <t>☑</t>
        </is>
      </c>
      <c r="AU122" s="79" t="inlineStr">
        <is>
          <t>☑</t>
        </is>
      </c>
      <c r="AV122" s="78" t="inlineStr">
        <is>
          <t>☑</t>
        </is>
      </c>
      <c r="AW122" s="79" t="inlineStr">
        <is>
          <t>☑</t>
        </is>
      </c>
      <c r="AX122" s="79" t="inlineStr">
        <is>
          <t>☑</t>
        </is>
      </c>
      <c r="AY122" s="79" t="inlineStr">
        <is>
          <t>☑</t>
        </is>
      </c>
      <c r="AZ122" s="79" t="inlineStr">
        <is>
          <t>☑</t>
        </is>
      </c>
      <c r="BA122" s="79" t="inlineStr">
        <is>
          <t>☑</t>
        </is>
      </c>
      <c r="BB122" s="79" t="inlineStr">
        <is>
          <t>☑</t>
        </is>
      </c>
      <c r="BC122" s="79" t="inlineStr">
        <is>
          <t>☑</t>
        </is>
      </c>
      <c r="BD122" s="79" t="inlineStr">
        <is>
          <t>☑</t>
        </is>
      </c>
      <c r="BE122" s="79" t="inlineStr">
        <is>
          <t>☑</t>
        </is>
      </c>
      <c r="BF122" s="78" t="inlineStr">
        <is>
          <t>—</t>
        </is>
      </c>
      <c r="BG122" s="79" t="inlineStr">
        <is>
          <t>☑</t>
        </is>
      </c>
      <c r="BH122" s="78" t="inlineStr">
        <is>
          <t>—</t>
        </is>
      </c>
      <c r="BI122" s="78" t="inlineStr">
        <is>
          <t>☑</t>
        </is>
      </c>
      <c r="BJ122" s="79" t="inlineStr">
        <is>
          <t>☑</t>
        </is>
      </c>
      <c r="BK122" s="78" t="inlineStr">
        <is>
          <t>☑</t>
        </is>
      </c>
      <c r="BL122" s="79" t="inlineStr">
        <is>
          <t>☑</t>
        </is>
      </c>
      <c r="BM122" s="79" t="inlineStr">
        <is>
          <t>☑</t>
        </is>
      </c>
      <c r="BN122" s="79" t="inlineStr">
        <is>
          <t>☑</t>
        </is>
      </c>
      <c r="BO122" s="79" t="inlineStr">
        <is>
          <t>☑</t>
        </is>
      </c>
    </row>
    <row r="123">
      <c r="A123" s="79" t="n">
        <v>116</v>
      </c>
      <c r="B123" s="79" t="inlineStr">
        <is>
          <t>325106410116</t>
        </is>
      </c>
      <c r="C123" s="79" t="inlineStr">
        <is>
          <t>WEESLEY ROLL MUNGOI</t>
        </is>
      </c>
      <c r="D123" s="79" t="inlineStr">
        <is>
          <t>☑</t>
        </is>
      </c>
      <c r="E123" s="79" t="inlineStr">
        <is>
          <t>☑</t>
        </is>
      </c>
      <c r="F123" s="79" t="inlineStr">
        <is>
          <t>☑</t>
        </is>
      </c>
      <c r="G123" s="79" t="inlineStr">
        <is>
          <t>☑</t>
        </is>
      </c>
      <c r="H123" s="79" t="inlineStr">
        <is>
          <t>☑</t>
        </is>
      </c>
      <c r="I123" s="79" t="inlineStr">
        <is>
          <t>☑</t>
        </is>
      </c>
      <c r="J123" s="79" t="inlineStr">
        <is>
          <t>☑</t>
        </is>
      </c>
      <c r="K123" s="79" t="inlineStr">
        <is>
          <t>☑</t>
        </is>
      </c>
      <c r="L123" s="79" t="inlineStr">
        <is>
          <t>☑</t>
        </is>
      </c>
      <c r="M123" s="78" t="inlineStr">
        <is>
          <t>—</t>
        </is>
      </c>
      <c r="N123" s="79" t="inlineStr">
        <is>
          <t>☑</t>
        </is>
      </c>
      <c r="O123" s="78" t="inlineStr">
        <is>
          <t>—</t>
        </is>
      </c>
      <c r="P123" s="78" t="inlineStr">
        <is>
          <t>☑</t>
        </is>
      </c>
      <c r="Q123" s="79" t="inlineStr">
        <is>
          <t>☑</t>
        </is>
      </c>
      <c r="R123" s="78" t="inlineStr">
        <is>
          <t>☑</t>
        </is>
      </c>
      <c r="S123" s="79" t="inlineStr">
        <is>
          <t>☑</t>
        </is>
      </c>
      <c r="T123" s="79" t="inlineStr">
        <is>
          <t>☑</t>
        </is>
      </c>
      <c r="U123" s="79" t="inlineStr">
        <is>
          <t>☑</t>
        </is>
      </c>
      <c r="V123" s="79" t="inlineStr">
        <is>
          <t>☑</t>
        </is>
      </c>
      <c r="W123" s="79" t="inlineStr">
        <is>
          <t>☑</t>
        </is>
      </c>
      <c r="X123" s="79" t="inlineStr">
        <is>
          <t>☑</t>
        </is>
      </c>
      <c r="Y123" s="79" t="inlineStr">
        <is>
          <t>☑</t>
        </is>
      </c>
      <c r="Z123" s="79" t="inlineStr">
        <is>
          <t>☑</t>
        </is>
      </c>
      <c r="AA123" s="79" t="inlineStr">
        <is>
          <t>☑</t>
        </is>
      </c>
      <c r="AB123" s="78" t="inlineStr">
        <is>
          <t>—</t>
        </is>
      </c>
      <c r="AC123" s="79" t="inlineStr">
        <is>
          <t>☑</t>
        </is>
      </c>
      <c r="AD123" s="78" t="inlineStr">
        <is>
          <t>—</t>
        </is>
      </c>
      <c r="AE123" s="78" t="inlineStr">
        <is>
          <t>☑</t>
        </is>
      </c>
      <c r="AF123" s="79" t="inlineStr">
        <is>
          <t>☑</t>
        </is>
      </c>
      <c r="AG123" s="78" t="inlineStr">
        <is>
          <t>☑</t>
        </is>
      </c>
      <c r="AH123" s="79" t="inlineStr">
        <is>
          <t>☑</t>
        </is>
      </c>
      <c r="AI123" s="79" t="inlineStr">
        <is>
          <t>☑</t>
        </is>
      </c>
      <c r="AJ123" s="79" t="inlineStr">
        <is>
          <t>☑</t>
        </is>
      </c>
      <c r="AK123" s="79" t="inlineStr">
        <is>
          <t>☑</t>
        </is>
      </c>
      <c r="AL123" s="79" t="inlineStr">
        <is>
          <t>☑</t>
        </is>
      </c>
      <c r="AM123" s="79" t="inlineStr">
        <is>
          <t>☑</t>
        </is>
      </c>
      <c r="AN123" s="79" t="inlineStr">
        <is>
          <t>☑</t>
        </is>
      </c>
      <c r="AO123" s="79" t="inlineStr">
        <is>
          <t>☑</t>
        </is>
      </c>
      <c r="AP123" s="79" t="inlineStr">
        <is>
          <t>☑</t>
        </is>
      </c>
      <c r="AQ123" s="78" t="inlineStr">
        <is>
          <t>—</t>
        </is>
      </c>
      <c r="AR123" s="79" t="inlineStr">
        <is>
          <t>☑</t>
        </is>
      </c>
      <c r="AS123" s="78" t="inlineStr">
        <is>
          <t>—</t>
        </is>
      </c>
      <c r="AT123" s="78" t="inlineStr">
        <is>
          <t>☑</t>
        </is>
      </c>
      <c r="AU123" s="79" t="inlineStr">
        <is>
          <t>☑</t>
        </is>
      </c>
      <c r="AV123" s="78" t="inlineStr">
        <is>
          <t>☑</t>
        </is>
      </c>
      <c r="AW123" s="79" t="inlineStr">
        <is>
          <t>☑</t>
        </is>
      </c>
      <c r="AX123" s="79" t="inlineStr">
        <is>
          <t>☑</t>
        </is>
      </c>
      <c r="AY123" s="79" t="inlineStr">
        <is>
          <t>☑</t>
        </is>
      </c>
      <c r="AZ123" s="79" t="inlineStr">
        <is>
          <t>☑</t>
        </is>
      </c>
      <c r="BA123" s="79" t="inlineStr">
        <is>
          <t>☑</t>
        </is>
      </c>
      <c r="BB123" s="79" t="inlineStr">
        <is>
          <t>☑</t>
        </is>
      </c>
      <c r="BC123" s="79" t="inlineStr">
        <is>
          <t>☑</t>
        </is>
      </c>
      <c r="BD123" s="79" t="inlineStr">
        <is>
          <t>☑</t>
        </is>
      </c>
      <c r="BE123" s="79" t="inlineStr">
        <is>
          <t>☑</t>
        </is>
      </c>
      <c r="BF123" s="78" t="inlineStr">
        <is>
          <t>—</t>
        </is>
      </c>
      <c r="BG123" s="79" t="inlineStr">
        <is>
          <t>☑</t>
        </is>
      </c>
      <c r="BH123" s="78" t="inlineStr">
        <is>
          <t>—</t>
        </is>
      </c>
      <c r="BI123" s="78" t="inlineStr">
        <is>
          <t>☑</t>
        </is>
      </c>
      <c r="BJ123" s="79" t="inlineStr">
        <is>
          <t>☑</t>
        </is>
      </c>
      <c r="BK123" s="78" t="inlineStr">
        <is>
          <t>☑</t>
        </is>
      </c>
      <c r="BL123" s="79" t="inlineStr">
        <is>
          <t>☑</t>
        </is>
      </c>
      <c r="BM123" s="79" t="inlineStr">
        <is>
          <t>☑</t>
        </is>
      </c>
      <c r="BN123" s="79" t="inlineStr">
        <is>
          <t>☑</t>
        </is>
      </c>
      <c r="BO123" s="79" t="inlineStr">
        <is>
          <t>☑</t>
        </is>
      </c>
    </row>
    <row r="124">
      <c r="A124" s="79" t="n">
        <v>117</v>
      </c>
      <c r="B124" s="79" t="inlineStr">
        <is>
          <t>325106410117</t>
        </is>
      </c>
      <c r="C124" s="79" t="inlineStr">
        <is>
          <t>YAZID RABIU</t>
        </is>
      </c>
      <c r="D124" s="79" t="inlineStr">
        <is>
          <t>☑</t>
        </is>
      </c>
      <c r="E124" s="79" t="inlineStr">
        <is>
          <t>☑</t>
        </is>
      </c>
      <c r="F124" s="79" t="inlineStr">
        <is>
          <t>☑</t>
        </is>
      </c>
      <c r="G124" s="79" t="inlineStr">
        <is>
          <t>☑</t>
        </is>
      </c>
      <c r="H124" s="79" t="inlineStr">
        <is>
          <t>☑</t>
        </is>
      </c>
      <c r="I124" s="79" t="inlineStr">
        <is>
          <t>☑</t>
        </is>
      </c>
      <c r="J124" s="79" t="inlineStr">
        <is>
          <t>☑</t>
        </is>
      </c>
      <c r="K124" s="79" t="inlineStr">
        <is>
          <t>☑</t>
        </is>
      </c>
      <c r="L124" s="79" t="inlineStr">
        <is>
          <t>☑</t>
        </is>
      </c>
      <c r="M124" s="78" t="inlineStr">
        <is>
          <t>—</t>
        </is>
      </c>
      <c r="N124" s="79" t="inlineStr">
        <is>
          <t>☑</t>
        </is>
      </c>
      <c r="O124" s="78" t="inlineStr">
        <is>
          <t>—</t>
        </is>
      </c>
      <c r="P124" s="78" t="inlineStr">
        <is>
          <t>☑</t>
        </is>
      </c>
      <c r="Q124" s="79" t="inlineStr">
        <is>
          <t>☑</t>
        </is>
      </c>
      <c r="R124" s="78" t="inlineStr">
        <is>
          <t>☑</t>
        </is>
      </c>
      <c r="S124" s="79" t="inlineStr">
        <is>
          <t>☑</t>
        </is>
      </c>
      <c r="T124" s="79" t="inlineStr">
        <is>
          <t>☑</t>
        </is>
      </c>
      <c r="U124" s="79" t="inlineStr">
        <is>
          <t>☑</t>
        </is>
      </c>
      <c r="V124" s="79" t="inlineStr">
        <is>
          <t>☑</t>
        </is>
      </c>
      <c r="W124" s="79" t="inlineStr">
        <is>
          <t>☑</t>
        </is>
      </c>
      <c r="X124" s="79" t="inlineStr">
        <is>
          <t>☑</t>
        </is>
      </c>
      <c r="Y124" s="79" t="inlineStr">
        <is>
          <t>☑</t>
        </is>
      </c>
      <c r="Z124" s="79" t="inlineStr">
        <is>
          <t>☑</t>
        </is>
      </c>
      <c r="AA124" s="79" t="inlineStr">
        <is>
          <t>☑</t>
        </is>
      </c>
      <c r="AB124" s="78" t="inlineStr">
        <is>
          <t>—</t>
        </is>
      </c>
      <c r="AC124" s="79" t="inlineStr">
        <is>
          <t>☑</t>
        </is>
      </c>
      <c r="AD124" s="78" t="inlineStr">
        <is>
          <t>—</t>
        </is>
      </c>
      <c r="AE124" s="78" t="inlineStr">
        <is>
          <t>☑</t>
        </is>
      </c>
      <c r="AF124" s="79" t="inlineStr">
        <is>
          <t>☑</t>
        </is>
      </c>
      <c r="AG124" s="78" t="inlineStr">
        <is>
          <t>☑</t>
        </is>
      </c>
      <c r="AH124" s="79" t="inlineStr">
        <is>
          <t>☑</t>
        </is>
      </c>
      <c r="AI124" s="79" t="inlineStr">
        <is>
          <t>☑</t>
        </is>
      </c>
      <c r="AJ124" s="79" t="inlineStr">
        <is>
          <t>☑</t>
        </is>
      </c>
      <c r="AK124" s="79" t="inlineStr">
        <is>
          <t>☑</t>
        </is>
      </c>
      <c r="AL124" s="79" t="inlineStr">
        <is>
          <t>☑</t>
        </is>
      </c>
      <c r="AM124" s="79" t="inlineStr">
        <is>
          <t>☑</t>
        </is>
      </c>
      <c r="AN124" s="79" t="inlineStr">
        <is>
          <t>☑</t>
        </is>
      </c>
      <c r="AO124" s="79" t="inlineStr">
        <is>
          <t>☑</t>
        </is>
      </c>
      <c r="AP124" s="79" t="inlineStr">
        <is>
          <t>☑</t>
        </is>
      </c>
      <c r="AQ124" s="78" t="inlineStr">
        <is>
          <t>—</t>
        </is>
      </c>
      <c r="AR124" s="79" t="inlineStr">
        <is>
          <t>☑</t>
        </is>
      </c>
      <c r="AS124" s="78" t="inlineStr">
        <is>
          <t>—</t>
        </is>
      </c>
      <c r="AT124" s="78" t="inlineStr">
        <is>
          <t>☑</t>
        </is>
      </c>
      <c r="AU124" s="79" t="inlineStr">
        <is>
          <t>☑</t>
        </is>
      </c>
      <c r="AV124" s="78" t="inlineStr">
        <is>
          <t>☑</t>
        </is>
      </c>
      <c r="AW124" s="79" t="inlineStr">
        <is>
          <t>☑</t>
        </is>
      </c>
      <c r="AX124" s="79" t="inlineStr">
        <is>
          <t>☑</t>
        </is>
      </c>
      <c r="AY124" s="79" t="inlineStr">
        <is>
          <t>☑</t>
        </is>
      </c>
      <c r="AZ124" s="79" t="inlineStr">
        <is>
          <t>☑</t>
        </is>
      </c>
      <c r="BA124" s="79" t="inlineStr">
        <is>
          <t>☑</t>
        </is>
      </c>
      <c r="BB124" s="79" t="inlineStr">
        <is>
          <t>☑</t>
        </is>
      </c>
      <c r="BC124" s="79" t="inlineStr">
        <is>
          <t>☑</t>
        </is>
      </c>
      <c r="BD124" s="79" t="inlineStr">
        <is>
          <t>☑</t>
        </is>
      </c>
      <c r="BE124" s="79" t="inlineStr">
        <is>
          <t>☑</t>
        </is>
      </c>
      <c r="BF124" s="78" t="inlineStr">
        <is>
          <t>—</t>
        </is>
      </c>
      <c r="BG124" s="79" t="inlineStr">
        <is>
          <t>☑</t>
        </is>
      </c>
      <c r="BH124" s="78" t="inlineStr">
        <is>
          <t>—</t>
        </is>
      </c>
      <c r="BI124" s="78" t="inlineStr">
        <is>
          <t>☑</t>
        </is>
      </c>
      <c r="BJ124" s="79" t="inlineStr">
        <is>
          <t>☑</t>
        </is>
      </c>
      <c r="BK124" s="78" t="inlineStr">
        <is>
          <t>☑</t>
        </is>
      </c>
      <c r="BL124" s="79" t="inlineStr">
        <is>
          <t>☑</t>
        </is>
      </c>
      <c r="BM124" s="79" t="inlineStr">
        <is>
          <t>☑</t>
        </is>
      </c>
      <c r="BN124" s="79" t="inlineStr">
        <is>
          <t>☑</t>
        </is>
      </c>
      <c r="BO124" s="79" t="inlineStr">
        <is>
          <t>☑</t>
        </is>
      </c>
    </row>
    <row r="125">
      <c r="A125" s="79" t="n">
        <v>118</v>
      </c>
      <c r="B125" s="79" t="inlineStr">
        <is>
          <t>325106410118</t>
        </is>
      </c>
      <c r="C125" s="79" t="inlineStr">
        <is>
          <t>BANDARU LAXMANA ROHAN PATRUDU</t>
        </is>
      </c>
      <c r="D125" s="79" t="inlineStr">
        <is>
          <t>☑</t>
        </is>
      </c>
      <c r="E125" s="79" t="inlineStr">
        <is>
          <t>☑</t>
        </is>
      </c>
      <c r="F125" s="79" t="inlineStr">
        <is>
          <t>☑</t>
        </is>
      </c>
      <c r="G125" s="79" t="inlineStr">
        <is>
          <t>☑</t>
        </is>
      </c>
      <c r="H125" s="79" t="inlineStr">
        <is>
          <t>☑</t>
        </is>
      </c>
      <c r="I125" s="79" t="inlineStr">
        <is>
          <t>☑</t>
        </is>
      </c>
      <c r="J125" s="79" t="inlineStr">
        <is>
          <t>☑</t>
        </is>
      </c>
      <c r="K125" s="79" t="inlineStr">
        <is>
          <t>☑</t>
        </is>
      </c>
      <c r="L125" s="79" t="inlineStr">
        <is>
          <t>☑</t>
        </is>
      </c>
      <c r="M125" s="78" t="inlineStr">
        <is>
          <t>—</t>
        </is>
      </c>
      <c r="N125" s="79" t="inlineStr">
        <is>
          <t>☑</t>
        </is>
      </c>
      <c r="O125" s="78" t="inlineStr">
        <is>
          <t>—</t>
        </is>
      </c>
      <c r="P125" s="78" t="inlineStr">
        <is>
          <t>☑</t>
        </is>
      </c>
      <c r="Q125" s="79" t="inlineStr">
        <is>
          <t>☑</t>
        </is>
      </c>
      <c r="R125" s="78" t="inlineStr">
        <is>
          <t>☑</t>
        </is>
      </c>
      <c r="S125" s="79" t="inlineStr">
        <is>
          <t>☑</t>
        </is>
      </c>
      <c r="T125" s="79" t="inlineStr">
        <is>
          <t>☑</t>
        </is>
      </c>
      <c r="U125" s="79" t="inlineStr">
        <is>
          <t>☑</t>
        </is>
      </c>
      <c r="V125" s="79" t="inlineStr">
        <is>
          <t>☑</t>
        </is>
      </c>
      <c r="W125" s="79" t="inlineStr">
        <is>
          <t>☑</t>
        </is>
      </c>
      <c r="X125" s="79" t="inlineStr">
        <is>
          <t>☑</t>
        </is>
      </c>
      <c r="Y125" s="79" t="inlineStr">
        <is>
          <t>☑</t>
        </is>
      </c>
      <c r="Z125" s="79" t="inlineStr">
        <is>
          <t>☑</t>
        </is>
      </c>
      <c r="AA125" s="79" t="inlineStr">
        <is>
          <t>☑</t>
        </is>
      </c>
      <c r="AB125" s="78" t="inlineStr">
        <is>
          <t>—</t>
        </is>
      </c>
      <c r="AC125" s="79" t="inlineStr">
        <is>
          <t>☑</t>
        </is>
      </c>
      <c r="AD125" s="78" t="inlineStr">
        <is>
          <t>—</t>
        </is>
      </c>
      <c r="AE125" s="78" t="inlineStr">
        <is>
          <t>☑</t>
        </is>
      </c>
      <c r="AF125" s="79" t="inlineStr">
        <is>
          <t>☑</t>
        </is>
      </c>
      <c r="AG125" s="78" t="inlineStr">
        <is>
          <t>☑</t>
        </is>
      </c>
      <c r="AH125" s="79" t="inlineStr">
        <is>
          <t>☑</t>
        </is>
      </c>
      <c r="AI125" s="79" t="inlineStr">
        <is>
          <t>☑</t>
        </is>
      </c>
      <c r="AJ125" s="79" t="inlineStr">
        <is>
          <t>☑</t>
        </is>
      </c>
      <c r="AK125" s="79" t="inlineStr">
        <is>
          <t>☑</t>
        </is>
      </c>
      <c r="AL125" s="79" t="inlineStr">
        <is>
          <t>☑</t>
        </is>
      </c>
      <c r="AM125" s="79" t="inlineStr">
        <is>
          <t>☑</t>
        </is>
      </c>
      <c r="AN125" s="79" t="inlineStr">
        <is>
          <t>☑</t>
        </is>
      </c>
      <c r="AO125" s="79" t="inlineStr">
        <is>
          <t>☑</t>
        </is>
      </c>
      <c r="AP125" s="79" t="inlineStr">
        <is>
          <t>☑</t>
        </is>
      </c>
      <c r="AQ125" s="78" t="inlineStr">
        <is>
          <t>—</t>
        </is>
      </c>
      <c r="AR125" s="79" t="inlineStr">
        <is>
          <t>☑</t>
        </is>
      </c>
      <c r="AS125" s="78" t="inlineStr">
        <is>
          <t>—</t>
        </is>
      </c>
      <c r="AT125" s="78" t="inlineStr">
        <is>
          <t>☑</t>
        </is>
      </c>
      <c r="AU125" s="79" t="inlineStr">
        <is>
          <t>☑</t>
        </is>
      </c>
      <c r="AV125" s="78" t="inlineStr">
        <is>
          <t>☑</t>
        </is>
      </c>
      <c r="AW125" s="79" t="inlineStr">
        <is>
          <t>☑</t>
        </is>
      </c>
      <c r="AX125" s="79" t="inlineStr">
        <is>
          <t>☑</t>
        </is>
      </c>
      <c r="AY125" s="79" t="inlineStr">
        <is>
          <t>☑</t>
        </is>
      </c>
      <c r="AZ125" s="79" t="inlineStr">
        <is>
          <t>☑</t>
        </is>
      </c>
      <c r="BA125" s="79" t="inlineStr">
        <is>
          <t>☑</t>
        </is>
      </c>
      <c r="BB125" s="79" t="inlineStr">
        <is>
          <t>☑</t>
        </is>
      </c>
      <c r="BC125" s="79" t="inlineStr">
        <is>
          <t>☑</t>
        </is>
      </c>
      <c r="BD125" s="79" t="inlineStr">
        <is>
          <t>☑</t>
        </is>
      </c>
      <c r="BE125" s="79" t="inlineStr">
        <is>
          <t>☑</t>
        </is>
      </c>
      <c r="BF125" s="78" t="inlineStr">
        <is>
          <t>—</t>
        </is>
      </c>
      <c r="BG125" s="79" t="inlineStr">
        <is>
          <t>☑</t>
        </is>
      </c>
      <c r="BH125" s="78" t="inlineStr">
        <is>
          <t>—</t>
        </is>
      </c>
      <c r="BI125" s="78" t="inlineStr">
        <is>
          <t>☑</t>
        </is>
      </c>
      <c r="BJ125" s="79" t="inlineStr">
        <is>
          <t>☑</t>
        </is>
      </c>
      <c r="BK125" s="78" t="inlineStr">
        <is>
          <t>☑</t>
        </is>
      </c>
      <c r="BL125" s="79" t="inlineStr">
        <is>
          <t>☑</t>
        </is>
      </c>
      <c r="BM125" s="79" t="inlineStr">
        <is>
          <t>☑</t>
        </is>
      </c>
      <c r="BN125" s="79" t="inlineStr">
        <is>
          <t>☑</t>
        </is>
      </c>
      <c r="BO125" s="79" t="inlineStr">
        <is>
          <t>☑</t>
        </is>
      </c>
    </row>
    <row r="126">
      <c r="A126" s="79" t="n">
        <v>119</v>
      </c>
      <c r="B126" s="79" t="inlineStr">
        <is>
          <t>325106410119</t>
        </is>
      </c>
      <c r="C126" s="79" t="inlineStr">
        <is>
          <t>BENDURTHI JAYASREE</t>
        </is>
      </c>
      <c r="D126" s="79" t="inlineStr">
        <is>
          <t>☑</t>
        </is>
      </c>
      <c r="E126" s="79" t="inlineStr">
        <is>
          <t>☑</t>
        </is>
      </c>
      <c r="F126" s="79" t="inlineStr">
        <is>
          <t>☑</t>
        </is>
      </c>
      <c r="G126" s="79" t="inlineStr">
        <is>
          <t>☑</t>
        </is>
      </c>
      <c r="H126" s="79" t="inlineStr">
        <is>
          <t>☑</t>
        </is>
      </c>
      <c r="I126" s="79" t="inlineStr">
        <is>
          <t>☑</t>
        </is>
      </c>
      <c r="J126" s="79" t="inlineStr">
        <is>
          <t>☑</t>
        </is>
      </c>
      <c r="K126" s="79" t="inlineStr">
        <is>
          <t>☑</t>
        </is>
      </c>
      <c r="L126" s="79" t="inlineStr">
        <is>
          <t>☑</t>
        </is>
      </c>
      <c r="M126" s="78" t="inlineStr">
        <is>
          <t>—</t>
        </is>
      </c>
      <c r="N126" s="79" t="inlineStr">
        <is>
          <t>☑</t>
        </is>
      </c>
      <c r="O126" s="78" t="inlineStr">
        <is>
          <t>—</t>
        </is>
      </c>
      <c r="P126" s="78" t="inlineStr">
        <is>
          <t>☑</t>
        </is>
      </c>
      <c r="Q126" s="79" t="inlineStr">
        <is>
          <t>☑</t>
        </is>
      </c>
      <c r="R126" s="78" t="inlineStr">
        <is>
          <t>☑</t>
        </is>
      </c>
      <c r="S126" s="79" t="inlineStr">
        <is>
          <t>☑</t>
        </is>
      </c>
      <c r="T126" s="79" t="inlineStr">
        <is>
          <t>☑</t>
        </is>
      </c>
      <c r="U126" s="79" t="inlineStr">
        <is>
          <t>☑</t>
        </is>
      </c>
      <c r="V126" s="79" t="inlineStr">
        <is>
          <t>☑</t>
        </is>
      </c>
      <c r="W126" s="79" t="inlineStr">
        <is>
          <t>☑</t>
        </is>
      </c>
      <c r="X126" s="79" t="inlineStr">
        <is>
          <t>☑</t>
        </is>
      </c>
      <c r="Y126" s="79" t="inlineStr">
        <is>
          <t>☑</t>
        </is>
      </c>
      <c r="Z126" s="79" t="inlineStr">
        <is>
          <t>☑</t>
        </is>
      </c>
      <c r="AA126" s="79" t="inlineStr">
        <is>
          <t>☑</t>
        </is>
      </c>
      <c r="AB126" s="78" t="inlineStr">
        <is>
          <t>—</t>
        </is>
      </c>
      <c r="AC126" s="79" t="inlineStr">
        <is>
          <t>☑</t>
        </is>
      </c>
      <c r="AD126" s="78" t="inlineStr">
        <is>
          <t>—</t>
        </is>
      </c>
      <c r="AE126" s="78" t="inlineStr">
        <is>
          <t>☑</t>
        </is>
      </c>
      <c r="AF126" s="79" t="inlineStr">
        <is>
          <t>☑</t>
        </is>
      </c>
      <c r="AG126" s="78" t="inlineStr">
        <is>
          <t>☑</t>
        </is>
      </c>
      <c r="AH126" s="79" t="inlineStr">
        <is>
          <t>☑</t>
        </is>
      </c>
      <c r="AI126" s="79" t="inlineStr">
        <is>
          <t>☑</t>
        </is>
      </c>
      <c r="AJ126" s="79" t="inlineStr">
        <is>
          <t>☑</t>
        </is>
      </c>
      <c r="AK126" s="79" t="inlineStr">
        <is>
          <t>☑</t>
        </is>
      </c>
      <c r="AL126" s="79" t="inlineStr">
        <is>
          <t>☑</t>
        </is>
      </c>
      <c r="AM126" s="79" t="inlineStr">
        <is>
          <t>☑</t>
        </is>
      </c>
      <c r="AN126" s="79" t="inlineStr">
        <is>
          <t>☑</t>
        </is>
      </c>
      <c r="AO126" s="79" t="inlineStr">
        <is>
          <t>☑</t>
        </is>
      </c>
      <c r="AP126" s="79" t="inlineStr">
        <is>
          <t>☑</t>
        </is>
      </c>
      <c r="AQ126" s="78" t="inlineStr">
        <is>
          <t>—</t>
        </is>
      </c>
      <c r="AR126" s="79" t="inlineStr">
        <is>
          <t>☑</t>
        </is>
      </c>
      <c r="AS126" s="78" t="inlineStr">
        <is>
          <t>—</t>
        </is>
      </c>
      <c r="AT126" s="78" t="inlineStr">
        <is>
          <t>☑</t>
        </is>
      </c>
      <c r="AU126" s="79" t="inlineStr">
        <is>
          <t>☑</t>
        </is>
      </c>
      <c r="AV126" s="78" t="inlineStr">
        <is>
          <t>☑</t>
        </is>
      </c>
      <c r="AW126" s="79" t="inlineStr">
        <is>
          <t>☑</t>
        </is>
      </c>
      <c r="AX126" s="79" t="inlineStr">
        <is>
          <t>☑</t>
        </is>
      </c>
      <c r="AY126" s="79" t="inlineStr">
        <is>
          <t>☑</t>
        </is>
      </c>
      <c r="AZ126" s="79" t="inlineStr">
        <is>
          <t>☑</t>
        </is>
      </c>
      <c r="BA126" s="79" t="inlineStr">
        <is>
          <t>☑</t>
        </is>
      </c>
      <c r="BB126" s="79" t="inlineStr">
        <is>
          <t>☑</t>
        </is>
      </c>
      <c r="BC126" s="79" t="inlineStr">
        <is>
          <t>☑</t>
        </is>
      </c>
      <c r="BD126" s="79" t="inlineStr">
        <is>
          <t>☑</t>
        </is>
      </c>
      <c r="BE126" s="79" t="inlineStr">
        <is>
          <t>☑</t>
        </is>
      </c>
      <c r="BF126" s="78" t="inlineStr">
        <is>
          <t>—</t>
        </is>
      </c>
      <c r="BG126" s="79" t="inlineStr">
        <is>
          <t>☑</t>
        </is>
      </c>
      <c r="BH126" s="78" t="inlineStr">
        <is>
          <t>—</t>
        </is>
      </c>
      <c r="BI126" s="78" t="inlineStr">
        <is>
          <t>☑</t>
        </is>
      </c>
      <c r="BJ126" s="79" t="inlineStr">
        <is>
          <t>☑</t>
        </is>
      </c>
      <c r="BK126" s="78" t="inlineStr">
        <is>
          <t>☑</t>
        </is>
      </c>
      <c r="BL126" s="79" t="inlineStr">
        <is>
          <t>☑</t>
        </is>
      </c>
      <c r="BM126" s="79" t="inlineStr">
        <is>
          <t>☑</t>
        </is>
      </c>
      <c r="BN126" s="79" t="inlineStr">
        <is>
          <t>☑</t>
        </is>
      </c>
      <c r="BO126" s="79" t="inlineStr">
        <is>
          <t>☑</t>
        </is>
      </c>
    </row>
    <row r="127">
      <c r="A127" s="79" t="n">
        <v>120</v>
      </c>
      <c r="B127" s="79" t="inlineStr">
        <is>
          <t>325106410120</t>
        </is>
      </c>
      <c r="C127" s="79" t="inlineStr">
        <is>
          <t>BOTTA LOKESH BABU</t>
        </is>
      </c>
      <c r="D127" s="79" t="inlineStr">
        <is>
          <t>☑</t>
        </is>
      </c>
      <c r="E127" s="79" t="inlineStr">
        <is>
          <t>☑</t>
        </is>
      </c>
      <c r="F127" s="79" t="inlineStr">
        <is>
          <t>☑</t>
        </is>
      </c>
      <c r="G127" s="79" t="inlineStr">
        <is>
          <t>☑</t>
        </is>
      </c>
      <c r="H127" s="79" t="inlineStr">
        <is>
          <t>☑</t>
        </is>
      </c>
      <c r="I127" s="79" t="inlineStr">
        <is>
          <t>☑</t>
        </is>
      </c>
      <c r="J127" s="79" t="inlineStr">
        <is>
          <t>☑</t>
        </is>
      </c>
      <c r="K127" s="79" t="inlineStr">
        <is>
          <t>☑</t>
        </is>
      </c>
      <c r="L127" s="79" t="inlineStr">
        <is>
          <t>☑</t>
        </is>
      </c>
      <c r="M127" s="78" t="inlineStr">
        <is>
          <t>—</t>
        </is>
      </c>
      <c r="N127" s="79" t="inlineStr">
        <is>
          <t>☑</t>
        </is>
      </c>
      <c r="O127" s="78" t="inlineStr">
        <is>
          <t>—</t>
        </is>
      </c>
      <c r="P127" s="78" t="inlineStr">
        <is>
          <t>☑</t>
        </is>
      </c>
      <c r="Q127" s="79" t="inlineStr">
        <is>
          <t>☑</t>
        </is>
      </c>
      <c r="R127" s="78" t="inlineStr">
        <is>
          <t>☑</t>
        </is>
      </c>
      <c r="S127" s="79" t="inlineStr">
        <is>
          <t>☑</t>
        </is>
      </c>
      <c r="T127" s="79" t="inlineStr">
        <is>
          <t>☑</t>
        </is>
      </c>
      <c r="U127" s="79" t="inlineStr">
        <is>
          <t>☑</t>
        </is>
      </c>
      <c r="V127" s="79" t="inlineStr">
        <is>
          <t>☑</t>
        </is>
      </c>
      <c r="W127" s="79" t="inlineStr">
        <is>
          <t>☑</t>
        </is>
      </c>
      <c r="X127" s="79" t="inlineStr">
        <is>
          <t>☑</t>
        </is>
      </c>
      <c r="Y127" s="79" t="inlineStr">
        <is>
          <t>☑</t>
        </is>
      </c>
      <c r="Z127" s="79" t="inlineStr">
        <is>
          <t>☑</t>
        </is>
      </c>
      <c r="AA127" s="79" t="inlineStr">
        <is>
          <t>☑</t>
        </is>
      </c>
      <c r="AB127" s="78" t="inlineStr">
        <is>
          <t>—</t>
        </is>
      </c>
      <c r="AC127" s="79" t="inlineStr">
        <is>
          <t>☑</t>
        </is>
      </c>
      <c r="AD127" s="78" t="inlineStr">
        <is>
          <t>—</t>
        </is>
      </c>
      <c r="AE127" s="78" t="inlineStr">
        <is>
          <t>☑</t>
        </is>
      </c>
      <c r="AF127" s="79" t="inlineStr">
        <is>
          <t>☑</t>
        </is>
      </c>
      <c r="AG127" s="78" t="inlineStr">
        <is>
          <t>☑</t>
        </is>
      </c>
      <c r="AH127" s="79" t="inlineStr">
        <is>
          <t>☑</t>
        </is>
      </c>
      <c r="AI127" s="79" t="inlineStr">
        <is>
          <t>☑</t>
        </is>
      </c>
      <c r="AJ127" s="79" t="inlineStr">
        <is>
          <t>☑</t>
        </is>
      </c>
      <c r="AK127" s="79" t="inlineStr">
        <is>
          <t>☑</t>
        </is>
      </c>
      <c r="AL127" s="79" t="inlineStr">
        <is>
          <t>☑</t>
        </is>
      </c>
      <c r="AM127" s="79" t="inlineStr">
        <is>
          <t>☑</t>
        </is>
      </c>
      <c r="AN127" s="79" t="inlineStr">
        <is>
          <t>☑</t>
        </is>
      </c>
      <c r="AO127" s="79" t="inlineStr">
        <is>
          <t>☑</t>
        </is>
      </c>
      <c r="AP127" s="79" t="inlineStr">
        <is>
          <t>☑</t>
        </is>
      </c>
      <c r="AQ127" s="78" t="inlineStr">
        <is>
          <t>—</t>
        </is>
      </c>
      <c r="AR127" s="79" t="inlineStr">
        <is>
          <t>☑</t>
        </is>
      </c>
      <c r="AS127" s="78" t="inlineStr">
        <is>
          <t>—</t>
        </is>
      </c>
      <c r="AT127" s="78" t="inlineStr">
        <is>
          <t>☑</t>
        </is>
      </c>
      <c r="AU127" s="79" t="inlineStr">
        <is>
          <t>☑</t>
        </is>
      </c>
      <c r="AV127" s="78" t="inlineStr">
        <is>
          <t>☑</t>
        </is>
      </c>
      <c r="AW127" s="79" t="inlineStr">
        <is>
          <t>☑</t>
        </is>
      </c>
      <c r="AX127" s="79" t="inlineStr">
        <is>
          <t>☑</t>
        </is>
      </c>
      <c r="AY127" s="79" t="inlineStr">
        <is>
          <t>☑</t>
        </is>
      </c>
      <c r="AZ127" s="79" t="inlineStr">
        <is>
          <t>☑</t>
        </is>
      </c>
      <c r="BA127" s="79" t="inlineStr">
        <is>
          <t>☑</t>
        </is>
      </c>
      <c r="BB127" s="79" t="inlineStr">
        <is>
          <t>☑</t>
        </is>
      </c>
      <c r="BC127" s="79" t="inlineStr">
        <is>
          <t>☑</t>
        </is>
      </c>
      <c r="BD127" s="79" t="inlineStr">
        <is>
          <t>☑</t>
        </is>
      </c>
      <c r="BE127" s="79" t="inlineStr">
        <is>
          <t>☑</t>
        </is>
      </c>
      <c r="BF127" s="78" t="inlineStr">
        <is>
          <t>—</t>
        </is>
      </c>
      <c r="BG127" s="79" t="inlineStr">
        <is>
          <t>☑</t>
        </is>
      </c>
      <c r="BH127" s="78" t="inlineStr">
        <is>
          <t>—</t>
        </is>
      </c>
      <c r="BI127" s="78" t="inlineStr">
        <is>
          <t>☑</t>
        </is>
      </c>
      <c r="BJ127" s="79" t="inlineStr">
        <is>
          <t>☑</t>
        </is>
      </c>
      <c r="BK127" s="78" t="inlineStr">
        <is>
          <t>☑</t>
        </is>
      </c>
      <c r="BL127" s="79" t="inlineStr">
        <is>
          <t>☑</t>
        </is>
      </c>
      <c r="BM127" s="79" t="inlineStr">
        <is>
          <t>☑</t>
        </is>
      </c>
      <c r="BN127" s="79" t="inlineStr">
        <is>
          <t>☑</t>
        </is>
      </c>
      <c r="BO127" s="79" t="inlineStr">
        <is>
          <t>☑</t>
        </is>
      </c>
    </row>
    <row r="128">
      <c r="A128" s="79" t="n">
        <v>121</v>
      </c>
      <c r="B128" s="79" t="inlineStr">
        <is>
          <t>325106410121</t>
        </is>
      </c>
      <c r="C128" s="79" t="inlineStr">
        <is>
          <t>MADDULA SRAVAN KUMAR</t>
        </is>
      </c>
      <c r="D128" s="79" t="inlineStr">
        <is>
          <t>☑</t>
        </is>
      </c>
      <c r="E128" s="79" t="inlineStr">
        <is>
          <t>☑</t>
        </is>
      </c>
      <c r="F128" s="79" t="inlineStr">
        <is>
          <t>☑</t>
        </is>
      </c>
      <c r="G128" s="79" t="inlineStr">
        <is>
          <t>☑</t>
        </is>
      </c>
      <c r="H128" s="79" t="inlineStr">
        <is>
          <t>☑</t>
        </is>
      </c>
      <c r="I128" s="79" t="inlineStr">
        <is>
          <t>☑</t>
        </is>
      </c>
      <c r="J128" s="79" t="inlineStr">
        <is>
          <t>☑</t>
        </is>
      </c>
      <c r="K128" s="79" t="inlineStr">
        <is>
          <t>☑</t>
        </is>
      </c>
      <c r="L128" s="79" t="inlineStr">
        <is>
          <t>☑</t>
        </is>
      </c>
      <c r="M128" s="78" t="inlineStr">
        <is>
          <t>—</t>
        </is>
      </c>
      <c r="N128" s="79" t="inlineStr">
        <is>
          <t>☑</t>
        </is>
      </c>
      <c r="O128" s="78" t="inlineStr">
        <is>
          <t>—</t>
        </is>
      </c>
      <c r="P128" s="78" t="inlineStr">
        <is>
          <t>☑</t>
        </is>
      </c>
      <c r="Q128" s="79" t="inlineStr">
        <is>
          <t>☑</t>
        </is>
      </c>
      <c r="R128" s="78" t="inlineStr">
        <is>
          <t>☑</t>
        </is>
      </c>
      <c r="S128" s="79" t="inlineStr">
        <is>
          <t>☑</t>
        </is>
      </c>
      <c r="T128" s="79" t="inlineStr">
        <is>
          <t>☑</t>
        </is>
      </c>
      <c r="U128" s="79" t="inlineStr">
        <is>
          <t>☑</t>
        </is>
      </c>
      <c r="V128" s="79" t="inlineStr">
        <is>
          <t>☑</t>
        </is>
      </c>
      <c r="W128" s="79" t="inlineStr">
        <is>
          <t>☑</t>
        </is>
      </c>
      <c r="X128" s="79" t="inlineStr">
        <is>
          <t>☑</t>
        </is>
      </c>
      <c r="Y128" s="79" t="inlineStr">
        <is>
          <t>☑</t>
        </is>
      </c>
      <c r="Z128" s="79" t="inlineStr">
        <is>
          <t>☑</t>
        </is>
      </c>
      <c r="AA128" s="79" t="inlineStr">
        <is>
          <t>☑</t>
        </is>
      </c>
      <c r="AB128" s="78" t="inlineStr">
        <is>
          <t>—</t>
        </is>
      </c>
      <c r="AC128" s="79" t="inlineStr">
        <is>
          <t>☑</t>
        </is>
      </c>
      <c r="AD128" s="78" t="inlineStr">
        <is>
          <t>—</t>
        </is>
      </c>
      <c r="AE128" s="78" t="inlineStr">
        <is>
          <t>☑</t>
        </is>
      </c>
      <c r="AF128" s="79" t="inlineStr">
        <is>
          <t>☑</t>
        </is>
      </c>
      <c r="AG128" s="78" t="inlineStr">
        <is>
          <t>☑</t>
        </is>
      </c>
      <c r="AH128" s="79" t="inlineStr">
        <is>
          <t>☑</t>
        </is>
      </c>
      <c r="AI128" s="79" t="inlineStr">
        <is>
          <t>☑</t>
        </is>
      </c>
      <c r="AJ128" s="79" t="inlineStr">
        <is>
          <t>☑</t>
        </is>
      </c>
      <c r="AK128" s="79" t="inlineStr">
        <is>
          <t>☑</t>
        </is>
      </c>
      <c r="AL128" s="79" t="inlineStr">
        <is>
          <t>☑</t>
        </is>
      </c>
      <c r="AM128" s="79" t="inlineStr">
        <is>
          <t>☑</t>
        </is>
      </c>
      <c r="AN128" s="79" t="inlineStr">
        <is>
          <t>☑</t>
        </is>
      </c>
      <c r="AO128" s="79" t="inlineStr">
        <is>
          <t>☑</t>
        </is>
      </c>
      <c r="AP128" s="79" t="inlineStr">
        <is>
          <t>☑</t>
        </is>
      </c>
      <c r="AQ128" s="78" t="inlineStr">
        <is>
          <t>—</t>
        </is>
      </c>
      <c r="AR128" s="79" t="inlineStr">
        <is>
          <t>☑</t>
        </is>
      </c>
      <c r="AS128" s="78" t="inlineStr">
        <is>
          <t>—</t>
        </is>
      </c>
      <c r="AT128" s="78" t="inlineStr">
        <is>
          <t>☑</t>
        </is>
      </c>
      <c r="AU128" s="79" t="inlineStr">
        <is>
          <t>☑</t>
        </is>
      </c>
      <c r="AV128" s="78" t="inlineStr">
        <is>
          <t>☑</t>
        </is>
      </c>
      <c r="AW128" s="79" t="inlineStr">
        <is>
          <t>☑</t>
        </is>
      </c>
      <c r="AX128" s="79" t="inlineStr">
        <is>
          <t>☑</t>
        </is>
      </c>
      <c r="AY128" s="79" t="inlineStr">
        <is>
          <t>☑</t>
        </is>
      </c>
      <c r="AZ128" s="79" t="inlineStr">
        <is>
          <t>☑</t>
        </is>
      </c>
      <c r="BA128" s="79" t="inlineStr">
        <is>
          <t>☑</t>
        </is>
      </c>
      <c r="BB128" s="79" t="inlineStr">
        <is>
          <t>☑</t>
        </is>
      </c>
      <c r="BC128" s="79" t="inlineStr">
        <is>
          <t>☑</t>
        </is>
      </c>
      <c r="BD128" s="79" t="inlineStr">
        <is>
          <t>☑</t>
        </is>
      </c>
      <c r="BE128" s="79" t="inlineStr">
        <is>
          <t>☑</t>
        </is>
      </c>
      <c r="BF128" s="78" t="inlineStr">
        <is>
          <t>—</t>
        </is>
      </c>
      <c r="BG128" s="79" t="inlineStr">
        <is>
          <t>☑</t>
        </is>
      </c>
      <c r="BH128" s="78" t="inlineStr">
        <is>
          <t>—</t>
        </is>
      </c>
      <c r="BI128" s="78" t="inlineStr">
        <is>
          <t>☑</t>
        </is>
      </c>
      <c r="BJ128" s="79" t="inlineStr">
        <is>
          <t>☑</t>
        </is>
      </c>
      <c r="BK128" s="78" t="inlineStr">
        <is>
          <t>☑</t>
        </is>
      </c>
      <c r="BL128" s="79" t="inlineStr">
        <is>
          <t>☑</t>
        </is>
      </c>
      <c r="BM128" s="79" t="inlineStr">
        <is>
          <t>☑</t>
        </is>
      </c>
      <c r="BN128" s="79" t="inlineStr">
        <is>
          <t>☑</t>
        </is>
      </c>
      <c r="BO128" s="79" t="inlineStr">
        <is>
          <t>☑</t>
        </is>
      </c>
    </row>
    <row r="129">
      <c r="A129" s="79" t="n">
        <v>122</v>
      </c>
      <c r="B129" s="79" t="inlineStr">
        <is>
          <t>325106410122</t>
        </is>
      </c>
      <c r="C129" s="79" t="inlineStr">
        <is>
          <t>SALADI KALYAN MODHA ANKSHINI</t>
        </is>
      </c>
      <c r="D129" s="79" t="inlineStr">
        <is>
          <t>☑</t>
        </is>
      </c>
      <c r="E129" s="79" t="inlineStr">
        <is>
          <t>☑</t>
        </is>
      </c>
      <c r="F129" s="79" t="inlineStr">
        <is>
          <t>☑</t>
        </is>
      </c>
      <c r="G129" s="79" t="inlineStr">
        <is>
          <t>☑</t>
        </is>
      </c>
      <c r="H129" s="79" t="inlineStr">
        <is>
          <t>☑</t>
        </is>
      </c>
      <c r="I129" s="79" t="inlineStr">
        <is>
          <t>☑</t>
        </is>
      </c>
      <c r="J129" s="79" t="inlineStr">
        <is>
          <t>☑</t>
        </is>
      </c>
      <c r="K129" s="79" t="inlineStr">
        <is>
          <t>☑</t>
        </is>
      </c>
      <c r="L129" s="79" t="inlineStr">
        <is>
          <t>☑</t>
        </is>
      </c>
      <c r="M129" s="78" t="inlineStr">
        <is>
          <t>—</t>
        </is>
      </c>
      <c r="N129" s="79" t="inlineStr">
        <is>
          <t>☑</t>
        </is>
      </c>
      <c r="O129" s="78" t="inlineStr">
        <is>
          <t>—</t>
        </is>
      </c>
      <c r="P129" s="78" t="inlineStr">
        <is>
          <t>☑</t>
        </is>
      </c>
      <c r="Q129" s="79" t="inlineStr">
        <is>
          <t>☑</t>
        </is>
      </c>
      <c r="R129" s="78" t="inlineStr">
        <is>
          <t>☑</t>
        </is>
      </c>
      <c r="S129" s="79" t="inlineStr">
        <is>
          <t>☑</t>
        </is>
      </c>
      <c r="T129" s="79" t="inlineStr">
        <is>
          <t>☑</t>
        </is>
      </c>
      <c r="U129" s="79" t="inlineStr">
        <is>
          <t>☑</t>
        </is>
      </c>
      <c r="V129" s="79" t="inlineStr">
        <is>
          <t>☑</t>
        </is>
      </c>
      <c r="W129" s="79" t="inlineStr">
        <is>
          <t>☑</t>
        </is>
      </c>
      <c r="X129" s="79" t="inlineStr">
        <is>
          <t>☑</t>
        </is>
      </c>
      <c r="Y129" s="79" t="inlineStr">
        <is>
          <t>☑</t>
        </is>
      </c>
      <c r="Z129" s="79" t="inlineStr">
        <is>
          <t>☑</t>
        </is>
      </c>
      <c r="AA129" s="79" t="inlineStr">
        <is>
          <t>☑</t>
        </is>
      </c>
      <c r="AB129" s="78" t="inlineStr">
        <is>
          <t>—</t>
        </is>
      </c>
      <c r="AC129" s="79" t="inlineStr">
        <is>
          <t>☑</t>
        </is>
      </c>
      <c r="AD129" s="78" t="inlineStr">
        <is>
          <t>—</t>
        </is>
      </c>
      <c r="AE129" s="78" t="inlineStr">
        <is>
          <t>☑</t>
        </is>
      </c>
      <c r="AF129" s="79" t="inlineStr">
        <is>
          <t>☑</t>
        </is>
      </c>
      <c r="AG129" s="78" t="inlineStr">
        <is>
          <t>☑</t>
        </is>
      </c>
      <c r="AH129" s="79" t="inlineStr">
        <is>
          <t>☑</t>
        </is>
      </c>
      <c r="AI129" s="79" t="inlineStr">
        <is>
          <t>☑</t>
        </is>
      </c>
      <c r="AJ129" s="79" t="inlineStr">
        <is>
          <t>☑</t>
        </is>
      </c>
      <c r="AK129" s="79" t="inlineStr">
        <is>
          <t>☑</t>
        </is>
      </c>
      <c r="AL129" s="79" t="inlineStr">
        <is>
          <t>☑</t>
        </is>
      </c>
      <c r="AM129" s="79" t="inlineStr">
        <is>
          <t>☑</t>
        </is>
      </c>
      <c r="AN129" s="79" t="inlineStr">
        <is>
          <t>☑</t>
        </is>
      </c>
      <c r="AO129" s="79" t="inlineStr">
        <is>
          <t>☑</t>
        </is>
      </c>
      <c r="AP129" s="79" t="inlineStr">
        <is>
          <t>☑</t>
        </is>
      </c>
      <c r="AQ129" s="78" t="inlineStr">
        <is>
          <t>—</t>
        </is>
      </c>
      <c r="AR129" s="79" t="inlineStr">
        <is>
          <t>☑</t>
        </is>
      </c>
      <c r="AS129" s="78" t="inlineStr">
        <is>
          <t>—</t>
        </is>
      </c>
      <c r="AT129" s="78" t="inlineStr">
        <is>
          <t>☑</t>
        </is>
      </c>
      <c r="AU129" s="79" t="inlineStr">
        <is>
          <t>☑</t>
        </is>
      </c>
      <c r="AV129" s="78" t="inlineStr">
        <is>
          <t>☑</t>
        </is>
      </c>
      <c r="AW129" s="79" t="inlineStr">
        <is>
          <t>☑</t>
        </is>
      </c>
      <c r="AX129" s="79" t="inlineStr">
        <is>
          <t>☑</t>
        </is>
      </c>
      <c r="AY129" s="79" t="inlineStr">
        <is>
          <t>☑</t>
        </is>
      </c>
      <c r="AZ129" s="79" t="inlineStr">
        <is>
          <t>☑</t>
        </is>
      </c>
      <c r="BA129" s="79" t="inlineStr">
        <is>
          <t>☑</t>
        </is>
      </c>
      <c r="BB129" s="79" t="inlineStr">
        <is>
          <t>☑</t>
        </is>
      </c>
      <c r="BC129" s="79" t="inlineStr">
        <is>
          <t>☑</t>
        </is>
      </c>
      <c r="BD129" s="79" t="inlineStr">
        <is>
          <t>☑</t>
        </is>
      </c>
      <c r="BE129" s="79" t="inlineStr">
        <is>
          <t>☑</t>
        </is>
      </c>
      <c r="BF129" s="78" t="inlineStr">
        <is>
          <t>—</t>
        </is>
      </c>
      <c r="BG129" s="79" t="inlineStr">
        <is>
          <t>☑</t>
        </is>
      </c>
      <c r="BH129" s="78" t="inlineStr">
        <is>
          <t>—</t>
        </is>
      </c>
      <c r="BI129" s="78" t="inlineStr">
        <is>
          <t>☑</t>
        </is>
      </c>
      <c r="BJ129" s="79" t="inlineStr">
        <is>
          <t>☑</t>
        </is>
      </c>
      <c r="BK129" s="78" t="inlineStr">
        <is>
          <t>☑</t>
        </is>
      </c>
      <c r="BL129" s="79" t="inlineStr">
        <is>
          <t>☑</t>
        </is>
      </c>
      <c r="BM129" s="79" t="inlineStr">
        <is>
          <t>☑</t>
        </is>
      </c>
      <c r="BN129" s="79" t="inlineStr">
        <is>
          <t>☑</t>
        </is>
      </c>
      <c r="BO129" s="79" t="inlineStr">
        <is>
          <t>☑</t>
        </is>
      </c>
    </row>
    <row r="130">
      <c r="A130" s="79" t="n">
        <v>123</v>
      </c>
      <c r="B130" s="79" t="inlineStr">
        <is>
          <t>325106410123</t>
        </is>
      </c>
      <c r="C130" s="79" t="inlineStr">
        <is>
          <t>VERAPANENI VENKATA CHOWDARY</t>
        </is>
      </c>
      <c r="D130" s="79" t="inlineStr">
        <is>
          <t>☑</t>
        </is>
      </c>
      <c r="E130" s="79" t="inlineStr">
        <is>
          <t>☑</t>
        </is>
      </c>
      <c r="F130" s="79" t="inlineStr">
        <is>
          <t>☑</t>
        </is>
      </c>
      <c r="G130" s="79" t="inlineStr">
        <is>
          <t>☑</t>
        </is>
      </c>
      <c r="H130" s="79" t="inlineStr">
        <is>
          <t>☑</t>
        </is>
      </c>
      <c r="I130" s="79" t="inlineStr">
        <is>
          <t>☑</t>
        </is>
      </c>
      <c r="J130" s="79" t="inlineStr">
        <is>
          <t>☑</t>
        </is>
      </c>
      <c r="K130" s="79" t="inlineStr">
        <is>
          <t>☑</t>
        </is>
      </c>
      <c r="L130" s="79" t="inlineStr">
        <is>
          <t>☑</t>
        </is>
      </c>
      <c r="M130" s="78" t="inlineStr">
        <is>
          <t>—</t>
        </is>
      </c>
      <c r="N130" s="79" t="inlineStr">
        <is>
          <t>☑</t>
        </is>
      </c>
      <c r="O130" s="78" t="inlineStr">
        <is>
          <t>—</t>
        </is>
      </c>
      <c r="P130" s="78" t="inlineStr">
        <is>
          <t>☑</t>
        </is>
      </c>
      <c r="Q130" s="79" t="inlineStr">
        <is>
          <t>☑</t>
        </is>
      </c>
      <c r="R130" s="78" t="inlineStr">
        <is>
          <t>☑</t>
        </is>
      </c>
      <c r="S130" s="79" t="inlineStr">
        <is>
          <t>☑</t>
        </is>
      </c>
      <c r="T130" s="79" t="inlineStr">
        <is>
          <t>☑</t>
        </is>
      </c>
      <c r="U130" s="79" t="inlineStr">
        <is>
          <t>☑</t>
        </is>
      </c>
      <c r="V130" s="79" t="inlineStr">
        <is>
          <t>☑</t>
        </is>
      </c>
      <c r="W130" s="79" t="inlineStr">
        <is>
          <t>☑</t>
        </is>
      </c>
      <c r="X130" s="79" t="inlineStr">
        <is>
          <t>☑</t>
        </is>
      </c>
      <c r="Y130" s="79" t="inlineStr">
        <is>
          <t>☑</t>
        </is>
      </c>
      <c r="Z130" s="79" t="inlineStr">
        <is>
          <t>☑</t>
        </is>
      </c>
      <c r="AA130" s="79" t="inlineStr">
        <is>
          <t>☑</t>
        </is>
      </c>
      <c r="AB130" s="78" t="inlineStr">
        <is>
          <t>—</t>
        </is>
      </c>
      <c r="AC130" s="79" t="inlineStr">
        <is>
          <t>☑</t>
        </is>
      </c>
      <c r="AD130" s="78" t="inlineStr">
        <is>
          <t>—</t>
        </is>
      </c>
      <c r="AE130" s="78" t="inlineStr">
        <is>
          <t>☑</t>
        </is>
      </c>
      <c r="AF130" s="79" t="inlineStr">
        <is>
          <t>☑</t>
        </is>
      </c>
      <c r="AG130" s="78" t="inlineStr">
        <is>
          <t>☑</t>
        </is>
      </c>
      <c r="AH130" s="79" t="inlineStr">
        <is>
          <t>☑</t>
        </is>
      </c>
      <c r="AI130" s="79" t="inlineStr">
        <is>
          <t>☑</t>
        </is>
      </c>
      <c r="AJ130" s="79" t="inlineStr">
        <is>
          <t>☑</t>
        </is>
      </c>
      <c r="AK130" s="79" t="inlineStr">
        <is>
          <t>☑</t>
        </is>
      </c>
      <c r="AL130" s="79" t="inlineStr">
        <is>
          <t>☑</t>
        </is>
      </c>
      <c r="AM130" s="79" t="inlineStr">
        <is>
          <t>☑</t>
        </is>
      </c>
      <c r="AN130" s="79" t="inlineStr">
        <is>
          <t>☑</t>
        </is>
      </c>
      <c r="AO130" s="79" t="inlineStr">
        <is>
          <t>☑</t>
        </is>
      </c>
      <c r="AP130" s="79" t="inlineStr">
        <is>
          <t>☑</t>
        </is>
      </c>
      <c r="AQ130" s="78" t="inlineStr">
        <is>
          <t>—</t>
        </is>
      </c>
      <c r="AR130" s="79" t="inlineStr">
        <is>
          <t>☑</t>
        </is>
      </c>
      <c r="AS130" s="78" t="inlineStr">
        <is>
          <t>—</t>
        </is>
      </c>
      <c r="AT130" s="78" t="inlineStr">
        <is>
          <t>☑</t>
        </is>
      </c>
      <c r="AU130" s="79" t="inlineStr">
        <is>
          <t>☑</t>
        </is>
      </c>
      <c r="AV130" s="78" t="inlineStr">
        <is>
          <t>☑</t>
        </is>
      </c>
      <c r="AW130" s="79" t="inlineStr">
        <is>
          <t>☑</t>
        </is>
      </c>
      <c r="AX130" s="79" t="inlineStr">
        <is>
          <t>☑</t>
        </is>
      </c>
      <c r="AY130" s="79" t="inlineStr">
        <is>
          <t>☑</t>
        </is>
      </c>
      <c r="AZ130" s="79" t="inlineStr">
        <is>
          <t>☑</t>
        </is>
      </c>
      <c r="BA130" s="79" t="inlineStr">
        <is>
          <t>☑</t>
        </is>
      </c>
      <c r="BB130" s="79" t="inlineStr">
        <is>
          <t>☑</t>
        </is>
      </c>
      <c r="BC130" s="79" t="inlineStr">
        <is>
          <t>☑</t>
        </is>
      </c>
      <c r="BD130" s="79" t="inlineStr">
        <is>
          <t>☑</t>
        </is>
      </c>
      <c r="BE130" s="79" t="inlineStr">
        <is>
          <t>☑</t>
        </is>
      </c>
      <c r="BF130" s="78" t="inlineStr">
        <is>
          <t>—</t>
        </is>
      </c>
      <c r="BG130" s="79" t="inlineStr">
        <is>
          <t>☑</t>
        </is>
      </c>
      <c r="BH130" s="78" t="inlineStr">
        <is>
          <t>—</t>
        </is>
      </c>
      <c r="BI130" s="78" t="inlineStr">
        <is>
          <t>☑</t>
        </is>
      </c>
      <c r="BJ130" s="79" t="inlineStr">
        <is>
          <t>☑</t>
        </is>
      </c>
      <c r="BK130" s="78" t="inlineStr">
        <is>
          <t>☑</t>
        </is>
      </c>
      <c r="BL130" s="79" t="inlineStr">
        <is>
          <t>☑</t>
        </is>
      </c>
      <c r="BM130" s="79" t="inlineStr">
        <is>
          <t>☑</t>
        </is>
      </c>
      <c r="BN130" s="79" t="inlineStr">
        <is>
          <t>☑</t>
        </is>
      </c>
      <c r="BO130" s="79" t="inlineStr">
        <is>
          <t>☑</t>
        </is>
      </c>
    </row>
    <row r="131">
      <c r="A131" s="79" t="n">
        <v>124</v>
      </c>
      <c r="B131" s="79" t="inlineStr">
        <is>
          <t>325106410124</t>
        </is>
      </c>
      <c r="C131" s="79" t="inlineStr">
        <is>
          <t>YUVRAJ SINGH</t>
        </is>
      </c>
      <c r="D131" s="79" t="inlineStr">
        <is>
          <t>☑</t>
        </is>
      </c>
      <c r="E131" s="79" t="inlineStr">
        <is>
          <t>☑</t>
        </is>
      </c>
      <c r="F131" s="79" t="inlineStr">
        <is>
          <t>☑</t>
        </is>
      </c>
      <c r="G131" s="79" t="inlineStr">
        <is>
          <t>☑</t>
        </is>
      </c>
      <c r="H131" s="79" t="inlineStr">
        <is>
          <t>☑</t>
        </is>
      </c>
      <c r="I131" s="79" t="inlineStr">
        <is>
          <t>☑</t>
        </is>
      </c>
      <c r="J131" s="79" t="inlineStr">
        <is>
          <t>☑</t>
        </is>
      </c>
      <c r="K131" s="79" t="inlineStr">
        <is>
          <t>☑</t>
        </is>
      </c>
      <c r="L131" s="79" t="inlineStr">
        <is>
          <t>☑</t>
        </is>
      </c>
      <c r="M131" s="78" t="inlineStr">
        <is>
          <t>—</t>
        </is>
      </c>
      <c r="N131" s="79" t="inlineStr">
        <is>
          <t>☑</t>
        </is>
      </c>
      <c r="O131" s="78" t="inlineStr">
        <is>
          <t>—</t>
        </is>
      </c>
      <c r="P131" s="78" t="inlineStr">
        <is>
          <t>☑</t>
        </is>
      </c>
      <c r="Q131" s="79" t="inlineStr">
        <is>
          <t>☑</t>
        </is>
      </c>
      <c r="R131" s="78" t="inlineStr">
        <is>
          <t>☑</t>
        </is>
      </c>
      <c r="S131" s="79" t="inlineStr">
        <is>
          <t>☑</t>
        </is>
      </c>
      <c r="T131" s="79" t="inlineStr">
        <is>
          <t>☑</t>
        </is>
      </c>
      <c r="U131" s="79" t="inlineStr">
        <is>
          <t>☑</t>
        </is>
      </c>
      <c r="V131" s="79" t="inlineStr">
        <is>
          <t>☑</t>
        </is>
      </c>
      <c r="W131" s="79" t="inlineStr">
        <is>
          <t>☑</t>
        </is>
      </c>
      <c r="X131" s="79" t="inlineStr">
        <is>
          <t>☑</t>
        </is>
      </c>
      <c r="Y131" s="79" t="inlineStr">
        <is>
          <t>☑</t>
        </is>
      </c>
      <c r="Z131" s="79" t="inlineStr">
        <is>
          <t>☑</t>
        </is>
      </c>
      <c r="AA131" s="79" t="inlineStr">
        <is>
          <t>☑</t>
        </is>
      </c>
      <c r="AB131" s="78" t="inlineStr">
        <is>
          <t>—</t>
        </is>
      </c>
      <c r="AC131" s="79" t="inlineStr">
        <is>
          <t>☑</t>
        </is>
      </c>
      <c r="AD131" s="78" t="inlineStr">
        <is>
          <t>—</t>
        </is>
      </c>
      <c r="AE131" s="78" t="inlineStr">
        <is>
          <t>☑</t>
        </is>
      </c>
      <c r="AF131" s="79" t="inlineStr">
        <is>
          <t>☑</t>
        </is>
      </c>
      <c r="AG131" s="78" t="inlineStr">
        <is>
          <t>☑</t>
        </is>
      </c>
      <c r="AH131" s="79" t="inlineStr">
        <is>
          <t>☑</t>
        </is>
      </c>
      <c r="AI131" s="79" t="inlineStr">
        <is>
          <t>☑</t>
        </is>
      </c>
      <c r="AJ131" s="79" t="inlineStr">
        <is>
          <t>☑</t>
        </is>
      </c>
      <c r="AK131" s="79" t="inlineStr">
        <is>
          <t>☑</t>
        </is>
      </c>
      <c r="AL131" s="79" t="inlineStr">
        <is>
          <t>☑</t>
        </is>
      </c>
      <c r="AM131" s="79" t="inlineStr">
        <is>
          <t>☑</t>
        </is>
      </c>
      <c r="AN131" s="79" t="inlineStr">
        <is>
          <t>☑</t>
        </is>
      </c>
      <c r="AO131" s="79" t="inlineStr">
        <is>
          <t>☑</t>
        </is>
      </c>
      <c r="AP131" s="79" t="inlineStr">
        <is>
          <t>☑</t>
        </is>
      </c>
      <c r="AQ131" s="78" t="inlineStr">
        <is>
          <t>—</t>
        </is>
      </c>
      <c r="AR131" s="79" t="inlineStr">
        <is>
          <t>☑</t>
        </is>
      </c>
      <c r="AS131" s="78" t="inlineStr">
        <is>
          <t>—</t>
        </is>
      </c>
      <c r="AT131" s="78" t="inlineStr">
        <is>
          <t>☑</t>
        </is>
      </c>
      <c r="AU131" s="79" t="inlineStr">
        <is>
          <t>☑</t>
        </is>
      </c>
      <c r="AV131" s="78" t="inlineStr">
        <is>
          <t>☑</t>
        </is>
      </c>
      <c r="AW131" s="79" t="inlineStr">
        <is>
          <t>☑</t>
        </is>
      </c>
      <c r="AX131" s="79" t="inlineStr">
        <is>
          <t>☑</t>
        </is>
      </c>
      <c r="AY131" s="79" t="inlineStr">
        <is>
          <t>☑</t>
        </is>
      </c>
      <c r="AZ131" s="79" t="inlineStr">
        <is>
          <t>☑</t>
        </is>
      </c>
      <c r="BA131" s="79" t="inlineStr">
        <is>
          <t>☑</t>
        </is>
      </c>
      <c r="BB131" s="79" t="inlineStr">
        <is>
          <t>☑</t>
        </is>
      </c>
      <c r="BC131" s="79" t="inlineStr">
        <is>
          <t>☑</t>
        </is>
      </c>
      <c r="BD131" s="79" t="inlineStr">
        <is>
          <t>☑</t>
        </is>
      </c>
      <c r="BE131" s="79" t="inlineStr">
        <is>
          <t>☑</t>
        </is>
      </c>
      <c r="BF131" s="78" t="inlineStr">
        <is>
          <t>—</t>
        </is>
      </c>
      <c r="BG131" s="79" t="inlineStr">
        <is>
          <t>☑</t>
        </is>
      </c>
      <c r="BH131" s="78" t="inlineStr">
        <is>
          <t>—</t>
        </is>
      </c>
      <c r="BI131" s="78" t="inlineStr">
        <is>
          <t>☑</t>
        </is>
      </c>
      <c r="BJ131" s="79" t="inlineStr">
        <is>
          <t>☑</t>
        </is>
      </c>
      <c r="BK131" s="78" t="inlineStr">
        <is>
          <t>☑</t>
        </is>
      </c>
      <c r="BL131" s="79" t="inlineStr">
        <is>
          <t>☑</t>
        </is>
      </c>
      <c r="BM131" s="79" t="inlineStr">
        <is>
          <t>☑</t>
        </is>
      </c>
      <c r="BN131" s="79" t="inlineStr">
        <is>
          <t>☑</t>
        </is>
      </c>
      <c r="BO131" s="79" t="inlineStr">
        <is>
          <t>☑</t>
        </is>
      </c>
    </row>
    <row r="135">
      <c r="A135" s="82" t="inlineStr">
        <is>
          <t>SEPTEMBER CLASS SUMMARY</t>
        </is>
      </c>
    </row>
    <row r="136">
      <c r="A136" s="83" t="inlineStr">
        <is>
          <t>Date</t>
        </is>
      </c>
      <c r="B136" s="83" t="inlineStr">
        <is>
          <t>Subject</t>
        </is>
      </c>
      <c r="C136" s="83" t="inlineStr">
        <is>
          <t>Type</t>
        </is>
      </c>
      <c r="D136" s="83" t="inlineStr">
        <is>
          <t>Present</t>
        </is>
      </c>
      <c r="E136" s="83" t="inlineStr">
        <is>
          <t>Absent</t>
        </is>
      </c>
      <c r="F136" s="83" t="inlineStr">
        <is>
          <t>Total</t>
        </is>
      </c>
      <c r="G136" s="83" t="inlineStr">
        <is>
          <t>Attendance %</t>
        </is>
      </c>
    </row>
    <row r="137">
      <c r="A137" s="79" t="inlineStr">
        <is>
          <t>01-Sep</t>
        </is>
      </c>
      <c r="B137" s="79" t="inlineStr">
        <is>
          <t>OOPJ LAB-3</t>
        </is>
      </c>
      <c r="C137" s="79" t="inlineStr">
        <is>
          <t>Lab</t>
        </is>
      </c>
      <c r="D137" s="79">
        <f>COUNTIF(D8:D131,"☑")</f>
        <v/>
      </c>
      <c r="E137" s="79">
        <f>COUNTIF(D8:D131,"☐")</f>
        <v/>
      </c>
      <c r="F137" s="79">
        <f>D137+E137</f>
        <v/>
      </c>
      <c r="G137" s="84">
        <f>IF(F137=0,"",D137/F137)</f>
        <v/>
      </c>
    </row>
    <row r="138">
      <c r="A138" s="79" t="inlineStr">
        <is>
          <t>01-Sep</t>
        </is>
      </c>
      <c r="B138" s="79" t="inlineStr">
        <is>
          <t>OOPJ</t>
        </is>
      </c>
      <c r="C138" s="79" t="inlineStr">
        <is>
          <t>Theory</t>
        </is>
      </c>
      <c r="D138" s="79">
        <f>COUNTIF(E8:E131,"☑")</f>
        <v/>
      </c>
      <c r="E138" s="79">
        <f>COUNTIF(E8:E131,"☐")</f>
        <v/>
      </c>
      <c r="F138" s="79">
        <f>D138+E138</f>
        <v/>
      </c>
      <c r="G138" s="84">
        <f>IF(F138=0,"",D138/F138)</f>
        <v/>
      </c>
    </row>
    <row r="139">
      <c r="A139" s="79" t="inlineStr">
        <is>
          <t>02-Sep</t>
        </is>
      </c>
      <c r="B139" s="79" t="inlineStr">
        <is>
          <t>OS</t>
        </is>
      </c>
      <c r="C139" s="79" t="inlineStr">
        <is>
          <t>Theory</t>
        </is>
      </c>
      <c r="D139" s="79">
        <f>COUNTIF(F8:F131,"☑")</f>
        <v/>
      </c>
      <c r="E139" s="79">
        <f>COUNTIF(F8:F131,"☐")</f>
        <v/>
      </c>
      <c r="F139" s="79">
        <f>D139+E139</f>
        <v/>
      </c>
      <c r="G139" s="84">
        <f>IF(F139=0,"",D139/F139)</f>
        <v/>
      </c>
    </row>
    <row r="140">
      <c r="A140" s="79" t="inlineStr">
        <is>
          <t>02-Sep</t>
        </is>
      </c>
      <c r="B140" s="79" t="inlineStr">
        <is>
          <t>DMS</t>
        </is>
      </c>
      <c r="C140" s="79" t="inlineStr">
        <is>
          <t>Theory</t>
        </is>
      </c>
      <c r="D140" s="79">
        <f>COUNTIF(G8:G131,"☑")</f>
        <v/>
      </c>
      <c r="E140" s="79">
        <f>COUNTIF(G8:G131,"☐")</f>
        <v/>
      </c>
      <c r="F140" s="79">
        <f>D140+E140</f>
        <v/>
      </c>
      <c r="G140" s="84">
        <f>IF(F140=0,"",D140/F140)</f>
        <v/>
      </c>
    </row>
    <row r="141">
      <c r="A141" s="79" t="inlineStr">
        <is>
          <t>03-Sep</t>
        </is>
      </c>
      <c r="B141" s="79" t="inlineStr">
        <is>
          <t>OS</t>
        </is>
      </c>
      <c r="C141" s="79" t="inlineStr">
        <is>
          <t>Theory</t>
        </is>
      </c>
      <c r="D141" s="79">
        <f>COUNTIF(H8:H131,"☑")</f>
        <v/>
      </c>
      <c r="E141" s="79">
        <f>COUNTIF(H8:H131,"☐")</f>
        <v/>
      </c>
      <c r="F141" s="79">
        <f>D141+E141</f>
        <v/>
      </c>
      <c r="G141" s="84">
        <f>IF(F141=0,"",D141/F141)</f>
        <v/>
      </c>
    </row>
    <row r="142">
      <c r="A142" s="79" t="inlineStr">
        <is>
          <t>03-Sep</t>
        </is>
      </c>
      <c r="B142" s="79" t="inlineStr">
        <is>
          <t>OOPJ</t>
        </is>
      </c>
      <c r="C142" s="79" t="inlineStr">
        <is>
          <t>Theory</t>
        </is>
      </c>
      <c r="D142" s="79">
        <f>COUNTIF(I8:I131,"☑")</f>
        <v/>
      </c>
      <c r="E142" s="79">
        <f>COUNTIF(I8:I131,"☐")</f>
        <v/>
      </c>
      <c r="F142" s="79">
        <f>D142+E142</f>
        <v/>
      </c>
      <c r="G142" s="84">
        <f>IF(F142=0,"",D142/F142)</f>
        <v/>
      </c>
    </row>
    <row r="143">
      <c r="A143" s="79" t="inlineStr">
        <is>
          <t>03-Sep</t>
        </is>
      </c>
      <c r="B143" s="79" t="inlineStr">
        <is>
          <t>PSQT</t>
        </is>
      </c>
      <c r="C143" s="79" t="inlineStr">
        <is>
          <t>Theory</t>
        </is>
      </c>
      <c r="D143" s="79">
        <f>COUNTIF(J8:J131,"☑")</f>
        <v/>
      </c>
      <c r="E143" s="79">
        <f>COUNTIF(J8:J131,"☐")</f>
        <v/>
      </c>
      <c r="F143" s="79">
        <f>D143+E143</f>
        <v/>
      </c>
      <c r="G143" s="84">
        <f>IF(F143=0,"",D143/F143)</f>
        <v/>
      </c>
    </row>
    <row r="144">
      <c r="A144" s="79" t="inlineStr">
        <is>
          <t>04-Sep</t>
        </is>
      </c>
      <c r="B144" s="79" t="inlineStr">
        <is>
          <t>COA</t>
        </is>
      </c>
      <c r="C144" s="79" t="inlineStr">
        <is>
          <t>Theory</t>
        </is>
      </c>
      <c r="D144" s="79">
        <f>COUNTIF(K8:K131,"☑")</f>
        <v/>
      </c>
      <c r="E144" s="79">
        <f>COUNTIF(K8:K131,"☐")</f>
        <v/>
      </c>
      <c r="F144" s="79">
        <f>D144+E144</f>
        <v/>
      </c>
      <c r="G144" s="84">
        <f>IF(F144=0,"",D144/F144)</f>
        <v/>
      </c>
    </row>
    <row r="145">
      <c r="A145" s="79" t="inlineStr">
        <is>
          <t>04-Sep</t>
        </is>
      </c>
      <c r="B145" s="79" t="inlineStr">
        <is>
          <t>DMS</t>
        </is>
      </c>
      <c r="C145" s="79" t="inlineStr">
        <is>
          <t>Theory</t>
        </is>
      </c>
      <c r="D145" s="79">
        <f>COUNTIF(L8:L131,"☑")</f>
        <v/>
      </c>
      <c r="E145" s="79">
        <f>COUNTIF(L8:L131,"☐")</f>
        <v/>
      </c>
      <c r="F145" s="79">
        <f>D145+E145</f>
        <v/>
      </c>
      <c r="G145" s="84">
        <f>IF(F145=0,"",D145/F145)</f>
        <v/>
      </c>
    </row>
    <row r="146">
      <c r="A146" s="79" t="inlineStr">
        <is>
          <t>04-Sep</t>
        </is>
      </c>
      <c r="B146" s="79" t="inlineStr">
        <is>
          <t>OS LAB-1 / OOPJ LAB-2</t>
        </is>
      </c>
      <c r="C146" s="79" t="inlineStr">
        <is>
          <t>Lab</t>
        </is>
      </c>
      <c r="D146" s="79">
        <f>COUNTIF(M8:M131,"☑")</f>
        <v/>
      </c>
      <c r="E146" s="79">
        <f>COUNTIF(M8:M131,"☐")</f>
        <v/>
      </c>
      <c r="F146" s="79">
        <f>D146+E146</f>
        <v/>
      </c>
      <c r="G146" s="84">
        <f>IF(F146=0,"",D146/F146)</f>
        <v/>
      </c>
    </row>
    <row r="147">
      <c r="A147" s="79" t="inlineStr">
        <is>
          <t>05-Sep</t>
        </is>
      </c>
      <c r="B147" s="79" t="inlineStr">
        <is>
          <t>COA</t>
        </is>
      </c>
      <c r="C147" s="79" t="inlineStr">
        <is>
          <t>Theory</t>
        </is>
      </c>
      <c r="D147" s="79">
        <f>COUNTIF(N8:N131,"☑")</f>
        <v/>
      </c>
      <c r="E147" s="79">
        <f>COUNTIF(N8:N131,"☐")</f>
        <v/>
      </c>
      <c r="F147" s="79">
        <f>D147+E147</f>
        <v/>
      </c>
      <c r="G147" s="84">
        <f>IF(F147=0,"",D147/F147)</f>
        <v/>
      </c>
    </row>
    <row r="148">
      <c r="A148" s="79" t="inlineStr">
        <is>
          <t>05-Sep</t>
        </is>
      </c>
      <c r="B148" s="79" t="inlineStr">
        <is>
          <t>COA LAB-2</t>
        </is>
      </c>
      <c r="C148" s="79" t="inlineStr">
        <is>
          <t>Lab</t>
        </is>
      </c>
      <c r="D148" s="79">
        <f>COUNTIF(O8:O131,"☑")</f>
        <v/>
      </c>
      <c r="E148" s="79">
        <f>COUNTIF(O8:O131,"☐")</f>
        <v/>
      </c>
      <c r="F148" s="79">
        <f>D148+E148</f>
        <v/>
      </c>
      <c r="G148" s="84">
        <f>IF(F148=0,"",D148/F148)</f>
        <v/>
      </c>
    </row>
    <row r="149">
      <c r="A149" s="79" t="inlineStr">
        <is>
          <t>05-Sep</t>
        </is>
      </c>
      <c r="B149" s="79" t="inlineStr">
        <is>
          <t>OS LAB-2 / OOPJ LAB-1 / COA LAB-3</t>
        </is>
      </c>
      <c r="C149" s="79" t="inlineStr">
        <is>
          <t>Lab</t>
        </is>
      </c>
      <c r="D149" s="79">
        <f>COUNTIF(P8:P131,"☑")</f>
        <v/>
      </c>
      <c r="E149" s="79">
        <f>COUNTIF(P8:P131,"☐")</f>
        <v/>
      </c>
      <c r="F149" s="79">
        <f>D149+E149</f>
        <v/>
      </c>
      <c r="G149" s="84">
        <f>IF(F149=0,"",D149/F149)</f>
        <v/>
      </c>
    </row>
    <row r="150">
      <c r="A150" s="79" t="inlineStr">
        <is>
          <t>07-Sep</t>
        </is>
      </c>
      <c r="B150" s="79" t="inlineStr">
        <is>
          <t>PSQT</t>
        </is>
      </c>
      <c r="C150" s="79" t="inlineStr">
        <is>
          <t>Theory</t>
        </is>
      </c>
      <c r="D150" s="79">
        <f>COUNTIF(Q8:Q131,"☑")</f>
        <v/>
      </c>
      <c r="E150" s="79">
        <f>COUNTIF(Q8:Q131,"☐")</f>
        <v/>
      </c>
      <c r="F150" s="79">
        <f>D150+E150</f>
        <v/>
      </c>
      <c r="G150" s="84">
        <f>IF(F150=0,"",D150/F150)</f>
        <v/>
      </c>
    </row>
    <row r="151">
      <c r="A151" s="79" t="inlineStr">
        <is>
          <t>07-Sep</t>
        </is>
      </c>
      <c r="B151" s="79" t="inlineStr">
        <is>
          <t>COA LAB-1 / OS LAB-3</t>
        </is>
      </c>
      <c r="C151" s="79" t="inlineStr">
        <is>
          <t>Lab</t>
        </is>
      </c>
      <c r="D151" s="79">
        <f>COUNTIF(R8:R131,"☑")</f>
        <v/>
      </c>
      <c r="E151" s="79">
        <f>COUNTIF(R8:R131,"☐")</f>
        <v/>
      </c>
      <c r="F151" s="79">
        <f>D151+E151</f>
        <v/>
      </c>
      <c r="G151" s="84">
        <f>IF(F151=0,"",D151/F151)</f>
        <v/>
      </c>
    </row>
    <row r="152">
      <c r="A152" s="79" t="inlineStr">
        <is>
          <t>08-Sep</t>
        </is>
      </c>
      <c r="B152" s="79" t="inlineStr">
        <is>
          <t>OOPJ LAB-3</t>
        </is>
      </c>
      <c r="C152" s="79" t="inlineStr">
        <is>
          <t>Lab</t>
        </is>
      </c>
      <c r="D152" s="79">
        <f>COUNTIF(S8:S131,"☑")</f>
        <v/>
      </c>
      <c r="E152" s="79">
        <f>COUNTIF(S8:S131,"☐")</f>
        <v/>
      </c>
      <c r="F152" s="79">
        <f>D152+E152</f>
        <v/>
      </c>
      <c r="G152" s="84">
        <f>IF(F152=0,"",D152/F152)</f>
        <v/>
      </c>
    </row>
    <row r="153">
      <c r="A153" s="79" t="inlineStr">
        <is>
          <t>08-Sep</t>
        </is>
      </c>
      <c r="B153" s="79" t="inlineStr">
        <is>
          <t>OOPJ</t>
        </is>
      </c>
      <c r="C153" s="79" t="inlineStr">
        <is>
          <t>Theory</t>
        </is>
      </c>
      <c r="D153" s="79">
        <f>COUNTIF(T8:T131,"☑")</f>
        <v/>
      </c>
      <c r="E153" s="79">
        <f>COUNTIF(T8:T131,"☐")</f>
        <v/>
      </c>
      <c r="F153" s="79">
        <f>D153+E153</f>
        <v/>
      </c>
      <c r="G153" s="84">
        <f>IF(F153=0,"",D153/F153)</f>
        <v/>
      </c>
    </row>
    <row r="154">
      <c r="A154" s="79" t="inlineStr">
        <is>
          <t>09-Sep</t>
        </is>
      </c>
      <c r="B154" s="79" t="inlineStr">
        <is>
          <t>OS</t>
        </is>
      </c>
      <c r="C154" s="79" t="inlineStr">
        <is>
          <t>Theory</t>
        </is>
      </c>
      <c r="D154" s="79">
        <f>COUNTIF(U8:U131,"☑")</f>
        <v/>
      </c>
      <c r="E154" s="79">
        <f>COUNTIF(U8:U131,"☐")</f>
        <v/>
      </c>
      <c r="F154" s="79">
        <f>D154+E154</f>
        <v/>
      </c>
      <c r="G154" s="84">
        <f>IF(F154=0,"",D154/F154)</f>
        <v/>
      </c>
    </row>
    <row r="155">
      <c r="A155" s="79" t="inlineStr">
        <is>
          <t>09-Sep</t>
        </is>
      </c>
      <c r="B155" s="79" t="inlineStr">
        <is>
          <t>DMS</t>
        </is>
      </c>
      <c r="C155" s="79" t="inlineStr">
        <is>
          <t>Theory</t>
        </is>
      </c>
      <c r="D155" s="79">
        <f>COUNTIF(V8:V131,"☑")</f>
        <v/>
      </c>
      <c r="E155" s="79">
        <f>COUNTIF(V8:V131,"☐")</f>
        <v/>
      </c>
      <c r="F155" s="79">
        <f>D155+E155</f>
        <v/>
      </c>
      <c r="G155" s="84">
        <f>IF(F155=0,"",D155/F155)</f>
        <v/>
      </c>
    </row>
    <row r="156">
      <c r="A156" s="79" t="inlineStr">
        <is>
          <t>10-Sep</t>
        </is>
      </c>
      <c r="B156" s="79" t="inlineStr">
        <is>
          <t>OS</t>
        </is>
      </c>
      <c r="C156" s="79" t="inlineStr">
        <is>
          <t>Theory</t>
        </is>
      </c>
      <c r="D156" s="79">
        <f>COUNTIF(W8:W131,"☑")</f>
        <v/>
      </c>
      <c r="E156" s="79">
        <f>COUNTIF(W8:W131,"☐")</f>
        <v/>
      </c>
      <c r="F156" s="79">
        <f>D156+E156</f>
        <v/>
      </c>
      <c r="G156" s="84">
        <f>IF(F156=0,"",D156/F156)</f>
        <v/>
      </c>
    </row>
    <row r="157">
      <c r="A157" s="79" t="inlineStr">
        <is>
          <t>10-Sep</t>
        </is>
      </c>
      <c r="B157" s="79" t="inlineStr">
        <is>
          <t>OOPJ</t>
        </is>
      </c>
      <c r="C157" s="79" t="inlineStr">
        <is>
          <t>Theory</t>
        </is>
      </c>
      <c r="D157" s="79">
        <f>COUNTIF(X8:X131,"☑")</f>
        <v/>
      </c>
      <c r="E157" s="79">
        <f>COUNTIF(X8:X131,"☐")</f>
        <v/>
      </c>
      <c r="F157" s="79">
        <f>D157+E157</f>
        <v/>
      </c>
      <c r="G157" s="84">
        <f>IF(F157=0,"",D157/F157)</f>
        <v/>
      </c>
    </row>
    <row r="158">
      <c r="A158" s="79" t="inlineStr">
        <is>
          <t>10-Sep</t>
        </is>
      </c>
      <c r="B158" s="79" t="inlineStr">
        <is>
          <t>PSQT</t>
        </is>
      </c>
      <c r="C158" s="79" t="inlineStr">
        <is>
          <t>Theory</t>
        </is>
      </c>
      <c r="D158" s="79">
        <f>COUNTIF(Y8:Y131,"☑")</f>
        <v/>
      </c>
      <c r="E158" s="79">
        <f>COUNTIF(Y8:Y131,"☐")</f>
        <v/>
      </c>
      <c r="F158" s="79">
        <f>D158+E158</f>
        <v/>
      </c>
      <c r="G158" s="84">
        <f>IF(F158=0,"",D158/F158)</f>
        <v/>
      </c>
    </row>
    <row r="159">
      <c r="A159" s="79" t="inlineStr">
        <is>
          <t>11-Sep</t>
        </is>
      </c>
      <c r="B159" s="79" t="inlineStr">
        <is>
          <t>COA</t>
        </is>
      </c>
      <c r="C159" s="79" t="inlineStr">
        <is>
          <t>Theory</t>
        </is>
      </c>
      <c r="D159" s="79">
        <f>COUNTIF(Z8:Z131,"☑")</f>
        <v/>
      </c>
      <c r="E159" s="79">
        <f>COUNTIF(Z8:Z131,"☐")</f>
        <v/>
      </c>
      <c r="F159" s="79">
        <f>D159+E159</f>
        <v/>
      </c>
      <c r="G159" s="84">
        <f>IF(F159=0,"",D159/F159)</f>
        <v/>
      </c>
    </row>
    <row r="160">
      <c r="A160" s="79" t="inlineStr">
        <is>
          <t>11-Sep</t>
        </is>
      </c>
      <c r="B160" s="79" t="inlineStr">
        <is>
          <t>DMS</t>
        </is>
      </c>
      <c r="C160" s="79" t="inlineStr">
        <is>
          <t>Theory</t>
        </is>
      </c>
      <c r="D160" s="79">
        <f>COUNTIF(AA8:AA131,"☑")</f>
        <v/>
      </c>
      <c r="E160" s="79">
        <f>COUNTIF(AA8:AA131,"☐")</f>
        <v/>
      </c>
      <c r="F160" s="79">
        <f>D160+E160</f>
        <v/>
      </c>
      <c r="G160" s="84">
        <f>IF(F160=0,"",D160/F160)</f>
        <v/>
      </c>
    </row>
    <row r="161">
      <c r="A161" s="79" t="inlineStr">
        <is>
          <t>11-Sep</t>
        </is>
      </c>
      <c r="B161" s="79" t="inlineStr">
        <is>
          <t>OS LAB-1 / OOPJ LAB-2</t>
        </is>
      </c>
      <c r="C161" s="79" t="inlineStr">
        <is>
          <t>Lab</t>
        </is>
      </c>
      <c r="D161" s="79">
        <f>COUNTIF(AB8:AB131,"☑")</f>
        <v/>
      </c>
      <c r="E161" s="79">
        <f>COUNTIF(AB8:AB131,"☐")</f>
        <v/>
      </c>
      <c r="F161" s="79">
        <f>D161+E161</f>
        <v/>
      </c>
      <c r="G161" s="84">
        <f>IF(F161=0,"",D161/F161)</f>
        <v/>
      </c>
    </row>
    <row r="162">
      <c r="A162" s="79" t="inlineStr">
        <is>
          <t>12-Sep</t>
        </is>
      </c>
      <c r="B162" s="79" t="inlineStr">
        <is>
          <t>COA</t>
        </is>
      </c>
      <c r="C162" s="79" t="inlineStr">
        <is>
          <t>Theory</t>
        </is>
      </c>
      <c r="D162" s="79">
        <f>COUNTIF(AC8:AC131,"☑")</f>
        <v/>
      </c>
      <c r="E162" s="79">
        <f>COUNTIF(AC8:AC131,"☐")</f>
        <v/>
      </c>
      <c r="F162" s="79">
        <f>D162+E162</f>
        <v/>
      </c>
      <c r="G162" s="84">
        <f>IF(F162=0,"",D162/F162)</f>
        <v/>
      </c>
    </row>
    <row r="163">
      <c r="A163" s="79" t="inlineStr">
        <is>
          <t>12-Sep</t>
        </is>
      </c>
      <c r="B163" s="79" t="inlineStr">
        <is>
          <t>COA LAB-2</t>
        </is>
      </c>
      <c r="C163" s="79" t="inlineStr">
        <is>
          <t>Lab</t>
        </is>
      </c>
      <c r="D163" s="79">
        <f>COUNTIF(AD8:AD131,"☑")</f>
        <v/>
      </c>
      <c r="E163" s="79">
        <f>COUNTIF(AD8:AD131,"☐")</f>
        <v/>
      </c>
      <c r="F163" s="79">
        <f>D163+E163</f>
        <v/>
      </c>
      <c r="G163" s="84">
        <f>IF(F163=0,"",D163/F163)</f>
        <v/>
      </c>
    </row>
    <row r="164">
      <c r="A164" s="79" t="inlineStr">
        <is>
          <t>12-Sep</t>
        </is>
      </c>
      <c r="B164" s="79" t="inlineStr">
        <is>
          <t>OS LAB-2 / OOPJ LAB-1 / COA LAB-3</t>
        </is>
      </c>
      <c r="C164" s="79" t="inlineStr">
        <is>
          <t>Lab</t>
        </is>
      </c>
      <c r="D164" s="79">
        <f>COUNTIF(AE8:AE131,"☑")</f>
        <v/>
      </c>
      <c r="E164" s="79">
        <f>COUNTIF(AE8:AE131,"☐")</f>
        <v/>
      </c>
      <c r="F164" s="79">
        <f>D164+E164</f>
        <v/>
      </c>
      <c r="G164" s="84">
        <f>IF(F164=0,"",D164/F164)</f>
        <v/>
      </c>
    </row>
    <row r="165">
      <c r="A165" s="79" t="inlineStr">
        <is>
          <t>14-Sep</t>
        </is>
      </c>
      <c r="B165" s="79" t="inlineStr">
        <is>
          <t>PSQT</t>
        </is>
      </c>
      <c r="C165" s="79" t="inlineStr">
        <is>
          <t>Theory</t>
        </is>
      </c>
      <c r="D165" s="79">
        <f>COUNTIF(AF8:AF131,"☑")</f>
        <v/>
      </c>
      <c r="E165" s="79">
        <f>COUNTIF(AF8:AF131,"☐")</f>
        <v/>
      </c>
      <c r="F165" s="79">
        <f>D165+E165</f>
        <v/>
      </c>
      <c r="G165" s="84">
        <f>IF(F165=0,"",D165/F165)</f>
        <v/>
      </c>
    </row>
    <row r="166">
      <c r="A166" s="79" t="inlineStr">
        <is>
          <t>14-Sep</t>
        </is>
      </c>
      <c r="B166" s="79" t="inlineStr">
        <is>
          <t>COA LAB-1 / OS LAB-3</t>
        </is>
      </c>
      <c r="C166" s="79" t="inlineStr">
        <is>
          <t>Lab</t>
        </is>
      </c>
      <c r="D166" s="79">
        <f>COUNTIF(AG8:AG131,"☑")</f>
        <v/>
      </c>
      <c r="E166" s="79">
        <f>COUNTIF(AG8:AG131,"☐")</f>
        <v/>
      </c>
      <c r="F166" s="79">
        <f>D166+E166</f>
        <v/>
      </c>
      <c r="G166" s="84">
        <f>IF(F166=0,"",D166/F166)</f>
        <v/>
      </c>
    </row>
    <row r="167">
      <c r="A167" s="79" t="inlineStr">
        <is>
          <t>15-Sep</t>
        </is>
      </c>
      <c r="B167" s="79" t="inlineStr">
        <is>
          <t>OOPJ LAB-3</t>
        </is>
      </c>
      <c r="C167" s="79" t="inlineStr">
        <is>
          <t>Lab</t>
        </is>
      </c>
      <c r="D167" s="79">
        <f>COUNTIF(AH8:AH131,"☑")</f>
        <v/>
      </c>
      <c r="E167" s="79">
        <f>COUNTIF(AH8:AH131,"☐")</f>
        <v/>
      </c>
      <c r="F167" s="79">
        <f>D167+E167</f>
        <v/>
      </c>
      <c r="G167" s="84">
        <f>IF(F167=0,"",D167/F167)</f>
        <v/>
      </c>
    </row>
    <row r="168">
      <c r="A168" s="79" t="inlineStr">
        <is>
          <t>15-Sep</t>
        </is>
      </c>
      <c r="B168" s="79" t="inlineStr">
        <is>
          <t>OOPJ</t>
        </is>
      </c>
      <c r="C168" s="79" t="inlineStr">
        <is>
          <t>Theory</t>
        </is>
      </c>
      <c r="D168" s="79">
        <f>COUNTIF(AI8:AI131,"☑")</f>
        <v/>
      </c>
      <c r="E168" s="79">
        <f>COUNTIF(AI8:AI131,"☐")</f>
        <v/>
      </c>
      <c r="F168" s="79">
        <f>D168+E168</f>
        <v/>
      </c>
      <c r="G168" s="84">
        <f>IF(F168=0,"",D168/F168)</f>
        <v/>
      </c>
    </row>
    <row r="169">
      <c r="A169" s="79" t="inlineStr">
        <is>
          <t>16-Sep</t>
        </is>
      </c>
      <c r="B169" s="79" t="inlineStr">
        <is>
          <t>OS</t>
        </is>
      </c>
      <c r="C169" s="79" t="inlineStr">
        <is>
          <t>Theory</t>
        </is>
      </c>
      <c r="D169" s="79">
        <f>COUNTIF(AJ8:AJ131,"☑")</f>
        <v/>
      </c>
      <c r="E169" s="79">
        <f>COUNTIF(AJ8:AJ131,"☐")</f>
        <v/>
      </c>
      <c r="F169" s="79">
        <f>D169+E169</f>
        <v/>
      </c>
      <c r="G169" s="84">
        <f>IF(F169=0,"",D169/F169)</f>
        <v/>
      </c>
    </row>
    <row r="170">
      <c r="A170" s="79" t="inlineStr">
        <is>
          <t>16-Sep</t>
        </is>
      </c>
      <c r="B170" s="79" t="inlineStr">
        <is>
          <t>DMS</t>
        </is>
      </c>
      <c r="C170" s="79" t="inlineStr">
        <is>
          <t>Theory</t>
        </is>
      </c>
      <c r="D170" s="79">
        <f>COUNTIF(AK8:AK131,"☑")</f>
        <v/>
      </c>
      <c r="E170" s="79">
        <f>COUNTIF(AK8:AK131,"☐")</f>
        <v/>
      </c>
      <c r="F170" s="79">
        <f>D170+E170</f>
        <v/>
      </c>
      <c r="G170" s="84">
        <f>IF(F170=0,"",D170/F170)</f>
        <v/>
      </c>
    </row>
    <row r="171">
      <c r="A171" s="79" t="inlineStr">
        <is>
          <t>17-Sep</t>
        </is>
      </c>
      <c r="B171" s="79" t="inlineStr">
        <is>
          <t>OS</t>
        </is>
      </c>
      <c r="C171" s="79" t="inlineStr">
        <is>
          <t>Theory</t>
        </is>
      </c>
      <c r="D171" s="79">
        <f>COUNTIF(AL8:AL131,"☑")</f>
        <v/>
      </c>
      <c r="E171" s="79">
        <f>COUNTIF(AL8:AL131,"☐")</f>
        <v/>
      </c>
      <c r="F171" s="79">
        <f>D171+E171</f>
        <v/>
      </c>
      <c r="G171" s="84">
        <f>IF(F171=0,"",D171/F171)</f>
        <v/>
      </c>
    </row>
    <row r="172">
      <c r="A172" s="79" t="inlineStr">
        <is>
          <t>17-Sep</t>
        </is>
      </c>
      <c r="B172" s="79" t="inlineStr">
        <is>
          <t>OOPJ</t>
        </is>
      </c>
      <c r="C172" s="79" t="inlineStr">
        <is>
          <t>Theory</t>
        </is>
      </c>
      <c r="D172" s="79">
        <f>COUNTIF(AM8:AM131,"☑")</f>
        <v/>
      </c>
      <c r="E172" s="79">
        <f>COUNTIF(AM8:AM131,"☐")</f>
        <v/>
      </c>
      <c r="F172" s="79">
        <f>D172+E172</f>
        <v/>
      </c>
      <c r="G172" s="84">
        <f>IF(F172=0,"",D172/F172)</f>
        <v/>
      </c>
    </row>
    <row r="173">
      <c r="A173" s="79" t="inlineStr">
        <is>
          <t>17-Sep</t>
        </is>
      </c>
      <c r="B173" s="79" t="inlineStr">
        <is>
          <t>PSQT</t>
        </is>
      </c>
      <c r="C173" s="79" t="inlineStr">
        <is>
          <t>Theory</t>
        </is>
      </c>
      <c r="D173" s="79">
        <f>COUNTIF(AN8:AN131,"☑")</f>
        <v/>
      </c>
      <c r="E173" s="79">
        <f>COUNTIF(AN8:AN131,"☐")</f>
        <v/>
      </c>
      <c r="F173" s="79">
        <f>D173+E173</f>
        <v/>
      </c>
      <c r="G173" s="84">
        <f>IF(F173=0,"",D173/F173)</f>
        <v/>
      </c>
    </row>
    <row r="174">
      <c r="A174" s="79" t="inlineStr">
        <is>
          <t>18-Sep</t>
        </is>
      </c>
      <c r="B174" s="79" t="inlineStr">
        <is>
          <t>COA</t>
        </is>
      </c>
      <c r="C174" s="79" t="inlineStr">
        <is>
          <t>Theory</t>
        </is>
      </c>
      <c r="D174" s="79">
        <f>COUNTIF(AO8:AO131,"☑")</f>
        <v/>
      </c>
      <c r="E174" s="79">
        <f>COUNTIF(AO8:AO131,"☐")</f>
        <v/>
      </c>
      <c r="F174" s="79">
        <f>D174+E174</f>
        <v/>
      </c>
      <c r="G174" s="84">
        <f>IF(F174=0,"",D174/F174)</f>
        <v/>
      </c>
    </row>
    <row r="175">
      <c r="A175" s="79" t="inlineStr">
        <is>
          <t>18-Sep</t>
        </is>
      </c>
      <c r="B175" s="79" t="inlineStr">
        <is>
          <t>DMS</t>
        </is>
      </c>
      <c r="C175" s="79" t="inlineStr">
        <is>
          <t>Theory</t>
        </is>
      </c>
      <c r="D175" s="79">
        <f>COUNTIF(AP8:AP131,"☑")</f>
        <v/>
      </c>
      <c r="E175" s="79">
        <f>COUNTIF(AP8:AP131,"☐")</f>
        <v/>
      </c>
      <c r="F175" s="79">
        <f>D175+E175</f>
        <v/>
      </c>
      <c r="G175" s="84">
        <f>IF(F175=0,"",D175/F175)</f>
        <v/>
      </c>
    </row>
    <row r="176">
      <c r="A176" s="79" t="inlineStr">
        <is>
          <t>18-Sep</t>
        </is>
      </c>
      <c r="B176" s="79" t="inlineStr">
        <is>
          <t>OS LAB-1 / OOPJ LAB-2</t>
        </is>
      </c>
      <c r="C176" s="79" t="inlineStr">
        <is>
          <t>Lab</t>
        </is>
      </c>
      <c r="D176" s="79">
        <f>COUNTIF(AQ8:AQ131,"☑")</f>
        <v/>
      </c>
      <c r="E176" s="79">
        <f>COUNTIF(AQ8:AQ131,"☐")</f>
        <v/>
      </c>
      <c r="F176" s="79">
        <f>D176+E176</f>
        <v/>
      </c>
      <c r="G176" s="84">
        <f>IF(F176=0,"",D176/F176)</f>
        <v/>
      </c>
    </row>
    <row r="177">
      <c r="A177" s="79" t="inlineStr">
        <is>
          <t>19-Sep</t>
        </is>
      </c>
      <c r="B177" s="79" t="inlineStr">
        <is>
          <t>COA</t>
        </is>
      </c>
      <c r="C177" s="79" t="inlineStr">
        <is>
          <t>Theory</t>
        </is>
      </c>
      <c r="D177" s="79">
        <f>COUNTIF(AR8:AR131,"☑")</f>
        <v/>
      </c>
      <c r="E177" s="79">
        <f>COUNTIF(AR8:AR131,"☐")</f>
        <v/>
      </c>
      <c r="F177" s="79">
        <f>D177+E177</f>
        <v/>
      </c>
      <c r="G177" s="84">
        <f>IF(F177=0,"",D177/F177)</f>
        <v/>
      </c>
    </row>
    <row r="178">
      <c r="A178" s="79" t="inlineStr">
        <is>
          <t>19-Sep</t>
        </is>
      </c>
      <c r="B178" s="79" t="inlineStr">
        <is>
          <t>COA LAB-2</t>
        </is>
      </c>
      <c r="C178" s="79" t="inlineStr">
        <is>
          <t>Lab</t>
        </is>
      </c>
      <c r="D178" s="79">
        <f>COUNTIF(AS8:AS131,"☑")</f>
        <v/>
      </c>
      <c r="E178" s="79">
        <f>COUNTIF(AS8:AS131,"☐")</f>
        <v/>
      </c>
      <c r="F178" s="79">
        <f>D178+E178</f>
        <v/>
      </c>
      <c r="G178" s="84">
        <f>IF(F178=0,"",D178/F178)</f>
        <v/>
      </c>
    </row>
    <row r="179">
      <c r="A179" s="79" t="inlineStr">
        <is>
          <t>19-Sep</t>
        </is>
      </c>
      <c r="B179" s="79" t="inlineStr">
        <is>
          <t>OS LAB-2 / OOPJ LAB-1 / COA LAB-3</t>
        </is>
      </c>
      <c r="C179" s="79" t="inlineStr">
        <is>
          <t>Lab</t>
        </is>
      </c>
      <c r="D179" s="79">
        <f>COUNTIF(AT8:AT131,"☑")</f>
        <v/>
      </c>
      <c r="E179" s="79">
        <f>COUNTIF(AT8:AT131,"☐")</f>
        <v/>
      </c>
      <c r="F179" s="79">
        <f>D179+E179</f>
        <v/>
      </c>
      <c r="G179" s="84">
        <f>IF(F179=0,"",D179/F179)</f>
        <v/>
      </c>
    </row>
    <row r="180">
      <c r="A180" s="79" t="inlineStr">
        <is>
          <t>21-Sep</t>
        </is>
      </c>
      <c r="B180" s="79" t="inlineStr">
        <is>
          <t>PSQT</t>
        </is>
      </c>
      <c r="C180" s="79" t="inlineStr">
        <is>
          <t>Theory</t>
        </is>
      </c>
      <c r="D180" s="79">
        <f>COUNTIF(AU8:AU131,"☑")</f>
        <v/>
      </c>
      <c r="E180" s="79">
        <f>COUNTIF(AU8:AU131,"☐")</f>
        <v/>
      </c>
      <c r="F180" s="79">
        <f>D180+E180</f>
        <v/>
      </c>
      <c r="G180" s="84">
        <f>IF(F180=0,"",D180/F180)</f>
        <v/>
      </c>
    </row>
    <row r="181">
      <c r="A181" s="79" t="inlineStr">
        <is>
          <t>21-Sep</t>
        </is>
      </c>
      <c r="B181" s="79" t="inlineStr">
        <is>
          <t>COA LAB-1 / OS LAB-3</t>
        </is>
      </c>
      <c r="C181" s="79" t="inlineStr">
        <is>
          <t>Lab</t>
        </is>
      </c>
      <c r="D181" s="79">
        <f>COUNTIF(AV8:AV131,"☑")</f>
        <v/>
      </c>
      <c r="E181" s="79">
        <f>COUNTIF(AV8:AV131,"☐")</f>
        <v/>
      </c>
      <c r="F181" s="79">
        <f>D181+E181</f>
        <v/>
      </c>
      <c r="G181" s="84">
        <f>IF(F181=0,"",D181/F181)</f>
        <v/>
      </c>
    </row>
    <row r="182">
      <c r="A182" s="79" t="inlineStr">
        <is>
          <t>22-Sep</t>
        </is>
      </c>
      <c r="B182" s="79" t="inlineStr">
        <is>
          <t>OOPJ LAB-3</t>
        </is>
      </c>
      <c r="C182" s="79" t="inlineStr">
        <is>
          <t>Lab</t>
        </is>
      </c>
      <c r="D182" s="79">
        <f>COUNTIF(AW8:AW131,"☑")</f>
        <v/>
      </c>
      <c r="E182" s="79">
        <f>COUNTIF(AW8:AW131,"☐")</f>
        <v/>
      </c>
      <c r="F182" s="79">
        <f>D182+E182</f>
        <v/>
      </c>
      <c r="G182" s="84">
        <f>IF(F182=0,"",D182/F182)</f>
        <v/>
      </c>
    </row>
    <row r="183">
      <c r="A183" s="79" t="inlineStr">
        <is>
          <t>22-Sep</t>
        </is>
      </c>
      <c r="B183" s="79" t="inlineStr">
        <is>
          <t>OOPJ</t>
        </is>
      </c>
      <c r="C183" s="79" t="inlineStr">
        <is>
          <t>Theory</t>
        </is>
      </c>
      <c r="D183" s="79">
        <f>COUNTIF(AX8:AX131,"☑")</f>
        <v/>
      </c>
      <c r="E183" s="79">
        <f>COUNTIF(AX8:AX131,"☐")</f>
        <v/>
      </c>
      <c r="F183" s="79">
        <f>D183+E183</f>
        <v/>
      </c>
      <c r="G183" s="84">
        <f>IF(F183=0,"",D183/F183)</f>
        <v/>
      </c>
    </row>
    <row r="184">
      <c r="A184" s="79" t="inlineStr">
        <is>
          <t>23-Sep</t>
        </is>
      </c>
      <c r="B184" s="79" t="inlineStr">
        <is>
          <t>OS</t>
        </is>
      </c>
      <c r="C184" s="79" t="inlineStr">
        <is>
          <t>Theory</t>
        </is>
      </c>
      <c r="D184" s="79">
        <f>COUNTIF(AY8:AY131,"☑")</f>
        <v/>
      </c>
      <c r="E184" s="79">
        <f>COUNTIF(AY8:AY131,"☐")</f>
        <v/>
      </c>
      <c r="F184" s="79">
        <f>D184+E184</f>
        <v/>
      </c>
      <c r="G184" s="84">
        <f>IF(F184=0,"",D184/F184)</f>
        <v/>
      </c>
    </row>
    <row r="185">
      <c r="A185" s="79" t="inlineStr">
        <is>
          <t>23-Sep</t>
        </is>
      </c>
      <c r="B185" s="79" t="inlineStr">
        <is>
          <t>DMS</t>
        </is>
      </c>
      <c r="C185" s="79" t="inlineStr">
        <is>
          <t>Theory</t>
        </is>
      </c>
      <c r="D185" s="79">
        <f>COUNTIF(AZ8:AZ131,"☑")</f>
        <v/>
      </c>
      <c r="E185" s="79">
        <f>COUNTIF(AZ8:AZ131,"☐")</f>
        <v/>
      </c>
      <c r="F185" s="79">
        <f>D185+E185</f>
        <v/>
      </c>
      <c r="G185" s="84">
        <f>IF(F185=0,"",D185/F185)</f>
        <v/>
      </c>
    </row>
    <row r="186">
      <c r="A186" s="79" t="inlineStr">
        <is>
          <t>24-Sep</t>
        </is>
      </c>
      <c r="B186" s="79" t="inlineStr">
        <is>
          <t>OS</t>
        </is>
      </c>
      <c r="C186" s="79" t="inlineStr">
        <is>
          <t>Theory</t>
        </is>
      </c>
      <c r="D186" s="79">
        <f>COUNTIF(BA8:BA131,"☑")</f>
        <v/>
      </c>
      <c r="E186" s="79">
        <f>COUNTIF(BA8:BA131,"☐")</f>
        <v/>
      </c>
      <c r="F186" s="79">
        <f>D186+E186</f>
        <v/>
      </c>
      <c r="G186" s="84">
        <f>IF(F186=0,"",D186/F186)</f>
        <v/>
      </c>
    </row>
    <row r="187">
      <c r="A187" s="79" t="inlineStr">
        <is>
          <t>24-Sep</t>
        </is>
      </c>
      <c r="B187" s="79" t="inlineStr">
        <is>
          <t>OOPJ</t>
        </is>
      </c>
      <c r="C187" s="79" t="inlineStr">
        <is>
          <t>Theory</t>
        </is>
      </c>
      <c r="D187" s="79">
        <f>COUNTIF(BB8:BB131,"☑")</f>
        <v/>
      </c>
      <c r="E187" s="79">
        <f>COUNTIF(BB8:BB131,"☐")</f>
        <v/>
      </c>
      <c r="F187" s="79">
        <f>D187+E187</f>
        <v/>
      </c>
      <c r="G187" s="84">
        <f>IF(F187=0,"",D187/F187)</f>
        <v/>
      </c>
    </row>
    <row r="188">
      <c r="A188" s="79" t="inlineStr">
        <is>
          <t>24-Sep</t>
        </is>
      </c>
      <c r="B188" s="79" t="inlineStr">
        <is>
          <t>PSQT</t>
        </is>
      </c>
      <c r="C188" s="79" t="inlineStr">
        <is>
          <t>Theory</t>
        </is>
      </c>
      <c r="D188" s="79">
        <f>COUNTIF(BC8:BC131,"☑")</f>
        <v/>
      </c>
      <c r="E188" s="79">
        <f>COUNTIF(BC8:BC131,"☐")</f>
        <v/>
      </c>
      <c r="F188" s="79">
        <f>D188+E188</f>
        <v/>
      </c>
      <c r="G188" s="84">
        <f>IF(F188=0,"",D188/F188)</f>
        <v/>
      </c>
    </row>
    <row r="189">
      <c r="A189" s="79" t="inlineStr">
        <is>
          <t>25-Sep</t>
        </is>
      </c>
      <c r="B189" s="79" t="inlineStr">
        <is>
          <t>COA</t>
        </is>
      </c>
      <c r="C189" s="79" t="inlineStr">
        <is>
          <t>Theory</t>
        </is>
      </c>
      <c r="D189" s="79">
        <f>COUNTIF(BD8:BD131,"☑")</f>
        <v/>
      </c>
      <c r="E189" s="79">
        <f>COUNTIF(BD8:BD131,"☐")</f>
        <v/>
      </c>
      <c r="F189" s="79">
        <f>D189+E189</f>
        <v/>
      </c>
      <c r="G189" s="84">
        <f>IF(F189=0,"",D189/F189)</f>
        <v/>
      </c>
    </row>
    <row r="190">
      <c r="A190" s="79" t="inlineStr">
        <is>
          <t>25-Sep</t>
        </is>
      </c>
      <c r="B190" s="79" t="inlineStr">
        <is>
          <t>DMS</t>
        </is>
      </c>
      <c r="C190" s="79" t="inlineStr">
        <is>
          <t>Theory</t>
        </is>
      </c>
      <c r="D190" s="79">
        <f>COUNTIF(BE8:BE131,"☑")</f>
        <v/>
      </c>
      <c r="E190" s="79">
        <f>COUNTIF(BE8:BE131,"☐")</f>
        <v/>
      </c>
      <c r="F190" s="79">
        <f>D190+E190</f>
        <v/>
      </c>
      <c r="G190" s="84">
        <f>IF(F190=0,"",D190/F190)</f>
        <v/>
      </c>
    </row>
    <row r="191">
      <c r="A191" s="79" t="inlineStr">
        <is>
          <t>25-Sep</t>
        </is>
      </c>
      <c r="B191" s="79" t="inlineStr">
        <is>
          <t>OS LAB-1 / OOPJ LAB-2</t>
        </is>
      </c>
      <c r="C191" s="79" t="inlineStr">
        <is>
          <t>Lab</t>
        </is>
      </c>
      <c r="D191" s="79">
        <f>COUNTIF(BF8:BF131,"☑")</f>
        <v/>
      </c>
      <c r="E191" s="79">
        <f>COUNTIF(BF8:BF131,"☐")</f>
        <v/>
      </c>
      <c r="F191" s="79">
        <f>D191+E191</f>
        <v/>
      </c>
      <c r="G191" s="84">
        <f>IF(F191=0,"",D191/F191)</f>
        <v/>
      </c>
    </row>
    <row r="192">
      <c r="A192" s="79" t="inlineStr">
        <is>
          <t>26-Sep</t>
        </is>
      </c>
      <c r="B192" s="79" t="inlineStr">
        <is>
          <t>COA</t>
        </is>
      </c>
      <c r="C192" s="79" t="inlineStr">
        <is>
          <t>Theory</t>
        </is>
      </c>
      <c r="D192" s="79">
        <f>COUNTIF(BG8:BG131,"☑")</f>
        <v/>
      </c>
      <c r="E192" s="79">
        <f>COUNTIF(BG8:BG131,"☐")</f>
        <v/>
      </c>
      <c r="F192" s="79">
        <f>D192+E192</f>
        <v/>
      </c>
      <c r="G192" s="84">
        <f>IF(F192=0,"",D192/F192)</f>
        <v/>
      </c>
    </row>
    <row r="193">
      <c r="A193" s="79" t="inlineStr">
        <is>
          <t>26-Sep</t>
        </is>
      </c>
      <c r="B193" s="79" t="inlineStr">
        <is>
          <t>COA LAB-2</t>
        </is>
      </c>
      <c r="C193" s="79" t="inlineStr">
        <is>
          <t>Lab</t>
        </is>
      </c>
      <c r="D193" s="79">
        <f>COUNTIF(BH8:BH131,"☑")</f>
        <v/>
      </c>
      <c r="E193" s="79">
        <f>COUNTIF(BH8:BH131,"☐")</f>
        <v/>
      </c>
      <c r="F193" s="79">
        <f>D193+E193</f>
        <v/>
      </c>
      <c r="G193" s="84">
        <f>IF(F193=0,"",D193/F193)</f>
        <v/>
      </c>
    </row>
    <row r="194">
      <c r="A194" s="79" t="inlineStr">
        <is>
          <t>26-Sep</t>
        </is>
      </c>
      <c r="B194" s="79" t="inlineStr">
        <is>
          <t>OS LAB-2 / OOPJ LAB-1 / COA LAB-3</t>
        </is>
      </c>
      <c r="C194" s="79" t="inlineStr">
        <is>
          <t>Lab</t>
        </is>
      </c>
      <c r="D194" s="79">
        <f>COUNTIF(BI8:BI131,"☑")</f>
        <v/>
      </c>
      <c r="E194" s="79">
        <f>COUNTIF(BI8:BI131,"☐")</f>
        <v/>
      </c>
      <c r="F194" s="79">
        <f>D194+E194</f>
        <v/>
      </c>
      <c r="G194" s="84">
        <f>IF(F194=0,"",D194/F194)</f>
        <v/>
      </c>
    </row>
    <row r="195">
      <c r="A195" s="79" t="inlineStr">
        <is>
          <t>28-Sep</t>
        </is>
      </c>
      <c r="B195" s="79" t="inlineStr">
        <is>
          <t>PSQT</t>
        </is>
      </c>
      <c r="C195" s="79" t="inlineStr">
        <is>
          <t>Theory</t>
        </is>
      </c>
      <c r="D195" s="79">
        <f>COUNTIF(BJ8:BJ131,"☑")</f>
        <v/>
      </c>
      <c r="E195" s="79">
        <f>COUNTIF(BJ8:BJ131,"☐")</f>
        <v/>
      </c>
      <c r="F195" s="79">
        <f>D195+E195</f>
        <v/>
      </c>
      <c r="G195" s="84">
        <f>IF(F195=0,"",D195/F195)</f>
        <v/>
      </c>
    </row>
    <row r="196">
      <c r="A196" s="79" t="inlineStr">
        <is>
          <t>28-Sep</t>
        </is>
      </c>
      <c r="B196" s="79" t="inlineStr">
        <is>
          <t>COA LAB-1 / OS LAB-3</t>
        </is>
      </c>
      <c r="C196" s="79" t="inlineStr">
        <is>
          <t>Lab</t>
        </is>
      </c>
      <c r="D196" s="79">
        <f>COUNTIF(BK8:BK131,"☑")</f>
        <v/>
      </c>
      <c r="E196" s="79">
        <f>COUNTIF(BK8:BK131,"☐")</f>
        <v/>
      </c>
      <c r="F196" s="79">
        <f>D196+E196</f>
        <v/>
      </c>
      <c r="G196" s="84">
        <f>IF(F196=0,"",D196/F196)</f>
        <v/>
      </c>
    </row>
    <row r="197">
      <c r="A197" s="79" t="inlineStr">
        <is>
          <t>29-Sep</t>
        </is>
      </c>
      <c r="B197" s="79" t="inlineStr">
        <is>
          <t>OOPJ LAB-3</t>
        </is>
      </c>
      <c r="C197" s="79" t="inlineStr">
        <is>
          <t>Lab</t>
        </is>
      </c>
      <c r="D197" s="79">
        <f>COUNTIF(BL8:BL131,"☑")</f>
        <v/>
      </c>
      <c r="E197" s="79">
        <f>COUNTIF(BL8:BL131,"☐")</f>
        <v/>
      </c>
      <c r="F197" s="79">
        <f>D197+E197</f>
        <v/>
      </c>
      <c r="G197" s="84">
        <f>IF(F197=0,"",D197/F197)</f>
        <v/>
      </c>
    </row>
    <row r="198">
      <c r="A198" s="79" t="inlineStr">
        <is>
          <t>29-Sep</t>
        </is>
      </c>
      <c r="B198" s="79" t="inlineStr">
        <is>
          <t>OOPJ</t>
        </is>
      </c>
      <c r="C198" s="79" t="inlineStr">
        <is>
          <t>Theory</t>
        </is>
      </c>
      <c r="D198" s="79">
        <f>COUNTIF(BM8:BM131,"☑")</f>
        <v/>
      </c>
      <c r="E198" s="79">
        <f>COUNTIF(BM8:BM131,"☐")</f>
        <v/>
      </c>
      <c r="F198" s="79">
        <f>D198+E198</f>
        <v/>
      </c>
      <c r="G198" s="84">
        <f>IF(F198=0,"",D198/F198)</f>
        <v/>
      </c>
    </row>
    <row r="199">
      <c r="A199" s="79" t="inlineStr">
        <is>
          <t>30-Sep</t>
        </is>
      </c>
      <c r="B199" s="79" t="inlineStr">
        <is>
          <t>OS</t>
        </is>
      </c>
      <c r="C199" s="79" t="inlineStr">
        <is>
          <t>Theory</t>
        </is>
      </c>
      <c r="D199" s="79">
        <f>COUNTIF(BN8:BN131,"☑")</f>
        <v/>
      </c>
      <c r="E199" s="79">
        <f>COUNTIF(BN8:BN131,"☐")</f>
        <v/>
      </c>
      <c r="F199" s="79">
        <f>D199+E199</f>
        <v/>
      </c>
      <c r="G199" s="84">
        <f>IF(F199=0,"",D199/F199)</f>
        <v/>
      </c>
    </row>
    <row r="200">
      <c r="A200" s="79" t="inlineStr">
        <is>
          <t>30-Sep</t>
        </is>
      </c>
      <c r="B200" s="79" t="inlineStr">
        <is>
          <t>DMS</t>
        </is>
      </c>
      <c r="C200" s="79" t="inlineStr">
        <is>
          <t>Theory</t>
        </is>
      </c>
      <c r="D200" s="79">
        <f>COUNTIF(BO8:BO131,"☑")</f>
        <v/>
      </c>
      <c r="E200" s="79">
        <f>COUNTIF(BO8:BO131,"☐")</f>
        <v/>
      </c>
      <c r="F200" s="79">
        <f>D200+E200</f>
        <v/>
      </c>
      <c r="G200" s="84">
        <f>IF(F200=0,"",D200/F200)</f>
        <v/>
      </c>
    </row>
  </sheetData>
  <mergeCells count="2">
    <mergeCell ref="A2:F2"/>
    <mergeCell ref="A1:F1"/>
  </mergeCells>
  <dataValidations count="2">
    <dataValidation sqref="D5 E5 F5 G5 H5 I5 J5 K5 L5 M5 N5 O5 P5 Q5 R5 S5 T5 U5 V5 W5 X5 Y5 Z5 AA5 AB5 AC5 AD5 AE5 AF5 AG5 AH5 AI5 AJ5 AK5 AL5 AM5 AN5 AO5 AP5 AQ5 AR5 AS5 AT5 AU5 AV5 AW5 AX5 AY5 AZ5 BA5 BB5 BC5 BD5 BE5 BF5 BG5 BH5 BI5 BJ5 BK5 BL5 BM5 BN5 BO5" showDropDown="0" showInputMessage="0" showErrorMessage="0" allowBlank="0" type="list">
      <formula1>"☑ Present,☐ Absent"</formula1>
    </dataValidation>
    <dataValidation sqref="D90 D91 D92 D93 D94 D95 D96 D97 D98 D99 D100 D101 D102 D103 D104 D105 D106 D107 D108 D109 D110 D111 D112 D113 D114 D115 D116 D117 D118 D119 D120 D121 D122 D123 D124 D125 D126 D127 D128 D129 D130 D131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M8 M9 M10 M11 M12 M13 M14 M15 M16 M17 M18 M19 M20 M21 M22 M23 M24 M25 M26 M27 M28 M29 M30 M31 M32 M33 M34 M35 M36 M37 M38 M39 M40 M41 M42 M43 M44 M45 M46 M47 M48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O49 O50 O51 O52 O53 O54 O55 O56 O57 O58 O59 O60 O61 O62 O63 O64 O65 O66 O67 O68 O69 O70 O71 O72 O73 O74 O75 O76 O77 O78 O79 O80 O81 O82 O83 O84 O85 O86 O87 O88 O89 P8 P9 P10 P11 P12 P13 P14 P15 P16 P17 P18 P19 P20 P21 P22 P23 P24 P25 P26 P27 P28 P29 P30 P31 P32 P33 P34 P35 P36 P37 P38 P39 P40 P41 P42 P43 P44 P45 P46 P47 P48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Q122 Q123 Q124 Q125 Q126 Q127 Q128 Q129 Q130 Q131 R8 R9 R10 R11 R12 R13 R14 R15 R16 R17 R18 R19 R20 R21 R22 R23 R24 R25 R26 R27 R28 R29 R30 R31 R32 R33 R34 R35 R36 R37 R38 R39 R40 R41 R42 R43 R44 R45 R46 R47 R48 S90 S91 S92 S93 S94 S95 S96 S97 S98 S99 S100 S101 S102 S103 S104 S105 S106 S107 S108 S109 S110 S111 S112 S113 S114 S115 S116 S117 S118 S119 S120 S121 S122 S123 S124 S125 S126 S127 S128 S129 S130 S131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T101 T102 T103 T104 T105 T106 T107 T108 T109 T110 T111 T112 T113 T114 T115 T116 T117 T118 T119 T120 T121 T122 T123 T124 T125 T126 T127 T128 T129 T130 T131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U104 U105 U106 U107 U108 U109 U110 U111 U112 U113 U114 U115 U116 U117 U118 U119 U120 U121 U122 U123 U124 U125 U126 U127 U128 U129 U130 U131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V105 V106 V107 V108 V109 V110 V111 V112 V113 V114 V115 V116 V117 V118 V119 V120 V121 V122 V123 V124 V125 V126 V127 V128 V129 V130 V131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W105 W106 W107 W108 W109 W110 W111 W112 W113 W114 W115 W116 W117 W118 W119 W120 W121 W122 W123 W124 W125 W126 W127 W128 W129 W130 W131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X84 X85 X86 X87 X88 X89 X90 X91 X92 X93 X94 X95 X96 X97 X98 X99 X100 X101 X102 X103 X104 X105 X106 X107 X108 X109 X110 X111 X112 X113 X114 X115 X116 X117 X118 X119 X120 X121 X122 X123 X124 X125 X126 X127 X128 X129 X130 X131 Y8 Y9 Y10 Y11 Y12 Y13 Y14 Y15 Y16 Y17 Y18 Y19 Y20 Y21 Y22 Y23 Y24 Y25 Y26 Y27 Y28 Y29 Y30 Y31 Y32 Y33 Y34 Y35 Y36 Y37 Y38 Y39 Y40 Y41 Y42 Y43 Y44 Y45 Y46 Y47 Y48 Y49 Y50 Y51 Y52 Y53 Y54 Y55 Y56 Y57 Y58 Y59 Y60 Y61 Y62 Y63 Y64 Y65 Y66 Y67 Y68 Y69 Y70 Y71 Y72 Y73 Y74 Y75 Y76 Y77 Y78 Y79 Y80 Y81 Y82 Y83 Y84 Y85 Y86 Y87 Y88 Y89 Y90 Y91 Y92 Y93 Y94 Y95 Y96 Y97 Y98 Y99 Y100 Y101 Y102 Y103 Y104 Y105 Y106 Y107 Y108 Y109 Y110 Y111 Y112 Y113 Y114 Y115 Y116 Y117 Y118 Y119 Y120 Y121 Y122 Y123 Y124 Y125 Y126 Y127 Y128 Y129 Y130 Y131 Z8 Z9 Z10 Z11 Z12 Z13 Z14 Z15 Z16 Z17 Z18 Z19 Z20 Z21 Z22 Z23 Z24 Z25 Z26 Z27 Z28 Z29 Z30 Z31 Z32 Z33 Z34 Z35 Z36 Z37 Z38 Z39 Z40 Z41 Z42 Z43 Z44 Z45 Z46 Z47 Z48 Z49 Z50 Z51 Z52 Z53 Z54 Z55 Z56 Z57 Z58 Z59 Z60 Z61 Z62 Z63 Z64 Z65 Z66 Z67 Z68 Z69 Z70 Z71 Z72 Z73 Z74 Z75 Z76 Z77 Z78 Z79 Z80 Z81 Z82 Z83 Z84 Z85 Z86 Z87 Z88 Z89 Z90 Z91 Z92 Z93 Z94 Z95 Z96 Z97 Z98 Z99 Z100 Z101 Z102 Z103 Z104 Z105 Z106 Z107 Z108 Z109 Z110 Z111 Z112 Z113 Z114 Z115 Z116 Z117 Z118 Z119 Z120 Z121 Z122 Z123 Z124 Z125 Z126 Z127 Z128 Z129 Z130 Z131 AA8 AA9 AA10 AA11 AA12 AA13 AA14 AA15 AA16 AA17 AA18 AA19 AA20 AA21 AA22 AA23 AA24 AA25 AA26 AA27 AA28 AA29 AA30 AA31 AA32 AA33 AA34 AA35 AA36 AA37 AA38 AA39 AA40 AA41 AA42 AA43 AA44 AA45 AA46 AA47 AA48 AA49 AA50 AA51 AA52 AA53 AA54 AA55 AA56 AA57 AA58 AA59 AA60 AA61 AA62 AA63 AA64 AA65 AA66 AA67 AA68 AA69 AA70 AA71 AA72 AA73 AA74 AA75 AA76 AA77 AA78 AA79 AA80 AA81 AA82 AA83 AA84 AA85 AA86 AA87 AA88 AA89 AA90 AA91 AA92 AA93 AA94 AA95 AA96 AA97 AA98 AA99 AA100 AA101 AA102 AA103 AA104 AA105 AA106 AA107 AA108 AA109 AA110 AA111 AA112 AA113 AA114 AA115 AA116 AA117 AA118 AA119 AA120 AA121 AA122 AA123 AA124 AA125 AA126 AA127 AA128 AA129 AA130 AA131 AB8 AB9 AB10 AB11 AB12 AB13 AB14 AB15 AB16 AB17 AB18 AB19 AB20 AB21 AB22 AB23 AB24 AB25 AB26 AB27 AB28 AB29 AB30 AB31 AB32 AB33 AB34 AB35 AB36 AB37 AB38 AB39 AB40 AB41 AB42 AB43 AB44 AB45 AB46 AB47 AB48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AC105 AC106 AC107 AC108 AC109 AC110 AC111 AC112 AC113 AC114 AC115 AC116 AC117 AC118 AC119 AC120 AC121 AC122 AC123 AC124 AC125 AC126 AC127 AC128 AC129 AC130 AC131 AD49 AD50 AD51 AD52 AD53 AD54 AD55 AD56 AD57 AD58 AD59 AD60 AD61 AD62 AD63 AD64 AD65 AD66 AD67 AD68 AD69 AD70 AD71 AD72 AD73 AD74 AD75 AD76 AD77 AD78 AD79 AD80 AD81 AD82 AD83 AD84 AD85 AD86 AD87 AD88 AD89 AE8 AE9 AE10 AE11 AE12 AE13 AE14 AE15 AE16 AE17 AE18 AE19 AE20 AE21 AE22 AE23 AE24 AE25 AE26 AE27 AE28 AE29 AE30 AE31 AE32 AE33 AE34 AE35 AE36 AE37 AE38 AE39 AE40 AE41 AE42 AE43 AE44 AE45 AE46 AE47 AE48 AF8 AF9 AF10 AF11 AF12 AF13 AF14 AF15 AF16 AF17 AF18 AF19 AF20 AF21 AF22 AF23 AF24 AF25 AF26 AF27 AF28 AF29 AF30 AF31 AF32 AF33 AF34 AF35 AF36 AF37 AF38 AF39 AF40 AF41 AF42 AF43 AF44 AF45 AF46 AF47 AF48 AF49 AF50 AF51 AF52 AF53 AF54 AF55 AF56 AF57 AF58 AF59 AF60 AF61 AF62 AF63 AF64 AF65 AF66 AF67 AF68 AF69 AF70 AF71 AF72 AF73 AF74 AF75 AF76 AF77 AF78 AF79 AF80 AF81 AF82 AF83 AF84 AF85 AF86 AF87 AF88 AF89 AF90 AF91 AF92 AF93 AF94 AF95 AF96 AF97 AF98 AF99 AF100 AF101 AF102 AF103 AF104 AF105 AF106 AF107 AF108 AF109 AF110 AF111 AF112 AF113 AF114 AF115 AF116 AF117 AF118 AF119 AF120 AF121 AF122 AF123 AF124 AF125 AF126 AF127 AF128 AF129 AF130 AF131 AG8 AG9 AG10 AG11 AG12 AG13 AG14 AG15 AG16 AG17 AG18 AG19 AG20 AG21 AG22 AG23 AG24 AG25 AG26 AG27 AG28 AG29 AG30 AG31 AG32 AG33 AG34 AG35 AG36 AG37 AG38 AG39 AG40 AG41 AG42 AG43 AG44 AG45 AG46 AG47 AG48 AH90 AH91 AH92 AH93 AH94 AH95 AH96 AH97 AH98 AH99 AH100 AH101 AH102 AH103 AH104 AH105 AH106 AH107 AH108 AH109 AH110 AH111 AH112 AH113 AH114 AH115 AH116 AH117 AH118 AH119 AH120 AH121 AH122 AH123 AH124 AH125 AH126 AH127 AH128 AH129 AH130 AH131 AI8 AI9 AI10 AI11 AI12 AI13 AI14 AI15 AI16 AI17 AI18 AI19 AI20 AI21 AI22 AI23 AI24 AI25 AI26 AI27 AI28 AI29 AI30 AI31 AI32 AI33 AI34 AI35 AI36 AI37 AI38 AI39 AI40 AI41 AI42 AI43 AI44 AI45 AI46 AI47 AI48 AI49 AI50 AI51 AI52 AI53 AI54 AI55 AI56 AI57 AI58 AI59 AI60 AI61 AI62 AI63 AI64 AI65 AI66 AI67 AI68 AI69 AI70 AI71 AI72 AI73 AI74 AI75 AI76 AI77 AI78 AI79 AI80 AI81 AI82 AI83 AI84 AI85 AI86 AI87 AI88 AI89 AI90 AI91 AI92 AI93 AI94 AI95 AI96 AI97 AI98 AI99 AI100 AI101 AI102 AI103 AI104 AI105 AI106 AI107 AI108 AI109 AI110 AI111 AI112 AI113 AI114 AI115 AI116 AI117 AI118 AI119 AI120 AI121 AI122 AI123 AI124 AI125 AI126 AI127 AI128 AI129 AI130 AI131 AJ8 AJ9 AJ10 AJ11 AJ12 AJ13 AJ14 AJ15 AJ16 AJ17 AJ18 AJ19 AJ20 AJ21 AJ22 AJ23 AJ24 AJ25 AJ26 AJ27 AJ28 AJ29 AJ30 AJ31 AJ32 AJ33 AJ34 AJ35 AJ36 AJ37 AJ38 AJ39 AJ40 AJ41 AJ42 AJ43 AJ44 AJ45 AJ46 AJ47 AJ48 AJ49 AJ50 AJ51 AJ52 AJ53 AJ54 AJ55 AJ56 AJ57 AJ58 AJ59 AJ60 AJ61 AJ62 AJ63 AJ64 AJ65 AJ66 AJ67 AJ68 AJ69 AJ70 AJ71 AJ72 AJ73 AJ74 AJ75 AJ76 AJ77 AJ78 AJ79 AJ80 AJ81 AJ82 AJ83 AJ84 AJ85 AJ86 AJ87 AJ88 AJ89 AJ90 AJ91 AJ92 AJ93 AJ94 AJ95 AJ96 AJ97 AJ98 AJ99 AJ100 AJ101 AJ102 AJ103 AJ104 AJ105 AJ106 AJ107 AJ108 AJ109 AJ110 AJ111 AJ112 AJ113 AJ114 AJ115 AJ116 AJ117 AJ118 AJ119 AJ120 AJ121 AJ122 AJ123 AJ124 AJ125 AJ126 AJ127 AJ128 AJ129 AJ130 AJ131 AK8 AK9 AK10 AK11 AK12 AK13 AK14 AK15 AK16 AK17 AK18 AK19 AK20 AK21 AK22 AK23 AK24 AK25 AK26 AK27 AK28 AK29 AK30 AK31 AK32 AK33 AK34 AK35 AK36 AK37 AK38 AK39 AK40 AK41 AK42 AK43 AK44 AK45 AK46 AK47 AK48 AK49 AK50 AK51 AK52 AK53 AK54 AK55 AK56 AK57 AK58 AK59 AK60 AK61 AK62 AK63 AK64 AK65 AK66 AK67 AK68 AK69 AK70 AK71 AK72 AK73 AK74 AK75 AK76 AK77 AK78 AK79 AK80 AK81 AK82 AK83 AK84 AK85 AK86 AK87 AK88 AK89 AK90 AK91 AK92 AK93 AK94 AK95 AK96 AK97 AK98 AK99 AK100 AK101 AK102 AK103 AK104 AK105 AK106 AK107 AK108 AK109 AK110 AK111 AK112 AK113 AK114 AK115 AK116 AK117 AK118 AK119 AK120 AK121 AK122 AK123 AK124 AK125 AK126 AK127 AK128 AK129 AK130 AK131 AL8 AL9 AL10 AL11 AL12 AL13 AL14 AL15 AL16 AL17 AL18 AL19 AL20 AL21 AL22 AL23 AL24 AL25 AL26 AL27 AL28 AL29 AL30 AL31 AL32 AL33 AL34 AL35 AL36 AL37 AL38 AL39 AL40 AL41 AL42 AL43 AL44 AL45 AL46 AL47 AL48 AL49 AL50 AL51 AL52 AL53 AL54 AL55 AL56 AL57 AL58 AL59 AL60 AL61 AL62 AL63 AL64 AL65 AL66 AL67 AL68 AL69 AL70 AL71 AL72 AL73 AL74 AL75 AL76 AL77 AL78 AL79 AL80 AL81 AL82 AL83 AL84 AL85 AL86 AL87 AL88 AL89 AL90 AL91 AL92 AL93 AL94 AL95 AL96 AL97 AL98 AL99 AL100 AL101 AL102 AL103 AL104 AL105 AL106 AL107 AL108 AL109 AL110 AL111 AL112 AL113 AL114 AL115 AL116 AL117 AL118 AL119 AL120 AL121 AL122 AL123 AL124 AL125 AL126 AL127 AL128 AL129 AL130 AL131 AM8 AM9 AM10 AM11 AM12 AM13 AM14 AM15 AM16 AM17 AM18 AM19 AM20 AM21 AM22 AM23 AM24 AM25 AM26 AM27 AM28 AM29 AM30 AM31 AM32 AM33 AM34 AM35 AM36 AM37 AM38 AM39 AM40 AM41 AM42 AM43 AM44 AM45 AM46 AM47 AM48 AM49 AM50 AM51 AM52 AM53 AM54 AM55 AM56 AM57 AM58 AM59 AM60 AM61 AM62 AM63 AM64 AM65 AM66 AM67 AM68 AM69 AM70 AM71 AM72 AM73 AM74 AM75 AM76 AM77 AM78 AM79 AM80 AM81 AM82 AM83 AM84 AM85 AM86 AM87 AM88 AM89 AM90 AM91 AM92 AM93 AM94 AM95 AM96 AM97 AM98 AM99 AM100 AM101 AM102 AM103 AM104 AM105 AM106 AM107 AM108 AM109 AM110 AM111 AM112 AM113 AM114 AM115 AM116 AM117 AM118 AM119 AM120 AM121 AM122 AM123 AM124 AM125 AM126 AM127 AM128 AM129 AM130 AM131 AN8 AN9 AN10 AN11 AN12 AN13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 AN129 AN130 AN131 AO8 AO9 AO10 AO11 AO12 AO13 AO14 AO15 AO16 AO17 AO18 AO19 AO20 AO21 AO22 AO23 AO24 AO25 AO26 AO27 AO28 AO29 AO30 AO31 AO32 AO33 AO34 AO35 AO36 AO37 AO38 AO39 AO40 AO41 AO42 AO43 AO44 AO45 AO46 AO47 AO48 AO49 AO50 AO51 AO52 AO53 AO54 AO55 AO56 AO57 AO58 AO59 AO60 AO61 AO62 AO63 AO64 AO65 AO66 AO67 AO68 AO69 AO70 AO71 AO72 AO73 AO74 AO75 AO76 AO77 AO78 AO79 AO80 AO81 AO82 AO83 AO84 AO85 AO86 AO87 AO88 AO89 AO90 AO91 AO92 AO93 AO94 AO95 AO96 AO97 AO98 AO99 AO100 AO101 AO102 AO103 AO104 AO105 AO106 AO107 AO108 AO109 AO110 AO111 AO112 AO113 AO114 AO115 AO116 AO117 AO118 AO119 AO120 AO121 AO122 AO123 AO124 AO125 AO126 AO127 AO128 AO129 AO130 AO131 AP8 AP9 AP10 AP11 AP12 AP13 AP14 AP15 AP16 AP17 AP18 AP19 AP20 AP21 AP22 AP23 AP24 AP25 AP26 AP27 AP28 AP29 AP30 AP31 AP32 AP33 AP34 AP35 AP36 AP37 AP38 AP39 AP40 AP41 AP42 AP43 AP44 AP45 AP46 AP47 AP48 AP49 AP50 AP51 AP52 AP53 AP54 AP55 AP56 AP57 AP58 AP59 AP60 AP61 AP62 AP63 AP64 AP65 AP66 AP67 AP68 AP69 AP70 AP71 AP72 AP73 AP74 AP75 AP76 AP77 AP78 AP79 AP80 AP81 AP82 AP83 AP84 AP85 AP86 AP87 AP88 AP89 AP90 AP91 AP92 AP93 AP94 AP95 AP96 AP97 AP98 AP99 AP100 AP101 AP102 AP103 AP104 AP105 AP106 AP107 AP108 AP109 AP110 AP111 AP112 AP113 AP114 AP115 AP116 AP117 AP118 AP119 AP120 AP121 AP122 AP123 AP124 AP125 AP126 AP127 AP128 AP129 AP130 AP131 AQ8 AQ9 AQ10 AQ11 AQ12 AQ13 AQ14 AQ15 AQ16 AQ17 AQ18 AQ19 AQ20 AQ21 AQ22 AQ23 AQ24 AQ25 AQ26 AQ27 AQ28 AQ29 AQ30 AQ31 AQ32 AQ33 AQ34 AQ35 AQ36 AQ37 AQ38 AQ39 AQ40 AQ41 AQ42 AQ43 AQ44 AQ45 AQ46 AQ47 AQ48 AR8 AR9 AR10 AR11 AR12 AR13 AR14 AR15 AR16 AR17 AR18 AR19 AR20 AR21 AR22 AR23 AR24 AR25 AR26 AR27 AR28 AR29 AR30 AR31 AR32 AR33 AR34 AR35 AR36 AR37 AR38 AR39 AR40 AR41 AR42 AR43 AR44 AR45 AR46 AR47 AR48 AR49 AR50 AR51 AR52 AR53 AR54 AR55 AR56 AR57 AR58 AR59 AR60 AR61 AR62 AR63 AR64 AR65 AR66 AR67 AR68 AR69 AR70 AR71 AR72 AR73 AR74 AR75 AR76 AR77 AR78 AR79 AR80 AR81 AR82 AR83 AR84 AR85 AR86 AR87 AR88 AR89 AR90 AR91 AR92 AR93 AR94 AR95 AR96 AR97 AR98 AR99 AR100 AR101 AR102 AR103 AR104 AR105 AR106 AR107 AR108 AR109 AR110 AR111 AR112 AR113 AR114 AR115 AR116 AR117 AR118 AR119 AR120 AR121 AR122 AR123 AR124 AR125 AR126 AR127 AR128 AR129 AR130 AR131 AS49 AS50 AS51 AS52 AS53 AS54 AS55 AS56 AS57 AS58 AS59 AS60 AS61 AS62 AS63 AS64 AS65 AS66 AS67 AS68 AS69 AS70 AS71 AS72 AS73 AS74 AS75 AS76 AS77 AS78 AS79 AS80 AS81 AS82 AS83 AS84 AS85 AS86 AS87 AS88 AS89 AT8 AT9 AT10 AT11 AT12 AT13 AT14 AT15 AT16 AT17 AT18 AT19 AT20 AT21 AT22 AT23 AT24 AT25 AT26 AT27 AT28 AT29 AT30 AT31 AT32 AT33 AT34 AT35 AT36 AT37 AT38 AT39 AT40 AT41 AT42 AT43 AT44 AT45 AT46 AT47 AT48 AU8 AU9 AU10 AU11 AU12 AU13 AU14 AU15 AU16 AU17 AU18 AU19 AU20 AU21 AU22 AU23 AU24 AU25 AU26 AU27 AU28 AU29 AU30 AU31 AU32 AU33 AU34 AU35 AU36 AU37 AU38 AU39 AU40 AU41 AU42 AU43 AU44 AU45 AU46 AU47 AU48 AU49 AU50 AU51 AU52 AU53 AU54 AU55 AU56 AU57 AU58 AU59 AU60 AU61 AU62 AU63 AU64 AU65 AU66 AU67 AU68 AU69 AU70 AU71 AU72 AU73 AU74 AU75 AU76 AU77 AU78 AU79 AU80 AU81 AU82 AU83 AU84 AU85 AU86 AU87 AU88 AU89 AU90 AU91 AU92 AU93 AU94 AU95 AU96 AU97 AU98 AU99 AU100 AU101 AU102 AU103 AU104 AU105 AU106 AU107 AU108 AU109 AU110 AU111 AU112 AU113 AU114 AU115 AU116 AU117 AU118 AU119 AU120 AU121 AU122 AU123 AU124 AU125 AU126 AU127 AU128 AU129 AU130 AU131 AV8 AV9 AV10 AV11 AV12 AV13 AV14 AV15 AV16 AV17 AV18 AV19 AV20 AV21 AV22 AV23 AV24 AV25 AV26 AV27 AV28 AV29 AV30 AV31 AV32 AV33 AV34 AV35 AV36 AV37 AV38 AV39 AV40 AV41 AV42 AV43 AV44 AV45 AV46 AV47 AV48 AW90 AW91 AW92 AW93 AW94 AW95 AW96 AW97 AW98 AW99 AW100 AW101 AW102 AW103 AW104 AW105 AW106 AW107 AW108 AW109 AW110 AW111 AW112 AW113 AW114 AW115 AW116 AW117 AW118 AW119 AW120 AW121 AW122 AW123 AW124 AW125 AW126 AW127 AW128 AW129 AW130 AW131 AX8 AX9 AX10 AX11 AX12 AX13 AX14 AX15 AX16 AX17 AX18 AX19 AX20 AX21 AX22 AX23 AX24 AX25 AX26 AX27 AX28 AX29 AX30 AX31 AX32 AX33 AX34 AX35 AX36 AX37 AX38 AX39 AX40 AX41 AX42 AX43 AX44 AX45 AX46 AX47 AX48 AX49 AX50 AX51 AX52 AX53 AX54 AX55 AX56 AX57 AX58 AX59 AX60 AX61 AX62 AX63 AX64 AX65 AX66 AX67 AX68 AX69 AX70 AX71 AX72 AX73 AX74 AX75 AX76 AX77 AX78 AX79 AX80 AX81 AX82 AX83 AX84 AX85 AX86 AX87 AX88 AX89 AX90 AX91 AX92 AX93 AX94 AX95 AX96 AX97 AX98 AX99 AX100 AX101 AX102 AX103 AX104 AX105 AX106 AX107 AX108 AX109 AX110 AX111 AX112 AX113 AX114 AX115 AX116 AX117 AX118 AX119 AX120 AX121 AX122 AX123 AX124 AX125 AX126 AX127 AX128 AX129 AX130 AX131 AY8 AY9 AY10 AY11 AY12 AY13 AY14 AY15 AY16 AY17 AY18 AY19 AY20 AY21 AY22 AY23 AY24 AY25 AY26 AY27 AY28 AY29 AY30 AY31 AY32 AY33 AY34 AY35 AY36 AY37 AY38 AY39 AY40 AY41 AY42 AY43 AY44 AY45 AY46 AY47 AY48 AY49 AY50 AY51 AY52 AY53 AY54 AY55 AY56 AY57 AY58 AY59 AY60 AY61 AY62 AY63 AY64 AY65 AY66 AY67 AY68 AY69 AY70 AY71 AY72 AY73 AY74 AY75 AY76 AY77 AY78 AY79 AY80 AY81 AY82 AY83 AY84 AY85 AY86 AY87 AY88 AY89 AY90 AY91 AY92 AY93 AY94 AY95 AY96 AY97 AY98 AY99 AY100 AY101 AY102 AY103 AY104 AY105 AY106 AY107 AY108 AY109 AY110 AY111 AY112 AY113 AY114 AY115 AY116 AY117 AY118 AY119 AY120 AY121 AY122 AY123 AY124 AY125 AY126 AY127 AY128 AY129 AY130 AY131 AZ8 AZ9 AZ10 AZ11 AZ12 AZ13 AZ14 AZ15 AZ16 AZ17 AZ18 AZ19 AZ20 AZ21 AZ22 AZ23 AZ24 AZ25 AZ26 AZ27 AZ28 AZ29 AZ30 AZ31 AZ32 AZ33 AZ34 AZ35 AZ36 AZ37 AZ38 AZ39 AZ40 AZ41 AZ42 AZ43 AZ44 AZ45 AZ46 AZ47 AZ48 AZ49 AZ50 AZ51 AZ52 AZ53 AZ54 AZ55 AZ56 AZ57 AZ58 AZ59 AZ60 AZ61 AZ62 AZ63 AZ64 AZ65 AZ66 AZ67 AZ68 AZ69 AZ70 AZ71 AZ72 AZ73 AZ74 AZ75 AZ76 AZ77 AZ78 AZ79 AZ80 AZ81 AZ82 AZ83 AZ84 AZ85 AZ86 AZ87 AZ88 AZ89 AZ90 AZ91 AZ92 AZ93 AZ94 AZ95 AZ96 AZ97 AZ98 AZ99 AZ100 AZ101 AZ102 AZ103 AZ104 AZ105 AZ106 AZ107 AZ108 AZ109 AZ110 AZ111 AZ112 AZ113 AZ114 AZ115 AZ116 AZ117 AZ118 AZ119 AZ120 AZ121 AZ122 AZ123 AZ124 AZ125 AZ126 AZ127 AZ128 AZ129 AZ130 AZ131 BA8 BA9 BA10 BA11 BA12 BA13 BA14 BA15 BA16 BA17 BA18 BA19 BA20 BA21 BA22 BA23 BA24 BA25 BA26 BA27 BA28 BA29 BA30 BA31 BA32 BA33 BA34 BA35 BA36 BA37 BA38 BA39 BA40 BA41 BA42 BA43 BA44 BA45 BA46 BA47 BA48 BA49 BA50 BA51 BA52 BA53 BA54 BA55 BA56 BA57 BA58 BA59 BA60 BA61 BA62 BA63 BA64 BA65 BA66 BA67 BA68 BA69 BA70 BA71 BA72 BA73 BA74 BA75 BA76 BA77 BA78 BA79 BA80 BA81 BA82 BA83 BA84 BA85 BA86 BA87 BA88 BA89 BA90 BA91 BA92 BA93 BA94 BA95 BA96 BA97 BA98 BA99 BA100 BA101 BA102 BA103 BA104 BA105 BA106 BA107 BA108 BA109 BA110 BA111 BA112 BA113 BA114 BA115 BA116 BA117 BA118 BA119 BA120 BA121 BA122 BA123 BA124 BA125 BA126 BA127 BA128 BA129 BA130 BA131 BB8 BB9 BB10 BB11 BB12 BB13 BB14 BB15 BB16 BB17 BB18 BB19 BB20 BB21 BB22 BB23 BB24 BB25 BB26 BB27 BB28 BB29 BB30 BB31 BB32 BB33 BB34 BB35 BB36 BB37 BB38 BB39 BB40 BB41 BB42 BB43 BB44 BB45 BB46 BB47 BB48 BB49 BB50 BB51 BB52 BB53 BB54 BB55 BB56 BB57 BB58 BB59 BB60 BB61 BB62 BB63 BB64 BB65 BB66 BB67 BB68 BB69 BB70 BB71 BB72 BB73 BB74 BB75 BB76 BB77 BB78 BB79 BB80 BB81 BB82 BB83 BB84 BB85 BB86 BB87 BB88 BB89 BB90 BB91 BB92 BB93 BB94 BB95 BB96 BB97 BB98 BB99 BB100 BB101 BB102 BB103 BB104 BB105 BB106 BB107 BB108 BB109 BB110 BB111 BB112 BB113 BB114 BB115 BB116 BB117 BB118 BB119 BB120 BB121 BB122 BB123 BB124 BB125 BB126 BB127 BB128 BB129 BB130 BB131 BC8 BC9 BC10 BC11 BC12 BC13 BC14 BC15 BC16 BC17 BC18 BC19 BC20 BC21 BC22 BC23 BC24 BC25 BC26 BC27 BC28 BC29 BC30 BC31 BC32 BC33 BC34 BC35 BC36 BC37 BC38 BC39 BC40 BC41 BC42 BC43 BC44 BC45 BC46 BC47 BC48 BC49 BC50 BC51 BC52 BC53 BC54 BC55 BC56 BC57 BC58 BC59 BC60 BC61 BC62 BC63 BC64 BC65 BC66 BC67 BC68 BC69 BC70 BC71 BC72 BC73 BC74 BC75 BC76 BC77 BC78 BC79 BC80 BC81 BC82 BC83 BC84 BC85 BC86 BC87 BC88 BC89 BC90 BC91 BC92 BC93 BC94 BC95 BC96 BC97 BC98 BC99 BC100 BC101 BC102 BC103 BC104 BC105 BC106 BC107 BC108 BC109 BC110 BC111 BC112 BC113 BC114 BC115 BC116 BC117 BC118 BC119 BC120 BC121 BC122 BC123 BC124 BC125 BC126 BC127 BC128 BC129 BC130 BC131 BD8 BD9 BD10 BD11 BD12 BD13 BD14 BD15 BD16 BD17 BD18 BD19 BD20 BD21 BD22 BD23 BD24 BD25 BD26 BD27 BD28 BD29 BD30 BD31 BD32 BD33 BD34 BD35 BD36 BD37 BD38 BD39 BD40 BD41 BD42 BD43 BD44 BD45 BD46 BD47 BD48 BD49 BD50 BD51 BD52 BD53 BD54 BD55 BD56 BD57 BD58 BD59 BD60 BD61 BD62 BD63 BD64 BD65 BD66 BD67 BD68 BD69 BD70 BD71 BD72 BD73 BD74 BD75 BD76 BD77 BD78 BD79 BD80 BD81 BD82 BD83 BD84 BD85 BD86 BD87 BD88 BD89 BD90 BD91 BD92 BD93 BD94 BD95 BD96 BD97 BD98 BD99 BD100 BD101 BD102 BD103 BD104 BD105 BD106 BD107 BD108 BD109 BD110 BD111 BD112 BD113 BD114 BD115 BD116 BD117 BD118 BD119 BD120 BD121 BD122 BD123 BD124 BD125 BD126 BD127 BD128 BD129 BD130 BD131 BE8 BE9 BE10 BE11 BE12 BE13 BE14 BE15 BE16 BE17 BE18 BE19 BE20 BE21 BE22 BE23 BE24 BE25 BE26 BE27 BE28 BE29 BE30 BE31 BE32 BE33 BE34 BE35 BE36 BE37 BE38 BE39 BE40 BE41 BE42 BE43 BE44 BE45 BE46 BE47 BE48 BE49 BE50 BE51 BE52 BE53 BE54 BE55 BE56 BE57 BE58 BE59 BE60 BE61 BE62 BE63 BE64 BE65 BE66 BE67 BE68 BE69 BE70 BE71 BE72 BE73 BE74 BE75 BE76 BE77 BE78 BE79 BE80 BE81 BE82 BE83 BE84 BE85 BE86 BE87 BE88 BE89 BE90 BE91 BE92 BE93 BE94 BE95 BE96 BE97 BE98 BE99 BE100 BE101 BE102 BE103 BE104 BE105 BE106 BE107 BE108 BE109 BE110 BE111 BE112 BE113 BE114 BE115 BE116 BE117 BE118 BE119 BE120 BE121 BE122 BE123 BE124 BE125 BE126 BE127 BE128 BE129 BE130 BE131 BF8 BF9 BF10 BF11 BF12 BF13 BF14 BF15 BF16 BF17 BF18 BF19 BF20 BF21 BF22 BF23 BF24 BF25 BF26 BF27 BF28 BF29 BF30 BF31 BF32 BF33 BF34 BF35 BF36 BF37 BF38 BF39 BF40 BF41 BF42 BF43 BF44 BF45 BF46 BF47 BF48 BG8 BG9 BG10 BG11 BG12 BG13 BG14 BG15 BG16 BG17 BG18 BG19 BG20 BG21 BG22 BG23 BG24 BG25 BG26 BG27 BG28 BG29 BG30 BG31 BG32 BG33 BG34 BG35 BG36 BG37 BG38 BG39 BG40 BG41 BG42 BG43 BG44 BG45 BG46 BG47 BG48 BG49 BG50 BG51 BG52 BG53 BG54 BG55 BG56 BG57 BG58 BG59 BG60 BG61 BG62 BG63 BG64 BG65 BG66 BG67 BG68 BG69 BG70 BG71 BG72 BG73 BG74 BG75 BG76 BG77 BG78 BG79 BG80 BG81 BG82 BG83 BG84 BG85 BG86 BG87 BG88 BG89 BG90 BG91 BG92 BG93 BG94 BG95 BG96 BG97 BG98 BG99 BG100 BG101 BG102 BG103 BG104 BG105 BG106 BG107 BG108 BG109 BG110 BG111 BG112 BG113 BG114 BG115 BG116 BG117 BG118 BG119 BG120 BG121 BG122 BG123 BG124 BG125 BG126 BG127 BG128 BG129 BG130 BG131 BH49 BH50 BH51 BH52 BH53 BH54 BH55 BH56 BH57 BH58 BH59 BH60 BH61 BH62 BH63 BH64 BH65 BH66 BH67 BH68 BH69 BH70 BH71 BH72 BH73 BH74 BH75 BH76 BH77 BH78 BH79 BH80 BH81 BH82 BH83 BH84 BH85 BH86 BH87 BH88 BH89 BI8 BI9 BI10 BI11 BI12 BI13 BI14 BI15 BI16 BI17 BI18 BI19 BI20 BI21 BI22 BI23 BI24 BI25 BI26 BI27 BI28 BI29 BI30 BI31 BI32 BI33 BI34 BI35 BI36 BI37 BI38 BI39 BI40 BI41 BI42 BI43 BI44 BI45 BI46 BI47 BI48 BJ8 BJ9 BJ10 BJ11 BJ12 BJ13 BJ14 BJ15 BJ16 BJ17 BJ18 BJ19 BJ20 BJ21 BJ22 BJ23 BJ24 BJ25 BJ26 BJ27 BJ28 BJ29 BJ30 BJ31 BJ32 BJ33 BJ34 BJ35 BJ36 BJ37 BJ38 BJ39 BJ40 BJ41 BJ42 BJ43 BJ44 BJ45 BJ46 BJ47 BJ48 BJ49 BJ50 BJ51 BJ52 BJ53 BJ54 BJ55 BJ56 BJ57 BJ58 BJ59 BJ60 BJ61 BJ62 BJ63 BJ64 BJ65 BJ66 BJ67 BJ68 BJ69 BJ70 BJ71 BJ72 BJ73 BJ74 BJ75 BJ76 BJ77 BJ78 BJ79 BJ80 BJ81 BJ82 BJ83 BJ84 BJ85 BJ86 BJ87 BJ88 BJ89 BJ90 BJ91 BJ92 BJ93 BJ94 BJ95 BJ96 BJ97 BJ98 BJ99 BJ100 BJ101 BJ102 BJ103 BJ104 BJ105 BJ106 BJ107 BJ108 BJ109 BJ110 BJ111 BJ112 BJ113 BJ114 BJ115 BJ116 BJ117 BJ118 BJ119 BJ120 BJ121 BJ122 BJ123 BJ124 BJ125 BJ126 BJ127 BJ128 BJ129 BJ130 BJ131 BK8 BK9 BK10 BK11 BK12 BK13 BK14 BK15 BK16 BK17 BK18 BK19 BK20 BK21 BK22 BK23 BK24 BK25 BK26 BK27 BK28 BK29 BK30 BK31 BK32 BK33 BK34 BK35 BK36 BK37 BK38 BK39 BK40 BK41 BK42 BK43 BK44 BK45 BK46 BK47 BK48 BL90 BL91 BL92 BL93 BL94 BL95 BL96 BL97 BL98 BL99 BL100 BL101 BL102 BL103 BL104 BL105 BL106 BL107 BL108 BL109 BL110 BL111 BL112 BL113 BL114 BL115 BL116 BL117 BL118 BL119 BL120 BL121 BL122 BL123 BL124 BL125 BL126 BL127 BL128 BL129 BL130 BL131 BM8 BM9 BM10 BM11 BM12 BM13 BM14 BM15 BM16 BM17 BM18 BM19 BM20 BM21 BM22 BM23 BM24 BM25 BM26 BM27 BM28 BM29 BM30 BM31 BM32 BM33 BM34 BM35 BM36 BM37 BM38 BM39 BM40 BM41 BM42 BM43 BM44 BM45 BM46 BM47 BM48 BM49 BM50 BM51 BM52 BM53 BM54 BM55 BM56 BM57 BM58 BM59 BM60 BM61 BM62 BM63 BM64 BM65 BM66 BM67 BM68 BM69 BM70 BM71 BM72 BM73 BM74 BM75 BM76 BM77 BM78 BM79 BM80 BM81 BM82 BM83 BM84 BM85 BM86 BM87 BM88 BM89 BM90 BM91 BM92 BM93 BM94 BM95 BM96 BM97 BM98 BM99 BM100 BM101 BM102 BM103 BM104 BM105 BM106 BM107 BM108 BM109 BM110 BM111 BM112 BM113 BM114 BM115 BM116 BM117 BM118 BM119 BM120 BM121 BM122 BM123 BM124 BM125 BM126 BM127 BM128 BM129 BM130 BM131 BN8 BN9 BN10 BN11 BN12 BN13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 BN129 BN130 BN131 BO8 BO9 BO10 BO11 BO12 BO13 BO14 BO15 BO16 BO17 BO18 BO19 BO20 BO21 BO22 BO23 BO24 BO25 BO26 BO27 BO28 BO29 BO30 BO31 BO32 BO33 BO34 BO35 BO36 BO37 BO38 BO39 BO40 BO41 BO42 BO43 BO44 BO45 BO46 BO47 BO48 BO49 BO50 BO51 BO52 BO53 BO54 BO55 BO56 BO57 BO58 BO59 BO60 BO61 BO62 BO63 BO64 BO65 BO66 BO67 BO68 BO69 BO70 BO71 BO72 BO73 BO74 BO75 BO76 BO77 BO78 BO79 BO80 BO81 BO82 BO83 BO84 BO85 BO86 BO87 BO88 BO89 BO90 BO91 BO92 BO93 BO94 BO95 BO96 BO97 BO98 BO99 BO100 BO101 BO102 BO103 BO104 BO105 BO106 BO107 BO108 BO109 BO110 BO111 BO112 BO113 BO114 BO115 BO116 BO117 BO118 BO119 BO120 BO121 BO122 BO123 BO124 BO125 BO126 BO127 BO128 BO129 BO130 BO131" showDropDown="0" showInputMessage="0" showErrorMessage="0" allowBlank="0" type="list">
      <formula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2026-08-30T05:44:53Z</dcterms:created>
  <dcterms:modified xmlns:dcterms="http://purl.org/dc/terms/" xmlns:xsi="http://www.w3.org/2001/XMLSchema-instance" xsi:type="dcterms:W3CDTF">2026-08-31T05:25:20Z</dcterms:modified>
  <cp:lastModifiedBy>Yaswanth Revadi</cp:lastModifiedBy>
  <cp:revision>0</cp:revision>
</cp:coreProperties>
</file>